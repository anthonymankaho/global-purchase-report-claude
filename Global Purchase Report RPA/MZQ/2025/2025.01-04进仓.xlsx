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MZQ\"/>
    </mc:Choice>
  </mc:AlternateContent>
  <xr:revisionPtr revIDLastSave="0" documentId="13_ncr:1_{9A21997D-CD0D-4139-9404-2115ABE07DC9}" xr6:coauthVersionLast="47" xr6:coauthVersionMax="47" xr10:uidLastSave="{00000000-0000-0000-0000-000000000000}"/>
  <bookViews>
    <workbookView xWindow="456" yWindow="5316" windowWidth="22572" windowHeight="7548" activeTab="1" xr2:uid="{00000000-000D-0000-FFFF-FFFF00000000}"/>
  </bookViews>
  <sheets>
    <sheet name="汇总MHK" sheetId="2" r:id="rId1"/>
    <sheet name="汇总MZQ" sheetId="5" r:id="rId2"/>
    <sheet name="Sheet2" sheetId="3" r:id="rId3"/>
    <sheet name="Sheet3" sheetId="7" r:id="rId4"/>
    <sheet name="Sheet1" sheetId="6" r:id="rId5"/>
  </sheets>
  <definedNames>
    <definedName name="_xlnm._FilterDatabase" localSheetId="0" hidden="1">汇总MHK!$A$1:$AA$1</definedName>
    <definedName name="_xlnm._FilterDatabase" localSheetId="1" hidden="1">汇总MZQ!$A$1:$X$852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00" i="5" l="1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1" i="5"/>
  <c r="W2102" i="5"/>
  <c r="W2103" i="5"/>
  <c r="W2104" i="5"/>
  <c r="W2105" i="5"/>
  <c r="W2106" i="5"/>
  <c r="W2107" i="5"/>
  <c r="W2108" i="5"/>
  <c r="W2109" i="5"/>
  <c r="W2110" i="5"/>
  <c r="Q2110" i="5"/>
  <c r="R2110" i="5" s="1"/>
  <c r="S2110" i="5" s="1"/>
  <c r="P2110" i="5"/>
  <c r="J2110" i="5"/>
  <c r="Q2109" i="5"/>
  <c r="R2109" i="5" s="1"/>
  <c r="S2109" i="5" s="1"/>
  <c r="P2109" i="5"/>
  <c r="J2109" i="5"/>
  <c r="R2108" i="5"/>
  <c r="S2108" i="5" s="1"/>
  <c r="Q2108" i="5"/>
  <c r="P2108" i="5"/>
  <c r="J2108" i="5"/>
  <c r="Q2107" i="5"/>
  <c r="R2107" i="5" s="1"/>
  <c r="S2107" i="5" s="1"/>
  <c r="P2107" i="5"/>
  <c r="J2107" i="5"/>
  <c r="Q2106" i="5"/>
  <c r="R2106" i="5" s="1"/>
  <c r="S2106" i="5" s="1"/>
  <c r="P2106" i="5"/>
  <c r="J2106" i="5"/>
  <c r="Q2105" i="5"/>
  <c r="R2105" i="5" s="1"/>
  <c r="S2105" i="5" s="1"/>
  <c r="P2105" i="5"/>
  <c r="J2105" i="5"/>
  <c r="Q2104" i="5"/>
  <c r="R2104" i="5" s="1"/>
  <c r="S2104" i="5" s="1"/>
  <c r="P2104" i="5"/>
  <c r="J2104" i="5"/>
  <c r="Q2103" i="5"/>
  <c r="R2103" i="5" s="1"/>
  <c r="S2103" i="5" s="1"/>
  <c r="P2103" i="5"/>
  <c r="J2103" i="5"/>
  <c r="Q2102" i="5"/>
  <c r="R2102" i="5" s="1"/>
  <c r="S2102" i="5" s="1"/>
  <c r="P2102" i="5"/>
  <c r="J2102" i="5"/>
  <c r="Q2101" i="5"/>
  <c r="R2101" i="5" s="1"/>
  <c r="S2101" i="5" s="1"/>
  <c r="P2101" i="5"/>
  <c r="J2101" i="5"/>
  <c r="Q2100" i="5"/>
  <c r="R2100" i="5" s="1"/>
  <c r="S2100" i="5" s="1"/>
  <c r="P2100" i="5"/>
  <c r="J2100" i="5"/>
  <c r="Q2099" i="5"/>
  <c r="R2099" i="5" s="1"/>
  <c r="S2099" i="5" s="1"/>
  <c r="P2099" i="5"/>
  <c r="J2099" i="5"/>
  <c r="Q2098" i="5"/>
  <c r="R2098" i="5" s="1"/>
  <c r="S2098" i="5" s="1"/>
  <c r="P2098" i="5"/>
  <c r="J2098" i="5"/>
  <c r="Q2097" i="5"/>
  <c r="R2097" i="5" s="1"/>
  <c r="S2097" i="5" s="1"/>
  <c r="P2097" i="5"/>
  <c r="J2097" i="5"/>
  <c r="Q2096" i="5"/>
  <c r="R2096" i="5" s="1"/>
  <c r="S2096" i="5" s="1"/>
  <c r="P2096" i="5"/>
  <c r="J2096" i="5"/>
  <c r="Q2095" i="5"/>
  <c r="R2095" i="5" s="1"/>
  <c r="S2095" i="5" s="1"/>
  <c r="P2095" i="5"/>
  <c r="J2095" i="5"/>
  <c r="Q2094" i="5"/>
  <c r="R2094" i="5" s="1"/>
  <c r="S2094" i="5" s="1"/>
  <c r="P2094" i="5"/>
  <c r="J2094" i="5"/>
  <c r="Q2093" i="5"/>
  <c r="R2093" i="5" s="1"/>
  <c r="S2093" i="5" s="1"/>
  <c r="P2093" i="5"/>
  <c r="J2093" i="5"/>
  <c r="R2092" i="5"/>
  <c r="S2092" i="5" s="1"/>
  <c r="Q2092" i="5"/>
  <c r="P2092" i="5"/>
  <c r="J2092" i="5"/>
  <c r="Q2091" i="5"/>
  <c r="R2091" i="5" s="1"/>
  <c r="S2091" i="5" s="1"/>
  <c r="P2091" i="5"/>
  <c r="J2091" i="5"/>
  <c r="Q2090" i="5"/>
  <c r="R2090" i="5" s="1"/>
  <c r="S2090" i="5" s="1"/>
  <c r="P2090" i="5"/>
  <c r="J2090" i="5"/>
  <c r="Q2089" i="5"/>
  <c r="R2089" i="5" s="1"/>
  <c r="S2089" i="5" s="1"/>
  <c r="P2089" i="5"/>
  <c r="J2089" i="5"/>
  <c r="R2088" i="5"/>
  <c r="S2088" i="5" s="1"/>
  <c r="Q2088" i="5"/>
  <c r="P2088" i="5"/>
  <c r="J2088" i="5"/>
  <c r="Q2087" i="5"/>
  <c r="R2087" i="5" s="1"/>
  <c r="S2087" i="5" s="1"/>
  <c r="P2087" i="5"/>
  <c r="J2087" i="5"/>
  <c r="R2086" i="5"/>
  <c r="S2086" i="5" s="1"/>
  <c r="Q2086" i="5"/>
  <c r="P2086" i="5"/>
  <c r="J2086" i="5"/>
  <c r="Q2085" i="5"/>
  <c r="R2085" i="5" s="1"/>
  <c r="S2085" i="5" s="1"/>
  <c r="P2085" i="5"/>
  <c r="J2085" i="5"/>
  <c r="R2084" i="5"/>
  <c r="S2084" i="5" s="1"/>
  <c r="Q2084" i="5"/>
  <c r="P2084" i="5"/>
  <c r="J2084" i="5"/>
  <c r="Q2083" i="5"/>
  <c r="R2083" i="5" s="1"/>
  <c r="S2083" i="5" s="1"/>
  <c r="P2083" i="5"/>
  <c r="J2083" i="5"/>
  <c r="R2082" i="5"/>
  <c r="S2082" i="5" s="1"/>
  <c r="Q2082" i="5"/>
  <c r="P2082" i="5"/>
  <c r="J2082" i="5"/>
  <c r="Q2081" i="5"/>
  <c r="R2081" i="5" s="1"/>
  <c r="S2081" i="5" s="1"/>
  <c r="P2081" i="5"/>
  <c r="J2081" i="5"/>
  <c r="Q2080" i="5"/>
  <c r="R2080" i="5" s="1"/>
  <c r="S2080" i="5" s="1"/>
  <c r="P2080" i="5"/>
  <c r="J2080" i="5"/>
  <c r="Q2079" i="5"/>
  <c r="R2079" i="5" s="1"/>
  <c r="S2079" i="5" s="1"/>
  <c r="P2079" i="5"/>
  <c r="J2079" i="5"/>
  <c r="R2078" i="5"/>
  <c r="S2078" i="5" s="1"/>
  <c r="Q2078" i="5"/>
  <c r="P2078" i="5"/>
  <c r="J2078" i="5"/>
  <c r="Q2077" i="5"/>
  <c r="R2077" i="5" s="1"/>
  <c r="S2077" i="5" s="1"/>
  <c r="P2077" i="5"/>
  <c r="J2077" i="5"/>
  <c r="Q2076" i="5"/>
  <c r="R2076" i="5" s="1"/>
  <c r="S2076" i="5" s="1"/>
  <c r="P2076" i="5"/>
  <c r="J2076" i="5"/>
  <c r="Q2075" i="5"/>
  <c r="R2075" i="5" s="1"/>
  <c r="S2075" i="5" s="1"/>
  <c r="P2075" i="5"/>
  <c r="J2075" i="5"/>
  <c r="Q2074" i="5"/>
  <c r="R2074" i="5" s="1"/>
  <c r="S2074" i="5" s="1"/>
  <c r="P2074" i="5"/>
  <c r="J2074" i="5"/>
  <c r="Q2073" i="5"/>
  <c r="R2073" i="5" s="1"/>
  <c r="S2073" i="5" s="1"/>
  <c r="P2073" i="5"/>
  <c r="J2073" i="5"/>
  <c r="Q2072" i="5"/>
  <c r="R2072" i="5" s="1"/>
  <c r="S2072" i="5" s="1"/>
  <c r="P2072" i="5"/>
  <c r="J2072" i="5"/>
  <c r="Q2071" i="5"/>
  <c r="R2071" i="5" s="1"/>
  <c r="S2071" i="5" s="1"/>
  <c r="P2071" i="5"/>
  <c r="J2071" i="5"/>
  <c r="Q2070" i="5"/>
  <c r="R2070" i="5" s="1"/>
  <c r="S2070" i="5" s="1"/>
  <c r="P2070" i="5"/>
  <c r="J2070" i="5"/>
  <c r="Q2069" i="5"/>
  <c r="R2069" i="5" s="1"/>
  <c r="S2069" i="5" s="1"/>
  <c r="P2069" i="5"/>
  <c r="J2069" i="5"/>
  <c r="R2068" i="5"/>
  <c r="S2068" i="5" s="1"/>
  <c r="Q2068" i="5"/>
  <c r="P2068" i="5"/>
  <c r="J2068" i="5"/>
  <c r="Q2067" i="5"/>
  <c r="R2067" i="5" s="1"/>
  <c r="S2067" i="5" s="1"/>
  <c r="P2067" i="5"/>
  <c r="J2067" i="5"/>
  <c r="Q2066" i="5"/>
  <c r="R2066" i="5" s="1"/>
  <c r="S2066" i="5" s="1"/>
  <c r="P2066" i="5"/>
  <c r="J2066" i="5"/>
  <c r="Q2065" i="5"/>
  <c r="R2065" i="5" s="1"/>
  <c r="S2065" i="5" s="1"/>
  <c r="P2065" i="5"/>
  <c r="J2065" i="5"/>
  <c r="R2064" i="5"/>
  <c r="S2064" i="5" s="1"/>
  <c r="Q2064" i="5"/>
  <c r="P2064" i="5"/>
  <c r="J2064" i="5"/>
  <c r="Q2063" i="5"/>
  <c r="R2063" i="5" s="1"/>
  <c r="S2063" i="5" s="1"/>
  <c r="P2063" i="5"/>
  <c r="J2063" i="5"/>
  <c r="R2062" i="5"/>
  <c r="S2062" i="5" s="1"/>
  <c r="Q2062" i="5"/>
  <c r="P2062" i="5"/>
  <c r="J2062" i="5"/>
  <c r="Q2061" i="5"/>
  <c r="R2061" i="5" s="1"/>
  <c r="S2061" i="5" s="1"/>
  <c r="P2061" i="5"/>
  <c r="J2061" i="5"/>
  <c r="R2060" i="5"/>
  <c r="S2060" i="5" s="1"/>
  <c r="Q2060" i="5"/>
  <c r="P2060" i="5"/>
  <c r="J2060" i="5"/>
  <c r="Q2059" i="5"/>
  <c r="R2059" i="5" s="1"/>
  <c r="S2059" i="5" s="1"/>
  <c r="P2059" i="5"/>
  <c r="J2059" i="5"/>
  <c r="Q2058" i="5"/>
  <c r="R2058" i="5" s="1"/>
  <c r="S2058" i="5" s="1"/>
  <c r="P2058" i="5"/>
  <c r="J2058" i="5"/>
  <c r="Q2057" i="5"/>
  <c r="R2057" i="5" s="1"/>
  <c r="S2057" i="5" s="1"/>
  <c r="P2057" i="5"/>
  <c r="J2057" i="5"/>
  <c r="Q2056" i="5"/>
  <c r="R2056" i="5" s="1"/>
  <c r="S2056" i="5" s="1"/>
  <c r="P2056" i="5"/>
  <c r="J2056" i="5"/>
  <c r="Q2055" i="5"/>
  <c r="R2055" i="5" s="1"/>
  <c r="S2055" i="5" s="1"/>
  <c r="P2055" i="5"/>
  <c r="J2055" i="5"/>
  <c r="R2054" i="5"/>
  <c r="S2054" i="5" s="1"/>
  <c r="Q2054" i="5"/>
  <c r="P2054" i="5"/>
  <c r="J2054" i="5"/>
  <c r="Q2053" i="5"/>
  <c r="R2053" i="5" s="1"/>
  <c r="S2053" i="5" s="1"/>
  <c r="P2053" i="5"/>
  <c r="J2053" i="5"/>
  <c r="Q2052" i="5"/>
  <c r="R2052" i="5" s="1"/>
  <c r="S2052" i="5" s="1"/>
  <c r="P2052" i="5"/>
  <c r="J2052" i="5"/>
  <c r="Q2051" i="5"/>
  <c r="R2051" i="5" s="1"/>
  <c r="S2051" i="5" s="1"/>
  <c r="P2051" i="5"/>
  <c r="J2051" i="5"/>
  <c r="Q2050" i="5"/>
  <c r="R2050" i="5" s="1"/>
  <c r="S2050" i="5" s="1"/>
  <c r="P2050" i="5"/>
  <c r="J2050" i="5"/>
  <c r="Q2049" i="5"/>
  <c r="R2049" i="5" s="1"/>
  <c r="S2049" i="5" s="1"/>
  <c r="P2049" i="5"/>
  <c r="J2049" i="5"/>
  <c r="Q2048" i="5"/>
  <c r="R2048" i="5" s="1"/>
  <c r="S2048" i="5" s="1"/>
  <c r="P2048" i="5"/>
  <c r="J2048" i="5"/>
  <c r="Q2047" i="5"/>
  <c r="R2047" i="5" s="1"/>
  <c r="S2047" i="5" s="1"/>
  <c r="P2047" i="5"/>
  <c r="J2047" i="5"/>
  <c r="Q2046" i="5"/>
  <c r="R2046" i="5" s="1"/>
  <c r="S2046" i="5" s="1"/>
  <c r="P2046" i="5"/>
  <c r="J2046" i="5"/>
  <c r="Q2045" i="5"/>
  <c r="R2045" i="5" s="1"/>
  <c r="S2045" i="5" s="1"/>
  <c r="P2045" i="5"/>
  <c r="J2045" i="5"/>
  <c r="Q2044" i="5"/>
  <c r="R2044" i="5" s="1"/>
  <c r="S2044" i="5" s="1"/>
  <c r="P2044" i="5"/>
  <c r="J2044" i="5"/>
  <c r="Q2043" i="5"/>
  <c r="R2043" i="5" s="1"/>
  <c r="S2043" i="5" s="1"/>
  <c r="P2043" i="5"/>
  <c r="J2043" i="5"/>
  <c r="R2042" i="5"/>
  <c r="S2042" i="5" s="1"/>
  <c r="Q2042" i="5"/>
  <c r="P2042" i="5"/>
  <c r="J2042" i="5"/>
  <c r="Q2041" i="5"/>
  <c r="R2041" i="5" s="1"/>
  <c r="S2041" i="5" s="1"/>
  <c r="P2041" i="5"/>
  <c r="J2041" i="5"/>
  <c r="R2040" i="5"/>
  <c r="S2040" i="5" s="1"/>
  <c r="Q2040" i="5"/>
  <c r="P2040" i="5"/>
  <c r="J2040" i="5"/>
  <c r="Q2039" i="5"/>
  <c r="R2039" i="5" s="1"/>
  <c r="S2039" i="5" s="1"/>
  <c r="P2039" i="5"/>
  <c r="J2039" i="5"/>
  <c r="R2038" i="5"/>
  <c r="S2038" i="5" s="1"/>
  <c r="Q2038" i="5"/>
  <c r="P2038" i="5"/>
  <c r="J2038" i="5"/>
  <c r="Q2037" i="5"/>
  <c r="R2037" i="5" s="1"/>
  <c r="S2037" i="5" s="1"/>
  <c r="P2037" i="5"/>
  <c r="J2037" i="5"/>
  <c r="R2036" i="5"/>
  <c r="S2036" i="5" s="1"/>
  <c r="Q2036" i="5"/>
  <c r="P2036" i="5"/>
  <c r="J2036" i="5"/>
  <c r="Q2035" i="5"/>
  <c r="R2035" i="5" s="1"/>
  <c r="S2035" i="5" s="1"/>
  <c r="P2035" i="5"/>
  <c r="J2035" i="5"/>
  <c r="Q2034" i="5"/>
  <c r="R2034" i="5" s="1"/>
  <c r="S2034" i="5" s="1"/>
  <c r="P2034" i="5"/>
  <c r="J2034" i="5"/>
  <c r="Q2033" i="5"/>
  <c r="R2033" i="5" s="1"/>
  <c r="S2033" i="5" s="1"/>
  <c r="P2033" i="5"/>
  <c r="J2033" i="5"/>
  <c r="Q2032" i="5"/>
  <c r="R2032" i="5" s="1"/>
  <c r="S2032" i="5" s="1"/>
  <c r="P2032" i="5"/>
  <c r="J2032" i="5"/>
  <c r="Q2031" i="5"/>
  <c r="R2031" i="5" s="1"/>
  <c r="S2031" i="5" s="1"/>
  <c r="P2031" i="5"/>
  <c r="J2031" i="5"/>
  <c r="R2030" i="5"/>
  <c r="S2030" i="5" s="1"/>
  <c r="Q2030" i="5"/>
  <c r="P2030" i="5"/>
  <c r="J2030" i="5"/>
  <c r="Q2029" i="5"/>
  <c r="R2029" i="5" s="1"/>
  <c r="S2029" i="5" s="1"/>
  <c r="P2029" i="5"/>
  <c r="J2029" i="5"/>
  <c r="Q2028" i="5"/>
  <c r="R2028" i="5" s="1"/>
  <c r="S2028" i="5" s="1"/>
  <c r="P2028" i="5"/>
  <c r="J2028" i="5"/>
  <c r="Q2027" i="5"/>
  <c r="R2027" i="5" s="1"/>
  <c r="S2027" i="5" s="1"/>
  <c r="P2027" i="5"/>
  <c r="J2027" i="5"/>
  <c r="Q2026" i="5"/>
  <c r="R2026" i="5" s="1"/>
  <c r="S2026" i="5" s="1"/>
  <c r="P2026" i="5"/>
  <c r="J2026" i="5"/>
  <c r="R2025" i="5"/>
  <c r="S2025" i="5" s="1"/>
  <c r="Q2025" i="5"/>
  <c r="P2025" i="5"/>
  <c r="J2025" i="5"/>
  <c r="Q2024" i="5"/>
  <c r="R2024" i="5" s="1"/>
  <c r="S2024" i="5" s="1"/>
  <c r="P2024" i="5"/>
  <c r="J2024" i="5"/>
  <c r="R2023" i="5"/>
  <c r="S2023" i="5" s="1"/>
  <c r="Q2023" i="5"/>
  <c r="P2023" i="5"/>
  <c r="J2023" i="5"/>
  <c r="S2022" i="5"/>
  <c r="Q2022" i="5"/>
  <c r="R2022" i="5" s="1"/>
  <c r="P2022" i="5"/>
  <c r="J2022" i="5"/>
  <c r="Q2021" i="5"/>
  <c r="R2021" i="5" s="1"/>
  <c r="S2021" i="5" s="1"/>
  <c r="P2021" i="5"/>
  <c r="J2021" i="5"/>
  <c r="S2020" i="5"/>
  <c r="Q2020" i="5"/>
  <c r="R2020" i="5" s="1"/>
  <c r="P2020" i="5"/>
  <c r="J2020" i="5"/>
  <c r="Q2019" i="5"/>
  <c r="R2019" i="5" s="1"/>
  <c r="S2019" i="5" s="1"/>
  <c r="P2019" i="5"/>
  <c r="J2019" i="5"/>
  <c r="Q2018" i="5"/>
  <c r="R2018" i="5" s="1"/>
  <c r="S2018" i="5" s="1"/>
  <c r="P2018" i="5"/>
  <c r="J2018" i="5"/>
  <c r="R2017" i="5"/>
  <c r="S2017" i="5" s="1"/>
  <c r="Q2017" i="5"/>
  <c r="P2017" i="5"/>
  <c r="J2017" i="5"/>
  <c r="S2016" i="5"/>
  <c r="Q2016" i="5"/>
  <c r="R2016" i="5" s="1"/>
  <c r="P2016" i="5"/>
  <c r="J2016" i="5"/>
  <c r="Q2015" i="5"/>
  <c r="R2015" i="5" s="1"/>
  <c r="S2015" i="5" s="1"/>
  <c r="P2015" i="5"/>
  <c r="J2015" i="5"/>
  <c r="S2014" i="5"/>
  <c r="Q2014" i="5"/>
  <c r="R2014" i="5" s="1"/>
  <c r="P2014" i="5"/>
  <c r="J2014" i="5"/>
  <c r="Q2013" i="5"/>
  <c r="R2013" i="5" s="1"/>
  <c r="S2013" i="5" s="1"/>
  <c r="P2013" i="5"/>
  <c r="J2013" i="5"/>
  <c r="Q2012" i="5"/>
  <c r="R2012" i="5" s="1"/>
  <c r="S2012" i="5" s="1"/>
  <c r="P2012" i="5"/>
  <c r="J2012" i="5"/>
  <c r="R2011" i="5"/>
  <c r="S2011" i="5" s="1"/>
  <c r="Q2011" i="5"/>
  <c r="P2011" i="5"/>
  <c r="J2011" i="5"/>
  <c r="Q2010" i="5"/>
  <c r="R2010" i="5" s="1"/>
  <c r="S2010" i="5" s="1"/>
  <c r="P2010" i="5"/>
  <c r="J2010" i="5"/>
  <c r="Q2009" i="5"/>
  <c r="R2009" i="5" s="1"/>
  <c r="S2009" i="5" s="1"/>
  <c r="P2009" i="5"/>
  <c r="J2009" i="5"/>
  <c r="S2008" i="5"/>
  <c r="Q2008" i="5"/>
  <c r="R2008" i="5" s="1"/>
  <c r="P2008" i="5"/>
  <c r="J2008" i="5"/>
  <c r="Q2007" i="5"/>
  <c r="R2007" i="5" s="1"/>
  <c r="S2007" i="5" s="1"/>
  <c r="P2007" i="5"/>
  <c r="J2007" i="5"/>
  <c r="Q2006" i="5"/>
  <c r="R2006" i="5" s="1"/>
  <c r="S2006" i="5" s="1"/>
  <c r="P2006" i="5"/>
  <c r="J2006" i="5"/>
  <c r="R2005" i="5"/>
  <c r="S2005" i="5" s="1"/>
  <c r="Q2005" i="5"/>
  <c r="P2005" i="5"/>
  <c r="J2005" i="5"/>
  <c r="Q2004" i="5"/>
  <c r="R2004" i="5" s="1"/>
  <c r="S2004" i="5" s="1"/>
  <c r="P2004" i="5"/>
  <c r="J2004" i="5"/>
  <c r="Q2003" i="5"/>
  <c r="R2003" i="5" s="1"/>
  <c r="S2003" i="5" s="1"/>
  <c r="P2003" i="5"/>
  <c r="J2003" i="5"/>
  <c r="S2002" i="5"/>
  <c r="Q2002" i="5"/>
  <c r="R2002" i="5" s="1"/>
  <c r="P2002" i="5"/>
  <c r="J2002" i="5"/>
  <c r="Q2001" i="5"/>
  <c r="R2001" i="5" s="1"/>
  <c r="S2001" i="5" s="1"/>
  <c r="P2001" i="5"/>
  <c r="J2001" i="5"/>
  <c r="Q2000" i="5"/>
  <c r="R2000" i="5" s="1"/>
  <c r="S2000" i="5" s="1"/>
  <c r="P2000" i="5"/>
  <c r="J2000" i="5"/>
  <c r="R1999" i="5"/>
  <c r="S1999" i="5" s="1"/>
  <c r="Q1999" i="5"/>
  <c r="P1999" i="5"/>
  <c r="J1999" i="5"/>
  <c r="Q1998" i="5"/>
  <c r="R1998" i="5" s="1"/>
  <c r="S1998" i="5" s="1"/>
  <c r="P1998" i="5"/>
  <c r="J1998" i="5"/>
  <c r="Q1997" i="5"/>
  <c r="R1997" i="5" s="1"/>
  <c r="S1997" i="5" s="1"/>
  <c r="P1997" i="5"/>
  <c r="J1997" i="5"/>
  <c r="Q1996" i="5"/>
  <c r="R1996" i="5" s="1"/>
  <c r="S1996" i="5" s="1"/>
  <c r="P1996" i="5"/>
  <c r="J1996" i="5"/>
  <c r="Q1995" i="5"/>
  <c r="R1995" i="5" s="1"/>
  <c r="S1995" i="5" s="1"/>
  <c r="P1995" i="5"/>
  <c r="J1995" i="5"/>
  <c r="Q1994" i="5"/>
  <c r="R1994" i="5" s="1"/>
  <c r="S1994" i="5" s="1"/>
  <c r="P1994" i="5"/>
  <c r="J1994" i="5"/>
  <c r="R1993" i="5"/>
  <c r="S1993" i="5" s="1"/>
  <c r="Q1993" i="5"/>
  <c r="P1993" i="5"/>
  <c r="J1993" i="5"/>
  <c r="Q1992" i="5"/>
  <c r="R1992" i="5" s="1"/>
  <c r="S1992" i="5" s="1"/>
  <c r="P1992" i="5"/>
  <c r="J1992" i="5"/>
  <c r="Q1991" i="5"/>
  <c r="R1991" i="5" s="1"/>
  <c r="S1991" i="5" s="1"/>
  <c r="P1991" i="5"/>
  <c r="J1991" i="5"/>
  <c r="Q1990" i="5"/>
  <c r="R1990" i="5" s="1"/>
  <c r="S1990" i="5" s="1"/>
  <c r="P1990" i="5"/>
  <c r="J1990" i="5"/>
  <c r="Q1989" i="5"/>
  <c r="R1989" i="5" s="1"/>
  <c r="S1989" i="5" s="1"/>
  <c r="P1989" i="5"/>
  <c r="J1989" i="5"/>
  <c r="Q1988" i="5"/>
  <c r="R1988" i="5" s="1"/>
  <c r="S1988" i="5" s="1"/>
  <c r="P1988" i="5"/>
  <c r="J1988" i="5"/>
  <c r="Q1987" i="5"/>
  <c r="R1987" i="5" s="1"/>
  <c r="S1987" i="5" s="1"/>
  <c r="P1987" i="5"/>
  <c r="J1987" i="5"/>
  <c r="S1986" i="5"/>
  <c r="Q1986" i="5"/>
  <c r="R1986" i="5" s="1"/>
  <c r="P1986" i="5"/>
  <c r="J1986" i="5"/>
  <c r="Q1985" i="5"/>
  <c r="R1985" i="5" s="1"/>
  <c r="S1985" i="5" s="1"/>
  <c r="P1985" i="5"/>
  <c r="J1985" i="5"/>
  <c r="S1984" i="5"/>
  <c r="Q1984" i="5"/>
  <c r="R1984" i="5" s="1"/>
  <c r="P1984" i="5"/>
  <c r="J1984" i="5"/>
  <c r="Q1983" i="5"/>
  <c r="R1983" i="5" s="1"/>
  <c r="S1983" i="5" s="1"/>
  <c r="P1983" i="5"/>
  <c r="J1983" i="5"/>
  <c r="Q1982" i="5"/>
  <c r="R1982" i="5" s="1"/>
  <c r="S1982" i="5" s="1"/>
  <c r="P1982" i="5"/>
  <c r="J1982" i="5"/>
  <c r="R1981" i="5"/>
  <c r="S1981" i="5" s="1"/>
  <c r="Q1981" i="5"/>
  <c r="P1981" i="5"/>
  <c r="J1981" i="5"/>
  <c r="S1980" i="5"/>
  <c r="Q1980" i="5"/>
  <c r="R1980" i="5" s="1"/>
  <c r="P1980" i="5"/>
  <c r="J1980" i="5"/>
  <c r="Q1979" i="5"/>
  <c r="R1979" i="5" s="1"/>
  <c r="S1979" i="5" s="1"/>
  <c r="P1979" i="5"/>
  <c r="J1979" i="5"/>
  <c r="Q1978" i="5"/>
  <c r="R1978" i="5" s="1"/>
  <c r="S1978" i="5" s="1"/>
  <c r="P1978" i="5"/>
  <c r="J1978" i="5"/>
  <c r="Q1977" i="5"/>
  <c r="R1977" i="5" s="1"/>
  <c r="S1977" i="5" s="1"/>
  <c r="P1977" i="5"/>
  <c r="J1977" i="5"/>
  <c r="Q1976" i="5"/>
  <c r="R1976" i="5" s="1"/>
  <c r="S1976" i="5" s="1"/>
  <c r="P1976" i="5"/>
  <c r="J1976" i="5"/>
  <c r="Q1975" i="5"/>
  <c r="R1975" i="5" s="1"/>
  <c r="S1975" i="5" s="1"/>
  <c r="P1975" i="5"/>
  <c r="J1975" i="5"/>
  <c r="S1974" i="5"/>
  <c r="Q1974" i="5"/>
  <c r="R1974" i="5" s="1"/>
  <c r="P1974" i="5"/>
  <c r="J1974" i="5"/>
  <c r="Q1973" i="5"/>
  <c r="R1973" i="5" s="1"/>
  <c r="S1973" i="5" s="1"/>
  <c r="P1973" i="5"/>
  <c r="J1973" i="5"/>
  <c r="Q1972" i="5"/>
  <c r="R1972" i="5" s="1"/>
  <c r="S1972" i="5" s="1"/>
  <c r="P1972" i="5"/>
  <c r="J1972" i="5"/>
  <c r="R1971" i="5"/>
  <c r="S1971" i="5" s="1"/>
  <c r="Q1971" i="5"/>
  <c r="P1971" i="5"/>
  <c r="J1971" i="5"/>
  <c r="Q1970" i="5"/>
  <c r="R1970" i="5" s="1"/>
  <c r="S1970" i="5" s="1"/>
  <c r="P1970" i="5"/>
  <c r="J1970" i="5"/>
  <c r="R1969" i="5"/>
  <c r="S1969" i="5" s="1"/>
  <c r="Q1969" i="5"/>
  <c r="P1969" i="5"/>
  <c r="J1969" i="5"/>
  <c r="Q1968" i="5"/>
  <c r="R1968" i="5" s="1"/>
  <c r="S1968" i="5" s="1"/>
  <c r="P1968" i="5"/>
  <c r="J1968" i="5"/>
  <c r="Q1967" i="5"/>
  <c r="R1967" i="5" s="1"/>
  <c r="S1967" i="5" s="1"/>
  <c r="P1967" i="5"/>
  <c r="J1967" i="5"/>
  <c r="Q1966" i="5"/>
  <c r="R1966" i="5" s="1"/>
  <c r="S1966" i="5" s="1"/>
  <c r="P1966" i="5"/>
  <c r="J1966" i="5"/>
  <c r="Q1965" i="5"/>
  <c r="R1965" i="5" s="1"/>
  <c r="S1965" i="5" s="1"/>
  <c r="P1965" i="5"/>
  <c r="J1965" i="5"/>
  <c r="Q1964" i="5"/>
  <c r="R1964" i="5" s="1"/>
  <c r="S1964" i="5" s="1"/>
  <c r="P1964" i="5"/>
  <c r="J1964" i="5"/>
  <c r="R1963" i="5"/>
  <c r="S1963" i="5" s="1"/>
  <c r="Q1963" i="5"/>
  <c r="P1963" i="5"/>
  <c r="J1963" i="5"/>
  <c r="Q1962" i="5"/>
  <c r="R1962" i="5" s="1"/>
  <c r="S1962" i="5" s="1"/>
  <c r="P1962" i="5"/>
  <c r="J1962" i="5"/>
  <c r="Q1961" i="5"/>
  <c r="R1961" i="5" s="1"/>
  <c r="S1961" i="5" s="1"/>
  <c r="P1961" i="5"/>
  <c r="J1961" i="5"/>
  <c r="Q1960" i="5"/>
  <c r="R1960" i="5" s="1"/>
  <c r="S1960" i="5" s="1"/>
  <c r="P1960" i="5"/>
  <c r="J1960" i="5"/>
  <c r="Q1959" i="5"/>
  <c r="R1959" i="5" s="1"/>
  <c r="S1959" i="5" s="1"/>
  <c r="P1959" i="5"/>
  <c r="J1959" i="5"/>
  <c r="Q1958" i="5"/>
  <c r="R1958" i="5" s="1"/>
  <c r="S1958" i="5" s="1"/>
  <c r="P1958" i="5"/>
  <c r="J1958" i="5"/>
  <c r="Q1957" i="5"/>
  <c r="R1957" i="5" s="1"/>
  <c r="S1957" i="5" s="1"/>
  <c r="P1957" i="5"/>
  <c r="J1957" i="5"/>
  <c r="Q1956" i="5"/>
  <c r="R1956" i="5" s="1"/>
  <c r="S1956" i="5" s="1"/>
  <c r="P1956" i="5"/>
  <c r="J1956" i="5"/>
  <c r="Q1955" i="5"/>
  <c r="R1955" i="5" s="1"/>
  <c r="S1955" i="5" s="1"/>
  <c r="P1955" i="5"/>
  <c r="J1955" i="5"/>
  <c r="Q1954" i="5"/>
  <c r="R1954" i="5" s="1"/>
  <c r="S1954" i="5" s="1"/>
  <c r="P1954" i="5"/>
  <c r="J1954" i="5"/>
  <c r="Q1953" i="5"/>
  <c r="R1953" i="5" s="1"/>
  <c r="S1953" i="5" s="1"/>
  <c r="P1953" i="5"/>
  <c r="J1953" i="5"/>
  <c r="Q1952" i="5"/>
  <c r="R1952" i="5" s="1"/>
  <c r="S1952" i="5" s="1"/>
  <c r="P1952" i="5"/>
  <c r="J1952" i="5"/>
  <c r="Q1951" i="5"/>
  <c r="R1951" i="5" s="1"/>
  <c r="S1951" i="5" s="1"/>
  <c r="P1951" i="5"/>
  <c r="J1951" i="5"/>
  <c r="S1950" i="5"/>
  <c r="Q1950" i="5"/>
  <c r="R1950" i="5" s="1"/>
  <c r="P1950" i="5"/>
  <c r="J1950" i="5"/>
  <c r="Q1949" i="5"/>
  <c r="R1949" i="5" s="1"/>
  <c r="S1949" i="5" s="1"/>
  <c r="P1949" i="5"/>
  <c r="J1949" i="5"/>
  <c r="Q1948" i="5"/>
  <c r="R1948" i="5" s="1"/>
  <c r="S1948" i="5" s="1"/>
  <c r="P1948" i="5"/>
  <c r="J1948" i="5"/>
  <c r="R1947" i="5"/>
  <c r="S1947" i="5" s="1"/>
  <c r="Q1947" i="5"/>
  <c r="P1947" i="5"/>
  <c r="J1947" i="5"/>
  <c r="Q1946" i="5"/>
  <c r="R1946" i="5" s="1"/>
  <c r="S1946" i="5" s="1"/>
  <c r="P1946" i="5"/>
  <c r="J1946" i="5"/>
  <c r="Q1945" i="5"/>
  <c r="R1945" i="5" s="1"/>
  <c r="S1945" i="5" s="1"/>
  <c r="P1945" i="5"/>
  <c r="J1945" i="5"/>
  <c r="Q1944" i="5"/>
  <c r="R1944" i="5" s="1"/>
  <c r="S1944" i="5" s="1"/>
  <c r="P1944" i="5"/>
  <c r="J1944" i="5"/>
  <c r="Q1943" i="5"/>
  <c r="R1943" i="5" s="1"/>
  <c r="S1943" i="5" s="1"/>
  <c r="P1943" i="5"/>
  <c r="J1943" i="5"/>
  <c r="Q1942" i="5"/>
  <c r="R1942" i="5" s="1"/>
  <c r="S1942" i="5" s="1"/>
  <c r="P1942" i="5"/>
  <c r="J1942" i="5"/>
  <c r="Q1941" i="5"/>
  <c r="R1941" i="5" s="1"/>
  <c r="S1941" i="5" s="1"/>
  <c r="P1941" i="5"/>
  <c r="J1941" i="5"/>
  <c r="Q1940" i="5"/>
  <c r="R1940" i="5" s="1"/>
  <c r="S1940" i="5" s="1"/>
  <c r="P1940" i="5"/>
  <c r="J1940" i="5"/>
  <c r="Q1939" i="5"/>
  <c r="R1939" i="5" s="1"/>
  <c r="S1939" i="5" s="1"/>
  <c r="P1939" i="5"/>
  <c r="J1939" i="5"/>
  <c r="Q1938" i="5"/>
  <c r="R1938" i="5" s="1"/>
  <c r="S1938" i="5" s="1"/>
  <c r="P1938" i="5"/>
  <c r="J1938" i="5"/>
  <c r="Q1937" i="5"/>
  <c r="R1937" i="5" s="1"/>
  <c r="S1937" i="5" s="1"/>
  <c r="P1937" i="5"/>
  <c r="J1937" i="5"/>
  <c r="Q1936" i="5"/>
  <c r="R1936" i="5" s="1"/>
  <c r="S1936" i="5" s="1"/>
  <c r="P1936" i="5"/>
  <c r="J1936" i="5"/>
  <c r="Q1935" i="5"/>
  <c r="R1935" i="5" s="1"/>
  <c r="S1935" i="5" s="1"/>
  <c r="P1935" i="5"/>
  <c r="J1935" i="5"/>
  <c r="Q1934" i="5"/>
  <c r="R1934" i="5" s="1"/>
  <c r="S1934" i="5" s="1"/>
  <c r="P1934" i="5"/>
  <c r="J1934" i="5"/>
  <c r="R1933" i="5"/>
  <c r="S1933" i="5" s="1"/>
  <c r="Q1933" i="5"/>
  <c r="P1933" i="5"/>
  <c r="J1933" i="5"/>
  <c r="Q1932" i="5"/>
  <c r="R1932" i="5" s="1"/>
  <c r="S1932" i="5" s="1"/>
  <c r="P1932" i="5"/>
  <c r="J1932" i="5"/>
  <c r="Q1931" i="5"/>
  <c r="R1931" i="5" s="1"/>
  <c r="S1931" i="5" s="1"/>
  <c r="P1931" i="5"/>
  <c r="J1931" i="5"/>
  <c r="Q1930" i="5"/>
  <c r="R1930" i="5" s="1"/>
  <c r="S1930" i="5" s="1"/>
  <c r="P1930" i="5"/>
  <c r="J1930" i="5"/>
  <c r="Q1929" i="5"/>
  <c r="R1929" i="5" s="1"/>
  <c r="S1929" i="5" s="1"/>
  <c r="P1929" i="5"/>
  <c r="J1929" i="5"/>
  <c r="Q1928" i="5"/>
  <c r="R1928" i="5" s="1"/>
  <c r="S1928" i="5" s="1"/>
  <c r="P1928" i="5"/>
  <c r="J1928" i="5"/>
  <c r="R1927" i="5"/>
  <c r="S1927" i="5" s="1"/>
  <c r="Q1927" i="5"/>
  <c r="P1927" i="5"/>
  <c r="J1927" i="5"/>
  <c r="Q1926" i="5"/>
  <c r="R1926" i="5" s="1"/>
  <c r="S1926" i="5" s="1"/>
  <c r="P1926" i="5"/>
  <c r="J1926" i="5"/>
  <c r="Q1925" i="5"/>
  <c r="R1925" i="5" s="1"/>
  <c r="S1925" i="5" s="1"/>
  <c r="P1925" i="5"/>
  <c r="J1925" i="5"/>
  <c r="Q1924" i="5"/>
  <c r="R1924" i="5" s="1"/>
  <c r="S1924" i="5" s="1"/>
  <c r="P1924" i="5"/>
  <c r="J1924" i="5"/>
  <c r="Q1923" i="5"/>
  <c r="R1923" i="5" s="1"/>
  <c r="S1923" i="5" s="1"/>
  <c r="P1923" i="5"/>
  <c r="J1923" i="5"/>
  <c r="Q1922" i="5"/>
  <c r="R1922" i="5" s="1"/>
  <c r="S1922" i="5" s="1"/>
  <c r="P1922" i="5"/>
  <c r="J1922" i="5"/>
  <c r="Q1921" i="5"/>
  <c r="R1921" i="5" s="1"/>
  <c r="S1921" i="5" s="1"/>
  <c r="P1921" i="5"/>
  <c r="J1921" i="5"/>
  <c r="S1920" i="5"/>
  <c r="Q1920" i="5"/>
  <c r="R1920" i="5" s="1"/>
  <c r="P1920" i="5"/>
  <c r="J1920" i="5"/>
  <c r="Q1919" i="5"/>
  <c r="R1919" i="5" s="1"/>
  <c r="S1919" i="5" s="1"/>
  <c r="P1919" i="5"/>
  <c r="J1919" i="5"/>
  <c r="Q1918" i="5"/>
  <c r="R1918" i="5" s="1"/>
  <c r="S1918" i="5" s="1"/>
  <c r="P1918" i="5"/>
  <c r="J1918" i="5"/>
  <c r="Q1917" i="5"/>
  <c r="R1917" i="5" s="1"/>
  <c r="S1917" i="5" s="1"/>
  <c r="P1917" i="5"/>
  <c r="J1917" i="5"/>
  <c r="Q1916" i="5"/>
  <c r="R1916" i="5" s="1"/>
  <c r="S1916" i="5" s="1"/>
  <c r="P1916" i="5"/>
  <c r="J1916" i="5"/>
  <c r="Q1915" i="5"/>
  <c r="R1915" i="5" s="1"/>
  <c r="S1915" i="5" s="1"/>
  <c r="P1915" i="5"/>
  <c r="J1915" i="5"/>
  <c r="S1914" i="5"/>
  <c r="Q1914" i="5"/>
  <c r="R1914" i="5" s="1"/>
  <c r="P1914" i="5"/>
  <c r="J1914" i="5"/>
  <c r="Q1913" i="5"/>
  <c r="R1913" i="5" s="1"/>
  <c r="S1913" i="5" s="1"/>
  <c r="P1913" i="5"/>
  <c r="J1913" i="5"/>
  <c r="Q1912" i="5"/>
  <c r="R1912" i="5" s="1"/>
  <c r="S1912" i="5" s="1"/>
  <c r="P1912" i="5"/>
  <c r="J1912" i="5"/>
  <c r="Q1911" i="5"/>
  <c r="R1911" i="5" s="1"/>
  <c r="S1911" i="5" s="1"/>
  <c r="P1911" i="5"/>
  <c r="J1911" i="5"/>
  <c r="Q1910" i="5"/>
  <c r="R1910" i="5" s="1"/>
  <c r="S1910" i="5" s="1"/>
  <c r="P1910" i="5"/>
  <c r="J1910" i="5"/>
  <c r="Q1909" i="5"/>
  <c r="R1909" i="5" s="1"/>
  <c r="S1909" i="5" s="1"/>
  <c r="P1909" i="5"/>
  <c r="J1909" i="5"/>
  <c r="Q1908" i="5"/>
  <c r="R1908" i="5" s="1"/>
  <c r="S1908" i="5" s="1"/>
  <c r="P1908" i="5"/>
  <c r="J1908" i="5"/>
  <c r="Q1907" i="5"/>
  <c r="R1907" i="5" s="1"/>
  <c r="S1907" i="5" s="1"/>
  <c r="P1907" i="5"/>
  <c r="J1907" i="5"/>
  <c r="S1906" i="5"/>
  <c r="Q1906" i="5"/>
  <c r="R1906" i="5" s="1"/>
  <c r="P1906" i="5"/>
  <c r="J1906" i="5"/>
  <c r="Q1905" i="5"/>
  <c r="R1905" i="5" s="1"/>
  <c r="S1905" i="5" s="1"/>
  <c r="P1905" i="5"/>
  <c r="J1905" i="5"/>
  <c r="Q1904" i="5"/>
  <c r="R1904" i="5" s="1"/>
  <c r="S1904" i="5" s="1"/>
  <c r="P1904" i="5"/>
  <c r="J1904" i="5"/>
  <c r="Q1903" i="5"/>
  <c r="R1903" i="5" s="1"/>
  <c r="S1903" i="5" s="1"/>
  <c r="P1903" i="5"/>
  <c r="J1903" i="5"/>
  <c r="Q1902" i="5"/>
  <c r="R1902" i="5" s="1"/>
  <c r="S1902" i="5" s="1"/>
  <c r="P1902" i="5"/>
  <c r="J1902" i="5"/>
  <c r="Q1901" i="5"/>
  <c r="R1901" i="5" s="1"/>
  <c r="S1901" i="5" s="1"/>
  <c r="P1901" i="5"/>
  <c r="J1901" i="5"/>
  <c r="Q1900" i="5"/>
  <c r="R1900" i="5" s="1"/>
  <c r="S1900" i="5" s="1"/>
  <c r="P1900" i="5"/>
  <c r="J1900" i="5"/>
  <c r="Q1899" i="5"/>
  <c r="R1899" i="5" s="1"/>
  <c r="S1899" i="5" s="1"/>
  <c r="P1899" i="5"/>
  <c r="J1899" i="5"/>
  <c r="Q1898" i="5"/>
  <c r="R1898" i="5" s="1"/>
  <c r="S1898" i="5" s="1"/>
  <c r="P1898" i="5"/>
  <c r="J1898" i="5"/>
  <c r="Q1897" i="5"/>
  <c r="R1897" i="5" s="1"/>
  <c r="S1897" i="5" s="1"/>
  <c r="P1897" i="5"/>
  <c r="J1897" i="5"/>
  <c r="Q1896" i="5"/>
  <c r="R1896" i="5" s="1"/>
  <c r="S1896" i="5" s="1"/>
  <c r="P1896" i="5"/>
  <c r="J1896" i="5"/>
  <c r="Q1895" i="5"/>
  <c r="R1895" i="5" s="1"/>
  <c r="S1895" i="5" s="1"/>
  <c r="P1895" i="5"/>
  <c r="J1895" i="5"/>
  <c r="Q1894" i="5"/>
  <c r="R1894" i="5" s="1"/>
  <c r="S1894" i="5" s="1"/>
  <c r="P1894" i="5"/>
  <c r="J1894" i="5"/>
  <c r="Q1893" i="5"/>
  <c r="R1893" i="5" s="1"/>
  <c r="S1893" i="5" s="1"/>
  <c r="P1893" i="5"/>
  <c r="J1893" i="5"/>
  <c r="Q1892" i="5"/>
  <c r="R1892" i="5" s="1"/>
  <c r="S1892" i="5" s="1"/>
  <c r="P1892" i="5"/>
  <c r="J1892" i="5"/>
  <c r="R1891" i="5"/>
  <c r="S1891" i="5" s="1"/>
  <c r="Q1891" i="5"/>
  <c r="P1891" i="5"/>
  <c r="J1891" i="5"/>
  <c r="Q1890" i="5"/>
  <c r="R1890" i="5" s="1"/>
  <c r="S1890" i="5" s="1"/>
  <c r="P1890" i="5"/>
  <c r="J1890" i="5"/>
  <c r="Q1889" i="5"/>
  <c r="R1889" i="5" s="1"/>
  <c r="S1889" i="5" s="1"/>
  <c r="P1889" i="5"/>
  <c r="J1889" i="5"/>
  <c r="Q1888" i="5"/>
  <c r="R1888" i="5" s="1"/>
  <c r="S1888" i="5" s="1"/>
  <c r="P1888" i="5"/>
  <c r="J1888" i="5"/>
  <c r="Q1887" i="5"/>
  <c r="R1887" i="5" s="1"/>
  <c r="S1887" i="5" s="1"/>
  <c r="P1887" i="5"/>
  <c r="J1887" i="5"/>
  <c r="Q1886" i="5"/>
  <c r="R1886" i="5" s="1"/>
  <c r="S1886" i="5" s="1"/>
  <c r="P1886" i="5"/>
  <c r="J1886" i="5"/>
  <c r="Q1885" i="5"/>
  <c r="R1885" i="5" s="1"/>
  <c r="S1885" i="5" s="1"/>
  <c r="P1885" i="5"/>
  <c r="J1885" i="5"/>
  <c r="Q1884" i="5"/>
  <c r="R1884" i="5" s="1"/>
  <c r="S1884" i="5" s="1"/>
  <c r="P1884" i="5"/>
  <c r="J1884" i="5"/>
  <c r="Q1883" i="5"/>
  <c r="R1883" i="5" s="1"/>
  <c r="S1883" i="5" s="1"/>
  <c r="P1883" i="5"/>
  <c r="J1883" i="5"/>
  <c r="Q1882" i="5"/>
  <c r="R1882" i="5" s="1"/>
  <c r="S1882" i="5" s="1"/>
  <c r="P1882" i="5"/>
  <c r="J1882" i="5"/>
  <c r="Q1881" i="5"/>
  <c r="R1881" i="5" s="1"/>
  <c r="S1881" i="5" s="1"/>
  <c r="P1881" i="5"/>
  <c r="J1881" i="5"/>
  <c r="Q1880" i="5"/>
  <c r="R1880" i="5" s="1"/>
  <c r="S1880" i="5" s="1"/>
  <c r="P1880" i="5"/>
  <c r="J1880" i="5"/>
  <c r="Q1879" i="5"/>
  <c r="R1879" i="5" s="1"/>
  <c r="S1879" i="5" s="1"/>
  <c r="P1879" i="5"/>
  <c r="J1879" i="5"/>
  <c r="S1878" i="5"/>
  <c r="Q1878" i="5"/>
  <c r="R1878" i="5" s="1"/>
  <c r="P1878" i="5"/>
  <c r="J1878" i="5"/>
  <c r="Q1877" i="5"/>
  <c r="R1877" i="5" s="1"/>
  <c r="S1877" i="5" s="1"/>
  <c r="P1877" i="5"/>
  <c r="J1877" i="5"/>
  <c r="Q1876" i="5"/>
  <c r="R1876" i="5" s="1"/>
  <c r="S1876" i="5" s="1"/>
  <c r="P1876" i="5"/>
  <c r="J1876" i="5"/>
  <c r="R1875" i="5"/>
  <c r="S1875" i="5" s="1"/>
  <c r="Q1875" i="5"/>
  <c r="P1875" i="5"/>
  <c r="J1875" i="5"/>
  <c r="Q1874" i="5"/>
  <c r="R1874" i="5" s="1"/>
  <c r="S1874" i="5" s="1"/>
  <c r="P1874" i="5"/>
  <c r="J1874" i="5"/>
  <c r="Q1873" i="5"/>
  <c r="R1873" i="5" s="1"/>
  <c r="S1873" i="5" s="1"/>
  <c r="P1873" i="5"/>
  <c r="J1873" i="5"/>
  <c r="Q1872" i="5"/>
  <c r="R1872" i="5" s="1"/>
  <c r="S1872" i="5" s="1"/>
  <c r="P1872" i="5"/>
  <c r="J1872" i="5"/>
  <c r="Q1871" i="5"/>
  <c r="R1871" i="5" s="1"/>
  <c r="S1871" i="5" s="1"/>
  <c r="P1871" i="5"/>
  <c r="J1871" i="5"/>
  <c r="Q1870" i="5"/>
  <c r="R1870" i="5" s="1"/>
  <c r="S1870" i="5" s="1"/>
  <c r="P1870" i="5"/>
  <c r="J1870" i="5"/>
  <c r="R1869" i="5"/>
  <c r="S1869" i="5" s="1"/>
  <c r="Q1869" i="5"/>
  <c r="P1869" i="5"/>
  <c r="J1869" i="5"/>
  <c r="Q1868" i="5"/>
  <c r="R1868" i="5" s="1"/>
  <c r="S1868" i="5" s="1"/>
  <c r="P1868" i="5"/>
  <c r="J1868" i="5"/>
  <c r="Q1867" i="5"/>
  <c r="R1867" i="5" s="1"/>
  <c r="S1867" i="5" s="1"/>
  <c r="P1867" i="5"/>
  <c r="J1867" i="5"/>
  <c r="Q1866" i="5"/>
  <c r="R1866" i="5" s="1"/>
  <c r="S1866" i="5" s="1"/>
  <c r="P1866" i="5"/>
  <c r="J1866" i="5"/>
  <c r="Q1865" i="5"/>
  <c r="R1865" i="5" s="1"/>
  <c r="S1865" i="5" s="1"/>
  <c r="P1865" i="5"/>
  <c r="J1865" i="5"/>
  <c r="Q1864" i="5"/>
  <c r="R1864" i="5" s="1"/>
  <c r="S1864" i="5" s="1"/>
  <c r="P1864" i="5"/>
  <c r="J1864" i="5"/>
  <c r="Q1863" i="5"/>
  <c r="R1863" i="5" s="1"/>
  <c r="S1863" i="5" s="1"/>
  <c r="P1863" i="5"/>
  <c r="J1863" i="5"/>
  <c r="Q1862" i="5"/>
  <c r="R1862" i="5" s="1"/>
  <c r="S1862" i="5" s="1"/>
  <c r="P1862" i="5"/>
  <c r="J1862" i="5"/>
  <c r="Q1861" i="5"/>
  <c r="R1861" i="5" s="1"/>
  <c r="S1861" i="5" s="1"/>
  <c r="P1861" i="5"/>
  <c r="J1861" i="5"/>
  <c r="Q1860" i="5"/>
  <c r="R1860" i="5" s="1"/>
  <c r="S1860" i="5" s="1"/>
  <c r="P1860" i="5"/>
  <c r="J1860" i="5"/>
  <c r="Q1859" i="5"/>
  <c r="R1859" i="5" s="1"/>
  <c r="S1859" i="5" s="1"/>
  <c r="P1859" i="5"/>
  <c r="J1859" i="5"/>
  <c r="Q1858" i="5"/>
  <c r="R1858" i="5" s="1"/>
  <c r="S1858" i="5" s="1"/>
  <c r="P1858" i="5"/>
  <c r="J1858" i="5"/>
  <c r="Q1857" i="5"/>
  <c r="R1857" i="5" s="1"/>
  <c r="S1857" i="5" s="1"/>
  <c r="P1857" i="5"/>
  <c r="J1857" i="5"/>
  <c r="Q1856" i="5"/>
  <c r="R1856" i="5" s="1"/>
  <c r="S1856" i="5" s="1"/>
  <c r="P1856" i="5"/>
  <c r="J1856" i="5"/>
  <c r="R1855" i="5"/>
  <c r="S1855" i="5" s="1"/>
  <c r="Q1855" i="5"/>
  <c r="P1855" i="5"/>
  <c r="J1855" i="5"/>
  <c r="Q1854" i="5"/>
  <c r="R1854" i="5" s="1"/>
  <c r="S1854" i="5" s="1"/>
  <c r="P1854" i="5"/>
  <c r="J1854" i="5"/>
  <c r="Q1853" i="5"/>
  <c r="R1853" i="5" s="1"/>
  <c r="S1853" i="5" s="1"/>
  <c r="P1853" i="5"/>
  <c r="J1853" i="5"/>
  <c r="Q1852" i="5"/>
  <c r="R1852" i="5" s="1"/>
  <c r="S1852" i="5" s="1"/>
  <c r="P1852" i="5"/>
  <c r="J1852" i="5"/>
  <c r="Q1851" i="5"/>
  <c r="R1851" i="5" s="1"/>
  <c r="S1851" i="5" s="1"/>
  <c r="P1851" i="5"/>
  <c r="J1851" i="5"/>
  <c r="Q1850" i="5"/>
  <c r="R1850" i="5" s="1"/>
  <c r="S1850" i="5" s="1"/>
  <c r="P1850" i="5"/>
  <c r="J1850" i="5"/>
  <c r="Q1849" i="5"/>
  <c r="R1849" i="5" s="1"/>
  <c r="S1849" i="5" s="1"/>
  <c r="P1849" i="5"/>
  <c r="J1849" i="5"/>
  <c r="Q1848" i="5"/>
  <c r="R1848" i="5" s="1"/>
  <c r="S1848" i="5" s="1"/>
  <c r="P1848" i="5"/>
  <c r="J1848" i="5"/>
  <c r="Q1847" i="5"/>
  <c r="R1847" i="5" s="1"/>
  <c r="S1847" i="5" s="1"/>
  <c r="P1847" i="5"/>
  <c r="J1847" i="5"/>
  <c r="Q1846" i="5"/>
  <c r="R1846" i="5" s="1"/>
  <c r="S1846" i="5" s="1"/>
  <c r="P1846" i="5"/>
  <c r="J1846" i="5"/>
  <c r="R1845" i="5"/>
  <c r="S1845" i="5" s="1"/>
  <c r="Q1845" i="5"/>
  <c r="P1845" i="5"/>
  <c r="J1845" i="5"/>
  <c r="Q1844" i="5"/>
  <c r="R1844" i="5" s="1"/>
  <c r="S1844" i="5" s="1"/>
  <c r="P1844" i="5"/>
  <c r="J1844" i="5"/>
  <c r="Q1843" i="5"/>
  <c r="R1843" i="5" s="1"/>
  <c r="S1843" i="5" s="1"/>
  <c r="P1843" i="5"/>
  <c r="J1843" i="5"/>
  <c r="S1842" i="5"/>
  <c r="Q1842" i="5"/>
  <c r="R1842" i="5" s="1"/>
  <c r="P1842" i="5"/>
  <c r="J1842" i="5"/>
  <c r="Q1841" i="5"/>
  <c r="R1841" i="5" s="1"/>
  <c r="S1841" i="5" s="1"/>
  <c r="P1841" i="5"/>
  <c r="J1841" i="5"/>
  <c r="Q1840" i="5"/>
  <c r="R1840" i="5" s="1"/>
  <c r="S1840" i="5" s="1"/>
  <c r="P1840" i="5"/>
  <c r="J1840" i="5"/>
  <c r="Q1839" i="5"/>
  <c r="R1839" i="5" s="1"/>
  <c r="S1839" i="5" s="1"/>
  <c r="P1839" i="5"/>
  <c r="J1839" i="5"/>
  <c r="Q1838" i="5"/>
  <c r="R1838" i="5" s="1"/>
  <c r="S1838" i="5" s="1"/>
  <c r="P1838" i="5"/>
  <c r="J1838" i="5"/>
  <c r="Q1837" i="5"/>
  <c r="R1837" i="5" s="1"/>
  <c r="S1837" i="5" s="1"/>
  <c r="P1837" i="5"/>
  <c r="J1837" i="5"/>
  <c r="Q1836" i="5"/>
  <c r="R1836" i="5" s="1"/>
  <c r="S1836" i="5" s="1"/>
  <c r="P1836" i="5"/>
  <c r="J1836" i="5"/>
  <c r="Q1835" i="5"/>
  <c r="R1835" i="5" s="1"/>
  <c r="S1835" i="5" s="1"/>
  <c r="P1835" i="5"/>
  <c r="J1835" i="5"/>
  <c r="Q1834" i="5"/>
  <c r="R1834" i="5" s="1"/>
  <c r="S1834" i="5" s="1"/>
  <c r="P1834" i="5"/>
  <c r="J1834" i="5"/>
  <c r="Q1833" i="5"/>
  <c r="R1833" i="5" s="1"/>
  <c r="S1833" i="5" s="1"/>
  <c r="P1833" i="5"/>
  <c r="J1833" i="5"/>
  <c r="Q1832" i="5"/>
  <c r="R1832" i="5" s="1"/>
  <c r="S1832" i="5" s="1"/>
  <c r="P1832" i="5"/>
  <c r="J1832" i="5"/>
  <c r="R1831" i="5"/>
  <c r="S1831" i="5" s="1"/>
  <c r="Q1831" i="5"/>
  <c r="P1831" i="5"/>
  <c r="J1831" i="5"/>
  <c r="Q1830" i="5"/>
  <c r="R1830" i="5" s="1"/>
  <c r="S1830" i="5" s="1"/>
  <c r="P1830" i="5"/>
  <c r="J1830" i="5"/>
  <c r="Q1829" i="5"/>
  <c r="R1829" i="5" s="1"/>
  <c r="S1829" i="5" s="1"/>
  <c r="P1829" i="5"/>
  <c r="J1829" i="5"/>
  <c r="Q1828" i="5"/>
  <c r="R1828" i="5" s="1"/>
  <c r="S1828" i="5" s="1"/>
  <c r="P1828" i="5"/>
  <c r="J1828" i="5"/>
  <c r="Q1827" i="5"/>
  <c r="R1827" i="5" s="1"/>
  <c r="S1827" i="5" s="1"/>
  <c r="P1827" i="5"/>
  <c r="J1827" i="5"/>
  <c r="Q1826" i="5"/>
  <c r="R1826" i="5" s="1"/>
  <c r="S1826" i="5" s="1"/>
  <c r="P1826" i="5"/>
  <c r="J1826" i="5"/>
  <c r="R1825" i="5"/>
  <c r="S1825" i="5" s="1"/>
  <c r="Q1825" i="5"/>
  <c r="P1825" i="5"/>
  <c r="J1825" i="5"/>
  <c r="Q1824" i="5"/>
  <c r="R1824" i="5" s="1"/>
  <c r="S1824" i="5" s="1"/>
  <c r="P1824" i="5"/>
  <c r="J1824" i="5"/>
  <c r="Q1823" i="5"/>
  <c r="R1823" i="5" s="1"/>
  <c r="S1823" i="5" s="1"/>
  <c r="P1823" i="5"/>
  <c r="J1823" i="5"/>
  <c r="Q1822" i="5"/>
  <c r="R1822" i="5" s="1"/>
  <c r="S1822" i="5" s="1"/>
  <c r="P1822" i="5"/>
  <c r="J1822" i="5"/>
  <c r="Q1821" i="5"/>
  <c r="R1821" i="5" s="1"/>
  <c r="S1821" i="5" s="1"/>
  <c r="P1821" i="5"/>
  <c r="J1821" i="5"/>
  <c r="Q1820" i="5"/>
  <c r="R1820" i="5" s="1"/>
  <c r="S1820" i="5" s="1"/>
  <c r="P1820" i="5"/>
  <c r="J1820" i="5"/>
  <c r="R1819" i="5"/>
  <c r="S1819" i="5" s="1"/>
  <c r="Q1819" i="5"/>
  <c r="P1819" i="5"/>
  <c r="J1819" i="5"/>
  <c r="S1818" i="5"/>
  <c r="Q1818" i="5"/>
  <c r="R1818" i="5" s="1"/>
  <c r="P1818" i="5"/>
  <c r="J1818" i="5"/>
  <c r="Q1817" i="5"/>
  <c r="R1817" i="5" s="1"/>
  <c r="S1817" i="5" s="1"/>
  <c r="P1817" i="5"/>
  <c r="J1817" i="5"/>
  <c r="Q1816" i="5"/>
  <c r="R1816" i="5" s="1"/>
  <c r="S1816" i="5" s="1"/>
  <c r="P1816" i="5"/>
  <c r="J1816" i="5"/>
  <c r="Q1815" i="5"/>
  <c r="R1815" i="5" s="1"/>
  <c r="S1815" i="5" s="1"/>
  <c r="P1815" i="5"/>
  <c r="J1815" i="5"/>
  <c r="Q1814" i="5"/>
  <c r="R1814" i="5" s="1"/>
  <c r="S1814" i="5" s="1"/>
  <c r="P1814" i="5"/>
  <c r="J1814" i="5"/>
  <c r="Q1813" i="5"/>
  <c r="R1813" i="5" s="1"/>
  <c r="S1813" i="5" s="1"/>
  <c r="P1813" i="5"/>
  <c r="J1813" i="5"/>
  <c r="S1812" i="5"/>
  <c r="Q1812" i="5"/>
  <c r="R1812" i="5" s="1"/>
  <c r="P1812" i="5"/>
  <c r="J1812" i="5"/>
  <c r="Q1811" i="5"/>
  <c r="R1811" i="5" s="1"/>
  <c r="S1811" i="5" s="1"/>
  <c r="P1811" i="5"/>
  <c r="J1811" i="5"/>
  <c r="Q1810" i="5"/>
  <c r="R1810" i="5" s="1"/>
  <c r="S1810" i="5" s="1"/>
  <c r="P1810" i="5"/>
  <c r="J1810" i="5"/>
  <c r="Q1809" i="5"/>
  <c r="R1809" i="5" s="1"/>
  <c r="S1809" i="5" s="1"/>
  <c r="P1809" i="5"/>
  <c r="J1809" i="5"/>
  <c r="Q1808" i="5"/>
  <c r="R1808" i="5" s="1"/>
  <c r="S1808" i="5" s="1"/>
  <c r="P1808" i="5"/>
  <c r="J1808" i="5"/>
  <c r="R1807" i="5"/>
  <c r="S1807" i="5" s="1"/>
  <c r="Q1807" i="5"/>
  <c r="P1807" i="5"/>
  <c r="J1807" i="5"/>
  <c r="S1806" i="5"/>
  <c r="Q1806" i="5"/>
  <c r="R1806" i="5" s="1"/>
  <c r="P1806" i="5"/>
  <c r="J1806" i="5"/>
  <c r="Q1805" i="5"/>
  <c r="R1805" i="5" s="1"/>
  <c r="S1805" i="5" s="1"/>
  <c r="P1805" i="5"/>
  <c r="J1805" i="5"/>
  <c r="Q1804" i="5"/>
  <c r="R1804" i="5" s="1"/>
  <c r="S1804" i="5" s="1"/>
  <c r="P1804" i="5"/>
  <c r="J1804" i="5"/>
  <c r="Q1803" i="5"/>
  <c r="R1803" i="5" s="1"/>
  <c r="S1803" i="5" s="1"/>
  <c r="P1803" i="5"/>
  <c r="J1803" i="5"/>
  <c r="Q1802" i="5"/>
  <c r="R1802" i="5" s="1"/>
  <c r="S1802" i="5" s="1"/>
  <c r="P1802" i="5"/>
  <c r="J1802" i="5"/>
  <c r="R1801" i="5"/>
  <c r="S1801" i="5" s="1"/>
  <c r="Q1801" i="5"/>
  <c r="P1801" i="5"/>
  <c r="J1801" i="5"/>
  <c r="Q1800" i="5"/>
  <c r="R1800" i="5" s="1"/>
  <c r="S1800" i="5" s="1"/>
  <c r="P1800" i="5"/>
  <c r="J1800" i="5"/>
  <c r="Q1799" i="5"/>
  <c r="R1799" i="5" s="1"/>
  <c r="S1799" i="5" s="1"/>
  <c r="P1799" i="5"/>
  <c r="J1799" i="5"/>
  <c r="Q1798" i="5"/>
  <c r="R1798" i="5" s="1"/>
  <c r="S1798" i="5" s="1"/>
  <c r="P1798" i="5"/>
  <c r="J1798" i="5"/>
  <c r="Q1797" i="5"/>
  <c r="R1797" i="5" s="1"/>
  <c r="S1797" i="5" s="1"/>
  <c r="P1797" i="5"/>
  <c r="J1797" i="5"/>
  <c r="Q1796" i="5"/>
  <c r="R1796" i="5" s="1"/>
  <c r="S1796" i="5" s="1"/>
  <c r="P1796" i="5"/>
  <c r="J1796" i="5"/>
  <c r="Q1795" i="5"/>
  <c r="R1795" i="5" s="1"/>
  <c r="S1795" i="5" s="1"/>
  <c r="P1795" i="5"/>
  <c r="J1795" i="5"/>
  <c r="S1794" i="5"/>
  <c r="Q1794" i="5"/>
  <c r="R1794" i="5" s="1"/>
  <c r="P1794" i="5"/>
  <c r="J1794" i="5"/>
  <c r="Q1793" i="5"/>
  <c r="R1793" i="5" s="1"/>
  <c r="S1793" i="5" s="1"/>
  <c r="P1793" i="5"/>
  <c r="J1793" i="5"/>
  <c r="Q1792" i="5"/>
  <c r="R1792" i="5" s="1"/>
  <c r="S1792" i="5" s="1"/>
  <c r="P1792" i="5"/>
  <c r="J1792" i="5"/>
  <c r="R1791" i="5"/>
  <c r="S1791" i="5" s="1"/>
  <c r="Q1791" i="5"/>
  <c r="P1791" i="5"/>
  <c r="J1791" i="5"/>
  <c r="Q1790" i="5"/>
  <c r="R1790" i="5" s="1"/>
  <c r="S1790" i="5" s="1"/>
  <c r="P1790" i="5"/>
  <c r="J1790" i="5"/>
  <c r="R1789" i="5"/>
  <c r="S1789" i="5" s="1"/>
  <c r="Q1789" i="5"/>
  <c r="P1789" i="5"/>
  <c r="J1789" i="5"/>
  <c r="Q1788" i="5"/>
  <c r="R1788" i="5" s="1"/>
  <c r="S1788" i="5" s="1"/>
  <c r="P1788" i="5"/>
  <c r="J1788" i="5"/>
  <c r="Q1787" i="5"/>
  <c r="R1787" i="5" s="1"/>
  <c r="S1787" i="5" s="1"/>
  <c r="P1787" i="5"/>
  <c r="J1787" i="5"/>
  <c r="Q1786" i="5"/>
  <c r="R1786" i="5" s="1"/>
  <c r="S1786" i="5" s="1"/>
  <c r="P1786" i="5"/>
  <c r="J1786" i="5"/>
  <c r="Q1785" i="5"/>
  <c r="R1785" i="5" s="1"/>
  <c r="S1785" i="5" s="1"/>
  <c r="P1785" i="5"/>
  <c r="J1785" i="5"/>
  <c r="Q1784" i="5"/>
  <c r="R1784" i="5" s="1"/>
  <c r="S1784" i="5" s="1"/>
  <c r="P1784" i="5"/>
  <c r="J1784" i="5"/>
  <c r="R1783" i="5"/>
  <c r="S1783" i="5" s="1"/>
  <c r="Q1783" i="5"/>
  <c r="P1783" i="5"/>
  <c r="J1783" i="5"/>
  <c r="Q1782" i="5"/>
  <c r="R1782" i="5" s="1"/>
  <c r="S1782" i="5" s="1"/>
  <c r="P1782" i="5"/>
  <c r="J1782" i="5"/>
  <c r="Q1781" i="5"/>
  <c r="R1781" i="5" s="1"/>
  <c r="S1781" i="5" s="1"/>
  <c r="P1781" i="5"/>
  <c r="J1781" i="5"/>
  <c r="Q1780" i="5"/>
  <c r="R1780" i="5" s="1"/>
  <c r="S1780" i="5" s="1"/>
  <c r="P1780" i="5"/>
  <c r="J1780" i="5"/>
  <c r="Q1779" i="5"/>
  <c r="R1779" i="5" s="1"/>
  <c r="S1779" i="5" s="1"/>
  <c r="P1779" i="5"/>
  <c r="J1779" i="5"/>
  <c r="Q1778" i="5"/>
  <c r="R1778" i="5" s="1"/>
  <c r="S1778" i="5" s="1"/>
  <c r="P1778" i="5"/>
  <c r="J1778" i="5"/>
  <c r="R1777" i="5"/>
  <c r="S1777" i="5" s="1"/>
  <c r="Q1777" i="5"/>
  <c r="P1777" i="5"/>
  <c r="J1777" i="5"/>
  <c r="Q1776" i="5"/>
  <c r="R1776" i="5" s="1"/>
  <c r="S1776" i="5" s="1"/>
  <c r="P1776" i="5"/>
  <c r="J1776" i="5"/>
  <c r="Q1775" i="5"/>
  <c r="R1775" i="5" s="1"/>
  <c r="S1775" i="5" s="1"/>
  <c r="P1775" i="5"/>
  <c r="J1775" i="5"/>
  <c r="Q1774" i="5"/>
  <c r="R1774" i="5" s="1"/>
  <c r="S1774" i="5" s="1"/>
  <c r="P1774" i="5"/>
  <c r="J1774" i="5"/>
  <c r="Q1773" i="5"/>
  <c r="R1773" i="5" s="1"/>
  <c r="S1773" i="5" s="1"/>
  <c r="P1773" i="5"/>
  <c r="J1773" i="5"/>
  <c r="Q1772" i="5"/>
  <c r="R1772" i="5" s="1"/>
  <c r="S1772" i="5" s="1"/>
  <c r="P1772" i="5"/>
  <c r="J1772" i="5"/>
  <c r="R1771" i="5"/>
  <c r="S1771" i="5" s="1"/>
  <c r="Q1771" i="5"/>
  <c r="P1771" i="5"/>
  <c r="J1771" i="5"/>
  <c r="Q1770" i="5"/>
  <c r="R1770" i="5" s="1"/>
  <c r="S1770" i="5" s="1"/>
  <c r="P1770" i="5"/>
  <c r="J1770" i="5"/>
  <c r="Q1769" i="5"/>
  <c r="R1769" i="5" s="1"/>
  <c r="S1769" i="5" s="1"/>
  <c r="P1769" i="5"/>
  <c r="J1769" i="5"/>
  <c r="Q1768" i="5"/>
  <c r="R1768" i="5" s="1"/>
  <c r="S1768" i="5" s="1"/>
  <c r="P1768" i="5"/>
  <c r="J1768" i="5"/>
  <c r="Q1767" i="5"/>
  <c r="R1767" i="5" s="1"/>
  <c r="S1767" i="5" s="1"/>
  <c r="P1767" i="5"/>
  <c r="J1767" i="5"/>
  <c r="Q1766" i="5"/>
  <c r="R1766" i="5" s="1"/>
  <c r="S1766" i="5" s="1"/>
  <c r="P1766" i="5"/>
  <c r="J1766" i="5"/>
  <c r="Q1765" i="5"/>
  <c r="R1765" i="5" s="1"/>
  <c r="S1765" i="5" s="1"/>
  <c r="P1765" i="5"/>
  <c r="J1765" i="5"/>
  <c r="Q1764" i="5"/>
  <c r="R1764" i="5" s="1"/>
  <c r="S1764" i="5" s="1"/>
  <c r="P1764" i="5"/>
  <c r="J1764" i="5"/>
  <c r="Q1763" i="5"/>
  <c r="R1763" i="5" s="1"/>
  <c r="S1763" i="5" s="1"/>
  <c r="P1763" i="5"/>
  <c r="J1763" i="5"/>
  <c r="Q1762" i="5"/>
  <c r="R1762" i="5" s="1"/>
  <c r="S1762" i="5" s="1"/>
  <c r="P1762" i="5"/>
  <c r="J1762" i="5"/>
  <c r="Q1761" i="5"/>
  <c r="R1761" i="5" s="1"/>
  <c r="S1761" i="5" s="1"/>
  <c r="P1761" i="5"/>
  <c r="J1761" i="5"/>
  <c r="Q1760" i="5"/>
  <c r="R1760" i="5" s="1"/>
  <c r="S1760" i="5" s="1"/>
  <c r="P1760" i="5"/>
  <c r="J1760" i="5"/>
  <c r="Q1759" i="5"/>
  <c r="R1759" i="5" s="1"/>
  <c r="S1759" i="5" s="1"/>
  <c r="P1759" i="5"/>
  <c r="J1759" i="5"/>
  <c r="Q1758" i="5"/>
  <c r="R1758" i="5" s="1"/>
  <c r="S1758" i="5" s="1"/>
  <c r="P1758" i="5"/>
  <c r="J1758" i="5"/>
  <c r="Q1757" i="5"/>
  <c r="R1757" i="5" s="1"/>
  <c r="S1757" i="5" s="1"/>
  <c r="P1757" i="5"/>
  <c r="J1757" i="5"/>
  <c r="Q1756" i="5"/>
  <c r="R1756" i="5" s="1"/>
  <c r="S1756" i="5" s="1"/>
  <c r="P1756" i="5"/>
  <c r="J1756" i="5"/>
  <c r="Q1755" i="5"/>
  <c r="R1755" i="5" s="1"/>
  <c r="S1755" i="5" s="1"/>
  <c r="P1755" i="5"/>
  <c r="J1755" i="5"/>
  <c r="S1754" i="5"/>
  <c r="Q1754" i="5"/>
  <c r="R1754" i="5" s="1"/>
  <c r="P1754" i="5"/>
  <c r="J1754" i="5"/>
  <c r="Q1753" i="5"/>
  <c r="R1753" i="5" s="1"/>
  <c r="S1753" i="5" s="1"/>
  <c r="P1753" i="5"/>
  <c r="J1753" i="5"/>
  <c r="Q1752" i="5"/>
  <c r="R1752" i="5" s="1"/>
  <c r="S1752" i="5" s="1"/>
  <c r="P1752" i="5"/>
  <c r="J1752" i="5"/>
  <c r="Q1751" i="5"/>
  <c r="R1751" i="5" s="1"/>
  <c r="S1751" i="5" s="1"/>
  <c r="P1751" i="5"/>
  <c r="J1751" i="5"/>
  <c r="Q1750" i="5"/>
  <c r="R1750" i="5" s="1"/>
  <c r="S1750" i="5" s="1"/>
  <c r="P1750" i="5"/>
  <c r="J1750" i="5"/>
  <c r="Q1749" i="5"/>
  <c r="R1749" i="5" s="1"/>
  <c r="S1749" i="5" s="1"/>
  <c r="P1749" i="5"/>
  <c r="J1749" i="5"/>
  <c r="S1748" i="5"/>
  <c r="Q1748" i="5"/>
  <c r="R1748" i="5" s="1"/>
  <c r="P1748" i="5"/>
  <c r="J1748" i="5"/>
  <c r="Q1747" i="5"/>
  <c r="R1747" i="5" s="1"/>
  <c r="S1747" i="5" s="1"/>
  <c r="P1747" i="5"/>
  <c r="J1747" i="5"/>
  <c r="Q1746" i="5"/>
  <c r="R1746" i="5" s="1"/>
  <c r="S1746" i="5" s="1"/>
  <c r="P1746" i="5"/>
  <c r="J1746" i="5"/>
  <c r="Q1745" i="5"/>
  <c r="R1745" i="5" s="1"/>
  <c r="S1745" i="5" s="1"/>
  <c r="P1745" i="5"/>
  <c r="J1745" i="5"/>
  <c r="Q1744" i="5"/>
  <c r="R1744" i="5" s="1"/>
  <c r="S1744" i="5" s="1"/>
  <c r="P1744" i="5"/>
  <c r="J1744" i="5"/>
  <c r="Q1743" i="5"/>
  <c r="R1743" i="5" s="1"/>
  <c r="S1743" i="5" s="1"/>
  <c r="P1743" i="5"/>
  <c r="J1743" i="5"/>
  <c r="Q1742" i="5"/>
  <c r="R1742" i="5" s="1"/>
  <c r="S1742" i="5" s="1"/>
  <c r="P1742" i="5"/>
  <c r="J1742" i="5"/>
  <c r="R1741" i="5"/>
  <c r="S1741" i="5" s="1"/>
  <c r="Q1741" i="5"/>
  <c r="P1741" i="5"/>
  <c r="J1741" i="5"/>
  <c r="Q1740" i="5"/>
  <c r="R1740" i="5" s="1"/>
  <c r="S1740" i="5" s="1"/>
  <c r="P1740" i="5"/>
  <c r="J1740" i="5"/>
  <c r="Q1739" i="5"/>
  <c r="R1739" i="5" s="1"/>
  <c r="S1739" i="5" s="1"/>
  <c r="P1739" i="5"/>
  <c r="J1739" i="5"/>
  <c r="Q1738" i="5"/>
  <c r="R1738" i="5" s="1"/>
  <c r="S1738" i="5" s="1"/>
  <c r="P1738" i="5"/>
  <c r="J1738" i="5"/>
  <c r="Q1737" i="5"/>
  <c r="R1737" i="5" s="1"/>
  <c r="S1737" i="5" s="1"/>
  <c r="P1737" i="5"/>
  <c r="J1737" i="5"/>
  <c r="Q1736" i="5"/>
  <c r="R1736" i="5" s="1"/>
  <c r="S1736" i="5" s="1"/>
  <c r="P1736" i="5"/>
  <c r="J1736" i="5"/>
  <c r="R1735" i="5"/>
  <c r="S1735" i="5" s="1"/>
  <c r="Q1735" i="5"/>
  <c r="P1735" i="5"/>
  <c r="J1735" i="5"/>
  <c r="Q1734" i="5"/>
  <c r="R1734" i="5" s="1"/>
  <c r="S1734" i="5" s="1"/>
  <c r="P1734" i="5"/>
  <c r="J1734" i="5"/>
  <c r="Q1733" i="5"/>
  <c r="R1733" i="5" s="1"/>
  <c r="S1733" i="5" s="1"/>
  <c r="P1733" i="5"/>
  <c r="J1733" i="5"/>
  <c r="Q1732" i="5"/>
  <c r="R1732" i="5" s="1"/>
  <c r="S1732" i="5" s="1"/>
  <c r="P1732" i="5"/>
  <c r="J1732" i="5"/>
  <c r="Q1731" i="5"/>
  <c r="R1731" i="5" s="1"/>
  <c r="S1731" i="5" s="1"/>
  <c r="P1731" i="5"/>
  <c r="J1731" i="5"/>
  <c r="Q1730" i="5"/>
  <c r="R1730" i="5" s="1"/>
  <c r="S1730" i="5" s="1"/>
  <c r="P1730" i="5"/>
  <c r="J1730" i="5"/>
  <c r="Q1729" i="5"/>
  <c r="R1729" i="5" s="1"/>
  <c r="S1729" i="5" s="1"/>
  <c r="P1729" i="5"/>
  <c r="J1729" i="5"/>
  <c r="Q1728" i="5"/>
  <c r="R1728" i="5" s="1"/>
  <c r="S1728" i="5" s="1"/>
  <c r="P1728" i="5"/>
  <c r="J1728" i="5"/>
  <c r="Q1727" i="5"/>
  <c r="R1727" i="5" s="1"/>
  <c r="S1727" i="5" s="1"/>
  <c r="P1727" i="5"/>
  <c r="J1727" i="5"/>
  <c r="Q1726" i="5"/>
  <c r="R1726" i="5" s="1"/>
  <c r="S1726" i="5" s="1"/>
  <c r="P1726" i="5"/>
  <c r="J1726" i="5"/>
  <c r="Q1725" i="5"/>
  <c r="R1725" i="5" s="1"/>
  <c r="S1725" i="5" s="1"/>
  <c r="P1725" i="5"/>
  <c r="J1725" i="5"/>
  <c r="Q1724" i="5"/>
  <c r="R1724" i="5" s="1"/>
  <c r="S1724" i="5" s="1"/>
  <c r="P1724" i="5"/>
  <c r="J1724" i="5"/>
  <c r="Q1723" i="5"/>
  <c r="R1723" i="5" s="1"/>
  <c r="S1723" i="5" s="1"/>
  <c r="P1723" i="5"/>
  <c r="J1723" i="5"/>
  <c r="Q1722" i="5"/>
  <c r="R1722" i="5" s="1"/>
  <c r="S1722" i="5" s="1"/>
  <c r="P1722" i="5"/>
  <c r="J1722" i="5"/>
  <c r="Q1721" i="5"/>
  <c r="R1721" i="5" s="1"/>
  <c r="S1721" i="5" s="1"/>
  <c r="P1721" i="5"/>
  <c r="J1721" i="5"/>
  <c r="Q1720" i="5"/>
  <c r="R1720" i="5" s="1"/>
  <c r="S1720" i="5" s="1"/>
  <c r="P1720" i="5"/>
  <c r="J1720" i="5"/>
  <c r="Q1719" i="5"/>
  <c r="R1719" i="5" s="1"/>
  <c r="S1719" i="5" s="1"/>
  <c r="P1719" i="5"/>
  <c r="J1719" i="5"/>
  <c r="S1718" i="5"/>
  <c r="Q1718" i="5"/>
  <c r="R1718" i="5" s="1"/>
  <c r="P1718" i="5"/>
  <c r="J1718" i="5"/>
  <c r="Q1717" i="5"/>
  <c r="R1717" i="5" s="1"/>
  <c r="S1717" i="5" s="1"/>
  <c r="P1717" i="5"/>
  <c r="J1717" i="5"/>
  <c r="Q1716" i="5"/>
  <c r="R1716" i="5" s="1"/>
  <c r="S1716" i="5" s="1"/>
  <c r="P1716" i="5"/>
  <c r="J1716" i="5"/>
  <c r="Q1715" i="5"/>
  <c r="R1715" i="5" s="1"/>
  <c r="S1715" i="5" s="1"/>
  <c r="P1715" i="5"/>
  <c r="J1715" i="5"/>
  <c r="Q1714" i="5"/>
  <c r="R1714" i="5" s="1"/>
  <c r="S1714" i="5" s="1"/>
  <c r="P1714" i="5"/>
  <c r="J1714" i="5"/>
  <c r="Q1713" i="5"/>
  <c r="R1713" i="5" s="1"/>
  <c r="S1713" i="5" s="1"/>
  <c r="P1713" i="5"/>
  <c r="J1713" i="5"/>
  <c r="S1712" i="5"/>
  <c r="Q1712" i="5"/>
  <c r="R1712" i="5" s="1"/>
  <c r="P1712" i="5"/>
  <c r="J1712" i="5"/>
  <c r="Q1711" i="5"/>
  <c r="R1711" i="5" s="1"/>
  <c r="S1711" i="5" s="1"/>
  <c r="P1711" i="5"/>
  <c r="J1711" i="5"/>
  <c r="Q1710" i="5"/>
  <c r="R1710" i="5" s="1"/>
  <c r="S1710" i="5" s="1"/>
  <c r="P1710" i="5"/>
  <c r="J1710" i="5"/>
  <c r="Q1709" i="5"/>
  <c r="R1709" i="5" s="1"/>
  <c r="S1709" i="5" s="1"/>
  <c r="P1709" i="5"/>
  <c r="J1709" i="5"/>
  <c r="Q1708" i="5"/>
  <c r="R1708" i="5" s="1"/>
  <c r="S1708" i="5" s="1"/>
  <c r="P1708" i="5"/>
  <c r="J1708" i="5"/>
  <c r="Q1707" i="5"/>
  <c r="R1707" i="5" s="1"/>
  <c r="S1707" i="5" s="1"/>
  <c r="P1707" i="5"/>
  <c r="J1707" i="5"/>
  <c r="Q1706" i="5"/>
  <c r="R1706" i="5" s="1"/>
  <c r="S1706" i="5" s="1"/>
  <c r="P1706" i="5"/>
  <c r="J1706" i="5"/>
  <c r="R1705" i="5"/>
  <c r="S1705" i="5" s="1"/>
  <c r="Q1705" i="5"/>
  <c r="P1705" i="5"/>
  <c r="J1705" i="5"/>
  <c r="Q1704" i="5"/>
  <c r="R1704" i="5" s="1"/>
  <c r="S1704" i="5" s="1"/>
  <c r="P1704" i="5"/>
  <c r="J1704" i="5"/>
  <c r="Q1703" i="5"/>
  <c r="R1703" i="5" s="1"/>
  <c r="S1703" i="5" s="1"/>
  <c r="P1703" i="5"/>
  <c r="J1703" i="5"/>
  <c r="Q1702" i="5"/>
  <c r="R1702" i="5" s="1"/>
  <c r="S1702" i="5" s="1"/>
  <c r="P1702" i="5"/>
  <c r="J1702" i="5"/>
  <c r="Q1701" i="5"/>
  <c r="R1701" i="5" s="1"/>
  <c r="S1701" i="5" s="1"/>
  <c r="P1701" i="5"/>
  <c r="J1701" i="5"/>
  <c r="Q1700" i="5"/>
  <c r="R1700" i="5" s="1"/>
  <c r="S1700" i="5" s="1"/>
  <c r="P1700" i="5"/>
  <c r="J1700" i="5"/>
  <c r="R1699" i="5"/>
  <c r="S1699" i="5" s="1"/>
  <c r="Q1699" i="5"/>
  <c r="P1699" i="5"/>
  <c r="J1699" i="5"/>
  <c r="Q1698" i="5"/>
  <c r="R1698" i="5" s="1"/>
  <c r="S1698" i="5" s="1"/>
  <c r="P1698" i="5"/>
  <c r="J1698" i="5"/>
  <c r="Q1697" i="5"/>
  <c r="R1697" i="5" s="1"/>
  <c r="S1697" i="5" s="1"/>
  <c r="P1697" i="5"/>
  <c r="J1697" i="5"/>
  <c r="Q1696" i="5"/>
  <c r="R1696" i="5" s="1"/>
  <c r="S1696" i="5" s="1"/>
  <c r="P1696" i="5"/>
  <c r="J1696" i="5"/>
  <c r="Q1695" i="5"/>
  <c r="R1695" i="5" s="1"/>
  <c r="S1695" i="5" s="1"/>
  <c r="P1695" i="5"/>
  <c r="J1695" i="5"/>
  <c r="Q1694" i="5"/>
  <c r="R1694" i="5" s="1"/>
  <c r="S1694" i="5" s="1"/>
  <c r="P1694" i="5"/>
  <c r="J1694" i="5"/>
  <c r="Q1693" i="5"/>
  <c r="R1693" i="5" s="1"/>
  <c r="S1693" i="5" s="1"/>
  <c r="P1693" i="5"/>
  <c r="J1693" i="5"/>
  <c r="Q1692" i="5"/>
  <c r="R1692" i="5" s="1"/>
  <c r="S1692" i="5" s="1"/>
  <c r="P1692" i="5"/>
  <c r="J1692" i="5"/>
  <c r="Q1691" i="5"/>
  <c r="R1691" i="5" s="1"/>
  <c r="S1691" i="5" s="1"/>
  <c r="P1691" i="5"/>
  <c r="J1691" i="5"/>
  <c r="Q1690" i="5"/>
  <c r="R1690" i="5" s="1"/>
  <c r="S1690" i="5" s="1"/>
  <c r="P1690" i="5"/>
  <c r="J1690" i="5"/>
  <c r="Q1689" i="5"/>
  <c r="R1689" i="5" s="1"/>
  <c r="S1689" i="5" s="1"/>
  <c r="P1689" i="5"/>
  <c r="J1689" i="5"/>
  <c r="Q1688" i="5"/>
  <c r="R1688" i="5" s="1"/>
  <c r="S1688" i="5" s="1"/>
  <c r="P1688" i="5"/>
  <c r="J1688" i="5"/>
  <c r="Q1687" i="5"/>
  <c r="R1687" i="5" s="1"/>
  <c r="S1687" i="5" s="1"/>
  <c r="P1687" i="5"/>
  <c r="J1687" i="5"/>
  <c r="Q1686" i="5"/>
  <c r="R1686" i="5" s="1"/>
  <c r="S1686" i="5" s="1"/>
  <c r="P1686" i="5"/>
  <c r="J1686" i="5"/>
  <c r="Q1685" i="5"/>
  <c r="R1685" i="5" s="1"/>
  <c r="S1685" i="5" s="1"/>
  <c r="P1685" i="5"/>
  <c r="J1685" i="5"/>
  <c r="Q1684" i="5"/>
  <c r="R1684" i="5" s="1"/>
  <c r="S1684" i="5" s="1"/>
  <c r="P1684" i="5"/>
  <c r="J1684" i="5"/>
  <c r="Q1683" i="5"/>
  <c r="R1683" i="5" s="1"/>
  <c r="S1683" i="5" s="1"/>
  <c r="P1683" i="5"/>
  <c r="J1683" i="5"/>
  <c r="S1682" i="5"/>
  <c r="Q1682" i="5"/>
  <c r="R1682" i="5" s="1"/>
  <c r="P1682" i="5"/>
  <c r="J1682" i="5"/>
  <c r="Q1681" i="5"/>
  <c r="R1681" i="5" s="1"/>
  <c r="S1681" i="5" s="1"/>
  <c r="P1681" i="5"/>
  <c r="J1681" i="5"/>
  <c r="Q1680" i="5"/>
  <c r="R1680" i="5" s="1"/>
  <c r="S1680" i="5" s="1"/>
  <c r="P1680" i="5"/>
  <c r="J1680" i="5"/>
  <c r="Q1679" i="5"/>
  <c r="R1679" i="5" s="1"/>
  <c r="S1679" i="5" s="1"/>
  <c r="P1679" i="5"/>
  <c r="J1679" i="5"/>
  <c r="Q1678" i="5"/>
  <c r="R1678" i="5" s="1"/>
  <c r="S1678" i="5" s="1"/>
  <c r="P1678" i="5"/>
  <c r="J1678" i="5"/>
  <c r="Q1677" i="5"/>
  <c r="R1677" i="5" s="1"/>
  <c r="S1677" i="5" s="1"/>
  <c r="P1677" i="5"/>
  <c r="J1677" i="5"/>
  <c r="S1676" i="5"/>
  <c r="Q1676" i="5"/>
  <c r="R1676" i="5" s="1"/>
  <c r="P1676" i="5"/>
  <c r="J1676" i="5"/>
  <c r="Q1675" i="5"/>
  <c r="R1675" i="5" s="1"/>
  <c r="S1675" i="5" s="1"/>
  <c r="P1675" i="5"/>
  <c r="J1675" i="5"/>
  <c r="Q1674" i="5"/>
  <c r="R1674" i="5" s="1"/>
  <c r="S1674" i="5" s="1"/>
  <c r="P1674" i="5"/>
  <c r="J1674" i="5"/>
  <c r="Q1673" i="5"/>
  <c r="R1673" i="5" s="1"/>
  <c r="S1673" i="5" s="1"/>
  <c r="P1673" i="5"/>
  <c r="J1673" i="5"/>
  <c r="Q1672" i="5"/>
  <c r="R1672" i="5" s="1"/>
  <c r="S1672" i="5" s="1"/>
  <c r="P1672" i="5"/>
  <c r="J1672" i="5"/>
  <c r="Q1671" i="5"/>
  <c r="R1671" i="5" s="1"/>
  <c r="S1671" i="5" s="1"/>
  <c r="P1671" i="5"/>
  <c r="J1671" i="5"/>
  <c r="Q1670" i="5"/>
  <c r="R1670" i="5" s="1"/>
  <c r="S1670" i="5" s="1"/>
  <c r="P1670" i="5"/>
  <c r="J1670" i="5"/>
  <c r="R1669" i="5"/>
  <c r="S1669" i="5" s="1"/>
  <c r="Q1669" i="5"/>
  <c r="P1669" i="5"/>
  <c r="J1669" i="5"/>
  <c r="Q1668" i="5"/>
  <c r="R1668" i="5" s="1"/>
  <c r="S1668" i="5" s="1"/>
  <c r="P1668" i="5"/>
  <c r="J1668" i="5"/>
  <c r="Q1667" i="5"/>
  <c r="R1667" i="5" s="1"/>
  <c r="S1667" i="5" s="1"/>
  <c r="P1667" i="5"/>
  <c r="J1667" i="5"/>
  <c r="Q1666" i="5"/>
  <c r="R1666" i="5" s="1"/>
  <c r="S1666" i="5" s="1"/>
  <c r="P1666" i="5"/>
  <c r="J1666" i="5"/>
  <c r="Q1665" i="5"/>
  <c r="R1665" i="5" s="1"/>
  <c r="S1665" i="5" s="1"/>
  <c r="P1665" i="5"/>
  <c r="J1665" i="5"/>
  <c r="Q1664" i="5"/>
  <c r="R1664" i="5" s="1"/>
  <c r="S1664" i="5" s="1"/>
  <c r="P1664" i="5"/>
  <c r="J1664" i="5"/>
  <c r="R1663" i="5"/>
  <c r="S1663" i="5" s="1"/>
  <c r="Q1663" i="5"/>
  <c r="P1663" i="5"/>
  <c r="J1663" i="5"/>
  <c r="Q1662" i="5"/>
  <c r="R1662" i="5" s="1"/>
  <c r="S1662" i="5" s="1"/>
  <c r="P1662" i="5"/>
  <c r="J1662" i="5"/>
  <c r="Q1661" i="5"/>
  <c r="R1661" i="5" s="1"/>
  <c r="S1661" i="5" s="1"/>
  <c r="P1661" i="5"/>
  <c r="J1661" i="5"/>
  <c r="Q1660" i="5"/>
  <c r="R1660" i="5" s="1"/>
  <c r="S1660" i="5" s="1"/>
  <c r="P1660" i="5"/>
  <c r="J1660" i="5"/>
  <c r="Q1659" i="5"/>
  <c r="R1659" i="5" s="1"/>
  <c r="S1659" i="5" s="1"/>
  <c r="P1659" i="5"/>
  <c r="J1659" i="5"/>
  <c r="Q1658" i="5"/>
  <c r="R1658" i="5" s="1"/>
  <c r="S1658" i="5" s="1"/>
  <c r="P1658" i="5"/>
  <c r="J1658" i="5"/>
  <c r="Q1657" i="5"/>
  <c r="R1657" i="5" s="1"/>
  <c r="S1657" i="5" s="1"/>
  <c r="P1657" i="5"/>
  <c r="J1657" i="5"/>
  <c r="Q1656" i="5"/>
  <c r="R1656" i="5" s="1"/>
  <c r="S1656" i="5" s="1"/>
  <c r="P1656" i="5"/>
  <c r="J1656" i="5"/>
  <c r="Q1655" i="5"/>
  <c r="R1655" i="5" s="1"/>
  <c r="S1655" i="5" s="1"/>
  <c r="P1655" i="5"/>
  <c r="J1655" i="5"/>
  <c r="Q1654" i="5"/>
  <c r="R1654" i="5" s="1"/>
  <c r="S1654" i="5" s="1"/>
  <c r="P1654" i="5"/>
  <c r="J1654" i="5"/>
  <c r="Q1653" i="5"/>
  <c r="R1653" i="5" s="1"/>
  <c r="S1653" i="5" s="1"/>
  <c r="P1653" i="5"/>
  <c r="J1653" i="5"/>
  <c r="Q1652" i="5"/>
  <c r="R1652" i="5" s="1"/>
  <c r="S1652" i="5" s="1"/>
  <c r="P1652" i="5"/>
  <c r="J1652" i="5"/>
  <c r="Q1651" i="5"/>
  <c r="R1651" i="5" s="1"/>
  <c r="S1651" i="5" s="1"/>
  <c r="P1651" i="5"/>
  <c r="J1651" i="5"/>
  <c r="Q1650" i="5"/>
  <c r="R1650" i="5" s="1"/>
  <c r="S1650" i="5" s="1"/>
  <c r="P1650" i="5"/>
  <c r="J1650" i="5"/>
  <c r="Q1649" i="5"/>
  <c r="R1649" i="5" s="1"/>
  <c r="S1649" i="5" s="1"/>
  <c r="P1649" i="5"/>
  <c r="J1649" i="5"/>
  <c r="Q1648" i="5"/>
  <c r="R1648" i="5" s="1"/>
  <c r="S1648" i="5" s="1"/>
  <c r="P1648" i="5"/>
  <c r="J1648" i="5"/>
  <c r="Q1647" i="5"/>
  <c r="R1647" i="5" s="1"/>
  <c r="S1647" i="5" s="1"/>
  <c r="P1647" i="5"/>
  <c r="J1647" i="5"/>
  <c r="S1646" i="5"/>
  <c r="Q1646" i="5"/>
  <c r="R1646" i="5" s="1"/>
  <c r="P1646" i="5"/>
  <c r="J1646" i="5"/>
  <c r="Q1645" i="5"/>
  <c r="R1645" i="5" s="1"/>
  <c r="S1645" i="5" s="1"/>
  <c r="P1645" i="5"/>
  <c r="J1645" i="5"/>
  <c r="Q1644" i="5"/>
  <c r="R1644" i="5" s="1"/>
  <c r="S1644" i="5" s="1"/>
  <c r="P1644" i="5"/>
  <c r="J1644" i="5"/>
  <c r="Q1643" i="5"/>
  <c r="R1643" i="5" s="1"/>
  <c r="S1643" i="5" s="1"/>
  <c r="P1643" i="5"/>
  <c r="J1643" i="5"/>
  <c r="Q1642" i="5"/>
  <c r="R1642" i="5" s="1"/>
  <c r="S1642" i="5" s="1"/>
  <c r="P1642" i="5"/>
  <c r="J1642" i="5"/>
  <c r="Q1641" i="5"/>
  <c r="R1641" i="5" s="1"/>
  <c r="S1641" i="5" s="1"/>
  <c r="P1641" i="5"/>
  <c r="J1641" i="5"/>
  <c r="S1640" i="5"/>
  <c r="Q1640" i="5"/>
  <c r="R1640" i="5" s="1"/>
  <c r="P1640" i="5"/>
  <c r="J1640" i="5"/>
  <c r="Q1639" i="5"/>
  <c r="R1639" i="5" s="1"/>
  <c r="S1639" i="5" s="1"/>
  <c r="P1639" i="5"/>
  <c r="J1639" i="5"/>
  <c r="Q1638" i="5"/>
  <c r="R1638" i="5" s="1"/>
  <c r="S1638" i="5" s="1"/>
  <c r="P1638" i="5"/>
  <c r="J1638" i="5"/>
  <c r="Q1637" i="5"/>
  <c r="R1637" i="5" s="1"/>
  <c r="S1637" i="5" s="1"/>
  <c r="P1637" i="5"/>
  <c r="J1637" i="5"/>
  <c r="Q1636" i="5"/>
  <c r="R1636" i="5" s="1"/>
  <c r="S1636" i="5" s="1"/>
  <c r="P1636" i="5"/>
  <c r="J1636" i="5"/>
  <c r="Q1635" i="5"/>
  <c r="R1635" i="5" s="1"/>
  <c r="S1635" i="5" s="1"/>
  <c r="P1635" i="5"/>
  <c r="J1635" i="5"/>
  <c r="Q1634" i="5"/>
  <c r="R1634" i="5" s="1"/>
  <c r="S1634" i="5" s="1"/>
  <c r="P1634" i="5"/>
  <c r="J1634" i="5"/>
  <c r="R1633" i="5"/>
  <c r="S1633" i="5" s="1"/>
  <c r="Q1633" i="5"/>
  <c r="P1633" i="5"/>
  <c r="J1633" i="5"/>
  <c r="Q1632" i="5"/>
  <c r="R1632" i="5" s="1"/>
  <c r="S1632" i="5" s="1"/>
  <c r="P1632" i="5"/>
  <c r="J1632" i="5"/>
  <c r="Q1631" i="5"/>
  <c r="R1631" i="5" s="1"/>
  <c r="S1631" i="5" s="1"/>
  <c r="P1631" i="5"/>
  <c r="J1631" i="5"/>
  <c r="Q1630" i="5"/>
  <c r="R1630" i="5" s="1"/>
  <c r="S1630" i="5" s="1"/>
  <c r="P1630" i="5"/>
  <c r="J1630" i="5"/>
  <c r="Q1629" i="5"/>
  <c r="R1629" i="5" s="1"/>
  <c r="S1629" i="5" s="1"/>
  <c r="P1629" i="5"/>
  <c r="J1629" i="5"/>
  <c r="Q1628" i="5"/>
  <c r="R1628" i="5" s="1"/>
  <c r="S1628" i="5" s="1"/>
  <c r="P1628" i="5"/>
  <c r="J1628" i="5"/>
  <c r="R1627" i="5"/>
  <c r="S1627" i="5" s="1"/>
  <c r="Q1627" i="5"/>
  <c r="P1627" i="5"/>
  <c r="J1627" i="5"/>
  <c r="Q1626" i="5"/>
  <c r="R1626" i="5" s="1"/>
  <c r="S1626" i="5" s="1"/>
  <c r="P1626" i="5"/>
  <c r="J1626" i="5"/>
  <c r="Q1625" i="5"/>
  <c r="R1625" i="5" s="1"/>
  <c r="S1625" i="5" s="1"/>
  <c r="P1625" i="5"/>
  <c r="J1625" i="5"/>
  <c r="Q1624" i="5"/>
  <c r="R1624" i="5" s="1"/>
  <c r="S1624" i="5" s="1"/>
  <c r="P1624" i="5"/>
  <c r="J1624" i="5"/>
  <c r="Q1623" i="5"/>
  <c r="R1623" i="5" s="1"/>
  <c r="S1623" i="5" s="1"/>
  <c r="P1623" i="5"/>
  <c r="J1623" i="5"/>
  <c r="Q1622" i="5"/>
  <c r="R1622" i="5" s="1"/>
  <c r="S1622" i="5" s="1"/>
  <c r="P1622" i="5"/>
  <c r="J1622" i="5"/>
  <c r="Q1621" i="5"/>
  <c r="R1621" i="5" s="1"/>
  <c r="S1621" i="5" s="1"/>
  <c r="P1621" i="5"/>
  <c r="J1621" i="5"/>
  <c r="Q1620" i="5"/>
  <c r="R1620" i="5" s="1"/>
  <c r="S1620" i="5" s="1"/>
  <c r="P1620" i="5"/>
  <c r="J1620" i="5"/>
  <c r="Q1619" i="5"/>
  <c r="R1619" i="5" s="1"/>
  <c r="S1619" i="5" s="1"/>
  <c r="P1619" i="5"/>
  <c r="J1619" i="5"/>
  <c r="Q1618" i="5"/>
  <c r="R1618" i="5" s="1"/>
  <c r="S1618" i="5" s="1"/>
  <c r="P1618" i="5"/>
  <c r="J1618" i="5"/>
  <c r="Q1617" i="5"/>
  <c r="R1617" i="5" s="1"/>
  <c r="S1617" i="5" s="1"/>
  <c r="P1617" i="5"/>
  <c r="J1617" i="5"/>
  <c r="Q1616" i="5"/>
  <c r="R1616" i="5" s="1"/>
  <c r="S1616" i="5" s="1"/>
  <c r="P1616" i="5"/>
  <c r="J1616" i="5"/>
  <c r="Q1615" i="5"/>
  <c r="R1615" i="5" s="1"/>
  <c r="S1615" i="5" s="1"/>
  <c r="P1615" i="5"/>
  <c r="J1615" i="5"/>
  <c r="Q1614" i="5"/>
  <c r="R1614" i="5" s="1"/>
  <c r="S1614" i="5" s="1"/>
  <c r="P1614" i="5"/>
  <c r="J1614" i="5"/>
  <c r="Q1613" i="5"/>
  <c r="R1613" i="5" s="1"/>
  <c r="S1613" i="5" s="1"/>
  <c r="P1613" i="5"/>
  <c r="J1613" i="5"/>
  <c r="Q1612" i="5"/>
  <c r="R1612" i="5" s="1"/>
  <c r="S1612" i="5" s="1"/>
  <c r="P1612" i="5"/>
  <c r="J1612" i="5"/>
  <c r="Q1611" i="5"/>
  <c r="R1611" i="5" s="1"/>
  <c r="S1611" i="5" s="1"/>
  <c r="P1611" i="5"/>
  <c r="J1611" i="5"/>
  <c r="S1610" i="5"/>
  <c r="Q1610" i="5"/>
  <c r="R1610" i="5" s="1"/>
  <c r="P1610" i="5"/>
  <c r="J1610" i="5"/>
  <c r="Q1609" i="5"/>
  <c r="R1609" i="5" s="1"/>
  <c r="S1609" i="5" s="1"/>
  <c r="P1609" i="5"/>
  <c r="J1609" i="5"/>
  <c r="Q1608" i="5"/>
  <c r="R1608" i="5" s="1"/>
  <c r="S1608" i="5" s="1"/>
  <c r="P1608" i="5"/>
  <c r="J1608" i="5"/>
  <c r="Q1607" i="5"/>
  <c r="R1607" i="5" s="1"/>
  <c r="S1607" i="5" s="1"/>
  <c r="P1607" i="5"/>
  <c r="J1607" i="5"/>
  <c r="Q1606" i="5"/>
  <c r="R1606" i="5" s="1"/>
  <c r="S1606" i="5" s="1"/>
  <c r="P1606" i="5"/>
  <c r="J1606" i="5"/>
  <c r="Q1605" i="5"/>
  <c r="R1605" i="5" s="1"/>
  <c r="S1605" i="5" s="1"/>
  <c r="P1605" i="5"/>
  <c r="J1605" i="5"/>
  <c r="S1604" i="5"/>
  <c r="Q1604" i="5"/>
  <c r="R1604" i="5" s="1"/>
  <c r="P1604" i="5"/>
  <c r="J1604" i="5"/>
  <c r="Q1603" i="5"/>
  <c r="R1603" i="5" s="1"/>
  <c r="S1603" i="5" s="1"/>
  <c r="P1603" i="5"/>
  <c r="J1603" i="5"/>
  <c r="Q1602" i="5"/>
  <c r="R1602" i="5" s="1"/>
  <c r="S1602" i="5" s="1"/>
  <c r="P1602" i="5"/>
  <c r="J1602" i="5"/>
  <c r="Q1601" i="5"/>
  <c r="R1601" i="5" s="1"/>
  <c r="S1601" i="5" s="1"/>
  <c r="P1601" i="5"/>
  <c r="J1601" i="5"/>
  <c r="Q1600" i="5"/>
  <c r="R1600" i="5" s="1"/>
  <c r="S1600" i="5" s="1"/>
  <c r="P1600" i="5"/>
  <c r="J1600" i="5"/>
  <c r="Q1599" i="5"/>
  <c r="R1599" i="5" s="1"/>
  <c r="S1599" i="5" s="1"/>
  <c r="P1599" i="5"/>
  <c r="J1599" i="5"/>
  <c r="Q1598" i="5"/>
  <c r="R1598" i="5" s="1"/>
  <c r="S1598" i="5" s="1"/>
  <c r="P1598" i="5"/>
  <c r="J1598" i="5"/>
  <c r="R1597" i="5"/>
  <c r="S1597" i="5" s="1"/>
  <c r="Q1597" i="5"/>
  <c r="P1597" i="5"/>
  <c r="J1597" i="5"/>
  <c r="Q1596" i="5"/>
  <c r="R1596" i="5" s="1"/>
  <c r="S1596" i="5" s="1"/>
  <c r="P1596" i="5"/>
  <c r="J1596" i="5"/>
  <c r="Q1595" i="5"/>
  <c r="R1595" i="5" s="1"/>
  <c r="S1595" i="5" s="1"/>
  <c r="P1595" i="5"/>
  <c r="J1595" i="5"/>
  <c r="Q1594" i="5"/>
  <c r="R1594" i="5" s="1"/>
  <c r="S1594" i="5" s="1"/>
  <c r="P1594" i="5"/>
  <c r="J1594" i="5"/>
  <c r="Q1593" i="5"/>
  <c r="R1593" i="5" s="1"/>
  <c r="S1593" i="5" s="1"/>
  <c r="P1593" i="5"/>
  <c r="J1593" i="5"/>
  <c r="Q1592" i="5"/>
  <c r="R1592" i="5" s="1"/>
  <c r="S1592" i="5" s="1"/>
  <c r="P1592" i="5"/>
  <c r="J1592" i="5"/>
  <c r="R1591" i="5"/>
  <c r="S1591" i="5" s="1"/>
  <c r="Q1591" i="5"/>
  <c r="P1591" i="5"/>
  <c r="J1591" i="5"/>
  <c r="Q1590" i="5"/>
  <c r="R1590" i="5" s="1"/>
  <c r="S1590" i="5" s="1"/>
  <c r="P1590" i="5"/>
  <c r="J1590" i="5"/>
  <c r="Q1589" i="5"/>
  <c r="R1589" i="5" s="1"/>
  <c r="S1589" i="5" s="1"/>
  <c r="P1589" i="5"/>
  <c r="J1589" i="5"/>
  <c r="Q1588" i="5"/>
  <c r="R1588" i="5" s="1"/>
  <c r="S1588" i="5" s="1"/>
  <c r="P1588" i="5"/>
  <c r="J1588" i="5"/>
  <c r="Q1587" i="5"/>
  <c r="R1587" i="5" s="1"/>
  <c r="S1587" i="5" s="1"/>
  <c r="P1587" i="5"/>
  <c r="J1587" i="5"/>
  <c r="Q1586" i="5"/>
  <c r="R1586" i="5" s="1"/>
  <c r="S1586" i="5" s="1"/>
  <c r="P1586" i="5"/>
  <c r="J1586" i="5"/>
  <c r="Q1585" i="5"/>
  <c r="R1585" i="5" s="1"/>
  <c r="S1585" i="5" s="1"/>
  <c r="P1585" i="5"/>
  <c r="J1585" i="5"/>
  <c r="Q1584" i="5"/>
  <c r="R1584" i="5" s="1"/>
  <c r="S1584" i="5" s="1"/>
  <c r="P1584" i="5"/>
  <c r="J1584" i="5"/>
  <c r="Q1583" i="5"/>
  <c r="R1583" i="5" s="1"/>
  <c r="S1583" i="5" s="1"/>
  <c r="P1583" i="5"/>
  <c r="J1583" i="5"/>
  <c r="Q1582" i="5"/>
  <c r="R1582" i="5" s="1"/>
  <c r="S1582" i="5" s="1"/>
  <c r="P1582" i="5"/>
  <c r="J1582" i="5"/>
  <c r="Q1581" i="5"/>
  <c r="R1581" i="5" s="1"/>
  <c r="S1581" i="5" s="1"/>
  <c r="P1581" i="5"/>
  <c r="J1581" i="5"/>
  <c r="Q1580" i="5"/>
  <c r="R1580" i="5" s="1"/>
  <c r="S1580" i="5" s="1"/>
  <c r="P1580" i="5"/>
  <c r="J1580" i="5"/>
  <c r="Q1579" i="5"/>
  <c r="R1579" i="5" s="1"/>
  <c r="S1579" i="5" s="1"/>
  <c r="P1579" i="5"/>
  <c r="J1579" i="5"/>
  <c r="Q1578" i="5"/>
  <c r="R1578" i="5" s="1"/>
  <c r="S1578" i="5" s="1"/>
  <c r="P1578" i="5"/>
  <c r="J1578" i="5"/>
  <c r="Q1577" i="5"/>
  <c r="R1577" i="5" s="1"/>
  <c r="S1577" i="5" s="1"/>
  <c r="P1577" i="5"/>
  <c r="J1577" i="5"/>
  <c r="Q1576" i="5"/>
  <c r="R1576" i="5" s="1"/>
  <c r="S1576" i="5" s="1"/>
  <c r="P1576" i="5"/>
  <c r="J1576" i="5"/>
  <c r="Q1575" i="5"/>
  <c r="R1575" i="5" s="1"/>
  <c r="S1575" i="5" s="1"/>
  <c r="P1575" i="5"/>
  <c r="J1575" i="5"/>
  <c r="S1574" i="5"/>
  <c r="Q1574" i="5"/>
  <c r="R1574" i="5" s="1"/>
  <c r="P1574" i="5"/>
  <c r="J1574" i="5"/>
  <c r="Q1573" i="5"/>
  <c r="R1573" i="5" s="1"/>
  <c r="S1573" i="5" s="1"/>
  <c r="P1573" i="5"/>
  <c r="J1573" i="5"/>
  <c r="Q1572" i="5"/>
  <c r="R1572" i="5" s="1"/>
  <c r="S1572" i="5" s="1"/>
  <c r="P1572" i="5"/>
  <c r="J1572" i="5"/>
  <c r="Q1571" i="5"/>
  <c r="R1571" i="5" s="1"/>
  <c r="S1571" i="5" s="1"/>
  <c r="P1571" i="5"/>
  <c r="J1571" i="5"/>
  <c r="Q1570" i="5"/>
  <c r="R1570" i="5" s="1"/>
  <c r="S1570" i="5" s="1"/>
  <c r="P1570" i="5"/>
  <c r="J1570" i="5"/>
  <c r="Q1569" i="5"/>
  <c r="R1569" i="5" s="1"/>
  <c r="S1569" i="5" s="1"/>
  <c r="P1569" i="5"/>
  <c r="J1569" i="5"/>
  <c r="S1568" i="5"/>
  <c r="Q1568" i="5"/>
  <c r="R1568" i="5" s="1"/>
  <c r="P1568" i="5"/>
  <c r="J1568" i="5"/>
  <c r="Q1567" i="5"/>
  <c r="R1567" i="5" s="1"/>
  <c r="S1567" i="5" s="1"/>
  <c r="P1567" i="5"/>
  <c r="J1567" i="5"/>
  <c r="Q1566" i="5"/>
  <c r="R1566" i="5" s="1"/>
  <c r="S1566" i="5" s="1"/>
  <c r="P1566" i="5"/>
  <c r="J1566" i="5"/>
  <c r="Q1565" i="5"/>
  <c r="R1565" i="5" s="1"/>
  <c r="S1565" i="5" s="1"/>
  <c r="P1565" i="5"/>
  <c r="J1565" i="5"/>
  <c r="Q1564" i="5"/>
  <c r="R1564" i="5" s="1"/>
  <c r="S1564" i="5" s="1"/>
  <c r="P1564" i="5"/>
  <c r="J1564" i="5"/>
  <c r="Q1563" i="5"/>
  <c r="R1563" i="5" s="1"/>
  <c r="S1563" i="5" s="1"/>
  <c r="P1563" i="5"/>
  <c r="J1563" i="5"/>
  <c r="Q1562" i="5"/>
  <c r="R1562" i="5" s="1"/>
  <c r="S1562" i="5" s="1"/>
  <c r="P1562" i="5"/>
  <c r="J1562" i="5"/>
  <c r="Q1561" i="5"/>
  <c r="R1561" i="5" s="1"/>
  <c r="S1561" i="5" s="1"/>
  <c r="P1561" i="5"/>
  <c r="J1561" i="5"/>
  <c r="Q1560" i="5"/>
  <c r="R1560" i="5" s="1"/>
  <c r="S1560" i="5" s="1"/>
  <c r="P1560" i="5"/>
  <c r="J1560" i="5"/>
  <c r="Q1559" i="5"/>
  <c r="R1559" i="5" s="1"/>
  <c r="S1559" i="5" s="1"/>
  <c r="P1559" i="5"/>
  <c r="J1559" i="5"/>
  <c r="Q1558" i="5"/>
  <c r="R1558" i="5" s="1"/>
  <c r="S1558" i="5" s="1"/>
  <c r="P1558" i="5"/>
  <c r="J1558" i="5"/>
  <c r="Q1557" i="5"/>
  <c r="R1557" i="5" s="1"/>
  <c r="S1557" i="5" s="1"/>
  <c r="P1557" i="5"/>
  <c r="J1557" i="5"/>
  <c r="Q1556" i="5"/>
  <c r="R1556" i="5" s="1"/>
  <c r="S1556" i="5" s="1"/>
  <c r="P1556" i="5"/>
  <c r="J1556" i="5"/>
  <c r="Q1555" i="5"/>
  <c r="R1555" i="5" s="1"/>
  <c r="S1555" i="5" s="1"/>
  <c r="P1555" i="5"/>
  <c r="J1555" i="5"/>
  <c r="Q1554" i="5"/>
  <c r="R1554" i="5" s="1"/>
  <c r="S1554" i="5" s="1"/>
  <c r="P1554" i="5"/>
  <c r="J1554" i="5"/>
  <c r="Q1553" i="5"/>
  <c r="R1553" i="5" s="1"/>
  <c r="S1553" i="5" s="1"/>
  <c r="P1553" i="5"/>
  <c r="J1553" i="5"/>
  <c r="R1552" i="5"/>
  <c r="S1552" i="5" s="1"/>
  <c r="Q1552" i="5"/>
  <c r="P1552" i="5"/>
  <c r="J1552" i="5"/>
  <c r="Q1551" i="5"/>
  <c r="R1551" i="5" s="1"/>
  <c r="S1551" i="5" s="1"/>
  <c r="P1551" i="5"/>
  <c r="J1551" i="5"/>
  <c r="Q1550" i="5"/>
  <c r="R1550" i="5" s="1"/>
  <c r="S1550" i="5" s="1"/>
  <c r="P1550" i="5"/>
  <c r="J1550" i="5"/>
  <c r="Q1549" i="5"/>
  <c r="R1549" i="5" s="1"/>
  <c r="S1549" i="5" s="1"/>
  <c r="P1549" i="5"/>
  <c r="J1549" i="5"/>
  <c r="R1548" i="5"/>
  <c r="S1548" i="5" s="1"/>
  <c r="Q1548" i="5"/>
  <c r="P1548" i="5"/>
  <c r="J1548" i="5"/>
  <c r="Q1547" i="5"/>
  <c r="R1547" i="5" s="1"/>
  <c r="S1547" i="5" s="1"/>
  <c r="P1547" i="5"/>
  <c r="J1547" i="5"/>
  <c r="Q1546" i="5"/>
  <c r="R1546" i="5" s="1"/>
  <c r="S1546" i="5" s="1"/>
  <c r="P1546" i="5"/>
  <c r="J1546" i="5"/>
  <c r="Q1545" i="5"/>
  <c r="R1545" i="5" s="1"/>
  <c r="S1545" i="5" s="1"/>
  <c r="P1545" i="5"/>
  <c r="J1545" i="5"/>
  <c r="Q1544" i="5"/>
  <c r="R1544" i="5" s="1"/>
  <c r="S1544" i="5" s="1"/>
  <c r="P1544" i="5"/>
  <c r="J1544" i="5"/>
  <c r="Q1543" i="5"/>
  <c r="R1543" i="5" s="1"/>
  <c r="S1543" i="5" s="1"/>
  <c r="P1543" i="5"/>
  <c r="J1543" i="5"/>
  <c r="Q1542" i="5"/>
  <c r="R1542" i="5" s="1"/>
  <c r="S1542" i="5" s="1"/>
  <c r="P1542" i="5"/>
  <c r="J1542" i="5"/>
  <c r="Q1541" i="5"/>
  <c r="R1541" i="5" s="1"/>
  <c r="S1541" i="5" s="1"/>
  <c r="P1541" i="5"/>
  <c r="J1541" i="5"/>
  <c r="Q1540" i="5"/>
  <c r="R1540" i="5" s="1"/>
  <c r="S1540" i="5" s="1"/>
  <c r="P1540" i="5"/>
  <c r="J1540" i="5"/>
  <c r="Q1539" i="5"/>
  <c r="R1539" i="5" s="1"/>
  <c r="S1539" i="5" s="1"/>
  <c r="P1539" i="5"/>
  <c r="J1539" i="5"/>
  <c r="Q1538" i="5"/>
  <c r="R1538" i="5" s="1"/>
  <c r="S1538" i="5" s="1"/>
  <c r="P1538" i="5"/>
  <c r="J1538" i="5"/>
  <c r="Q1537" i="5"/>
  <c r="R1537" i="5" s="1"/>
  <c r="S1537" i="5" s="1"/>
  <c r="P1537" i="5"/>
  <c r="J1537" i="5"/>
  <c r="Q1536" i="5"/>
  <c r="R1536" i="5" s="1"/>
  <c r="S1536" i="5" s="1"/>
  <c r="P1536" i="5"/>
  <c r="J1536" i="5"/>
  <c r="Q1535" i="5"/>
  <c r="R1535" i="5" s="1"/>
  <c r="S1535" i="5" s="1"/>
  <c r="P1535" i="5"/>
  <c r="J1535" i="5"/>
  <c r="Q1534" i="5"/>
  <c r="R1534" i="5" s="1"/>
  <c r="S1534" i="5" s="1"/>
  <c r="P1534" i="5"/>
  <c r="J1534" i="5"/>
  <c r="Q1533" i="5"/>
  <c r="R1533" i="5" s="1"/>
  <c r="S1533" i="5" s="1"/>
  <c r="P1533" i="5"/>
  <c r="J1533" i="5"/>
  <c r="Q1532" i="5"/>
  <c r="R1532" i="5" s="1"/>
  <c r="S1532" i="5" s="1"/>
  <c r="P1532" i="5"/>
  <c r="J1532" i="5"/>
  <c r="Q1531" i="5"/>
  <c r="R1531" i="5" s="1"/>
  <c r="S1531" i="5" s="1"/>
  <c r="P1531" i="5"/>
  <c r="J1531" i="5"/>
  <c r="Q1530" i="5"/>
  <c r="R1530" i="5" s="1"/>
  <c r="S1530" i="5" s="1"/>
  <c r="P1530" i="5"/>
  <c r="J1530" i="5"/>
  <c r="Q1529" i="5"/>
  <c r="R1529" i="5" s="1"/>
  <c r="S1529" i="5" s="1"/>
  <c r="P1529" i="5"/>
  <c r="J1529" i="5"/>
  <c r="R1528" i="5"/>
  <c r="S1528" i="5" s="1"/>
  <c r="Q1528" i="5"/>
  <c r="P1528" i="5"/>
  <c r="J1528" i="5"/>
  <c r="Q1527" i="5"/>
  <c r="R1527" i="5" s="1"/>
  <c r="S1527" i="5" s="1"/>
  <c r="P1527" i="5"/>
  <c r="J1527" i="5"/>
  <c r="Q1526" i="5"/>
  <c r="R1526" i="5" s="1"/>
  <c r="S1526" i="5" s="1"/>
  <c r="P1526" i="5"/>
  <c r="J1526" i="5"/>
  <c r="Q1525" i="5"/>
  <c r="R1525" i="5" s="1"/>
  <c r="S1525" i="5" s="1"/>
  <c r="P1525" i="5"/>
  <c r="J1525" i="5"/>
  <c r="R1524" i="5"/>
  <c r="S1524" i="5" s="1"/>
  <c r="Q1524" i="5"/>
  <c r="P1524" i="5"/>
  <c r="J1524" i="5"/>
  <c r="Q1523" i="5"/>
  <c r="R1523" i="5" s="1"/>
  <c r="S1523" i="5" s="1"/>
  <c r="P1523" i="5"/>
  <c r="J1523" i="5"/>
  <c r="Q1522" i="5"/>
  <c r="R1522" i="5" s="1"/>
  <c r="S1522" i="5" s="1"/>
  <c r="P1522" i="5"/>
  <c r="J1522" i="5"/>
  <c r="Q1521" i="5"/>
  <c r="R1521" i="5" s="1"/>
  <c r="S1521" i="5" s="1"/>
  <c r="P1521" i="5"/>
  <c r="J1521" i="5"/>
  <c r="Q1520" i="5"/>
  <c r="R1520" i="5" s="1"/>
  <c r="S1520" i="5" s="1"/>
  <c r="P1520" i="5"/>
  <c r="J1520" i="5"/>
  <c r="Q1519" i="5"/>
  <c r="R1519" i="5" s="1"/>
  <c r="S1519" i="5" s="1"/>
  <c r="P1519" i="5"/>
  <c r="J1519" i="5"/>
  <c r="Q1518" i="5"/>
  <c r="R1518" i="5" s="1"/>
  <c r="S1518" i="5" s="1"/>
  <c r="P1518" i="5"/>
  <c r="J1518" i="5"/>
  <c r="Q1517" i="5"/>
  <c r="R1517" i="5" s="1"/>
  <c r="S1517" i="5" s="1"/>
  <c r="P1517" i="5"/>
  <c r="J1517" i="5"/>
  <c r="Q1516" i="5"/>
  <c r="R1516" i="5" s="1"/>
  <c r="S1516" i="5" s="1"/>
  <c r="P1516" i="5"/>
  <c r="J1516" i="5"/>
  <c r="Q1515" i="5"/>
  <c r="R1515" i="5" s="1"/>
  <c r="S1515" i="5" s="1"/>
  <c r="P1515" i="5"/>
  <c r="J1515" i="5"/>
  <c r="Q1514" i="5"/>
  <c r="R1514" i="5" s="1"/>
  <c r="S1514" i="5" s="1"/>
  <c r="P1514" i="5"/>
  <c r="J1514" i="5"/>
  <c r="Q1513" i="5"/>
  <c r="R1513" i="5" s="1"/>
  <c r="S1513" i="5" s="1"/>
  <c r="P1513" i="5"/>
  <c r="J1513" i="5"/>
  <c r="Q1512" i="5"/>
  <c r="R1512" i="5" s="1"/>
  <c r="S1512" i="5" s="1"/>
  <c r="P1512" i="5"/>
  <c r="J1512" i="5"/>
  <c r="Q1511" i="5"/>
  <c r="R1511" i="5" s="1"/>
  <c r="S1511" i="5" s="1"/>
  <c r="P1511" i="5"/>
  <c r="J1511" i="5"/>
  <c r="Q1510" i="5"/>
  <c r="R1510" i="5" s="1"/>
  <c r="S1510" i="5" s="1"/>
  <c r="P1510" i="5"/>
  <c r="J1510" i="5"/>
  <c r="Q1509" i="5"/>
  <c r="R1509" i="5" s="1"/>
  <c r="S1509" i="5" s="1"/>
  <c r="P1509" i="5"/>
  <c r="J1509" i="5"/>
  <c r="Q1508" i="5"/>
  <c r="R1508" i="5" s="1"/>
  <c r="S1508" i="5" s="1"/>
  <c r="P1508" i="5"/>
  <c r="J1508" i="5"/>
  <c r="Q1507" i="5"/>
  <c r="R1507" i="5" s="1"/>
  <c r="S1507" i="5" s="1"/>
  <c r="P1507" i="5"/>
  <c r="J1507" i="5"/>
  <c r="Q1506" i="5"/>
  <c r="R1506" i="5" s="1"/>
  <c r="S1506" i="5" s="1"/>
  <c r="P1506" i="5"/>
  <c r="J1506" i="5"/>
  <c r="Q1505" i="5"/>
  <c r="R1505" i="5" s="1"/>
  <c r="S1505" i="5" s="1"/>
  <c r="P1505" i="5"/>
  <c r="J1505" i="5"/>
  <c r="R1504" i="5"/>
  <c r="S1504" i="5" s="1"/>
  <c r="Q1504" i="5"/>
  <c r="P1504" i="5"/>
  <c r="J1504" i="5"/>
  <c r="Q224" i="2"/>
  <c r="R224" i="2" s="1"/>
  <c r="S224" i="2" s="1"/>
  <c r="Q244" i="2"/>
  <c r="R244" i="2" s="1"/>
  <c r="S244" i="2" s="1"/>
  <c r="Q245" i="2"/>
  <c r="R245" i="2" s="1"/>
  <c r="S245" i="2" s="1"/>
  <c r="Q246" i="2"/>
  <c r="R246" i="2" s="1"/>
  <c r="S246" i="2" s="1"/>
  <c r="Q16" i="2"/>
  <c r="R16" i="2" s="1"/>
  <c r="S16" i="2" s="1"/>
  <c r="Q26" i="2"/>
  <c r="R26" i="2" s="1"/>
  <c r="S26" i="2" s="1"/>
  <c r="Q145" i="2"/>
  <c r="R145" i="2" s="1"/>
  <c r="S145" i="2" s="1"/>
  <c r="Q412" i="2"/>
  <c r="R412" i="2" s="1"/>
  <c r="S412" i="2" s="1"/>
  <c r="Q332" i="2"/>
  <c r="R332" i="2" s="1"/>
  <c r="S332" i="2" s="1"/>
  <c r="Q333" i="2"/>
  <c r="R333" i="2" s="1"/>
  <c r="S333" i="2" s="1"/>
  <c r="Q334" i="2"/>
  <c r="R334" i="2" s="1"/>
  <c r="S334" i="2" s="1"/>
  <c r="Q268" i="2"/>
  <c r="R268" i="2" s="1"/>
  <c r="S268" i="2" s="1"/>
  <c r="Q269" i="2"/>
  <c r="R269" i="2" s="1"/>
  <c r="S269" i="2" s="1"/>
  <c r="Q185" i="2"/>
  <c r="R185" i="2" s="1"/>
  <c r="S185" i="2" s="1"/>
  <c r="Q562" i="2"/>
  <c r="R562" i="2" s="1"/>
  <c r="S562" i="2" s="1"/>
  <c r="Q131" i="2"/>
  <c r="R131" i="2" s="1"/>
  <c r="S131" i="2" s="1"/>
  <c r="Q387" i="2"/>
  <c r="R387" i="2" s="1"/>
  <c r="S387" i="2" s="1"/>
  <c r="Q132" i="2"/>
  <c r="R132" i="2" s="1"/>
  <c r="S132" i="2" s="1"/>
  <c r="Q133" i="2"/>
  <c r="R133" i="2" s="1"/>
  <c r="S133" i="2" s="1"/>
  <c r="Q134" i="2"/>
  <c r="R134" i="2" s="1"/>
  <c r="S134" i="2" s="1"/>
  <c r="Q388" i="2"/>
  <c r="R388" i="2" s="1"/>
  <c r="S388" i="2" s="1"/>
  <c r="Q335" i="2"/>
  <c r="R335" i="2" s="1"/>
  <c r="S335" i="2" s="1"/>
  <c r="Q186" i="2"/>
  <c r="R186" i="2" s="1"/>
  <c r="S186" i="2" s="1"/>
  <c r="Q187" i="2"/>
  <c r="R187" i="2" s="1"/>
  <c r="S187" i="2" s="1"/>
  <c r="Q135" i="2"/>
  <c r="R135" i="2" s="1"/>
  <c r="S135" i="2" s="1"/>
  <c r="Q136" i="2"/>
  <c r="R136" i="2" s="1"/>
  <c r="S136" i="2" s="1"/>
  <c r="Q280" i="2"/>
  <c r="R280" i="2" s="1"/>
  <c r="S280" i="2" s="1"/>
  <c r="Q281" i="2"/>
  <c r="R281" i="2" s="1"/>
  <c r="S281" i="2" s="1"/>
  <c r="Q282" i="2"/>
  <c r="R282" i="2" s="1"/>
  <c r="S282" i="2" s="1"/>
  <c r="Q283" i="2"/>
  <c r="R283" i="2" s="1"/>
  <c r="S283" i="2" s="1"/>
  <c r="Q284" i="2"/>
  <c r="R284" i="2" s="1"/>
  <c r="S284" i="2" s="1"/>
  <c r="Q285" i="2"/>
  <c r="R285" i="2" s="1"/>
  <c r="S285" i="2" s="1"/>
  <c r="Q286" i="2"/>
  <c r="R286" i="2" s="1"/>
  <c r="S286" i="2" s="1"/>
  <c r="Q287" i="2"/>
  <c r="R287" i="2" s="1"/>
  <c r="S287" i="2" s="1"/>
  <c r="Q288" i="2"/>
  <c r="R288" i="2" s="1"/>
  <c r="S288" i="2" s="1"/>
  <c r="Q513" i="2"/>
  <c r="R513" i="2" s="1"/>
  <c r="S513" i="2" s="1"/>
  <c r="Q188" i="2"/>
  <c r="R188" i="2" s="1"/>
  <c r="S188" i="2" s="1"/>
  <c r="Q189" i="2"/>
  <c r="R189" i="2" s="1"/>
  <c r="S189" i="2" s="1"/>
  <c r="Q394" i="2"/>
  <c r="R394" i="2" s="1"/>
  <c r="S394" i="2" s="1"/>
  <c r="Q137" i="2"/>
  <c r="R137" i="2" s="1"/>
  <c r="S137" i="2" s="1"/>
  <c r="Q88" i="2"/>
  <c r="R88" i="2" s="1"/>
  <c r="S88" i="2" s="1"/>
  <c r="Q395" i="2"/>
  <c r="R395" i="2" s="1"/>
  <c r="S395" i="2" s="1"/>
  <c r="Q396" i="2"/>
  <c r="R396" i="2" s="1"/>
  <c r="S396" i="2" s="1"/>
  <c r="Q238" i="2"/>
  <c r="R238" i="2" s="1"/>
  <c r="S238" i="2" s="1"/>
  <c r="Q577" i="2"/>
  <c r="R577" i="2" s="1"/>
  <c r="S577" i="2" s="1"/>
  <c r="Q89" i="2"/>
  <c r="R89" i="2" s="1"/>
  <c r="S89" i="2" s="1"/>
  <c r="Q327" i="2"/>
  <c r="R327" i="2" s="1"/>
  <c r="S327" i="2" s="1"/>
  <c r="Q328" i="2"/>
  <c r="R328" i="2" s="1"/>
  <c r="S328" i="2" s="1"/>
  <c r="Q91" i="2"/>
  <c r="R91" i="2" s="1"/>
  <c r="S91" i="2" s="1"/>
  <c r="Q397" i="2"/>
  <c r="R397" i="2" s="1"/>
  <c r="S397" i="2" s="1"/>
  <c r="Q398" i="2"/>
  <c r="R398" i="2" s="1"/>
  <c r="S398" i="2" s="1"/>
  <c r="Q514" i="2"/>
  <c r="R514" i="2" s="1"/>
  <c r="S514" i="2" s="1"/>
  <c r="Q399" i="2"/>
  <c r="R399" i="2" s="1"/>
  <c r="S399" i="2" s="1"/>
  <c r="Q515" i="2"/>
  <c r="R515" i="2" s="1"/>
  <c r="S515" i="2" s="1"/>
  <c r="Q92" i="2"/>
  <c r="R92" i="2" s="1"/>
  <c r="S92" i="2" s="1"/>
  <c r="Q93" i="2"/>
  <c r="R93" i="2" s="1"/>
  <c r="S93" i="2" s="1"/>
  <c r="Q359" i="2"/>
  <c r="R359" i="2" s="1"/>
  <c r="S359" i="2" s="1"/>
  <c r="Q400" i="2"/>
  <c r="R400" i="2" s="1"/>
  <c r="S400" i="2" s="1"/>
  <c r="Q424" i="2"/>
  <c r="R424" i="2" s="1"/>
  <c r="S424" i="2" s="1"/>
  <c r="Q425" i="2"/>
  <c r="R425" i="2" s="1"/>
  <c r="S425" i="2" s="1"/>
  <c r="Q426" i="2"/>
  <c r="R426" i="2" s="1"/>
  <c r="S426" i="2" s="1"/>
  <c r="Q329" i="2"/>
  <c r="R329" i="2" s="1"/>
  <c r="S329" i="2" s="1"/>
  <c r="Q401" i="2"/>
  <c r="R401" i="2" s="1"/>
  <c r="S401" i="2" s="1"/>
  <c r="Q464" i="2"/>
  <c r="R464" i="2" s="1"/>
  <c r="S464" i="2" s="1"/>
  <c r="Q516" i="2"/>
  <c r="R516" i="2" s="1"/>
  <c r="S516" i="2" s="1"/>
  <c r="Q94" i="2"/>
  <c r="R94" i="2" s="1"/>
  <c r="S94" i="2" s="1"/>
  <c r="Q138" i="2"/>
  <c r="R138" i="2" s="1"/>
  <c r="S138" i="2" s="1"/>
  <c r="Q139" i="2"/>
  <c r="R139" i="2" s="1"/>
  <c r="S139" i="2" s="1"/>
  <c r="Q239" i="2"/>
  <c r="R239" i="2" s="1"/>
  <c r="S239" i="2" s="1"/>
  <c r="Q290" i="2"/>
  <c r="R290" i="2" s="1"/>
  <c r="S290" i="2" s="1"/>
  <c r="Q291" i="2"/>
  <c r="R291" i="2" s="1"/>
  <c r="S291" i="2" s="1"/>
  <c r="Q289" i="2"/>
  <c r="R289" i="2" s="1"/>
  <c r="S289" i="2" s="1"/>
  <c r="Q360" i="2"/>
  <c r="R360" i="2" s="1"/>
  <c r="S360" i="2" s="1"/>
  <c r="Q578" i="2"/>
  <c r="R578" i="2" s="1"/>
  <c r="S578" i="2" s="1"/>
  <c r="Q586" i="2"/>
  <c r="R586" i="2" s="1"/>
  <c r="S586" i="2" s="1"/>
  <c r="Q292" i="2"/>
  <c r="R292" i="2" s="1"/>
  <c r="S292" i="2" s="1"/>
  <c r="Q259" i="2"/>
  <c r="R259" i="2" s="1"/>
  <c r="S259" i="2" s="1"/>
  <c r="Q517" i="2"/>
  <c r="R517" i="2" s="1"/>
  <c r="S517" i="2" s="1"/>
  <c r="Q402" i="2"/>
  <c r="R402" i="2" s="1"/>
  <c r="S402" i="2" s="1"/>
  <c r="Q465" i="2"/>
  <c r="R465" i="2" s="1"/>
  <c r="S465" i="2" s="1"/>
  <c r="Q75" i="2"/>
  <c r="R75" i="2" s="1"/>
  <c r="S75" i="2" s="1"/>
  <c r="Q554" i="2"/>
  <c r="R554" i="2" s="1"/>
  <c r="S554" i="2" s="1"/>
  <c r="Q48" i="2"/>
  <c r="R48" i="2" s="1"/>
  <c r="S48" i="2" s="1"/>
  <c r="Q118" i="2"/>
  <c r="R118" i="2" s="1"/>
  <c r="S118" i="2" s="1"/>
  <c r="Q403" i="2"/>
  <c r="R403" i="2" s="1"/>
  <c r="S403" i="2" s="1"/>
  <c r="Q95" i="2"/>
  <c r="R95" i="2" s="1"/>
  <c r="S95" i="2" s="1"/>
  <c r="Q404" i="2"/>
  <c r="R404" i="2" s="1"/>
  <c r="S404" i="2" s="1"/>
  <c r="Q96" i="2"/>
  <c r="R96" i="2" s="1"/>
  <c r="S96" i="2" s="1"/>
  <c r="Q177" i="2"/>
  <c r="R177" i="2" s="1"/>
  <c r="S177" i="2" s="1"/>
  <c r="Q555" i="2"/>
  <c r="R555" i="2" s="1"/>
  <c r="S555" i="2" s="1"/>
  <c r="Q603" i="2"/>
  <c r="R603" i="2" s="1"/>
  <c r="S603" i="2" s="1"/>
  <c r="Q604" i="2"/>
  <c r="R604" i="2" s="1"/>
  <c r="S604" i="2" s="1"/>
  <c r="Q605" i="2"/>
  <c r="R605" i="2" s="1"/>
  <c r="S605" i="2" s="1"/>
  <c r="Q606" i="2"/>
  <c r="R606" i="2" s="1"/>
  <c r="S606" i="2" s="1"/>
  <c r="Q607" i="2"/>
  <c r="R607" i="2" s="1"/>
  <c r="S607" i="2" s="1"/>
  <c r="Q240" i="2"/>
  <c r="R240" i="2" s="1"/>
  <c r="S240" i="2" s="1"/>
  <c r="Q241" i="2"/>
  <c r="R241" i="2" s="1"/>
  <c r="S241" i="2" s="1"/>
  <c r="Q336" i="2"/>
  <c r="R336" i="2" s="1"/>
  <c r="S336" i="2" s="1"/>
  <c r="Q556" i="2"/>
  <c r="R556" i="2" s="1"/>
  <c r="S556" i="2" s="1"/>
  <c r="Q195" i="2"/>
  <c r="R195" i="2" s="1"/>
  <c r="S195" i="2" s="1"/>
  <c r="Q557" i="2"/>
  <c r="R557" i="2" s="1"/>
  <c r="S557" i="2" s="1"/>
  <c r="Q49" i="2"/>
  <c r="R49" i="2" s="1"/>
  <c r="S49" i="2" s="1"/>
  <c r="Q558" i="2"/>
  <c r="R558" i="2" s="1"/>
  <c r="S558" i="2" s="1"/>
  <c r="Q518" i="2"/>
  <c r="R518" i="2" s="1"/>
  <c r="S518" i="2" s="1"/>
  <c r="Q405" i="2"/>
  <c r="R405" i="2" s="1"/>
  <c r="S405" i="2" s="1"/>
  <c r="Q97" i="2"/>
  <c r="R97" i="2" s="1"/>
  <c r="S97" i="2" s="1"/>
  <c r="Q406" i="2"/>
  <c r="R406" i="2" s="1"/>
  <c r="S406" i="2" s="1"/>
  <c r="Q559" i="2"/>
  <c r="R559" i="2" s="1"/>
  <c r="S559" i="2" s="1"/>
  <c r="Q560" i="2"/>
  <c r="R560" i="2" s="1"/>
  <c r="S560" i="2" s="1"/>
  <c r="Q50" i="2"/>
  <c r="R50" i="2" s="1"/>
  <c r="S50" i="2" s="1"/>
  <c r="Q443" i="2"/>
  <c r="R443" i="2" s="1"/>
  <c r="S443" i="2" s="1"/>
  <c r="Q519" i="2"/>
  <c r="R519" i="2" s="1"/>
  <c r="S519" i="2" s="1"/>
  <c r="Q550" i="2"/>
  <c r="R550" i="2" s="1"/>
  <c r="S550" i="2" s="1"/>
  <c r="Q407" i="2"/>
  <c r="R407" i="2" s="1"/>
  <c r="S407" i="2" s="1"/>
  <c r="Q361" i="2"/>
  <c r="R361" i="2" s="1"/>
  <c r="S361" i="2" s="1"/>
  <c r="Q520" i="2"/>
  <c r="R520" i="2" s="1"/>
  <c r="S520" i="2" s="1"/>
  <c r="Q602" i="2"/>
  <c r="R602" i="2" s="1"/>
  <c r="S602" i="2" s="1"/>
  <c r="Q323" i="2"/>
  <c r="R323" i="2" s="1"/>
  <c r="S323" i="2" s="1"/>
  <c r="Q178" i="2"/>
  <c r="R178" i="2" s="1"/>
  <c r="S178" i="2" s="1"/>
  <c r="Q408" i="2"/>
  <c r="R408" i="2" s="1"/>
  <c r="S408" i="2" s="1"/>
  <c r="Q98" i="2"/>
  <c r="R98" i="2" s="1"/>
  <c r="S98" i="2" s="1"/>
  <c r="Q324" i="2"/>
  <c r="R324" i="2" s="1"/>
  <c r="S324" i="2" s="1"/>
  <c r="Q325" i="2"/>
  <c r="R325" i="2" s="1"/>
  <c r="S325" i="2" s="1"/>
  <c r="Q563" i="2"/>
  <c r="R563" i="2" s="1"/>
  <c r="S563" i="2" s="1"/>
  <c r="Q608" i="2"/>
  <c r="R608" i="2" s="1"/>
  <c r="S608" i="2" s="1"/>
  <c r="Q190" i="2"/>
  <c r="R190" i="2" s="1"/>
  <c r="S190" i="2" s="1"/>
  <c r="Q409" i="2"/>
  <c r="R409" i="2" s="1"/>
  <c r="S409" i="2" s="1"/>
  <c r="Q521" i="2"/>
  <c r="R521" i="2" s="1"/>
  <c r="S521" i="2" s="1"/>
  <c r="Q99" i="2"/>
  <c r="R99" i="2" s="1"/>
  <c r="S99" i="2" s="1"/>
  <c r="Q339" i="2"/>
  <c r="R339" i="2" s="1"/>
  <c r="S339" i="2" s="1"/>
  <c r="Q337" i="2"/>
  <c r="R337" i="2" s="1"/>
  <c r="S337" i="2" s="1"/>
  <c r="Q191" i="2"/>
  <c r="R191" i="2" s="1"/>
  <c r="S191" i="2" s="1"/>
  <c r="Q338" i="2"/>
  <c r="R338" i="2" s="1"/>
  <c r="S338" i="2" s="1"/>
  <c r="Q566" i="2"/>
  <c r="R566" i="2" s="1"/>
  <c r="S566" i="2" s="1"/>
  <c r="Q326" i="2"/>
  <c r="R326" i="2" s="1"/>
  <c r="S326" i="2" s="1"/>
  <c r="Q410" i="2"/>
  <c r="R410" i="2" s="1"/>
  <c r="S410" i="2" s="1"/>
  <c r="Q100" i="2"/>
  <c r="R100" i="2" s="1"/>
  <c r="S100" i="2" s="1"/>
  <c r="Q564" i="2"/>
  <c r="R564" i="2" s="1"/>
  <c r="S564" i="2" s="1"/>
  <c r="Q423" i="2"/>
  <c r="R423" i="2" s="1"/>
  <c r="S423" i="2" s="1"/>
  <c r="Q340" i="2"/>
  <c r="R340" i="2" s="1"/>
  <c r="S340" i="2" s="1"/>
  <c r="Q411" i="2"/>
  <c r="R411" i="2" s="1"/>
  <c r="S411" i="2" s="1"/>
  <c r="Q51" i="2"/>
  <c r="R51" i="2" s="1"/>
  <c r="S51" i="2" s="1"/>
  <c r="Q214" i="2"/>
  <c r="R214" i="2" s="1"/>
  <c r="S214" i="2" s="1"/>
  <c r="Q2" i="2"/>
  <c r="R2" i="2" s="1"/>
  <c r="S2" i="2" s="1"/>
  <c r="Q522" i="2"/>
  <c r="R522" i="2" s="1"/>
  <c r="S522" i="2" s="1"/>
  <c r="Q543" i="2"/>
  <c r="R543" i="2" s="1"/>
  <c r="S543" i="2" s="1"/>
  <c r="Q196" i="2"/>
  <c r="R196" i="2" s="1"/>
  <c r="S196" i="2" s="1"/>
  <c r="Q362" i="2"/>
  <c r="R362" i="2" s="1"/>
  <c r="S362" i="2" s="1"/>
  <c r="Q571" i="2"/>
  <c r="R571" i="2" s="1"/>
  <c r="S571" i="2" s="1"/>
  <c r="Q429" i="2"/>
  <c r="R429" i="2" s="1"/>
  <c r="S429" i="2" s="1"/>
  <c r="Q572" i="2"/>
  <c r="R572" i="2" s="1"/>
  <c r="S572" i="2" s="1"/>
  <c r="Q430" i="2"/>
  <c r="R430" i="2" s="1"/>
  <c r="S430" i="2" s="1"/>
  <c r="Q573" i="2"/>
  <c r="R573" i="2" s="1"/>
  <c r="S573" i="2" s="1"/>
  <c r="Q431" i="2"/>
  <c r="R431" i="2" s="1"/>
  <c r="S431" i="2" s="1"/>
  <c r="Q574" i="2"/>
  <c r="R574" i="2" s="1"/>
  <c r="S574" i="2" s="1"/>
  <c r="Q197" i="2"/>
  <c r="R197" i="2" s="1"/>
  <c r="S197" i="2" s="1"/>
  <c r="Q389" i="2"/>
  <c r="R389" i="2" s="1"/>
  <c r="S389" i="2" s="1"/>
  <c r="Q77" i="2"/>
  <c r="R77" i="2" s="1"/>
  <c r="S77" i="2" s="1"/>
  <c r="Q462" i="2"/>
  <c r="R462" i="2" s="1"/>
  <c r="S462" i="2" s="1"/>
  <c r="Q463" i="2"/>
  <c r="R463" i="2" s="1"/>
  <c r="S463" i="2" s="1"/>
  <c r="Q363" i="2"/>
  <c r="R363" i="2" s="1"/>
  <c r="S363" i="2" s="1"/>
  <c r="Q444" i="2"/>
  <c r="R444" i="2" s="1"/>
  <c r="S444" i="2" s="1"/>
  <c r="Q417" i="2"/>
  <c r="R417" i="2" s="1"/>
  <c r="S417" i="2" s="1"/>
  <c r="Q445" i="2"/>
  <c r="R445" i="2" s="1"/>
  <c r="S445" i="2" s="1"/>
  <c r="Q293" i="2"/>
  <c r="R293" i="2" s="1"/>
  <c r="S293" i="2" s="1"/>
  <c r="Q294" i="2"/>
  <c r="R294" i="2" s="1"/>
  <c r="S294" i="2" s="1"/>
  <c r="Q80" i="2"/>
  <c r="R80" i="2" s="1"/>
  <c r="S80" i="2" s="1"/>
  <c r="Q198" i="2"/>
  <c r="R198" i="2" s="1"/>
  <c r="S198" i="2" s="1"/>
  <c r="Q561" i="2"/>
  <c r="R561" i="2" s="1"/>
  <c r="S561" i="2" s="1"/>
  <c r="Q446" i="2"/>
  <c r="R446" i="2" s="1"/>
  <c r="S446" i="2" s="1"/>
  <c r="Q591" i="2"/>
  <c r="R591" i="2" s="1"/>
  <c r="S591" i="2" s="1"/>
  <c r="Q592" i="2"/>
  <c r="R592" i="2" s="1"/>
  <c r="S592" i="2" s="1"/>
  <c r="Q593" i="2"/>
  <c r="R593" i="2" s="1"/>
  <c r="S593" i="2" s="1"/>
  <c r="Q523" i="2"/>
  <c r="R523" i="2" s="1"/>
  <c r="S523" i="2" s="1"/>
  <c r="Q524" i="2"/>
  <c r="R524" i="2" s="1"/>
  <c r="S524" i="2" s="1"/>
  <c r="Q32" i="2"/>
  <c r="R32" i="2" s="1"/>
  <c r="S32" i="2" s="1"/>
  <c r="Q594" i="2"/>
  <c r="R594" i="2" s="1"/>
  <c r="S594" i="2" s="1"/>
  <c r="Q595" i="2"/>
  <c r="R595" i="2" s="1"/>
  <c r="S595" i="2" s="1"/>
  <c r="Q596" i="2"/>
  <c r="R596" i="2" s="1"/>
  <c r="S596" i="2" s="1"/>
  <c r="Q109" i="2"/>
  <c r="R109" i="2" s="1"/>
  <c r="S109" i="2" s="1"/>
  <c r="Q447" i="2"/>
  <c r="R447" i="2" s="1"/>
  <c r="S447" i="2" s="1"/>
  <c r="Q122" i="2"/>
  <c r="R122" i="2" s="1"/>
  <c r="S122" i="2" s="1"/>
  <c r="Q192" i="2"/>
  <c r="R192" i="2" s="1"/>
  <c r="S192" i="2" s="1"/>
  <c r="Q110" i="2"/>
  <c r="R110" i="2" s="1"/>
  <c r="S110" i="2" s="1"/>
  <c r="Q111" i="2"/>
  <c r="R111" i="2" s="1"/>
  <c r="S111" i="2" s="1"/>
  <c r="Q112" i="2"/>
  <c r="R112" i="2" s="1"/>
  <c r="S112" i="2" s="1"/>
  <c r="Q295" i="2"/>
  <c r="R295" i="2" s="1"/>
  <c r="S295" i="2" s="1"/>
  <c r="Q551" i="2"/>
  <c r="R551" i="2" s="1"/>
  <c r="S551" i="2" s="1"/>
  <c r="Q391" i="2"/>
  <c r="R391" i="2" s="1"/>
  <c r="S391" i="2" s="1"/>
  <c r="Q296" i="2"/>
  <c r="R296" i="2" s="1"/>
  <c r="S296" i="2" s="1"/>
  <c r="Q270" i="2"/>
  <c r="R270" i="2" s="1"/>
  <c r="S270" i="2" s="1"/>
  <c r="Q297" i="2"/>
  <c r="R297" i="2" s="1"/>
  <c r="S297" i="2" s="1"/>
  <c r="Q448" i="2"/>
  <c r="R448" i="2" s="1"/>
  <c r="S448" i="2" s="1"/>
  <c r="Q298" i="2"/>
  <c r="R298" i="2" s="1"/>
  <c r="S298" i="2" s="1"/>
  <c r="Q90" i="2"/>
  <c r="R90" i="2" s="1"/>
  <c r="S90" i="2" s="1"/>
  <c r="Q449" i="2"/>
  <c r="R449" i="2" s="1"/>
  <c r="S449" i="2" s="1"/>
  <c r="Q179" i="2"/>
  <c r="R179" i="2" s="1"/>
  <c r="S179" i="2" s="1"/>
  <c r="Q552" i="2"/>
  <c r="R552" i="2" s="1"/>
  <c r="S552" i="2" s="1"/>
  <c r="Q565" i="2"/>
  <c r="R565" i="2" s="1"/>
  <c r="S565" i="2" s="1"/>
  <c r="Q553" i="2"/>
  <c r="R553" i="2" s="1"/>
  <c r="S553" i="2" s="1"/>
  <c r="Q193" i="2"/>
  <c r="R193" i="2" s="1"/>
  <c r="S193" i="2" s="1"/>
  <c r="Q180" i="2"/>
  <c r="R180" i="2" s="1"/>
  <c r="S180" i="2" s="1"/>
  <c r="Q260" i="2"/>
  <c r="R260" i="2" s="1"/>
  <c r="S260" i="2" s="1"/>
  <c r="Q261" i="2"/>
  <c r="R261" i="2" s="1"/>
  <c r="S261" i="2" s="1"/>
  <c r="Q418" i="2"/>
  <c r="R418" i="2" s="1"/>
  <c r="S418" i="2" s="1"/>
  <c r="Q113" i="2"/>
  <c r="R113" i="2" s="1"/>
  <c r="S113" i="2" s="1"/>
  <c r="Q364" i="2"/>
  <c r="R364" i="2" s="1"/>
  <c r="S364" i="2" s="1"/>
  <c r="Q78" i="2"/>
  <c r="R78" i="2" s="1"/>
  <c r="S78" i="2" s="1"/>
  <c r="Q194" i="2"/>
  <c r="R194" i="2" s="1"/>
  <c r="S194" i="2" s="1"/>
  <c r="Q427" i="2"/>
  <c r="R427" i="2" s="1"/>
  <c r="S427" i="2" s="1"/>
  <c r="Q497" i="2"/>
  <c r="R497" i="2" s="1"/>
  <c r="S497" i="2" s="1"/>
  <c r="Q525" i="2"/>
  <c r="R525" i="2" s="1"/>
  <c r="S525" i="2" s="1"/>
  <c r="Q247" i="2"/>
  <c r="R247" i="2" s="1"/>
  <c r="S247" i="2" s="1"/>
  <c r="Q365" i="2"/>
  <c r="R365" i="2" s="1"/>
  <c r="S365" i="2" s="1"/>
  <c r="Q366" i="2"/>
  <c r="R366" i="2" s="1"/>
  <c r="S366" i="2" s="1"/>
  <c r="Q499" i="2"/>
  <c r="R499" i="2" s="1"/>
  <c r="S499" i="2" s="1"/>
  <c r="Q372" i="2"/>
  <c r="R372" i="2" s="1"/>
  <c r="S372" i="2" s="1"/>
  <c r="Q373" i="2"/>
  <c r="R373" i="2" s="1"/>
  <c r="S373" i="2" s="1"/>
  <c r="Q374" i="2"/>
  <c r="R374" i="2" s="1"/>
  <c r="S374" i="2" s="1"/>
  <c r="Q375" i="2"/>
  <c r="R375" i="2" s="1"/>
  <c r="S375" i="2" s="1"/>
  <c r="Q432" i="2"/>
  <c r="R432" i="2" s="1"/>
  <c r="S432" i="2" s="1"/>
  <c r="Q433" i="2"/>
  <c r="R433" i="2" s="1"/>
  <c r="S433" i="2" s="1"/>
  <c r="Q434" i="2"/>
  <c r="R434" i="2" s="1"/>
  <c r="S434" i="2" s="1"/>
  <c r="Q435" i="2"/>
  <c r="R435" i="2" s="1"/>
  <c r="S435" i="2" s="1"/>
  <c r="Q436" i="2"/>
  <c r="R436" i="2" s="1"/>
  <c r="S436" i="2" s="1"/>
  <c r="Q600" i="2"/>
  <c r="R600" i="2" s="1"/>
  <c r="S600" i="2" s="1"/>
  <c r="Q315" i="2"/>
  <c r="R315" i="2" s="1"/>
  <c r="S315" i="2" s="1"/>
  <c r="Q500" i="2"/>
  <c r="R500" i="2" s="1"/>
  <c r="S500" i="2" s="1"/>
  <c r="Q367" i="2"/>
  <c r="R367" i="2" s="1"/>
  <c r="S367" i="2" s="1"/>
  <c r="Q501" i="2"/>
  <c r="R501" i="2" s="1"/>
  <c r="S501" i="2" s="1"/>
  <c r="Q466" i="2"/>
  <c r="R466" i="2" s="1"/>
  <c r="S466" i="2" s="1"/>
  <c r="Q502" i="2"/>
  <c r="R502" i="2" s="1"/>
  <c r="S502" i="2" s="1"/>
  <c r="Q144" i="2"/>
  <c r="R144" i="2" s="1"/>
  <c r="S144" i="2" s="1"/>
  <c r="Q390" i="2"/>
  <c r="R390" i="2" s="1"/>
  <c r="S390" i="2" s="1"/>
  <c r="Q503" i="2"/>
  <c r="R503" i="2" s="1"/>
  <c r="S503" i="2" s="1"/>
  <c r="Q237" i="2"/>
  <c r="R237" i="2" s="1"/>
  <c r="S237" i="2" s="1"/>
  <c r="Q526" i="2"/>
  <c r="R526" i="2" s="1"/>
  <c r="S526" i="2" s="1"/>
  <c r="Q579" i="2"/>
  <c r="R579" i="2" s="1"/>
  <c r="S579" i="2" s="1"/>
  <c r="Q181" i="2"/>
  <c r="R181" i="2" s="1"/>
  <c r="S181" i="2" s="1"/>
  <c r="Q182" i="2"/>
  <c r="R182" i="2" s="1"/>
  <c r="S182" i="2" s="1"/>
  <c r="Q504" i="2"/>
  <c r="R504" i="2" s="1"/>
  <c r="S504" i="2" s="1"/>
  <c r="Q40" i="2"/>
  <c r="R40" i="2" s="1"/>
  <c r="S40" i="2" s="1"/>
  <c r="Q41" i="2"/>
  <c r="R41" i="2" s="1"/>
  <c r="S41" i="2" s="1"/>
  <c r="Q467" i="2"/>
  <c r="R467" i="2" s="1"/>
  <c r="S467" i="2" s="1"/>
  <c r="Q505" i="2"/>
  <c r="R505" i="2" s="1"/>
  <c r="S505" i="2" s="1"/>
  <c r="Q262" i="2"/>
  <c r="R262" i="2" s="1"/>
  <c r="S262" i="2" s="1"/>
  <c r="Q480" i="2"/>
  <c r="R480" i="2" s="1"/>
  <c r="S480" i="2" s="1"/>
  <c r="Q146" i="2"/>
  <c r="R146" i="2" s="1"/>
  <c r="S146" i="2" s="1"/>
  <c r="Q580" i="2"/>
  <c r="R580" i="2" s="1"/>
  <c r="S580" i="2" s="1"/>
  <c r="Q248" i="2"/>
  <c r="R248" i="2" s="1"/>
  <c r="S248" i="2" s="1"/>
  <c r="Q263" i="2"/>
  <c r="R263" i="2" s="1"/>
  <c r="S263" i="2" s="1"/>
  <c r="Q506" i="2"/>
  <c r="R506" i="2" s="1"/>
  <c r="S506" i="2" s="1"/>
  <c r="Q147" i="2"/>
  <c r="R147" i="2" s="1"/>
  <c r="S147" i="2" s="1"/>
  <c r="Q507" i="2"/>
  <c r="R507" i="2" s="1"/>
  <c r="S507" i="2" s="1"/>
  <c r="Q215" i="2"/>
  <c r="R215" i="2" s="1"/>
  <c r="S215" i="2" s="1"/>
  <c r="Q216" i="2"/>
  <c r="R216" i="2" s="1"/>
  <c r="S216" i="2" s="1"/>
  <c r="Q217" i="2"/>
  <c r="R217" i="2" s="1"/>
  <c r="S217" i="2" s="1"/>
  <c r="Q218" i="2"/>
  <c r="R218" i="2" s="1"/>
  <c r="S218" i="2" s="1"/>
  <c r="Q219" i="2"/>
  <c r="R219" i="2" s="1"/>
  <c r="S219" i="2" s="1"/>
  <c r="Q220" i="2"/>
  <c r="R220" i="2" s="1"/>
  <c r="S220" i="2" s="1"/>
  <c r="Q3" i="2"/>
  <c r="R3" i="2" s="1"/>
  <c r="S3" i="2" s="1"/>
  <c r="Q4" i="2"/>
  <c r="R4" i="2" s="1"/>
  <c r="S4" i="2" s="1"/>
  <c r="Q5" i="2"/>
  <c r="R5" i="2" s="1"/>
  <c r="S5" i="2" s="1"/>
  <c r="Q6" i="2"/>
  <c r="R6" i="2" s="1"/>
  <c r="S6" i="2" s="1"/>
  <c r="Q7" i="2"/>
  <c r="R7" i="2" s="1"/>
  <c r="S7" i="2" s="1"/>
  <c r="Q8" i="2"/>
  <c r="R8" i="2" s="1"/>
  <c r="S8" i="2" s="1"/>
  <c r="Q9" i="2"/>
  <c r="R9" i="2" s="1"/>
  <c r="S9" i="2" s="1"/>
  <c r="Q10" i="2"/>
  <c r="R10" i="2" s="1"/>
  <c r="S10" i="2" s="1"/>
  <c r="Q148" i="2"/>
  <c r="R148" i="2" s="1"/>
  <c r="S148" i="2" s="1"/>
  <c r="Q264" i="2"/>
  <c r="R264" i="2" s="1"/>
  <c r="S264" i="2" s="1"/>
  <c r="Q27" i="2"/>
  <c r="R27" i="2" s="1"/>
  <c r="S27" i="2" s="1"/>
  <c r="Q183" i="2"/>
  <c r="R183" i="2" s="1"/>
  <c r="S183" i="2" s="1"/>
  <c r="Q481" i="2"/>
  <c r="R481" i="2" s="1"/>
  <c r="S481" i="2" s="1"/>
  <c r="Q119" i="2"/>
  <c r="R119" i="2" s="1"/>
  <c r="S119" i="2" s="1"/>
  <c r="Q508" i="2"/>
  <c r="R508" i="2" s="1"/>
  <c r="S508" i="2" s="1"/>
  <c r="Q221" i="2"/>
  <c r="R221" i="2" s="1"/>
  <c r="S221" i="2" s="1"/>
  <c r="Q222" i="2"/>
  <c r="R222" i="2" s="1"/>
  <c r="S222" i="2" s="1"/>
  <c r="Q223" i="2"/>
  <c r="R223" i="2" s="1"/>
  <c r="S223" i="2" s="1"/>
  <c r="Q11" i="2"/>
  <c r="R11" i="2" s="1"/>
  <c r="S11" i="2" s="1"/>
  <c r="Q12" i="2"/>
  <c r="R12" i="2" s="1"/>
  <c r="S12" i="2" s="1"/>
  <c r="Q509" i="2"/>
  <c r="R509" i="2" s="1"/>
  <c r="S509" i="2" s="1"/>
  <c r="Q149" i="2"/>
  <c r="R149" i="2" s="1"/>
  <c r="S149" i="2" s="1"/>
  <c r="Q52" i="2"/>
  <c r="R52" i="2" s="1"/>
  <c r="S52" i="2" s="1"/>
  <c r="Q53" i="2"/>
  <c r="R53" i="2" s="1"/>
  <c r="S53" i="2" s="1"/>
  <c r="Q341" i="2"/>
  <c r="R341" i="2" s="1"/>
  <c r="S341" i="2" s="1"/>
  <c r="Q342" i="2"/>
  <c r="R342" i="2" s="1"/>
  <c r="S342" i="2" s="1"/>
  <c r="Q343" i="2"/>
  <c r="R343" i="2" s="1"/>
  <c r="S343" i="2" s="1"/>
  <c r="Q344" i="2"/>
  <c r="R344" i="2" s="1"/>
  <c r="S344" i="2" s="1"/>
  <c r="Q345" i="2"/>
  <c r="R345" i="2" s="1"/>
  <c r="S345" i="2" s="1"/>
  <c r="Q346" i="2"/>
  <c r="R346" i="2" s="1"/>
  <c r="S346" i="2" s="1"/>
  <c r="Q347" i="2"/>
  <c r="R347" i="2" s="1"/>
  <c r="S347" i="2" s="1"/>
  <c r="Q348" i="2"/>
  <c r="R348" i="2" s="1"/>
  <c r="S348" i="2" s="1"/>
  <c r="Q349" i="2"/>
  <c r="R349" i="2" s="1"/>
  <c r="S349" i="2" s="1"/>
  <c r="Q350" i="2"/>
  <c r="R350" i="2" s="1"/>
  <c r="S350" i="2" s="1"/>
  <c r="Q351" i="2"/>
  <c r="R351" i="2" s="1"/>
  <c r="S351" i="2" s="1"/>
  <c r="Q352" i="2"/>
  <c r="R352" i="2" s="1"/>
  <c r="S352" i="2" s="1"/>
  <c r="Q54" i="2"/>
  <c r="R54" i="2" s="1"/>
  <c r="S54" i="2" s="1"/>
  <c r="Q55" i="2"/>
  <c r="R55" i="2" s="1"/>
  <c r="S55" i="2" s="1"/>
  <c r="Q56" i="2"/>
  <c r="R56" i="2" s="1"/>
  <c r="S56" i="2" s="1"/>
  <c r="Q57" i="2"/>
  <c r="R57" i="2" s="1"/>
  <c r="S57" i="2" s="1"/>
  <c r="Q58" i="2"/>
  <c r="R58" i="2" s="1"/>
  <c r="S58" i="2" s="1"/>
  <c r="Q59" i="2"/>
  <c r="R59" i="2" s="1"/>
  <c r="S59" i="2" s="1"/>
  <c r="Q60" i="2"/>
  <c r="R60" i="2" s="1"/>
  <c r="S60" i="2" s="1"/>
  <c r="Q61" i="2"/>
  <c r="R61" i="2" s="1"/>
  <c r="S61" i="2" s="1"/>
  <c r="Q62" i="2"/>
  <c r="R62" i="2" s="1"/>
  <c r="S62" i="2" s="1"/>
  <c r="Q63" i="2"/>
  <c r="R63" i="2" s="1"/>
  <c r="S63" i="2" s="1"/>
  <c r="Q64" i="2"/>
  <c r="R64" i="2" s="1"/>
  <c r="S64" i="2" s="1"/>
  <c r="Q65" i="2"/>
  <c r="R65" i="2" s="1"/>
  <c r="S65" i="2" s="1"/>
  <c r="Q66" i="2"/>
  <c r="R66" i="2" s="1"/>
  <c r="S66" i="2" s="1"/>
  <c r="Q67" i="2"/>
  <c r="R67" i="2" s="1"/>
  <c r="S67" i="2" s="1"/>
  <c r="Q68" i="2"/>
  <c r="R68" i="2" s="1"/>
  <c r="S68" i="2" s="1"/>
  <c r="Q69" i="2"/>
  <c r="R69" i="2" s="1"/>
  <c r="S69" i="2" s="1"/>
  <c r="Q150" i="2"/>
  <c r="R150" i="2" s="1"/>
  <c r="S150" i="2" s="1"/>
  <c r="Q151" i="2"/>
  <c r="R151" i="2" s="1"/>
  <c r="S151" i="2" s="1"/>
  <c r="Q510" i="2"/>
  <c r="R510" i="2" s="1"/>
  <c r="S510" i="2" s="1"/>
  <c r="Q498" i="2"/>
  <c r="R498" i="2" s="1"/>
  <c r="S498" i="2" s="1"/>
  <c r="Q141" i="2"/>
  <c r="R141" i="2" s="1"/>
  <c r="S141" i="2" s="1"/>
  <c r="Q376" i="2"/>
  <c r="R376" i="2" s="1"/>
  <c r="S376" i="2" s="1"/>
  <c r="Q82" i="2"/>
  <c r="R82" i="2" s="1"/>
  <c r="S82" i="2" s="1"/>
  <c r="Q120" i="2"/>
  <c r="R120" i="2" s="1"/>
  <c r="S120" i="2" s="1"/>
  <c r="Q83" i="2"/>
  <c r="R83" i="2" s="1"/>
  <c r="S83" i="2" s="1"/>
  <c r="Q163" i="2"/>
  <c r="R163" i="2" s="1"/>
  <c r="S163" i="2" s="1"/>
  <c r="Q306" i="2"/>
  <c r="R306" i="2" s="1"/>
  <c r="S306" i="2" s="1"/>
  <c r="Q468" i="2"/>
  <c r="R468" i="2" s="1"/>
  <c r="S468" i="2" s="1"/>
  <c r="Q142" i="2"/>
  <c r="R142" i="2" s="1"/>
  <c r="S142" i="2" s="1"/>
  <c r="Q130" i="2"/>
  <c r="R130" i="2" s="1"/>
  <c r="S130" i="2" s="1"/>
  <c r="Q42" i="2"/>
  <c r="R42" i="2" s="1"/>
  <c r="S42" i="2" s="1"/>
  <c r="Q304" i="2"/>
  <c r="R304" i="2" s="1"/>
  <c r="S304" i="2" s="1"/>
  <c r="Q458" i="2"/>
  <c r="R458" i="2" s="1"/>
  <c r="S458" i="2" s="1"/>
  <c r="Q277" i="2"/>
  <c r="R277" i="2" s="1"/>
  <c r="S277" i="2" s="1"/>
  <c r="Q316" i="2"/>
  <c r="R316" i="2" s="1"/>
  <c r="S316" i="2" s="1"/>
  <c r="Q491" i="2"/>
  <c r="R491" i="2" s="1"/>
  <c r="S491" i="2" s="1"/>
  <c r="Q255" i="2"/>
  <c r="R255" i="2" s="1"/>
  <c r="S255" i="2" s="1"/>
  <c r="Q43" i="2"/>
  <c r="R43" i="2" s="1"/>
  <c r="S43" i="2" s="1"/>
  <c r="Q581" i="2"/>
  <c r="R581" i="2" s="1"/>
  <c r="S581" i="2" s="1"/>
  <c r="Q271" i="2"/>
  <c r="R271" i="2" s="1"/>
  <c r="S271" i="2" s="1"/>
  <c r="Q492" i="2"/>
  <c r="R492" i="2" s="1"/>
  <c r="S492" i="2" s="1"/>
  <c r="Q493" i="2"/>
  <c r="R493" i="2" s="1"/>
  <c r="S493" i="2" s="1"/>
  <c r="Q546" i="2"/>
  <c r="R546" i="2" s="1"/>
  <c r="S546" i="2" s="1"/>
  <c r="Q84" i="2"/>
  <c r="R84" i="2" s="1"/>
  <c r="S84" i="2" s="1"/>
  <c r="Q317" i="2"/>
  <c r="R317" i="2" s="1"/>
  <c r="S317" i="2" s="1"/>
  <c r="Q494" i="2"/>
  <c r="R494" i="2" s="1"/>
  <c r="S494" i="2" s="1"/>
  <c r="Q17" i="2"/>
  <c r="R17" i="2" s="1"/>
  <c r="S17" i="2" s="1"/>
  <c r="Q305" i="2"/>
  <c r="R305" i="2" s="1"/>
  <c r="S305" i="2" s="1"/>
  <c r="Q184" i="2"/>
  <c r="R184" i="2" s="1"/>
  <c r="S184" i="2" s="1"/>
  <c r="Q33" i="2"/>
  <c r="R33" i="2" s="1"/>
  <c r="S33" i="2" s="1"/>
  <c r="Q70" i="2"/>
  <c r="R70" i="2" s="1"/>
  <c r="S70" i="2" s="1"/>
  <c r="Q71" i="2"/>
  <c r="R71" i="2" s="1"/>
  <c r="S71" i="2" s="1"/>
  <c r="Q353" i="2"/>
  <c r="R353" i="2" s="1"/>
  <c r="S353" i="2" s="1"/>
  <c r="Q354" i="2"/>
  <c r="R354" i="2" s="1"/>
  <c r="S354" i="2" s="1"/>
  <c r="Q355" i="2"/>
  <c r="R355" i="2" s="1"/>
  <c r="S355" i="2" s="1"/>
  <c r="Q356" i="2"/>
  <c r="R356" i="2" s="1"/>
  <c r="S356" i="2" s="1"/>
  <c r="Q357" i="2"/>
  <c r="R357" i="2" s="1"/>
  <c r="S357" i="2" s="1"/>
  <c r="Q72" i="2"/>
  <c r="R72" i="2" s="1"/>
  <c r="S72" i="2" s="1"/>
  <c r="Q73" i="2"/>
  <c r="R73" i="2" s="1"/>
  <c r="S73" i="2" s="1"/>
  <c r="Q74" i="2"/>
  <c r="R74" i="2" s="1"/>
  <c r="S74" i="2" s="1"/>
  <c r="Q249" i="2"/>
  <c r="R249" i="2" s="1"/>
  <c r="S249" i="2" s="1"/>
  <c r="Q459" i="2"/>
  <c r="R459" i="2" s="1"/>
  <c r="S459" i="2" s="1"/>
  <c r="Q437" i="2"/>
  <c r="R437" i="2" s="1"/>
  <c r="S437" i="2" s="1"/>
  <c r="Q460" i="2"/>
  <c r="R460" i="2" s="1"/>
  <c r="S460" i="2" s="1"/>
  <c r="Q85" i="2"/>
  <c r="R85" i="2" s="1"/>
  <c r="S85" i="2" s="1"/>
  <c r="Q278" i="2"/>
  <c r="R278" i="2" s="1"/>
  <c r="S278" i="2" s="1"/>
  <c r="Q377" i="2"/>
  <c r="R377" i="2" s="1"/>
  <c r="S377" i="2" s="1"/>
  <c r="Q378" i="2"/>
  <c r="R378" i="2" s="1"/>
  <c r="S378" i="2" s="1"/>
  <c r="Q438" i="2"/>
  <c r="R438" i="2" s="1"/>
  <c r="S438" i="2" s="1"/>
  <c r="Q318" i="2"/>
  <c r="R318" i="2" s="1"/>
  <c r="S318" i="2" s="1"/>
  <c r="Q379" i="2"/>
  <c r="R379" i="2" s="1"/>
  <c r="S379" i="2" s="1"/>
  <c r="Q299" i="2"/>
  <c r="R299" i="2" s="1"/>
  <c r="S299" i="2" s="1"/>
  <c r="Q582" i="2"/>
  <c r="R582" i="2" s="1"/>
  <c r="S582" i="2" s="1"/>
  <c r="Q272" i="2"/>
  <c r="R272" i="2" s="1"/>
  <c r="S272" i="2" s="1"/>
  <c r="Q413" i="2"/>
  <c r="R413" i="2" s="1"/>
  <c r="S413" i="2" s="1"/>
  <c r="Q380" i="2"/>
  <c r="R380" i="2" s="1"/>
  <c r="S380" i="2" s="1"/>
  <c r="Q319" i="2"/>
  <c r="R319" i="2" s="1"/>
  <c r="S319" i="2" s="1"/>
  <c r="Q381" i="2"/>
  <c r="R381" i="2" s="1"/>
  <c r="S381" i="2" s="1"/>
  <c r="Q483" i="2"/>
  <c r="R483" i="2" s="1"/>
  <c r="S483" i="2" s="1"/>
  <c r="Q101" i="2"/>
  <c r="R101" i="2" s="1"/>
  <c r="S101" i="2" s="1"/>
  <c r="Q102" i="2"/>
  <c r="R102" i="2" s="1"/>
  <c r="S102" i="2" s="1"/>
  <c r="Q103" i="2"/>
  <c r="R103" i="2" s="1"/>
  <c r="S103" i="2" s="1"/>
  <c r="Q164" i="2"/>
  <c r="R164" i="2" s="1"/>
  <c r="S164" i="2" s="1"/>
  <c r="Q414" i="2"/>
  <c r="R414" i="2" s="1"/>
  <c r="S414" i="2" s="1"/>
  <c r="Q34" i="2"/>
  <c r="R34" i="2" s="1"/>
  <c r="S34" i="2" s="1"/>
  <c r="Q567" i="2"/>
  <c r="R567" i="2" s="1"/>
  <c r="S567" i="2" s="1"/>
  <c r="Q568" i="2"/>
  <c r="R568" i="2" s="1"/>
  <c r="S568" i="2" s="1"/>
  <c r="Q273" i="2"/>
  <c r="R273" i="2" s="1"/>
  <c r="S273" i="2" s="1"/>
  <c r="Q114" i="2"/>
  <c r="R114" i="2" s="1"/>
  <c r="S114" i="2" s="1"/>
  <c r="Q128" i="2"/>
  <c r="R128" i="2" s="1"/>
  <c r="S128" i="2" s="1"/>
  <c r="Q307" i="2"/>
  <c r="R307" i="2" s="1"/>
  <c r="S307" i="2" s="1"/>
  <c r="Q482" i="2"/>
  <c r="R482" i="2" s="1"/>
  <c r="S482" i="2" s="1"/>
  <c r="Q415" i="2"/>
  <c r="R415" i="2" s="1"/>
  <c r="S415" i="2" s="1"/>
  <c r="Q416" i="2"/>
  <c r="R416" i="2" s="1"/>
  <c r="S416" i="2" s="1"/>
  <c r="Q199" i="2"/>
  <c r="R199" i="2" s="1"/>
  <c r="S199" i="2" s="1"/>
  <c r="Q208" i="2"/>
  <c r="R208" i="2" s="1"/>
  <c r="S208" i="2" s="1"/>
  <c r="Q235" i="2"/>
  <c r="R235" i="2" s="1"/>
  <c r="S235" i="2" s="1"/>
  <c r="Q256" i="2"/>
  <c r="R256" i="2" s="1"/>
  <c r="S256" i="2" s="1"/>
  <c r="Q320" i="2"/>
  <c r="R320" i="2" s="1"/>
  <c r="S320" i="2" s="1"/>
  <c r="Q382" i="2"/>
  <c r="R382" i="2" s="1"/>
  <c r="S382" i="2" s="1"/>
  <c r="Q439" i="2"/>
  <c r="R439" i="2" s="1"/>
  <c r="S439" i="2" s="1"/>
  <c r="Q495" i="2"/>
  <c r="R495" i="2" s="1"/>
  <c r="S495" i="2" s="1"/>
  <c r="Q547" i="2"/>
  <c r="R547" i="2" s="1"/>
  <c r="S547" i="2" s="1"/>
  <c r="Q129" i="2"/>
  <c r="R129" i="2" s="1"/>
  <c r="S129" i="2" s="1"/>
  <c r="Q143" i="2"/>
  <c r="R143" i="2" s="1"/>
  <c r="S143" i="2" s="1"/>
  <c r="Q174" i="2"/>
  <c r="R174" i="2" s="1"/>
  <c r="S174" i="2" s="1"/>
  <c r="Q209" i="2"/>
  <c r="R209" i="2" s="1"/>
  <c r="S209" i="2" s="1"/>
  <c r="Q44" i="2"/>
  <c r="R44" i="2" s="1"/>
  <c r="S44" i="2" s="1"/>
  <c r="Q86" i="2"/>
  <c r="R86" i="2" s="1"/>
  <c r="S86" i="2" s="1"/>
  <c r="Q115" i="2"/>
  <c r="R115" i="2" s="1"/>
  <c r="S115" i="2" s="1"/>
  <c r="Q25" i="2"/>
  <c r="R25" i="2" s="1"/>
  <c r="S25" i="2" s="1"/>
  <c r="Q45" i="2"/>
  <c r="R45" i="2" s="1"/>
  <c r="S45" i="2" s="1"/>
  <c r="Q419" i="2"/>
  <c r="R419" i="2" s="1"/>
  <c r="S419" i="2" s="1"/>
  <c r="Q440" i="2"/>
  <c r="R440" i="2" s="1"/>
  <c r="S440" i="2" s="1"/>
  <c r="Q441" i="2"/>
  <c r="R441" i="2" s="1"/>
  <c r="S441" i="2" s="1"/>
  <c r="Q496" i="2"/>
  <c r="R496" i="2" s="1"/>
  <c r="S496" i="2" s="1"/>
  <c r="Q548" i="2"/>
  <c r="R548" i="2" s="1"/>
  <c r="S548" i="2" s="1"/>
  <c r="Q549" i="2"/>
  <c r="R549" i="2" s="1"/>
  <c r="S549" i="2" s="1"/>
  <c r="Q383" i="2"/>
  <c r="R383" i="2" s="1"/>
  <c r="S383" i="2" s="1"/>
  <c r="Q420" i="2"/>
  <c r="R420" i="2" s="1"/>
  <c r="S420" i="2" s="1"/>
  <c r="Q421" i="2"/>
  <c r="R421" i="2" s="1"/>
  <c r="S421" i="2" s="1"/>
  <c r="Q210" i="2"/>
  <c r="R210" i="2" s="1"/>
  <c r="S210" i="2" s="1"/>
  <c r="Q384" i="2"/>
  <c r="R384" i="2" s="1"/>
  <c r="S384" i="2" s="1"/>
  <c r="Q87" i="2"/>
  <c r="R87" i="2" s="1"/>
  <c r="S87" i="2" s="1"/>
  <c r="Q211" i="2"/>
  <c r="R211" i="2" s="1"/>
  <c r="S211" i="2" s="1"/>
  <c r="Q300" i="2"/>
  <c r="R300" i="2" s="1"/>
  <c r="S300" i="2" s="1"/>
  <c r="Q257" i="2"/>
  <c r="R257" i="2" s="1"/>
  <c r="S257" i="2" s="1"/>
  <c r="Q279" i="2"/>
  <c r="R279" i="2" s="1"/>
  <c r="S279" i="2" s="1"/>
  <c r="Q576" i="2"/>
  <c r="R576" i="2" s="1"/>
  <c r="S576" i="2" s="1"/>
  <c r="Q175" i="2"/>
  <c r="R175" i="2" s="1"/>
  <c r="S175" i="2" s="1"/>
  <c r="Q212" i="2"/>
  <c r="R212" i="2" s="1"/>
  <c r="S212" i="2" s="1"/>
  <c r="Q236" i="2"/>
  <c r="R236" i="2" s="1"/>
  <c r="S236" i="2" s="1"/>
  <c r="Q258" i="2"/>
  <c r="R258" i="2" s="1"/>
  <c r="S258" i="2" s="1"/>
  <c r="Q116" i="2"/>
  <c r="R116" i="2" s="1"/>
  <c r="S116" i="2" s="1"/>
  <c r="Q117" i="2"/>
  <c r="R117" i="2" s="1"/>
  <c r="S117" i="2" s="1"/>
  <c r="Q176" i="2"/>
  <c r="R176" i="2" s="1"/>
  <c r="S176" i="2" s="1"/>
  <c r="Q253" i="2"/>
  <c r="R253" i="2" s="1"/>
  <c r="S253" i="2" s="1"/>
  <c r="Q308" i="2"/>
  <c r="R308" i="2" s="1"/>
  <c r="S308" i="2" s="1"/>
  <c r="Q422" i="2"/>
  <c r="R422" i="2" s="1"/>
  <c r="S422" i="2" s="1"/>
  <c r="Q81" i="2"/>
  <c r="R81" i="2" s="1"/>
  <c r="S81" i="2" s="1"/>
  <c r="Q469" i="2"/>
  <c r="R469" i="2" s="1"/>
  <c r="S469" i="2" s="1"/>
  <c r="Q301" i="2"/>
  <c r="R301" i="2" s="1"/>
  <c r="S301" i="2" s="1"/>
  <c r="Q442" i="2"/>
  <c r="R442" i="2" s="1"/>
  <c r="S442" i="2" s="1"/>
  <c r="Q321" i="2"/>
  <c r="R321" i="2" s="1"/>
  <c r="S321" i="2" s="1"/>
  <c r="Q385" i="2"/>
  <c r="R385" i="2" s="1"/>
  <c r="S385" i="2" s="1"/>
  <c r="Q35" i="2"/>
  <c r="R35" i="2" s="1"/>
  <c r="S35" i="2" s="1"/>
  <c r="Q200" i="2"/>
  <c r="R200" i="2" s="1"/>
  <c r="S200" i="2" s="1"/>
  <c r="Q470" i="2"/>
  <c r="R470" i="2" s="1"/>
  <c r="S470" i="2" s="1"/>
  <c r="Q46" i="2"/>
  <c r="R46" i="2" s="1"/>
  <c r="S46" i="2" s="1"/>
  <c r="Q36" i="2"/>
  <c r="R36" i="2" s="1"/>
  <c r="S36" i="2" s="1"/>
  <c r="Q274" i="2"/>
  <c r="R274" i="2" s="1"/>
  <c r="S274" i="2" s="1"/>
  <c r="Q267" i="2"/>
  <c r="R267" i="2" s="1"/>
  <c r="S267" i="2" s="1"/>
  <c r="Q201" i="2"/>
  <c r="R201" i="2" s="1"/>
  <c r="S201" i="2" s="1"/>
  <c r="Q152" i="2"/>
  <c r="R152" i="2" s="1"/>
  <c r="S152" i="2" s="1"/>
  <c r="Q153" i="2"/>
  <c r="R153" i="2" s="1"/>
  <c r="S153" i="2" s="1"/>
  <c r="Q309" i="2"/>
  <c r="R309" i="2" s="1"/>
  <c r="S309" i="2" s="1"/>
  <c r="Q243" i="2"/>
  <c r="R243" i="2" s="1"/>
  <c r="S243" i="2" s="1"/>
  <c r="Q172" i="2"/>
  <c r="R172" i="2" s="1"/>
  <c r="S172" i="2" s="1"/>
  <c r="Q544" i="2"/>
  <c r="R544" i="2" s="1"/>
  <c r="S544" i="2" s="1"/>
  <c r="Q173" i="2"/>
  <c r="R173" i="2" s="1"/>
  <c r="S173" i="2" s="1"/>
  <c r="Q457" i="2"/>
  <c r="R457" i="2" s="1"/>
  <c r="S457" i="2" s="1"/>
  <c r="Q545" i="2"/>
  <c r="R545" i="2" s="1"/>
  <c r="S545" i="2" s="1"/>
  <c r="Q471" i="2"/>
  <c r="R471" i="2" s="1"/>
  <c r="S471" i="2" s="1"/>
  <c r="Q472" i="2"/>
  <c r="R472" i="2" s="1"/>
  <c r="S472" i="2" s="1"/>
  <c r="Q225" i="2"/>
  <c r="R225" i="2" s="1"/>
  <c r="S225" i="2" s="1"/>
  <c r="Q226" i="2"/>
  <c r="R226" i="2" s="1"/>
  <c r="S226" i="2" s="1"/>
  <c r="Q227" i="2"/>
  <c r="R227" i="2" s="1"/>
  <c r="S227" i="2" s="1"/>
  <c r="Q265" i="2"/>
  <c r="R265" i="2" s="1"/>
  <c r="S265" i="2" s="1"/>
  <c r="Q511" i="2"/>
  <c r="R511" i="2" s="1"/>
  <c r="S511" i="2" s="1"/>
  <c r="Q569" i="2"/>
  <c r="R569" i="2" s="1"/>
  <c r="S569" i="2" s="1"/>
  <c r="Q512" i="2"/>
  <c r="R512" i="2" s="1"/>
  <c r="S512" i="2" s="1"/>
  <c r="Q302" i="2"/>
  <c r="R302" i="2" s="1"/>
  <c r="S302" i="2" s="1"/>
  <c r="Q303" i="2"/>
  <c r="R303" i="2" s="1"/>
  <c r="S303" i="2" s="1"/>
  <c r="Q266" i="2"/>
  <c r="R266" i="2" s="1"/>
  <c r="S266" i="2" s="1"/>
  <c r="Q310" i="2"/>
  <c r="R310" i="2" s="1"/>
  <c r="S310" i="2" s="1"/>
  <c r="Q207" i="2"/>
  <c r="R207" i="2" s="1"/>
  <c r="S207" i="2" s="1"/>
  <c r="Q47" i="2"/>
  <c r="R47" i="2" s="1"/>
  <c r="S47" i="2" s="1"/>
  <c r="Q570" i="2"/>
  <c r="R570" i="2" s="1"/>
  <c r="S570" i="2" s="1"/>
  <c r="Q228" i="2"/>
  <c r="R228" i="2" s="1"/>
  <c r="S228" i="2" s="1"/>
  <c r="Q234" i="2"/>
  <c r="R234" i="2" s="1"/>
  <c r="S234" i="2" s="1"/>
  <c r="Q162" i="2"/>
  <c r="R162" i="2" s="1"/>
  <c r="S162" i="2" s="1"/>
  <c r="Q601" i="2"/>
  <c r="R601" i="2" s="1"/>
  <c r="S601" i="2" s="1"/>
  <c r="Q121" i="2"/>
  <c r="R121" i="2" s="1"/>
  <c r="S121" i="2" s="1"/>
  <c r="Q597" i="2"/>
  <c r="R597" i="2" s="1"/>
  <c r="S597" i="2" s="1"/>
  <c r="Q587" i="2"/>
  <c r="R587" i="2" s="1"/>
  <c r="S587" i="2" s="1"/>
  <c r="Q275" i="2"/>
  <c r="R275" i="2" s="1"/>
  <c r="S275" i="2" s="1"/>
  <c r="Q450" i="2"/>
  <c r="R450" i="2" s="1"/>
  <c r="S450" i="2" s="1"/>
  <c r="Q229" i="2"/>
  <c r="R229" i="2" s="1"/>
  <c r="S229" i="2" s="1"/>
  <c r="Q473" i="2"/>
  <c r="R473" i="2" s="1"/>
  <c r="S473" i="2" s="1"/>
  <c r="Q474" i="2"/>
  <c r="R474" i="2" s="1"/>
  <c r="S474" i="2" s="1"/>
  <c r="Q165" i="2"/>
  <c r="R165" i="2" s="1"/>
  <c r="S165" i="2" s="1"/>
  <c r="Q358" i="2"/>
  <c r="R358" i="2" s="1"/>
  <c r="S358" i="2" s="1"/>
  <c r="Q392" i="2"/>
  <c r="R392" i="2" s="1"/>
  <c r="S392" i="2" s="1"/>
  <c r="Q428" i="2"/>
  <c r="R428" i="2" s="1"/>
  <c r="S428" i="2" s="1"/>
  <c r="Q484" i="2"/>
  <c r="R484" i="2" s="1"/>
  <c r="S484" i="2" s="1"/>
  <c r="Q485" i="2"/>
  <c r="R485" i="2" s="1"/>
  <c r="S485" i="2" s="1"/>
  <c r="Q486" i="2"/>
  <c r="R486" i="2" s="1"/>
  <c r="S486" i="2" s="1"/>
  <c r="Q487" i="2"/>
  <c r="R487" i="2" s="1"/>
  <c r="S487" i="2" s="1"/>
  <c r="Q488" i="2"/>
  <c r="R488" i="2" s="1"/>
  <c r="S488" i="2" s="1"/>
  <c r="Q598" i="2"/>
  <c r="R598" i="2" s="1"/>
  <c r="S598" i="2" s="1"/>
  <c r="Q599" i="2"/>
  <c r="R599" i="2" s="1"/>
  <c r="S599" i="2" s="1"/>
  <c r="Q451" i="2"/>
  <c r="R451" i="2" s="1"/>
  <c r="S451" i="2" s="1"/>
  <c r="Q489" i="2"/>
  <c r="R489" i="2" s="1"/>
  <c r="S489" i="2" s="1"/>
  <c r="Q588" i="2"/>
  <c r="R588" i="2" s="1"/>
  <c r="S588" i="2" s="1"/>
  <c r="Q589" i="2"/>
  <c r="R589" i="2" s="1"/>
  <c r="S589" i="2" s="1"/>
  <c r="Q393" i="2"/>
  <c r="R393" i="2" s="1"/>
  <c r="S393" i="2" s="1"/>
  <c r="Q584" i="2"/>
  <c r="R584" i="2" s="1"/>
  <c r="S584" i="2" s="1"/>
  <c r="Q202" i="2"/>
  <c r="R202" i="2" s="1"/>
  <c r="S202" i="2" s="1"/>
  <c r="Q203" i="2"/>
  <c r="R203" i="2" s="1"/>
  <c r="S203" i="2" s="1"/>
  <c r="Q527" i="2"/>
  <c r="R527" i="2" s="1"/>
  <c r="S527" i="2" s="1"/>
  <c r="Q528" i="2"/>
  <c r="R528" i="2" s="1"/>
  <c r="S528" i="2" s="1"/>
  <c r="Q368" i="2"/>
  <c r="R368" i="2" s="1"/>
  <c r="S368" i="2" s="1"/>
  <c r="Q311" i="2"/>
  <c r="R311" i="2" s="1"/>
  <c r="S311" i="2" s="1"/>
  <c r="Q18" i="2"/>
  <c r="R18" i="2" s="1"/>
  <c r="S18" i="2" s="1"/>
  <c r="Q529" i="2"/>
  <c r="R529" i="2" s="1"/>
  <c r="S529" i="2" s="1"/>
  <c r="Q369" i="2"/>
  <c r="R369" i="2" s="1"/>
  <c r="S369" i="2" s="1"/>
  <c r="Q312" i="2"/>
  <c r="R312" i="2" s="1"/>
  <c r="S312" i="2" s="1"/>
  <c r="Q19" i="2"/>
  <c r="R19" i="2" s="1"/>
  <c r="S19" i="2" s="1"/>
  <c r="Q530" i="2"/>
  <c r="R530" i="2" s="1"/>
  <c r="S530" i="2" s="1"/>
  <c r="Q370" i="2"/>
  <c r="R370" i="2" s="1"/>
  <c r="S370" i="2" s="1"/>
  <c r="Q313" i="2"/>
  <c r="R313" i="2" s="1"/>
  <c r="S313" i="2" s="1"/>
  <c r="Q20" i="2"/>
  <c r="R20" i="2" s="1"/>
  <c r="S20" i="2" s="1"/>
  <c r="Q166" i="2"/>
  <c r="R166" i="2" s="1"/>
  <c r="S166" i="2" s="1"/>
  <c r="Q167" i="2"/>
  <c r="R167" i="2" s="1"/>
  <c r="S167" i="2" s="1"/>
  <c r="Q104" i="2"/>
  <c r="R104" i="2" s="1"/>
  <c r="S104" i="2" s="1"/>
  <c r="Q168" i="2"/>
  <c r="R168" i="2" s="1"/>
  <c r="S168" i="2" s="1"/>
  <c r="Q590" i="2"/>
  <c r="R590" i="2" s="1"/>
  <c r="S590" i="2" s="1"/>
  <c r="Q452" i="2"/>
  <c r="R452" i="2" s="1"/>
  <c r="S452" i="2" s="1"/>
  <c r="Q475" i="2"/>
  <c r="R475" i="2" s="1"/>
  <c r="S475" i="2" s="1"/>
  <c r="Q531" i="2"/>
  <c r="R531" i="2" s="1"/>
  <c r="S531" i="2" s="1"/>
  <c r="Q105" i="2"/>
  <c r="R105" i="2" s="1"/>
  <c r="S105" i="2" s="1"/>
  <c r="Q204" i="2"/>
  <c r="R204" i="2" s="1"/>
  <c r="S204" i="2" s="1"/>
  <c r="Q205" i="2"/>
  <c r="R205" i="2" s="1"/>
  <c r="S205" i="2" s="1"/>
  <c r="Q213" i="2"/>
  <c r="R213" i="2" s="1"/>
  <c r="S213" i="2" s="1"/>
  <c r="Q585" i="2"/>
  <c r="R585" i="2" s="1"/>
  <c r="S585" i="2" s="1"/>
  <c r="Q206" i="2"/>
  <c r="R206" i="2" s="1"/>
  <c r="S206" i="2" s="1"/>
  <c r="Q583" i="2"/>
  <c r="R583" i="2" s="1"/>
  <c r="S583" i="2" s="1"/>
  <c r="Q276" i="2"/>
  <c r="R276" i="2" s="1"/>
  <c r="S276" i="2" s="1"/>
  <c r="Q254" i="2"/>
  <c r="R254" i="2" s="1"/>
  <c r="S254" i="2" s="1"/>
  <c r="Q230" i="2"/>
  <c r="R230" i="2" s="1"/>
  <c r="S230" i="2" s="1"/>
  <c r="Q154" i="2"/>
  <c r="R154" i="2" s="1"/>
  <c r="S154" i="2" s="1"/>
  <c r="Q371" i="2"/>
  <c r="R371" i="2" s="1"/>
  <c r="S371" i="2" s="1"/>
  <c r="Q532" i="2"/>
  <c r="R532" i="2" s="1"/>
  <c r="S532" i="2" s="1"/>
  <c r="Q21" i="2"/>
  <c r="R21" i="2" s="1"/>
  <c r="S21" i="2" s="1"/>
  <c r="Q106" i="2"/>
  <c r="R106" i="2" s="1"/>
  <c r="S106" i="2" s="1"/>
  <c r="Q22" i="2"/>
  <c r="R22" i="2" s="1"/>
  <c r="S22" i="2" s="1"/>
  <c r="Q79" i="2"/>
  <c r="R79" i="2" s="1"/>
  <c r="S79" i="2" s="1"/>
  <c r="Q314" i="2"/>
  <c r="R314" i="2" s="1"/>
  <c r="S314" i="2" s="1"/>
  <c r="Q23" i="2"/>
  <c r="R23" i="2" s="1"/>
  <c r="S23" i="2" s="1"/>
  <c r="Q24" i="2"/>
  <c r="R24" i="2" s="1"/>
  <c r="S24" i="2" s="1"/>
  <c r="Q37" i="2"/>
  <c r="R37" i="2" s="1"/>
  <c r="S37" i="2" s="1"/>
  <c r="Q322" i="2"/>
  <c r="R322" i="2" s="1"/>
  <c r="S322" i="2" s="1"/>
  <c r="Q386" i="2"/>
  <c r="R386" i="2" s="1"/>
  <c r="S386" i="2" s="1"/>
  <c r="Q250" i="2"/>
  <c r="R250" i="2" s="1"/>
  <c r="S250" i="2" s="1"/>
  <c r="Q231" i="2"/>
  <c r="R231" i="2" s="1"/>
  <c r="S231" i="2" s="1"/>
  <c r="Q476" i="2"/>
  <c r="R476" i="2" s="1"/>
  <c r="S476" i="2" s="1"/>
  <c r="Q251" i="2"/>
  <c r="R251" i="2" s="1"/>
  <c r="S251" i="2" s="1"/>
  <c r="Q232" i="2"/>
  <c r="R232" i="2" s="1"/>
  <c r="S232" i="2" s="1"/>
  <c r="Q155" i="2"/>
  <c r="R155" i="2" s="1"/>
  <c r="S155" i="2" s="1"/>
  <c r="Q125" i="2"/>
  <c r="R125" i="2" s="1"/>
  <c r="S125" i="2" s="1"/>
  <c r="Q490" i="2"/>
  <c r="R490" i="2" s="1"/>
  <c r="S490" i="2" s="1"/>
  <c r="Q233" i="2"/>
  <c r="R233" i="2" s="1"/>
  <c r="S233" i="2" s="1"/>
  <c r="Q330" i="2"/>
  <c r="R330" i="2" s="1"/>
  <c r="S330" i="2" s="1"/>
  <c r="Q477" i="2"/>
  <c r="R477" i="2" s="1"/>
  <c r="S477" i="2" s="1"/>
  <c r="Q331" i="2"/>
  <c r="R331" i="2" s="1"/>
  <c r="S331" i="2" s="1"/>
  <c r="Q252" i="2"/>
  <c r="R252" i="2" s="1"/>
  <c r="S252" i="2" s="1"/>
  <c r="Q242" i="2"/>
  <c r="R242" i="2" s="1"/>
  <c r="S242" i="2" s="1"/>
  <c r="Q478" i="2"/>
  <c r="R478" i="2" s="1"/>
  <c r="S478" i="2" s="1"/>
  <c r="Q533" i="2"/>
  <c r="R533" i="2" s="1"/>
  <c r="S533" i="2" s="1"/>
  <c r="Q38" i="2"/>
  <c r="R38" i="2" s="1"/>
  <c r="S38" i="2" s="1"/>
  <c r="Q534" i="2"/>
  <c r="R534" i="2" s="1"/>
  <c r="S534" i="2" s="1"/>
  <c r="Q535" i="2"/>
  <c r="R535" i="2" s="1"/>
  <c r="S535" i="2" s="1"/>
  <c r="Q536" i="2"/>
  <c r="R536" i="2" s="1"/>
  <c r="S536" i="2" s="1"/>
  <c r="Q575" i="2"/>
  <c r="R575" i="2" s="1"/>
  <c r="S575" i="2" s="1"/>
  <c r="Q156" i="2"/>
  <c r="R156" i="2" s="1"/>
  <c r="S156" i="2" s="1"/>
  <c r="Q157" i="2"/>
  <c r="R157" i="2" s="1"/>
  <c r="S157" i="2" s="1"/>
  <c r="Q461" i="2"/>
  <c r="R461" i="2" s="1"/>
  <c r="S461" i="2" s="1"/>
  <c r="Q140" i="2"/>
  <c r="R140" i="2" s="1"/>
  <c r="S140" i="2" s="1"/>
  <c r="Q479" i="2"/>
  <c r="R479" i="2" s="1"/>
  <c r="S479" i="2" s="1"/>
  <c r="Q13" i="2"/>
  <c r="R13" i="2" s="1"/>
  <c r="S13" i="2" s="1"/>
  <c r="Q169" i="2"/>
  <c r="R169" i="2" s="1"/>
  <c r="S169" i="2" s="1"/>
  <c r="Q170" i="2"/>
  <c r="R170" i="2" s="1"/>
  <c r="S170" i="2" s="1"/>
  <c r="Q171" i="2"/>
  <c r="R171" i="2" s="1"/>
  <c r="S171" i="2" s="1"/>
  <c r="Q107" i="2"/>
  <c r="R107" i="2" s="1"/>
  <c r="S107" i="2" s="1"/>
  <c r="Q108" i="2"/>
  <c r="R108" i="2" s="1"/>
  <c r="S108" i="2" s="1"/>
  <c r="Q158" i="2"/>
  <c r="R158" i="2" s="1"/>
  <c r="S158" i="2" s="1"/>
  <c r="Q159" i="2"/>
  <c r="R159" i="2" s="1"/>
  <c r="S159" i="2" s="1"/>
  <c r="Q28" i="2"/>
  <c r="R28" i="2" s="1"/>
  <c r="S28" i="2" s="1"/>
  <c r="Q29" i="2"/>
  <c r="R29" i="2" s="1"/>
  <c r="S29" i="2" s="1"/>
  <c r="Q30" i="2"/>
  <c r="R30" i="2" s="1"/>
  <c r="S30" i="2" s="1"/>
  <c r="Q31" i="2"/>
  <c r="R31" i="2" s="1"/>
  <c r="S31" i="2" s="1"/>
  <c r="Q454" i="2"/>
  <c r="R454" i="2" s="1"/>
  <c r="S454" i="2" s="1"/>
  <c r="Q455" i="2"/>
  <c r="R455" i="2" s="1"/>
  <c r="S455" i="2" s="1"/>
  <c r="Q537" i="2"/>
  <c r="R537" i="2" s="1"/>
  <c r="S537" i="2" s="1"/>
  <c r="Q453" i="2"/>
  <c r="R453" i="2" s="1"/>
  <c r="S453" i="2" s="1"/>
  <c r="Q76" i="2"/>
  <c r="R76" i="2" s="1"/>
  <c r="S76" i="2" s="1"/>
  <c r="Q160" i="2"/>
  <c r="R160" i="2" s="1"/>
  <c r="S160" i="2" s="1"/>
  <c r="Q456" i="2"/>
  <c r="R456" i="2" s="1"/>
  <c r="S456" i="2" s="1"/>
  <c r="Q126" i="2"/>
  <c r="R126" i="2" s="1"/>
  <c r="S126" i="2" s="1"/>
  <c r="Q14" i="2"/>
  <c r="R14" i="2" s="1"/>
  <c r="S14" i="2" s="1"/>
  <c r="Q538" i="2"/>
  <c r="R538" i="2" s="1"/>
  <c r="S538" i="2" s="1"/>
  <c r="Q539" i="2"/>
  <c r="R539" i="2" s="1"/>
  <c r="S539" i="2" s="1"/>
  <c r="Q540" i="2"/>
  <c r="R540" i="2" s="1"/>
  <c r="S540" i="2" s="1"/>
  <c r="Q127" i="2"/>
  <c r="R127" i="2" s="1"/>
  <c r="S127" i="2" s="1"/>
  <c r="Q39" i="2"/>
  <c r="R39" i="2" s="1"/>
  <c r="S39" i="2" s="1"/>
  <c r="Q123" i="2"/>
  <c r="R123" i="2" s="1"/>
  <c r="S123" i="2" s="1"/>
  <c r="Q124" i="2"/>
  <c r="R124" i="2" s="1"/>
  <c r="S124" i="2" s="1"/>
  <c r="Q541" i="2"/>
  <c r="R541" i="2" s="1"/>
  <c r="S541" i="2" s="1"/>
  <c r="Q161" i="2"/>
  <c r="R161" i="2" s="1"/>
  <c r="S161" i="2" s="1"/>
  <c r="Q15" i="2"/>
  <c r="R15" i="2" s="1"/>
  <c r="S15" i="2" s="1"/>
  <c r="Q542" i="2"/>
  <c r="R542" i="2" s="1"/>
  <c r="S542" i="2" s="1"/>
  <c r="P224" i="2"/>
  <c r="P244" i="2"/>
  <c r="P245" i="2"/>
  <c r="P246" i="2"/>
  <c r="P16" i="2"/>
  <c r="P26" i="2"/>
  <c r="P145" i="2"/>
  <c r="P412" i="2"/>
  <c r="P332" i="2"/>
  <c r="P333" i="2"/>
  <c r="P334" i="2"/>
  <c r="P268" i="2"/>
  <c r="P269" i="2"/>
  <c r="P185" i="2"/>
  <c r="P562" i="2"/>
  <c r="P131" i="2"/>
  <c r="P387" i="2"/>
  <c r="P132" i="2"/>
  <c r="P133" i="2"/>
  <c r="P134" i="2"/>
  <c r="P388" i="2"/>
  <c r="P335" i="2"/>
  <c r="P186" i="2"/>
  <c r="P187" i="2"/>
  <c r="P135" i="2"/>
  <c r="P136" i="2"/>
  <c r="P280" i="2"/>
  <c r="P281" i="2"/>
  <c r="P282" i="2"/>
  <c r="P283" i="2"/>
  <c r="P284" i="2"/>
  <c r="P285" i="2"/>
  <c r="P286" i="2"/>
  <c r="P287" i="2"/>
  <c r="P288" i="2"/>
  <c r="P513" i="2"/>
  <c r="P188" i="2"/>
  <c r="P189" i="2"/>
  <c r="P394" i="2"/>
  <c r="P137" i="2"/>
  <c r="P88" i="2"/>
  <c r="P395" i="2"/>
  <c r="P396" i="2"/>
  <c r="P238" i="2"/>
  <c r="P577" i="2"/>
  <c r="P89" i="2"/>
  <c r="P327" i="2"/>
  <c r="P328" i="2"/>
  <c r="P91" i="2"/>
  <c r="P397" i="2"/>
  <c r="P398" i="2"/>
  <c r="P514" i="2"/>
  <c r="P399" i="2"/>
  <c r="P515" i="2"/>
  <c r="P92" i="2"/>
  <c r="P93" i="2"/>
  <c r="P359" i="2"/>
  <c r="P400" i="2"/>
  <c r="P424" i="2"/>
  <c r="P425" i="2"/>
  <c r="P426" i="2"/>
  <c r="P329" i="2"/>
  <c r="P401" i="2"/>
  <c r="P464" i="2"/>
  <c r="P516" i="2"/>
  <c r="P94" i="2"/>
  <c r="P138" i="2"/>
  <c r="P139" i="2"/>
  <c r="P239" i="2"/>
  <c r="P290" i="2"/>
  <c r="P291" i="2"/>
  <c r="P289" i="2"/>
  <c r="P360" i="2"/>
  <c r="P578" i="2"/>
  <c r="P586" i="2"/>
  <c r="P292" i="2"/>
  <c r="P259" i="2"/>
  <c r="P517" i="2"/>
  <c r="P402" i="2"/>
  <c r="P465" i="2"/>
  <c r="P75" i="2"/>
  <c r="P554" i="2"/>
  <c r="P48" i="2"/>
  <c r="P118" i="2"/>
  <c r="P403" i="2"/>
  <c r="P95" i="2"/>
  <c r="P404" i="2"/>
  <c r="P96" i="2"/>
  <c r="P177" i="2"/>
  <c r="P555" i="2"/>
  <c r="P603" i="2"/>
  <c r="P604" i="2"/>
  <c r="P605" i="2"/>
  <c r="P606" i="2"/>
  <c r="P607" i="2"/>
  <c r="P240" i="2"/>
  <c r="P241" i="2"/>
  <c r="P336" i="2"/>
  <c r="P556" i="2"/>
  <c r="P195" i="2"/>
  <c r="P557" i="2"/>
  <c r="P49" i="2"/>
  <c r="P558" i="2"/>
  <c r="P518" i="2"/>
  <c r="P405" i="2"/>
  <c r="P97" i="2"/>
  <c r="P406" i="2"/>
  <c r="P559" i="2"/>
  <c r="P560" i="2"/>
  <c r="P50" i="2"/>
  <c r="P443" i="2"/>
  <c r="P519" i="2"/>
  <c r="P550" i="2"/>
  <c r="P407" i="2"/>
  <c r="P361" i="2"/>
  <c r="P520" i="2"/>
  <c r="P602" i="2"/>
  <c r="P323" i="2"/>
  <c r="P178" i="2"/>
  <c r="P408" i="2"/>
  <c r="P98" i="2"/>
  <c r="P324" i="2"/>
  <c r="P325" i="2"/>
  <c r="P563" i="2"/>
  <c r="P608" i="2"/>
  <c r="P190" i="2"/>
  <c r="P409" i="2"/>
  <c r="P521" i="2"/>
  <c r="P99" i="2"/>
  <c r="P339" i="2"/>
  <c r="P337" i="2"/>
  <c r="P191" i="2"/>
  <c r="P338" i="2"/>
  <c r="P566" i="2"/>
  <c r="P326" i="2"/>
  <c r="P410" i="2"/>
  <c r="P100" i="2"/>
  <c r="P564" i="2"/>
  <c r="P423" i="2"/>
  <c r="P340" i="2"/>
  <c r="P411" i="2"/>
  <c r="P51" i="2"/>
  <c r="P214" i="2"/>
  <c r="P2" i="2"/>
  <c r="P522" i="2"/>
  <c r="P543" i="2"/>
  <c r="P196" i="2"/>
  <c r="P362" i="2"/>
  <c r="P571" i="2"/>
  <c r="P429" i="2"/>
  <c r="P572" i="2"/>
  <c r="P430" i="2"/>
  <c r="P573" i="2"/>
  <c r="P431" i="2"/>
  <c r="P574" i="2"/>
  <c r="P197" i="2"/>
  <c r="P389" i="2"/>
  <c r="P77" i="2"/>
  <c r="P462" i="2"/>
  <c r="P463" i="2"/>
  <c r="P363" i="2"/>
  <c r="P444" i="2"/>
  <c r="P417" i="2"/>
  <c r="P445" i="2"/>
  <c r="P293" i="2"/>
  <c r="P294" i="2"/>
  <c r="P80" i="2"/>
  <c r="P198" i="2"/>
  <c r="P561" i="2"/>
  <c r="P446" i="2"/>
  <c r="P591" i="2"/>
  <c r="P592" i="2"/>
  <c r="P593" i="2"/>
  <c r="P523" i="2"/>
  <c r="P524" i="2"/>
  <c r="P32" i="2"/>
  <c r="P594" i="2"/>
  <c r="P595" i="2"/>
  <c r="P596" i="2"/>
  <c r="P109" i="2"/>
  <c r="P447" i="2"/>
  <c r="P122" i="2"/>
  <c r="P192" i="2"/>
  <c r="P110" i="2"/>
  <c r="P111" i="2"/>
  <c r="P112" i="2"/>
  <c r="P295" i="2"/>
  <c r="P551" i="2"/>
  <c r="P391" i="2"/>
  <c r="P296" i="2"/>
  <c r="P270" i="2"/>
  <c r="P297" i="2"/>
  <c r="P448" i="2"/>
  <c r="P298" i="2"/>
  <c r="P90" i="2"/>
  <c r="P449" i="2"/>
  <c r="P179" i="2"/>
  <c r="P552" i="2"/>
  <c r="P565" i="2"/>
  <c r="P553" i="2"/>
  <c r="P193" i="2"/>
  <c r="P180" i="2"/>
  <c r="P260" i="2"/>
  <c r="P261" i="2"/>
  <c r="P418" i="2"/>
  <c r="P113" i="2"/>
  <c r="P364" i="2"/>
  <c r="P78" i="2"/>
  <c r="P194" i="2"/>
  <c r="P427" i="2"/>
  <c r="P497" i="2"/>
  <c r="P525" i="2"/>
  <c r="P247" i="2"/>
  <c r="P365" i="2"/>
  <c r="P366" i="2"/>
  <c r="P499" i="2"/>
  <c r="P372" i="2"/>
  <c r="P373" i="2"/>
  <c r="P374" i="2"/>
  <c r="P375" i="2"/>
  <c r="P432" i="2"/>
  <c r="P433" i="2"/>
  <c r="P434" i="2"/>
  <c r="P435" i="2"/>
  <c r="P436" i="2"/>
  <c r="P600" i="2"/>
  <c r="P315" i="2"/>
  <c r="P500" i="2"/>
  <c r="P367" i="2"/>
  <c r="P501" i="2"/>
  <c r="P466" i="2"/>
  <c r="P502" i="2"/>
  <c r="P144" i="2"/>
  <c r="P390" i="2"/>
  <c r="P503" i="2"/>
  <c r="P237" i="2"/>
  <c r="P526" i="2"/>
  <c r="P579" i="2"/>
  <c r="P181" i="2"/>
  <c r="P182" i="2"/>
  <c r="P504" i="2"/>
  <c r="P40" i="2"/>
  <c r="P41" i="2"/>
  <c r="P467" i="2"/>
  <c r="P505" i="2"/>
  <c r="P262" i="2"/>
  <c r="P480" i="2"/>
  <c r="P146" i="2"/>
  <c r="P580" i="2"/>
  <c r="P248" i="2"/>
  <c r="P263" i="2"/>
  <c r="P506" i="2"/>
  <c r="P147" i="2"/>
  <c r="P507" i="2"/>
  <c r="P215" i="2"/>
  <c r="P216" i="2"/>
  <c r="P217" i="2"/>
  <c r="P218" i="2"/>
  <c r="P219" i="2"/>
  <c r="P220" i="2"/>
  <c r="P3" i="2"/>
  <c r="P4" i="2"/>
  <c r="P5" i="2"/>
  <c r="P6" i="2"/>
  <c r="P7" i="2"/>
  <c r="P8" i="2"/>
  <c r="P9" i="2"/>
  <c r="P10" i="2"/>
  <c r="P148" i="2"/>
  <c r="P264" i="2"/>
  <c r="P27" i="2"/>
  <c r="P183" i="2"/>
  <c r="P481" i="2"/>
  <c r="P119" i="2"/>
  <c r="P508" i="2"/>
  <c r="P221" i="2"/>
  <c r="P222" i="2"/>
  <c r="P223" i="2"/>
  <c r="P11" i="2"/>
  <c r="P12" i="2"/>
  <c r="P509" i="2"/>
  <c r="P149" i="2"/>
  <c r="P52" i="2"/>
  <c r="P53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150" i="2"/>
  <c r="P151" i="2"/>
  <c r="P510" i="2"/>
  <c r="P498" i="2"/>
  <c r="P141" i="2"/>
  <c r="P376" i="2"/>
  <c r="P82" i="2"/>
  <c r="P120" i="2"/>
  <c r="P83" i="2"/>
  <c r="P163" i="2"/>
  <c r="P306" i="2"/>
  <c r="P468" i="2"/>
  <c r="P142" i="2"/>
  <c r="P130" i="2"/>
  <c r="P42" i="2"/>
  <c r="P304" i="2"/>
  <c r="P458" i="2"/>
  <c r="P277" i="2"/>
  <c r="P316" i="2"/>
  <c r="P491" i="2"/>
  <c r="P255" i="2"/>
  <c r="P43" i="2"/>
  <c r="P581" i="2"/>
  <c r="P271" i="2"/>
  <c r="P492" i="2"/>
  <c r="P493" i="2"/>
  <c r="P546" i="2"/>
  <c r="P84" i="2"/>
  <c r="P317" i="2"/>
  <c r="P494" i="2"/>
  <c r="P17" i="2"/>
  <c r="P305" i="2"/>
  <c r="P184" i="2"/>
  <c r="P33" i="2"/>
  <c r="P70" i="2"/>
  <c r="P71" i="2"/>
  <c r="P353" i="2"/>
  <c r="P354" i="2"/>
  <c r="P355" i="2"/>
  <c r="P356" i="2"/>
  <c r="P357" i="2"/>
  <c r="P72" i="2"/>
  <c r="P73" i="2"/>
  <c r="P74" i="2"/>
  <c r="P249" i="2"/>
  <c r="P459" i="2"/>
  <c r="P437" i="2"/>
  <c r="P460" i="2"/>
  <c r="P85" i="2"/>
  <c r="P278" i="2"/>
  <c r="P377" i="2"/>
  <c r="P378" i="2"/>
  <c r="P438" i="2"/>
  <c r="P318" i="2"/>
  <c r="P379" i="2"/>
  <c r="P299" i="2"/>
  <c r="P582" i="2"/>
  <c r="P272" i="2"/>
  <c r="P413" i="2"/>
  <c r="P380" i="2"/>
  <c r="P319" i="2"/>
  <c r="P381" i="2"/>
  <c r="P483" i="2"/>
  <c r="P101" i="2"/>
  <c r="P102" i="2"/>
  <c r="P103" i="2"/>
  <c r="P164" i="2"/>
  <c r="P414" i="2"/>
  <c r="P34" i="2"/>
  <c r="P567" i="2"/>
  <c r="P568" i="2"/>
  <c r="P273" i="2"/>
  <c r="P114" i="2"/>
  <c r="P128" i="2"/>
  <c r="P307" i="2"/>
  <c r="P482" i="2"/>
  <c r="P415" i="2"/>
  <c r="P416" i="2"/>
  <c r="P199" i="2"/>
  <c r="P208" i="2"/>
  <c r="P235" i="2"/>
  <c r="P256" i="2"/>
  <c r="P320" i="2"/>
  <c r="P382" i="2"/>
  <c r="P439" i="2"/>
  <c r="P495" i="2"/>
  <c r="P547" i="2"/>
  <c r="P129" i="2"/>
  <c r="P143" i="2"/>
  <c r="P174" i="2"/>
  <c r="P209" i="2"/>
  <c r="P44" i="2"/>
  <c r="P86" i="2"/>
  <c r="P115" i="2"/>
  <c r="P25" i="2"/>
  <c r="P45" i="2"/>
  <c r="P419" i="2"/>
  <c r="P440" i="2"/>
  <c r="P441" i="2"/>
  <c r="P496" i="2"/>
  <c r="P548" i="2"/>
  <c r="P549" i="2"/>
  <c r="P383" i="2"/>
  <c r="P420" i="2"/>
  <c r="P421" i="2"/>
  <c r="P210" i="2"/>
  <c r="P384" i="2"/>
  <c r="P87" i="2"/>
  <c r="P211" i="2"/>
  <c r="P300" i="2"/>
  <c r="P257" i="2"/>
  <c r="P279" i="2"/>
  <c r="P576" i="2"/>
  <c r="P175" i="2"/>
  <c r="P212" i="2"/>
  <c r="P236" i="2"/>
  <c r="P258" i="2"/>
  <c r="P116" i="2"/>
  <c r="P117" i="2"/>
  <c r="P176" i="2"/>
  <c r="P253" i="2"/>
  <c r="P308" i="2"/>
  <c r="P422" i="2"/>
  <c r="P81" i="2"/>
  <c r="P469" i="2"/>
  <c r="P301" i="2"/>
  <c r="P442" i="2"/>
  <c r="P321" i="2"/>
  <c r="P385" i="2"/>
  <c r="P35" i="2"/>
  <c r="P200" i="2"/>
  <c r="P470" i="2"/>
  <c r="P46" i="2"/>
  <c r="P36" i="2"/>
  <c r="P274" i="2"/>
  <c r="P267" i="2"/>
  <c r="P201" i="2"/>
  <c r="P152" i="2"/>
  <c r="P153" i="2"/>
  <c r="P309" i="2"/>
  <c r="P243" i="2"/>
  <c r="P172" i="2"/>
  <c r="P544" i="2"/>
  <c r="P173" i="2"/>
  <c r="P457" i="2"/>
  <c r="P545" i="2"/>
  <c r="P471" i="2"/>
  <c r="P472" i="2"/>
  <c r="P225" i="2"/>
  <c r="P226" i="2"/>
  <c r="P227" i="2"/>
  <c r="P265" i="2"/>
  <c r="P511" i="2"/>
  <c r="P569" i="2"/>
  <c r="P512" i="2"/>
  <c r="P302" i="2"/>
  <c r="P303" i="2"/>
  <c r="P266" i="2"/>
  <c r="P310" i="2"/>
  <c r="P207" i="2"/>
  <c r="P47" i="2"/>
  <c r="P570" i="2"/>
  <c r="P228" i="2"/>
  <c r="P234" i="2"/>
  <c r="P162" i="2"/>
  <c r="P601" i="2"/>
  <c r="P121" i="2"/>
  <c r="P597" i="2"/>
  <c r="P587" i="2"/>
  <c r="P275" i="2"/>
  <c r="P450" i="2"/>
  <c r="P229" i="2"/>
  <c r="P473" i="2"/>
  <c r="P474" i="2"/>
  <c r="P165" i="2"/>
  <c r="P358" i="2"/>
  <c r="P392" i="2"/>
  <c r="P428" i="2"/>
  <c r="P484" i="2"/>
  <c r="P485" i="2"/>
  <c r="P486" i="2"/>
  <c r="P487" i="2"/>
  <c r="P488" i="2"/>
  <c r="P598" i="2"/>
  <c r="P599" i="2"/>
  <c r="P451" i="2"/>
  <c r="P489" i="2"/>
  <c r="P588" i="2"/>
  <c r="P589" i="2"/>
  <c r="P393" i="2"/>
  <c r="P584" i="2"/>
  <c r="P202" i="2"/>
  <c r="P203" i="2"/>
  <c r="P527" i="2"/>
  <c r="P528" i="2"/>
  <c r="P368" i="2"/>
  <c r="P311" i="2"/>
  <c r="P18" i="2"/>
  <c r="P529" i="2"/>
  <c r="P369" i="2"/>
  <c r="P312" i="2"/>
  <c r="P19" i="2"/>
  <c r="P530" i="2"/>
  <c r="P370" i="2"/>
  <c r="P313" i="2"/>
  <c r="P20" i="2"/>
  <c r="P166" i="2"/>
  <c r="P167" i="2"/>
  <c r="P104" i="2"/>
  <c r="P168" i="2"/>
  <c r="P590" i="2"/>
  <c r="P452" i="2"/>
  <c r="P475" i="2"/>
  <c r="P531" i="2"/>
  <c r="P105" i="2"/>
  <c r="P204" i="2"/>
  <c r="P205" i="2"/>
  <c r="P213" i="2"/>
  <c r="P585" i="2"/>
  <c r="P206" i="2"/>
  <c r="P583" i="2"/>
  <c r="P276" i="2"/>
  <c r="P254" i="2"/>
  <c r="P230" i="2"/>
  <c r="P154" i="2"/>
  <c r="P371" i="2"/>
  <c r="P532" i="2"/>
  <c r="P21" i="2"/>
  <c r="P106" i="2"/>
  <c r="P22" i="2"/>
  <c r="P79" i="2"/>
  <c r="P314" i="2"/>
  <c r="P23" i="2"/>
  <c r="P24" i="2"/>
  <c r="P37" i="2"/>
  <c r="P322" i="2"/>
  <c r="P386" i="2"/>
  <c r="P250" i="2"/>
  <c r="P231" i="2"/>
  <c r="P476" i="2"/>
  <c r="P251" i="2"/>
  <c r="P232" i="2"/>
  <c r="P155" i="2"/>
  <c r="P125" i="2"/>
  <c r="P490" i="2"/>
  <c r="P233" i="2"/>
  <c r="P330" i="2"/>
  <c r="P477" i="2"/>
  <c r="P331" i="2"/>
  <c r="P252" i="2"/>
  <c r="P242" i="2"/>
  <c r="P478" i="2"/>
  <c r="P533" i="2"/>
  <c r="P38" i="2"/>
  <c r="P534" i="2"/>
  <c r="P535" i="2"/>
  <c r="P536" i="2"/>
  <c r="P575" i="2"/>
  <c r="P156" i="2"/>
  <c r="P157" i="2"/>
  <c r="P461" i="2"/>
  <c r="P140" i="2"/>
  <c r="P479" i="2"/>
  <c r="P13" i="2"/>
  <c r="P169" i="2"/>
  <c r="P170" i="2"/>
  <c r="P171" i="2"/>
  <c r="P107" i="2"/>
  <c r="P108" i="2"/>
  <c r="P158" i="2"/>
  <c r="P159" i="2"/>
  <c r="P28" i="2"/>
  <c r="P29" i="2"/>
  <c r="P30" i="2"/>
  <c r="P31" i="2"/>
  <c r="P454" i="2"/>
  <c r="P455" i="2"/>
  <c r="P537" i="2"/>
  <c r="P453" i="2"/>
  <c r="P76" i="2"/>
  <c r="P160" i="2"/>
  <c r="P456" i="2"/>
  <c r="P126" i="2"/>
  <c r="P14" i="2"/>
  <c r="P538" i="2"/>
  <c r="P539" i="2"/>
  <c r="P540" i="2"/>
  <c r="P127" i="2"/>
  <c r="P39" i="2"/>
  <c r="P123" i="2"/>
  <c r="P124" i="2"/>
  <c r="P541" i="2"/>
  <c r="P161" i="2"/>
  <c r="P15" i="2"/>
  <c r="P542" i="2"/>
  <c r="J16" i="2"/>
  <c r="J412" i="2"/>
  <c r="J332" i="2"/>
  <c r="J333" i="2"/>
  <c r="J334" i="2"/>
  <c r="J268" i="2"/>
  <c r="J269" i="2"/>
  <c r="J185" i="2"/>
  <c r="J562" i="2"/>
  <c r="J131" i="2"/>
  <c r="J387" i="2"/>
  <c r="J132" i="2"/>
  <c r="J133" i="2"/>
  <c r="J134" i="2"/>
  <c r="J388" i="2"/>
  <c r="J335" i="2"/>
  <c r="J186" i="2"/>
  <c r="J187" i="2"/>
  <c r="J135" i="2"/>
  <c r="J136" i="2"/>
  <c r="J280" i="2"/>
  <c r="J281" i="2"/>
  <c r="J282" i="2"/>
  <c r="J283" i="2"/>
  <c r="J284" i="2"/>
  <c r="J285" i="2"/>
  <c r="J286" i="2"/>
  <c r="J287" i="2"/>
  <c r="J288" i="2"/>
  <c r="J513" i="2"/>
  <c r="J188" i="2"/>
  <c r="J189" i="2"/>
  <c r="J394" i="2"/>
  <c r="J137" i="2"/>
  <c r="J88" i="2"/>
  <c r="J395" i="2"/>
  <c r="J396" i="2"/>
  <c r="J238" i="2"/>
  <c r="J577" i="2"/>
  <c r="J89" i="2"/>
  <c r="J327" i="2"/>
  <c r="J328" i="2"/>
  <c r="J91" i="2"/>
  <c r="J397" i="2"/>
  <c r="J398" i="2"/>
  <c r="J514" i="2"/>
  <c r="J399" i="2"/>
  <c r="J515" i="2"/>
  <c r="J92" i="2"/>
  <c r="J93" i="2"/>
  <c r="J359" i="2"/>
  <c r="J400" i="2"/>
  <c r="J424" i="2"/>
  <c r="J425" i="2"/>
  <c r="J426" i="2"/>
  <c r="J329" i="2"/>
  <c r="J401" i="2"/>
  <c r="J464" i="2"/>
  <c r="J516" i="2"/>
  <c r="J94" i="2"/>
  <c r="J138" i="2"/>
  <c r="J139" i="2"/>
  <c r="J239" i="2"/>
  <c r="J290" i="2"/>
  <c r="J291" i="2"/>
  <c r="J289" i="2"/>
  <c r="J360" i="2"/>
  <c r="J578" i="2"/>
  <c r="J586" i="2"/>
  <c r="J292" i="2"/>
  <c r="J259" i="2"/>
  <c r="J517" i="2"/>
  <c r="J402" i="2"/>
  <c r="J465" i="2"/>
  <c r="J75" i="2"/>
  <c r="J554" i="2"/>
  <c r="J48" i="2"/>
  <c r="J118" i="2"/>
  <c r="J403" i="2"/>
  <c r="J95" i="2"/>
  <c r="J404" i="2"/>
  <c r="J96" i="2"/>
  <c r="J177" i="2"/>
  <c r="J555" i="2"/>
  <c r="J603" i="2"/>
  <c r="J604" i="2"/>
  <c r="J605" i="2"/>
  <c r="J606" i="2"/>
  <c r="J607" i="2"/>
  <c r="J240" i="2"/>
  <c r="J241" i="2"/>
  <c r="J336" i="2"/>
  <c r="J556" i="2"/>
  <c r="J195" i="2"/>
  <c r="J557" i="2"/>
  <c r="J49" i="2"/>
  <c r="J558" i="2"/>
  <c r="J518" i="2"/>
  <c r="J405" i="2"/>
  <c r="J97" i="2"/>
  <c r="J406" i="2"/>
  <c r="J559" i="2"/>
  <c r="J560" i="2"/>
  <c r="J50" i="2"/>
  <c r="J443" i="2"/>
  <c r="J519" i="2"/>
  <c r="J550" i="2"/>
  <c r="J407" i="2"/>
  <c r="J361" i="2"/>
  <c r="J520" i="2"/>
  <c r="J602" i="2"/>
  <c r="J323" i="2"/>
  <c r="J178" i="2"/>
  <c r="J408" i="2"/>
  <c r="J98" i="2"/>
  <c r="J324" i="2"/>
  <c r="J325" i="2"/>
  <c r="J563" i="2"/>
  <c r="J608" i="2"/>
  <c r="J190" i="2"/>
  <c r="J409" i="2"/>
  <c r="J521" i="2"/>
  <c r="J99" i="2"/>
  <c r="J339" i="2"/>
  <c r="J337" i="2"/>
  <c r="J191" i="2"/>
  <c r="J338" i="2"/>
  <c r="J566" i="2"/>
  <c r="J326" i="2"/>
  <c r="J410" i="2"/>
  <c r="J100" i="2"/>
  <c r="J564" i="2"/>
  <c r="J423" i="2"/>
  <c r="J340" i="2"/>
  <c r="J411" i="2"/>
  <c r="J51" i="2"/>
  <c r="J214" i="2"/>
  <c r="J2" i="2"/>
  <c r="J522" i="2"/>
  <c r="J543" i="2"/>
  <c r="J196" i="2"/>
  <c r="J362" i="2"/>
  <c r="J571" i="2"/>
  <c r="J429" i="2"/>
  <c r="J572" i="2"/>
  <c r="J430" i="2"/>
  <c r="J573" i="2"/>
  <c r="J431" i="2"/>
  <c r="J574" i="2"/>
  <c r="J197" i="2"/>
  <c r="J389" i="2"/>
  <c r="J77" i="2"/>
  <c r="J363" i="2"/>
  <c r="J444" i="2"/>
  <c r="J417" i="2"/>
  <c r="J445" i="2"/>
  <c r="J80" i="2"/>
  <c r="J198" i="2"/>
  <c r="J561" i="2"/>
  <c r="J446" i="2"/>
  <c r="J591" i="2"/>
  <c r="J592" i="2"/>
  <c r="J593" i="2"/>
  <c r="J523" i="2"/>
  <c r="J524" i="2"/>
  <c r="J32" i="2"/>
  <c r="J594" i="2"/>
  <c r="J595" i="2"/>
  <c r="J596" i="2"/>
  <c r="J109" i="2"/>
  <c r="J447" i="2"/>
  <c r="J122" i="2"/>
  <c r="J192" i="2"/>
  <c r="J110" i="2"/>
  <c r="J111" i="2"/>
  <c r="J112" i="2"/>
  <c r="J551" i="2"/>
  <c r="J391" i="2"/>
  <c r="J448" i="2"/>
  <c r="J90" i="2"/>
  <c r="J449" i="2"/>
  <c r="J179" i="2"/>
  <c r="J552" i="2"/>
  <c r="J565" i="2"/>
  <c r="J553" i="2"/>
  <c r="J193" i="2"/>
  <c r="J180" i="2"/>
  <c r="J260" i="2"/>
  <c r="J261" i="2"/>
  <c r="J418" i="2"/>
  <c r="J113" i="2"/>
  <c r="J364" i="2"/>
  <c r="J78" i="2"/>
  <c r="J194" i="2"/>
  <c r="J427" i="2"/>
  <c r="J497" i="2"/>
  <c r="J525" i="2"/>
  <c r="J247" i="2"/>
  <c r="J365" i="2"/>
  <c r="J366" i="2"/>
  <c r="J499" i="2"/>
  <c r="J372" i="2"/>
  <c r="J373" i="2"/>
  <c r="J374" i="2"/>
  <c r="J375" i="2"/>
  <c r="J432" i="2"/>
  <c r="J433" i="2"/>
  <c r="J434" i="2"/>
  <c r="J435" i="2"/>
  <c r="J436" i="2"/>
  <c r="J600" i="2"/>
  <c r="J315" i="2"/>
  <c r="J500" i="2"/>
  <c r="J367" i="2"/>
  <c r="J501" i="2"/>
  <c r="J466" i="2"/>
  <c r="J502" i="2"/>
  <c r="J144" i="2"/>
  <c r="J390" i="2"/>
  <c r="J503" i="2"/>
  <c r="J237" i="2"/>
  <c r="J526" i="2"/>
  <c r="J579" i="2"/>
  <c r="J181" i="2"/>
  <c r="J182" i="2"/>
  <c r="J504" i="2"/>
  <c r="J40" i="2"/>
  <c r="J41" i="2"/>
  <c r="J467" i="2"/>
  <c r="J505" i="2"/>
  <c r="J262" i="2"/>
  <c r="J480" i="2"/>
  <c r="J146" i="2"/>
  <c r="J248" i="2"/>
  <c r="J263" i="2"/>
  <c r="J506" i="2"/>
  <c r="J147" i="2"/>
  <c r="J507" i="2"/>
  <c r="J215" i="2"/>
  <c r="J216" i="2"/>
  <c r="J217" i="2"/>
  <c r="J218" i="2"/>
  <c r="J219" i="2"/>
  <c r="J220" i="2"/>
  <c r="J3" i="2"/>
  <c r="J4" i="2"/>
  <c r="J5" i="2"/>
  <c r="J6" i="2"/>
  <c r="J7" i="2"/>
  <c r="J8" i="2"/>
  <c r="J9" i="2"/>
  <c r="J10" i="2"/>
  <c r="J148" i="2"/>
  <c r="J264" i="2"/>
  <c r="J183" i="2"/>
  <c r="J481" i="2"/>
  <c r="J119" i="2"/>
  <c r="J508" i="2"/>
  <c r="J221" i="2"/>
  <c r="J222" i="2"/>
  <c r="J223" i="2"/>
  <c r="J11" i="2"/>
  <c r="J12" i="2"/>
  <c r="J509" i="2"/>
  <c r="J149" i="2"/>
  <c r="J52" i="2"/>
  <c r="J53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150" i="2"/>
  <c r="J151" i="2"/>
  <c r="J510" i="2"/>
  <c r="J498" i="2"/>
  <c r="J141" i="2"/>
  <c r="J376" i="2"/>
  <c r="J82" i="2"/>
  <c r="J120" i="2"/>
  <c r="J83" i="2"/>
  <c r="J163" i="2"/>
  <c r="J306" i="2"/>
  <c r="J468" i="2"/>
  <c r="J142" i="2"/>
  <c r="J130" i="2"/>
  <c r="J42" i="2"/>
  <c r="J304" i="2"/>
  <c r="J458" i="2"/>
  <c r="J277" i="2"/>
  <c r="J316" i="2"/>
  <c r="J491" i="2"/>
  <c r="J255" i="2"/>
  <c r="J43" i="2"/>
  <c r="J492" i="2"/>
  <c r="J493" i="2"/>
  <c r="J546" i="2"/>
  <c r="J84" i="2"/>
  <c r="J317" i="2"/>
  <c r="J494" i="2"/>
  <c r="J17" i="2"/>
  <c r="J305" i="2"/>
  <c r="J184" i="2"/>
  <c r="J33" i="2"/>
  <c r="J70" i="2"/>
  <c r="J71" i="2"/>
  <c r="J353" i="2"/>
  <c r="J354" i="2"/>
  <c r="J355" i="2"/>
  <c r="J356" i="2"/>
  <c r="J357" i="2"/>
  <c r="J72" i="2"/>
  <c r="J73" i="2"/>
  <c r="J74" i="2"/>
  <c r="J249" i="2"/>
  <c r="J459" i="2"/>
  <c r="J437" i="2"/>
  <c r="J460" i="2"/>
  <c r="J85" i="2"/>
  <c r="J278" i="2"/>
  <c r="J377" i="2"/>
  <c r="J378" i="2"/>
  <c r="J438" i="2"/>
  <c r="J318" i="2"/>
  <c r="J379" i="2"/>
  <c r="J413" i="2"/>
  <c r="J380" i="2"/>
  <c r="J319" i="2"/>
  <c r="J381" i="2"/>
  <c r="J483" i="2"/>
  <c r="J101" i="2"/>
  <c r="J102" i="2"/>
  <c r="J103" i="2"/>
  <c r="J164" i="2"/>
  <c r="J414" i="2"/>
  <c r="J34" i="2"/>
  <c r="J114" i="2"/>
  <c r="J128" i="2"/>
  <c r="J307" i="2"/>
  <c r="J482" i="2"/>
  <c r="J415" i="2"/>
  <c r="J416" i="2"/>
  <c r="J199" i="2"/>
  <c r="J208" i="2"/>
  <c r="J235" i="2"/>
  <c r="J256" i="2"/>
  <c r="J320" i="2"/>
  <c r="J382" i="2"/>
  <c r="J439" i="2"/>
  <c r="J495" i="2"/>
  <c r="J547" i="2"/>
  <c r="J129" i="2"/>
  <c r="J143" i="2"/>
  <c r="J174" i="2"/>
  <c r="J209" i="2"/>
  <c r="J44" i="2"/>
  <c r="J86" i="2"/>
  <c r="J115" i="2"/>
  <c r="J25" i="2"/>
  <c r="J45" i="2"/>
  <c r="J419" i="2"/>
  <c r="J440" i="2"/>
  <c r="J441" i="2"/>
  <c r="J496" i="2"/>
  <c r="J548" i="2"/>
  <c r="J549" i="2"/>
  <c r="J383" i="2"/>
  <c r="J420" i="2"/>
  <c r="J421" i="2"/>
  <c r="J210" i="2"/>
  <c r="J384" i="2"/>
  <c r="J87" i="2"/>
  <c r="J211" i="2"/>
  <c r="J257" i="2"/>
  <c r="J279" i="2"/>
  <c r="J576" i="2"/>
  <c r="J175" i="2"/>
  <c r="J212" i="2"/>
  <c r="J236" i="2"/>
  <c r="J258" i="2"/>
  <c r="J116" i="2"/>
  <c r="J117" i="2"/>
  <c r="J176" i="2"/>
  <c r="J253" i="2"/>
  <c r="J308" i="2"/>
  <c r="J422" i="2"/>
  <c r="J81" i="2"/>
  <c r="J469" i="2"/>
  <c r="J442" i="2"/>
  <c r="J321" i="2"/>
  <c r="J385" i="2"/>
  <c r="J35" i="2"/>
  <c r="J200" i="2"/>
  <c r="J470" i="2"/>
  <c r="J46" i="2"/>
  <c r="J36" i="2"/>
  <c r="J267" i="2"/>
  <c r="J201" i="2"/>
  <c r="J152" i="2"/>
  <c r="J153" i="2"/>
  <c r="J309" i="2"/>
  <c r="J243" i="2"/>
  <c r="J172" i="2"/>
  <c r="J544" i="2"/>
  <c r="J173" i="2"/>
  <c r="J457" i="2"/>
  <c r="J545" i="2"/>
  <c r="J471" i="2"/>
  <c r="J472" i="2"/>
  <c r="J265" i="2"/>
  <c r="J266" i="2"/>
  <c r="J310" i="2"/>
  <c r="J207" i="2"/>
  <c r="J47" i="2"/>
  <c r="J234" i="2"/>
  <c r="J162" i="2"/>
  <c r="J601" i="2"/>
  <c r="J121" i="2"/>
  <c r="J597" i="2"/>
  <c r="J473" i="2"/>
  <c r="J474" i="2"/>
  <c r="J165" i="2"/>
  <c r="J484" i="2"/>
  <c r="J485" i="2"/>
  <c r="J486" i="2"/>
  <c r="J487" i="2"/>
  <c r="J488" i="2"/>
  <c r="J598" i="2"/>
  <c r="J599" i="2"/>
  <c r="J489" i="2"/>
  <c r="J584" i="2"/>
  <c r="J202" i="2"/>
  <c r="J203" i="2"/>
  <c r="J527" i="2"/>
  <c r="J528" i="2"/>
  <c r="J368" i="2"/>
  <c r="J311" i="2"/>
  <c r="J18" i="2"/>
  <c r="J529" i="2"/>
  <c r="J369" i="2"/>
  <c r="J312" i="2"/>
  <c r="J19" i="2"/>
  <c r="J530" i="2"/>
  <c r="J370" i="2"/>
  <c r="J313" i="2"/>
  <c r="J20" i="2"/>
  <c r="J166" i="2"/>
  <c r="J167" i="2"/>
  <c r="J104" i="2"/>
  <c r="J168" i="2"/>
  <c r="J475" i="2"/>
  <c r="J531" i="2"/>
  <c r="J105" i="2"/>
  <c r="J204" i="2"/>
  <c r="J205" i="2"/>
  <c r="J213" i="2"/>
  <c r="J585" i="2"/>
  <c r="J206" i="2"/>
  <c r="J276" i="2"/>
  <c r="J254" i="2"/>
  <c r="J154" i="2"/>
  <c r="J371" i="2"/>
  <c r="J532" i="2"/>
  <c r="J21" i="2"/>
  <c r="J106" i="2"/>
  <c r="J22" i="2"/>
  <c r="J79" i="2"/>
  <c r="J314" i="2"/>
  <c r="J23" i="2"/>
  <c r="J24" i="2"/>
  <c r="J37" i="2"/>
  <c r="J322" i="2"/>
  <c r="J386" i="2"/>
  <c r="J250" i="2"/>
  <c r="J476" i="2"/>
  <c r="J251" i="2"/>
  <c r="J155" i="2"/>
  <c r="J125" i="2"/>
  <c r="J490" i="2"/>
  <c r="J330" i="2"/>
  <c r="J477" i="2"/>
  <c r="J331" i="2"/>
  <c r="J252" i="2"/>
  <c r="J242" i="2"/>
  <c r="J478" i="2"/>
  <c r="J533" i="2"/>
  <c r="J38" i="2"/>
  <c r="J534" i="2"/>
  <c r="J535" i="2"/>
  <c r="J536" i="2"/>
  <c r="J575" i="2"/>
  <c r="J156" i="2"/>
  <c r="J157" i="2"/>
  <c r="J461" i="2"/>
  <c r="J140" i="2"/>
  <c r="J479" i="2"/>
  <c r="J13" i="2"/>
  <c r="J169" i="2"/>
  <c r="J170" i="2"/>
  <c r="J171" i="2"/>
  <c r="J107" i="2"/>
  <c r="J108" i="2"/>
  <c r="J158" i="2"/>
  <c r="J159" i="2"/>
  <c r="J28" i="2"/>
  <c r="J29" i="2"/>
  <c r="J30" i="2"/>
  <c r="J31" i="2"/>
  <c r="J454" i="2"/>
  <c r="J455" i="2"/>
  <c r="J537" i="2"/>
  <c r="J453" i="2"/>
  <c r="J76" i="2"/>
  <c r="J160" i="2"/>
  <c r="J456" i="2"/>
  <c r="J126" i="2"/>
  <c r="J14" i="2"/>
  <c r="J538" i="2"/>
  <c r="J539" i="2"/>
  <c r="J540" i="2"/>
  <c r="J127" i="2"/>
  <c r="J39" i="2"/>
  <c r="J123" i="2"/>
  <c r="J124" i="2"/>
  <c r="J541" i="2"/>
  <c r="J161" i="2"/>
  <c r="J15" i="2"/>
  <c r="J542" i="2"/>
  <c r="W853" i="5" l="1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Q1503" i="5"/>
  <c r="R1503" i="5" s="1"/>
  <c r="S1503" i="5" s="1"/>
  <c r="J1503" i="5"/>
  <c r="Q1502" i="5"/>
  <c r="R1502" i="5" s="1"/>
  <c r="S1502" i="5" s="1"/>
  <c r="J1502" i="5"/>
  <c r="Q1501" i="5"/>
  <c r="R1501" i="5" s="1"/>
  <c r="S1501" i="5" s="1"/>
  <c r="J1501" i="5"/>
  <c r="R1500" i="5"/>
  <c r="S1500" i="5" s="1"/>
  <c r="Q1500" i="5"/>
  <c r="J1500" i="5"/>
  <c r="Q1499" i="5"/>
  <c r="R1499" i="5" s="1"/>
  <c r="S1499" i="5" s="1"/>
  <c r="J1499" i="5"/>
  <c r="Q1498" i="5"/>
  <c r="R1498" i="5" s="1"/>
  <c r="S1498" i="5" s="1"/>
  <c r="J1498" i="5"/>
  <c r="Q1497" i="5"/>
  <c r="R1497" i="5" s="1"/>
  <c r="S1497" i="5" s="1"/>
  <c r="J1497" i="5"/>
  <c r="Q1496" i="5"/>
  <c r="R1496" i="5" s="1"/>
  <c r="S1496" i="5" s="1"/>
  <c r="J1496" i="5"/>
  <c r="Q1495" i="5"/>
  <c r="R1495" i="5" s="1"/>
  <c r="S1495" i="5" s="1"/>
  <c r="J1495" i="5"/>
  <c r="Q1494" i="5"/>
  <c r="R1494" i="5" s="1"/>
  <c r="S1494" i="5" s="1"/>
  <c r="J1494" i="5"/>
  <c r="Q1493" i="5"/>
  <c r="R1493" i="5" s="1"/>
  <c r="S1493" i="5" s="1"/>
  <c r="J1493" i="5"/>
  <c r="R1492" i="5"/>
  <c r="S1492" i="5" s="1"/>
  <c r="Q1492" i="5"/>
  <c r="J1492" i="5"/>
  <c r="Q1491" i="5"/>
  <c r="R1491" i="5" s="1"/>
  <c r="S1491" i="5" s="1"/>
  <c r="J1491" i="5"/>
  <c r="Q1490" i="5"/>
  <c r="R1490" i="5" s="1"/>
  <c r="S1490" i="5" s="1"/>
  <c r="J1490" i="5"/>
  <c r="Q1489" i="5"/>
  <c r="R1489" i="5" s="1"/>
  <c r="S1489" i="5" s="1"/>
  <c r="J1489" i="5"/>
  <c r="R1488" i="5"/>
  <c r="S1488" i="5" s="1"/>
  <c r="Q1488" i="5"/>
  <c r="J1488" i="5"/>
  <c r="Q1487" i="5"/>
  <c r="R1487" i="5" s="1"/>
  <c r="S1487" i="5" s="1"/>
  <c r="J1487" i="5"/>
  <c r="Q1486" i="5"/>
  <c r="R1486" i="5" s="1"/>
  <c r="S1486" i="5" s="1"/>
  <c r="J1486" i="5"/>
  <c r="Q1485" i="5"/>
  <c r="R1485" i="5" s="1"/>
  <c r="S1485" i="5" s="1"/>
  <c r="J1485" i="5"/>
  <c r="Q1484" i="5"/>
  <c r="R1484" i="5" s="1"/>
  <c r="S1484" i="5" s="1"/>
  <c r="J1484" i="5"/>
  <c r="Q1483" i="5"/>
  <c r="R1483" i="5" s="1"/>
  <c r="S1483" i="5" s="1"/>
  <c r="J1483" i="5"/>
  <c r="R1482" i="5"/>
  <c r="S1482" i="5" s="1"/>
  <c r="Q1482" i="5"/>
  <c r="J1482" i="5"/>
  <c r="Q1481" i="5"/>
  <c r="R1481" i="5" s="1"/>
  <c r="S1481" i="5" s="1"/>
  <c r="J1481" i="5"/>
  <c r="Q1480" i="5"/>
  <c r="R1480" i="5" s="1"/>
  <c r="S1480" i="5" s="1"/>
  <c r="J1480" i="5"/>
  <c r="Q1479" i="5"/>
  <c r="R1479" i="5" s="1"/>
  <c r="S1479" i="5" s="1"/>
  <c r="J1479" i="5"/>
  <c r="Q1478" i="5"/>
  <c r="R1478" i="5" s="1"/>
  <c r="S1478" i="5" s="1"/>
  <c r="J1478" i="5"/>
  <c r="Q1477" i="5"/>
  <c r="R1477" i="5" s="1"/>
  <c r="S1477" i="5" s="1"/>
  <c r="J1477" i="5"/>
  <c r="R1476" i="5"/>
  <c r="S1476" i="5" s="1"/>
  <c r="Q1476" i="5"/>
  <c r="J1476" i="5"/>
  <c r="Q1475" i="5"/>
  <c r="R1475" i="5" s="1"/>
  <c r="S1475" i="5" s="1"/>
  <c r="J1475" i="5"/>
  <c r="Q1474" i="5"/>
  <c r="R1474" i="5" s="1"/>
  <c r="S1474" i="5" s="1"/>
  <c r="J1474" i="5"/>
  <c r="Q1473" i="5"/>
  <c r="R1473" i="5" s="1"/>
  <c r="S1473" i="5" s="1"/>
  <c r="J1473" i="5"/>
  <c r="Q1472" i="5"/>
  <c r="R1472" i="5" s="1"/>
  <c r="S1472" i="5" s="1"/>
  <c r="J1472" i="5"/>
  <c r="Q1471" i="5"/>
  <c r="R1471" i="5" s="1"/>
  <c r="S1471" i="5" s="1"/>
  <c r="J1471" i="5"/>
  <c r="Q1470" i="5"/>
  <c r="R1470" i="5" s="1"/>
  <c r="S1470" i="5" s="1"/>
  <c r="J1470" i="5"/>
  <c r="Q1469" i="5"/>
  <c r="R1469" i="5" s="1"/>
  <c r="S1469" i="5" s="1"/>
  <c r="J1469" i="5"/>
  <c r="R1468" i="5"/>
  <c r="S1468" i="5" s="1"/>
  <c r="Q1468" i="5"/>
  <c r="J1468" i="5"/>
  <c r="Q1467" i="5"/>
  <c r="R1467" i="5" s="1"/>
  <c r="S1467" i="5" s="1"/>
  <c r="J1467" i="5"/>
  <c r="Q1466" i="5"/>
  <c r="R1466" i="5" s="1"/>
  <c r="S1466" i="5" s="1"/>
  <c r="J1466" i="5"/>
  <c r="Q1465" i="5"/>
  <c r="R1465" i="5" s="1"/>
  <c r="S1465" i="5" s="1"/>
  <c r="J1465" i="5"/>
  <c r="R1464" i="5"/>
  <c r="S1464" i="5" s="1"/>
  <c r="Q1464" i="5"/>
  <c r="J1464" i="5"/>
  <c r="Q1463" i="5"/>
  <c r="R1463" i="5" s="1"/>
  <c r="S1463" i="5" s="1"/>
  <c r="J1463" i="5"/>
  <c r="Q1462" i="5"/>
  <c r="R1462" i="5" s="1"/>
  <c r="S1462" i="5" s="1"/>
  <c r="J1462" i="5"/>
  <c r="Q1461" i="5"/>
  <c r="R1461" i="5" s="1"/>
  <c r="S1461" i="5" s="1"/>
  <c r="J1461" i="5"/>
  <c r="Q1460" i="5"/>
  <c r="R1460" i="5" s="1"/>
  <c r="S1460" i="5" s="1"/>
  <c r="J1460" i="5"/>
  <c r="Q1459" i="5"/>
  <c r="R1459" i="5" s="1"/>
  <c r="S1459" i="5" s="1"/>
  <c r="J1459" i="5"/>
  <c r="R1458" i="5"/>
  <c r="S1458" i="5" s="1"/>
  <c r="Q1458" i="5"/>
  <c r="J1458" i="5"/>
  <c r="Q1457" i="5"/>
  <c r="R1457" i="5" s="1"/>
  <c r="S1457" i="5" s="1"/>
  <c r="J1457" i="5"/>
  <c r="Q1456" i="5"/>
  <c r="R1456" i="5" s="1"/>
  <c r="S1456" i="5" s="1"/>
  <c r="J1456" i="5"/>
  <c r="Q1455" i="5"/>
  <c r="R1455" i="5" s="1"/>
  <c r="S1455" i="5" s="1"/>
  <c r="J1455" i="5"/>
  <c r="Q1454" i="5"/>
  <c r="R1454" i="5" s="1"/>
  <c r="S1454" i="5" s="1"/>
  <c r="J1454" i="5"/>
  <c r="Q1453" i="5"/>
  <c r="R1453" i="5" s="1"/>
  <c r="S1453" i="5" s="1"/>
  <c r="J1453" i="5"/>
  <c r="R1452" i="5"/>
  <c r="S1452" i="5" s="1"/>
  <c r="Q1452" i="5"/>
  <c r="J1452" i="5"/>
  <c r="Q1451" i="5"/>
  <c r="R1451" i="5" s="1"/>
  <c r="S1451" i="5" s="1"/>
  <c r="J1451" i="5"/>
  <c r="Q1450" i="5"/>
  <c r="R1450" i="5" s="1"/>
  <c r="S1450" i="5" s="1"/>
  <c r="J1450" i="5"/>
  <c r="Q1449" i="5"/>
  <c r="R1449" i="5" s="1"/>
  <c r="S1449" i="5" s="1"/>
  <c r="J1449" i="5"/>
  <c r="Q1448" i="5"/>
  <c r="R1448" i="5" s="1"/>
  <c r="S1448" i="5" s="1"/>
  <c r="J1448" i="5"/>
  <c r="Q1447" i="5"/>
  <c r="R1447" i="5" s="1"/>
  <c r="S1447" i="5" s="1"/>
  <c r="J1447" i="5"/>
  <c r="Q1446" i="5"/>
  <c r="R1446" i="5" s="1"/>
  <c r="S1446" i="5" s="1"/>
  <c r="J1446" i="5"/>
  <c r="Q1445" i="5"/>
  <c r="R1445" i="5" s="1"/>
  <c r="S1445" i="5" s="1"/>
  <c r="J1445" i="5"/>
  <c r="R1444" i="5"/>
  <c r="S1444" i="5" s="1"/>
  <c r="Q1444" i="5"/>
  <c r="J1444" i="5"/>
  <c r="Q1443" i="5"/>
  <c r="R1443" i="5" s="1"/>
  <c r="S1443" i="5" s="1"/>
  <c r="J1443" i="5"/>
  <c r="Q1442" i="5"/>
  <c r="R1442" i="5" s="1"/>
  <c r="S1442" i="5" s="1"/>
  <c r="J1442" i="5"/>
  <c r="Q1441" i="5"/>
  <c r="R1441" i="5" s="1"/>
  <c r="S1441" i="5" s="1"/>
  <c r="J1441" i="5"/>
  <c r="R1440" i="5"/>
  <c r="S1440" i="5" s="1"/>
  <c r="Q1440" i="5"/>
  <c r="J1440" i="5"/>
  <c r="Q1439" i="5"/>
  <c r="R1439" i="5" s="1"/>
  <c r="S1439" i="5" s="1"/>
  <c r="J1439" i="5"/>
  <c r="Q1438" i="5"/>
  <c r="R1438" i="5" s="1"/>
  <c r="S1438" i="5" s="1"/>
  <c r="J1438" i="5"/>
  <c r="Q1437" i="5"/>
  <c r="R1437" i="5" s="1"/>
  <c r="S1437" i="5" s="1"/>
  <c r="J1437" i="5"/>
  <c r="Q1436" i="5"/>
  <c r="R1436" i="5" s="1"/>
  <c r="S1436" i="5" s="1"/>
  <c r="J1436" i="5"/>
  <c r="Q1435" i="5"/>
  <c r="R1435" i="5" s="1"/>
  <c r="S1435" i="5" s="1"/>
  <c r="J1435" i="5"/>
  <c r="R1434" i="5"/>
  <c r="S1434" i="5" s="1"/>
  <c r="Q1434" i="5"/>
  <c r="J1434" i="5"/>
  <c r="Q1433" i="5"/>
  <c r="R1433" i="5" s="1"/>
  <c r="S1433" i="5" s="1"/>
  <c r="J1433" i="5"/>
  <c r="Q1432" i="5"/>
  <c r="R1432" i="5" s="1"/>
  <c r="S1432" i="5" s="1"/>
  <c r="J1432" i="5"/>
  <c r="Q1431" i="5"/>
  <c r="R1431" i="5" s="1"/>
  <c r="S1431" i="5" s="1"/>
  <c r="J1431" i="5"/>
  <c r="Q1430" i="5"/>
  <c r="R1430" i="5" s="1"/>
  <c r="S1430" i="5" s="1"/>
  <c r="J1430" i="5"/>
  <c r="Q1429" i="5"/>
  <c r="R1429" i="5" s="1"/>
  <c r="S1429" i="5" s="1"/>
  <c r="J1429" i="5"/>
  <c r="R1428" i="5"/>
  <c r="S1428" i="5" s="1"/>
  <c r="Q1428" i="5"/>
  <c r="J1428" i="5"/>
  <c r="Q1427" i="5"/>
  <c r="R1427" i="5" s="1"/>
  <c r="S1427" i="5" s="1"/>
  <c r="J1427" i="5"/>
  <c r="Q1426" i="5"/>
  <c r="R1426" i="5" s="1"/>
  <c r="S1426" i="5" s="1"/>
  <c r="J1426" i="5"/>
  <c r="Q1425" i="5"/>
  <c r="R1425" i="5" s="1"/>
  <c r="S1425" i="5" s="1"/>
  <c r="J1425" i="5"/>
  <c r="Q1424" i="5"/>
  <c r="R1424" i="5" s="1"/>
  <c r="S1424" i="5" s="1"/>
  <c r="J1424" i="5"/>
  <c r="Q1423" i="5"/>
  <c r="R1423" i="5" s="1"/>
  <c r="S1423" i="5" s="1"/>
  <c r="J1423" i="5"/>
  <c r="Q1422" i="5"/>
  <c r="R1422" i="5" s="1"/>
  <c r="S1422" i="5" s="1"/>
  <c r="J1422" i="5"/>
  <c r="Q1421" i="5"/>
  <c r="R1421" i="5" s="1"/>
  <c r="S1421" i="5" s="1"/>
  <c r="J1421" i="5"/>
  <c r="R1420" i="5"/>
  <c r="S1420" i="5" s="1"/>
  <c r="Q1420" i="5"/>
  <c r="J1420" i="5"/>
  <c r="Q1419" i="5"/>
  <c r="R1419" i="5" s="1"/>
  <c r="S1419" i="5" s="1"/>
  <c r="J1419" i="5"/>
  <c r="Q1418" i="5"/>
  <c r="R1418" i="5" s="1"/>
  <c r="S1418" i="5" s="1"/>
  <c r="J1418" i="5"/>
  <c r="Q1417" i="5"/>
  <c r="R1417" i="5" s="1"/>
  <c r="S1417" i="5" s="1"/>
  <c r="J1417" i="5"/>
  <c r="Q1416" i="5"/>
  <c r="R1416" i="5" s="1"/>
  <c r="S1416" i="5" s="1"/>
  <c r="J1416" i="5"/>
  <c r="Q1415" i="5"/>
  <c r="R1415" i="5" s="1"/>
  <c r="S1415" i="5" s="1"/>
  <c r="J1415" i="5"/>
  <c r="Q1414" i="5"/>
  <c r="R1414" i="5" s="1"/>
  <c r="S1414" i="5" s="1"/>
  <c r="J1414" i="5"/>
  <c r="Q1413" i="5"/>
  <c r="R1413" i="5" s="1"/>
  <c r="S1413" i="5" s="1"/>
  <c r="J1413" i="5"/>
  <c r="Q1412" i="5"/>
  <c r="R1412" i="5" s="1"/>
  <c r="S1412" i="5" s="1"/>
  <c r="J1412" i="5"/>
  <c r="Q1411" i="5"/>
  <c r="R1411" i="5" s="1"/>
  <c r="S1411" i="5" s="1"/>
  <c r="J1411" i="5"/>
  <c r="R1410" i="5"/>
  <c r="S1410" i="5" s="1"/>
  <c r="Q1410" i="5"/>
  <c r="J1410" i="5"/>
  <c r="Q1409" i="5"/>
  <c r="R1409" i="5" s="1"/>
  <c r="S1409" i="5" s="1"/>
  <c r="J1409" i="5"/>
  <c r="Q1408" i="5"/>
  <c r="R1408" i="5" s="1"/>
  <c r="S1408" i="5" s="1"/>
  <c r="J1408" i="5"/>
  <c r="Q1407" i="5"/>
  <c r="R1407" i="5" s="1"/>
  <c r="S1407" i="5" s="1"/>
  <c r="J1407" i="5"/>
  <c r="R1406" i="5"/>
  <c r="S1406" i="5" s="1"/>
  <c r="Q1406" i="5"/>
  <c r="J1406" i="5"/>
  <c r="Q1405" i="5"/>
  <c r="R1405" i="5" s="1"/>
  <c r="S1405" i="5" s="1"/>
  <c r="J1405" i="5"/>
  <c r="Q1404" i="5"/>
  <c r="R1404" i="5" s="1"/>
  <c r="S1404" i="5" s="1"/>
  <c r="J1404" i="5"/>
  <c r="Q1403" i="5"/>
  <c r="R1403" i="5" s="1"/>
  <c r="S1403" i="5" s="1"/>
  <c r="J1403" i="5"/>
  <c r="Q1402" i="5"/>
  <c r="R1402" i="5" s="1"/>
  <c r="S1402" i="5" s="1"/>
  <c r="J1402" i="5"/>
  <c r="Q1401" i="5"/>
  <c r="R1401" i="5" s="1"/>
  <c r="S1401" i="5" s="1"/>
  <c r="J1401" i="5"/>
  <c r="R1400" i="5"/>
  <c r="S1400" i="5" s="1"/>
  <c r="Q1400" i="5"/>
  <c r="J1400" i="5"/>
  <c r="Q1399" i="5"/>
  <c r="R1399" i="5" s="1"/>
  <c r="S1399" i="5" s="1"/>
  <c r="J1399" i="5"/>
  <c r="Q1398" i="5"/>
  <c r="R1398" i="5" s="1"/>
  <c r="S1398" i="5" s="1"/>
  <c r="J1398" i="5"/>
  <c r="Q1397" i="5"/>
  <c r="R1397" i="5" s="1"/>
  <c r="S1397" i="5" s="1"/>
  <c r="J1397" i="5"/>
  <c r="Q1396" i="5"/>
  <c r="R1396" i="5" s="1"/>
  <c r="S1396" i="5" s="1"/>
  <c r="J1396" i="5"/>
  <c r="Q1395" i="5"/>
  <c r="R1395" i="5" s="1"/>
  <c r="S1395" i="5" s="1"/>
  <c r="J1395" i="5"/>
  <c r="R1394" i="5"/>
  <c r="S1394" i="5" s="1"/>
  <c r="Q1394" i="5"/>
  <c r="J1394" i="5"/>
  <c r="Q1393" i="5"/>
  <c r="R1393" i="5" s="1"/>
  <c r="S1393" i="5" s="1"/>
  <c r="J1393" i="5"/>
  <c r="Q1392" i="5"/>
  <c r="R1392" i="5" s="1"/>
  <c r="S1392" i="5" s="1"/>
  <c r="J1392" i="5"/>
  <c r="Q1391" i="5"/>
  <c r="R1391" i="5" s="1"/>
  <c r="S1391" i="5" s="1"/>
  <c r="J1391" i="5"/>
  <c r="Q1390" i="5"/>
  <c r="R1390" i="5" s="1"/>
  <c r="S1390" i="5" s="1"/>
  <c r="J1390" i="5"/>
  <c r="Q1389" i="5"/>
  <c r="R1389" i="5" s="1"/>
  <c r="S1389" i="5" s="1"/>
  <c r="J1389" i="5"/>
  <c r="Q1388" i="5"/>
  <c r="R1388" i="5" s="1"/>
  <c r="S1388" i="5" s="1"/>
  <c r="J1388" i="5"/>
  <c r="Q1387" i="5"/>
  <c r="R1387" i="5" s="1"/>
  <c r="S1387" i="5" s="1"/>
  <c r="J1387" i="5"/>
  <c r="R1386" i="5"/>
  <c r="S1386" i="5" s="1"/>
  <c r="Q1386" i="5"/>
  <c r="J1386" i="5"/>
  <c r="Q1385" i="5"/>
  <c r="R1385" i="5" s="1"/>
  <c r="S1385" i="5" s="1"/>
  <c r="J1385" i="5"/>
  <c r="Q1384" i="5"/>
  <c r="R1384" i="5" s="1"/>
  <c r="S1384" i="5" s="1"/>
  <c r="J1384" i="5"/>
  <c r="Q1383" i="5"/>
  <c r="R1383" i="5" s="1"/>
  <c r="S1383" i="5" s="1"/>
  <c r="J1383" i="5"/>
  <c r="R1382" i="5"/>
  <c r="S1382" i="5" s="1"/>
  <c r="Q1382" i="5"/>
  <c r="J1382" i="5"/>
  <c r="Q1381" i="5"/>
  <c r="R1381" i="5" s="1"/>
  <c r="S1381" i="5" s="1"/>
  <c r="J1381" i="5"/>
  <c r="Q1380" i="5"/>
  <c r="R1380" i="5" s="1"/>
  <c r="S1380" i="5" s="1"/>
  <c r="J1380" i="5"/>
  <c r="Q1379" i="5"/>
  <c r="R1379" i="5" s="1"/>
  <c r="S1379" i="5" s="1"/>
  <c r="J1379" i="5"/>
  <c r="Q1378" i="5"/>
  <c r="R1378" i="5" s="1"/>
  <c r="S1378" i="5" s="1"/>
  <c r="J1378" i="5"/>
  <c r="Q1377" i="5"/>
  <c r="R1377" i="5" s="1"/>
  <c r="S1377" i="5" s="1"/>
  <c r="J1377" i="5"/>
  <c r="R1376" i="5"/>
  <c r="S1376" i="5" s="1"/>
  <c r="Q1376" i="5"/>
  <c r="J1376" i="5"/>
  <c r="Q1375" i="5"/>
  <c r="R1375" i="5" s="1"/>
  <c r="S1375" i="5" s="1"/>
  <c r="J1375" i="5"/>
  <c r="Q1374" i="5"/>
  <c r="R1374" i="5" s="1"/>
  <c r="S1374" i="5" s="1"/>
  <c r="J1374" i="5"/>
  <c r="Q1373" i="5"/>
  <c r="R1373" i="5" s="1"/>
  <c r="S1373" i="5" s="1"/>
  <c r="J1373" i="5"/>
  <c r="Q1372" i="5"/>
  <c r="R1372" i="5" s="1"/>
  <c r="S1372" i="5" s="1"/>
  <c r="J1372" i="5"/>
  <c r="Q1371" i="5"/>
  <c r="R1371" i="5" s="1"/>
  <c r="S1371" i="5" s="1"/>
  <c r="J1371" i="5"/>
  <c r="R1370" i="5"/>
  <c r="S1370" i="5" s="1"/>
  <c r="Q1370" i="5"/>
  <c r="J1370" i="5"/>
  <c r="Q1369" i="5"/>
  <c r="R1369" i="5" s="1"/>
  <c r="S1369" i="5" s="1"/>
  <c r="J1369" i="5"/>
  <c r="Q1368" i="5"/>
  <c r="R1368" i="5" s="1"/>
  <c r="S1368" i="5" s="1"/>
  <c r="J1368" i="5"/>
  <c r="Q1367" i="5"/>
  <c r="R1367" i="5" s="1"/>
  <c r="S1367" i="5" s="1"/>
  <c r="J1367" i="5"/>
  <c r="Q1366" i="5"/>
  <c r="R1366" i="5" s="1"/>
  <c r="S1366" i="5" s="1"/>
  <c r="J1366" i="5"/>
  <c r="Q1365" i="5"/>
  <c r="R1365" i="5" s="1"/>
  <c r="S1365" i="5" s="1"/>
  <c r="J1365" i="5"/>
  <c r="Q1364" i="5"/>
  <c r="R1364" i="5" s="1"/>
  <c r="S1364" i="5" s="1"/>
  <c r="J1364" i="5"/>
  <c r="Q1363" i="5"/>
  <c r="R1363" i="5" s="1"/>
  <c r="S1363" i="5" s="1"/>
  <c r="J1363" i="5"/>
  <c r="R1362" i="5"/>
  <c r="S1362" i="5" s="1"/>
  <c r="Q1362" i="5"/>
  <c r="J1362" i="5"/>
  <c r="Q1361" i="5"/>
  <c r="R1361" i="5" s="1"/>
  <c r="S1361" i="5" s="1"/>
  <c r="J1361" i="5"/>
  <c r="Q1360" i="5"/>
  <c r="R1360" i="5" s="1"/>
  <c r="S1360" i="5" s="1"/>
  <c r="J1360" i="5"/>
  <c r="Q1359" i="5"/>
  <c r="R1359" i="5" s="1"/>
  <c r="S1359" i="5" s="1"/>
  <c r="J1359" i="5"/>
  <c r="R1358" i="5"/>
  <c r="S1358" i="5" s="1"/>
  <c r="Q1358" i="5"/>
  <c r="J1358" i="5"/>
  <c r="Q1357" i="5"/>
  <c r="R1357" i="5" s="1"/>
  <c r="S1357" i="5" s="1"/>
  <c r="J1357" i="5"/>
  <c r="Q1356" i="5"/>
  <c r="R1356" i="5" s="1"/>
  <c r="S1356" i="5" s="1"/>
  <c r="J1356" i="5"/>
  <c r="Q1355" i="5"/>
  <c r="R1355" i="5" s="1"/>
  <c r="S1355" i="5" s="1"/>
  <c r="J1355" i="5"/>
  <c r="Q1354" i="5"/>
  <c r="R1354" i="5" s="1"/>
  <c r="S1354" i="5" s="1"/>
  <c r="J1354" i="5"/>
  <c r="Q1353" i="5"/>
  <c r="R1353" i="5" s="1"/>
  <c r="S1353" i="5" s="1"/>
  <c r="J1353" i="5"/>
  <c r="Q1352" i="5"/>
  <c r="R1352" i="5" s="1"/>
  <c r="S1352" i="5" s="1"/>
  <c r="J1352" i="5"/>
  <c r="Q1351" i="5"/>
  <c r="R1351" i="5" s="1"/>
  <c r="S1351" i="5" s="1"/>
  <c r="J1351" i="5"/>
  <c r="Q1350" i="5"/>
  <c r="R1350" i="5" s="1"/>
  <c r="S1350" i="5" s="1"/>
  <c r="J1350" i="5"/>
  <c r="Q1349" i="5"/>
  <c r="R1349" i="5" s="1"/>
  <c r="S1349" i="5" s="1"/>
  <c r="J1349" i="5"/>
  <c r="Q1348" i="5"/>
  <c r="R1348" i="5" s="1"/>
  <c r="S1348" i="5" s="1"/>
  <c r="J1348" i="5"/>
  <c r="Q1347" i="5"/>
  <c r="R1347" i="5" s="1"/>
  <c r="S1347" i="5" s="1"/>
  <c r="J1347" i="5"/>
  <c r="Q1346" i="5"/>
  <c r="R1346" i="5" s="1"/>
  <c r="S1346" i="5" s="1"/>
  <c r="J1346" i="5"/>
  <c r="Q1345" i="5"/>
  <c r="R1345" i="5" s="1"/>
  <c r="S1345" i="5" s="1"/>
  <c r="J1345" i="5"/>
  <c r="Q1344" i="5"/>
  <c r="R1344" i="5" s="1"/>
  <c r="S1344" i="5" s="1"/>
  <c r="J1344" i="5"/>
  <c r="Q1343" i="5"/>
  <c r="R1343" i="5" s="1"/>
  <c r="S1343" i="5" s="1"/>
  <c r="J1343" i="5"/>
  <c r="Q1342" i="5"/>
  <c r="R1342" i="5" s="1"/>
  <c r="S1342" i="5" s="1"/>
  <c r="J1342" i="5"/>
  <c r="Q1341" i="5"/>
  <c r="R1341" i="5" s="1"/>
  <c r="S1341" i="5" s="1"/>
  <c r="J1341" i="5"/>
  <c r="Q1340" i="5"/>
  <c r="R1340" i="5" s="1"/>
  <c r="S1340" i="5" s="1"/>
  <c r="J1340" i="5"/>
  <c r="Q1339" i="5"/>
  <c r="R1339" i="5" s="1"/>
  <c r="S1339" i="5" s="1"/>
  <c r="J1339" i="5"/>
  <c r="Q1338" i="5"/>
  <c r="R1338" i="5" s="1"/>
  <c r="S1338" i="5" s="1"/>
  <c r="J1338" i="5"/>
  <c r="R1337" i="5"/>
  <c r="S1337" i="5" s="1"/>
  <c r="Q1337" i="5"/>
  <c r="J1337" i="5"/>
  <c r="Q1336" i="5"/>
  <c r="R1336" i="5" s="1"/>
  <c r="S1336" i="5" s="1"/>
  <c r="J1336" i="5"/>
  <c r="Q1335" i="5"/>
  <c r="R1335" i="5" s="1"/>
  <c r="S1335" i="5" s="1"/>
  <c r="J1335" i="5"/>
  <c r="Q1334" i="5"/>
  <c r="R1334" i="5" s="1"/>
  <c r="S1334" i="5" s="1"/>
  <c r="J1334" i="5"/>
  <c r="Q1333" i="5"/>
  <c r="R1333" i="5" s="1"/>
  <c r="S1333" i="5" s="1"/>
  <c r="J1333" i="5"/>
  <c r="Q1332" i="5"/>
  <c r="R1332" i="5" s="1"/>
  <c r="S1332" i="5" s="1"/>
  <c r="J1332" i="5"/>
  <c r="R1331" i="5"/>
  <c r="S1331" i="5" s="1"/>
  <c r="Q1331" i="5"/>
  <c r="J1331" i="5"/>
  <c r="Q1330" i="5"/>
  <c r="R1330" i="5" s="1"/>
  <c r="S1330" i="5" s="1"/>
  <c r="J1330" i="5"/>
  <c r="Q1329" i="5"/>
  <c r="R1329" i="5" s="1"/>
  <c r="S1329" i="5" s="1"/>
  <c r="J1329" i="5"/>
  <c r="Q1328" i="5"/>
  <c r="R1328" i="5" s="1"/>
  <c r="S1328" i="5" s="1"/>
  <c r="J1328" i="5"/>
  <c r="Q1327" i="5"/>
  <c r="R1327" i="5" s="1"/>
  <c r="S1327" i="5" s="1"/>
  <c r="J1327" i="5"/>
  <c r="Q1326" i="5"/>
  <c r="R1326" i="5" s="1"/>
  <c r="S1326" i="5" s="1"/>
  <c r="J1326" i="5"/>
  <c r="R1325" i="5"/>
  <c r="S1325" i="5" s="1"/>
  <c r="Q1325" i="5"/>
  <c r="J1325" i="5"/>
  <c r="Q1324" i="5"/>
  <c r="R1324" i="5" s="1"/>
  <c r="S1324" i="5" s="1"/>
  <c r="J1324" i="5"/>
  <c r="Q1323" i="5"/>
  <c r="R1323" i="5" s="1"/>
  <c r="S1323" i="5" s="1"/>
  <c r="J1323" i="5"/>
  <c r="Q1322" i="5"/>
  <c r="R1322" i="5" s="1"/>
  <c r="S1322" i="5" s="1"/>
  <c r="J1322" i="5"/>
  <c r="Q1321" i="5"/>
  <c r="R1321" i="5" s="1"/>
  <c r="S1321" i="5" s="1"/>
  <c r="J1321" i="5"/>
  <c r="Q1320" i="5"/>
  <c r="R1320" i="5" s="1"/>
  <c r="S1320" i="5" s="1"/>
  <c r="J1320" i="5"/>
  <c r="Q1319" i="5"/>
  <c r="R1319" i="5" s="1"/>
  <c r="S1319" i="5" s="1"/>
  <c r="J1319" i="5"/>
  <c r="Q1318" i="5"/>
  <c r="R1318" i="5" s="1"/>
  <c r="S1318" i="5" s="1"/>
  <c r="J1318" i="5"/>
  <c r="R1317" i="5"/>
  <c r="S1317" i="5" s="1"/>
  <c r="Q1317" i="5"/>
  <c r="J1317" i="5"/>
  <c r="Q1316" i="5"/>
  <c r="R1316" i="5" s="1"/>
  <c r="S1316" i="5" s="1"/>
  <c r="J1316" i="5"/>
  <c r="Q1315" i="5"/>
  <c r="R1315" i="5" s="1"/>
  <c r="S1315" i="5" s="1"/>
  <c r="J1315" i="5"/>
  <c r="Q1314" i="5"/>
  <c r="R1314" i="5" s="1"/>
  <c r="S1314" i="5" s="1"/>
  <c r="J1314" i="5"/>
  <c r="R1313" i="5"/>
  <c r="S1313" i="5" s="1"/>
  <c r="Q1313" i="5"/>
  <c r="J1313" i="5"/>
  <c r="Q1312" i="5"/>
  <c r="R1312" i="5" s="1"/>
  <c r="S1312" i="5" s="1"/>
  <c r="J1312" i="5"/>
  <c r="Q1311" i="5"/>
  <c r="R1311" i="5" s="1"/>
  <c r="S1311" i="5" s="1"/>
  <c r="J1311" i="5"/>
  <c r="Q1310" i="5"/>
  <c r="R1310" i="5" s="1"/>
  <c r="S1310" i="5" s="1"/>
  <c r="J1310" i="5"/>
  <c r="Q1309" i="5"/>
  <c r="R1309" i="5" s="1"/>
  <c r="S1309" i="5" s="1"/>
  <c r="J1309" i="5"/>
  <c r="Q1308" i="5"/>
  <c r="R1308" i="5" s="1"/>
  <c r="S1308" i="5" s="1"/>
  <c r="J1308" i="5"/>
  <c r="R1307" i="5"/>
  <c r="S1307" i="5" s="1"/>
  <c r="Q1307" i="5"/>
  <c r="J1307" i="5"/>
  <c r="Q1306" i="5"/>
  <c r="R1306" i="5" s="1"/>
  <c r="S1306" i="5" s="1"/>
  <c r="J1306" i="5"/>
  <c r="Q1305" i="5"/>
  <c r="R1305" i="5" s="1"/>
  <c r="S1305" i="5" s="1"/>
  <c r="J1305" i="5"/>
  <c r="Q1304" i="5"/>
  <c r="R1304" i="5" s="1"/>
  <c r="S1304" i="5" s="1"/>
  <c r="J1304" i="5"/>
  <c r="Q1303" i="5"/>
  <c r="R1303" i="5" s="1"/>
  <c r="S1303" i="5" s="1"/>
  <c r="J1303" i="5"/>
  <c r="Q1302" i="5"/>
  <c r="R1302" i="5" s="1"/>
  <c r="S1302" i="5" s="1"/>
  <c r="J1302" i="5"/>
  <c r="R1301" i="5"/>
  <c r="S1301" i="5" s="1"/>
  <c r="Q1301" i="5"/>
  <c r="J1301" i="5"/>
  <c r="Q1300" i="5"/>
  <c r="R1300" i="5" s="1"/>
  <c r="S1300" i="5" s="1"/>
  <c r="J1300" i="5"/>
  <c r="Q1299" i="5"/>
  <c r="R1299" i="5" s="1"/>
  <c r="S1299" i="5" s="1"/>
  <c r="J1299" i="5"/>
  <c r="Q1298" i="5"/>
  <c r="R1298" i="5" s="1"/>
  <c r="S1298" i="5" s="1"/>
  <c r="J1298" i="5"/>
  <c r="Q1297" i="5"/>
  <c r="R1297" i="5" s="1"/>
  <c r="S1297" i="5" s="1"/>
  <c r="J1297" i="5"/>
  <c r="Q1296" i="5"/>
  <c r="R1296" i="5" s="1"/>
  <c r="S1296" i="5" s="1"/>
  <c r="J1296" i="5"/>
  <c r="Q1295" i="5"/>
  <c r="R1295" i="5" s="1"/>
  <c r="S1295" i="5" s="1"/>
  <c r="J1295" i="5"/>
  <c r="Q1294" i="5"/>
  <c r="R1294" i="5" s="1"/>
  <c r="S1294" i="5" s="1"/>
  <c r="J1294" i="5"/>
  <c r="R1293" i="5"/>
  <c r="S1293" i="5" s="1"/>
  <c r="Q1293" i="5"/>
  <c r="J1293" i="5"/>
  <c r="Q1292" i="5"/>
  <c r="R1292" i="5" s="1"/>
  <c r="S1292" i="5" s="1"/>
  <c r="J1292" i="5"/>
  <c r="Q1291" i="5"/>
  <c r="R1291" i="5" s="1"/>
  <c r="S1291" i="5" s="1"/>
  <c r="J1291" i="5"/>
  <c r="Q1290" i="5"/>
  <c r="R1290" i="5" s="1"/>
  <c r="S1290" i="5" s="1"/>
  <c r="J1290" i="5"/>
  <c r="R1289" i="5"/>
  <c r="S1289" i="5" s="1"/>
  <c r="Q1289" i="5"/>
  <c r="J1289" i="5"/>
  <c r="Q1288" i="5"/>
  <c r="R1288" i="5" s="1"/>
  <c r="S1288" i="5" s="1"/>
  <c r="J1288" i="5"/>
  <c r="Q1287" i="5"/>
  <c r="R1287" i="5" s="1"/>
  <c r="S1287" i="5" s="1"/>
  <c r="J1287" i="5"/>
  <c r="Q1286" i="5"/>
  <c r="R1286" i="5" s="1"/>
  <c r="S1286" i="5" s="1"/>
  <c r="J1286" i="5"/>
  <c r="Q1285" i="5"/>
  <c r="R1285" i="5" s="1"/>
  <c r="S1285" i="5" s="1"/>
  <c r="J1285" i="5"/>
  <c r="Q1284" i="5"/>
  <c r="R1284" i="5" s="1"/>
  <c r="S1284" i="5" s="1"/>
  <c r="J1284" i="5"/>
  <c r="R1283" i="5"/>
  <c r="S1283" i="5" s="1"/>
  <c r="Q1283" i="5"/>
  <c r="J1283" i="5"/>
  <c r="Q1282" i="5"/>
  <c r="R1282" i="5" s="1"/>
  <c r="S1282" i="5" s="1"/>
  <c r="J1282" i="5"/>
  <c r="Q1281" i="5"/>
  <c r="R1281" i="5" s="1"/>
  <c r="S1281" i="5" s="1"/>
  <c r="J1281" i="5"/>
  <c r="Q1280" i="5"/>
  <c r="R1280" i="5" s="1"/>
  <c r="S1280" i="5" s="1"/>
  <c r="J1280" i="5"/>
  <c r="Q1279" i="5"/>
  <c r="R1279" i="5" s="1"/>
  <c r="S1279" i="5" s="1"/>
  <c r="J1279" i="5"/>
  <c r="Q1278" i="5"/>
  <c r="R1278" i="5" s="1"/>
  <c r="S1278" i="5" s="1"/>
  <c r="J1278" i="5"/>
  <c r="R1277" i="5"/>
  <c r="S1277" i="5" s="1"/>
  <c r="Q1277" i="5"/>
  <c r="J1277" i="5"/>
  <c r="Q1276" i="5"/>
  <c r="R1276" i="5" s="1"/>
  <c r="S1276" i="5" s="1"/>
  <c r="J1276" i="5"/>
  <c r="Q1275" i="5"/>
  <c r="R1275" i="5" s="1"/>
  <c r="S1275" i="5" s="1"/>
  <c r="J1275" i="5"/>
  <c r="Q1274" i="5"/>
  <c r="R1274" i="5" s="1"/>
  <c r="S1274" i="5" s="1"/>
  <c r="J1274" i="5"/>
  <c r="Q1273" i="5"/>
  <c r="R1273" i="5" s="1"/>
  <c r="S1273" i="5" s="1"/>
  <c r="J1273" i="5"/>
  <c r="Q1272" i="5"/>
  <c r="R1272" i="5" s="1"/>
  <c r="S1272" i="5" s="1"/>
  <c r="J1272" i="5"/>
  <c r="Q1271" i="5"/>
  <c r="R1271" i="5" s="1"/>
  <c r="S1271" i="5" s="1"/>
  <c r="J1271" i="5"/>
  <c r="Q1270" i="5"/>
  <c r="R1270" i="5" s="1"/>
  <c r="S1270" i="5" s="1"/>
  <c r="J1270" i="5"/>
  <c r="R1269" i="5"/>
  <c r="S1269" i="5" s="1"/>
  <c r="Q1269" i="5"/>
  <c r="J1269" i="5"/>
  <c r="Q1268" i="5"/>
  <c r="R1268" i="5" s="1"/>
  <c r="S1268" i="5" s="1"/>
  <c r="J1268" i="5"/>
  <c r="Q1267" i="5"/>
  <c r="R1267" i="5" s="1"/>
  <c r="S1267" i="5" s="1"/>
  <c r="J1267" i="5"/>
  <c r="Q1266" i="5"/>
  <c r="R1266" i="5" s="1"/>
  <c r="S1266" i="5" s="1"/>
  <c r="J1266" i="5"/>
  <c r="R1265" i="5"/>
  <c r="S1265" i="5" s="1"/>
  <c r="Q1265" i="5"/>
  <c r="J1265" i="5"/>
  <c r="Q1264" i="5"/>
  <c r="R1264" i="5" s="1"/>
  <c r="S1264" i="5" s="1"/>
  <c r="J1264" i="5"/>
  <c r="Q1263" i="5"/>
  <c r="R1263" i="5" s="1"/>
  <c r="S1263" i="5" s="1"/>
  <c r="J1263" i="5"/>
  <c r="Q1262" i="5"/>
  <c r="R1262" i="5" s="1"/>
  <c r="S1262" i="5" s="1"/>
  <c r="J1262" i="5"/>
  <c r="Q1261" i="5"/>
  <c r="R1261" i="5" s="1"/>
  <c r="S1261" i="5" s="1"/>
  <c r="J1261" i="5"/>
  <c r="Q1260" i="5"/>
  <c r="R1260" i="5" s="1"/>
  <c r="S1260" i="5" s="1"/>
  <c r="J1260" i="5"/>
  <c r="R1259" i="5"/>
  <c r="S1259" i="5" s="1"/>
  <c r="Q1259" i="5"/>
  <c r="J1259" i="5"/>
  <c r="Q1258" i="5"/>
  <c r="R1258" i="5" s="1"/>
  <c r="S1258" i="5" s="1"/>
  <c r="J1258" i="5"/>
  <c r="Q1257" i="5"/>
  <c r="R1257" i="5" s="1"/>
  <c r="S1257" i="5" s="1"/>
  <c r="J1257" i="5"/>
  <c r="Q1256" i="5"/>
  <c r="R1256" i="5" s="1"/>
  <c r="S1256" i="5" s="1"/>
  <c r="J1256" i="5"/>
  <c r="Q1255" i="5"/>
  <c r="R1255" i="5" s="1"/>
  <c r="S1255" i="5" s="1"/>
  <c r="J1255" i="5"/>
  <c r="Q1254" i="5"/>
  <c r="R1254" i="5" s="1"/>
  <c r="S1254" i="5" s="1"/>
  <c r="J1254" i="5"/>
  <c r="R1253" i="5"/>
  <c r="S1253" i="5" s="1"/>
  <c r="Q1253" i="5"/>
  <c r="J1253" i="5"/>
  <c r="Q1252" i="5"/>
  <c r="R1252" i="5" s="1"/>
  <c r="S1252" i="5" s="1"/>
  <c r="J1252" i="5"/>
  <c r="Q1251" i="5"/>
  <c r="R1251" i="5" s="1"/>
  <c r="S1251" i="5" s="1"/>
  <c r="J1251" i="5"/>
  <c r="Q1250" i="5"/>
  <c r="R1250" i="5" s="1"/>
  <c r="S1250" i="5" s="1"/>
  <c r="J1250" i="5"/>
  <c r="Q1249" i="5"/>
  <c r="R1249" i="5" s="1"/>
  <c r="S1249" i="5" s="1"/>
  <c r="J1249" i="5"/>
  <c r="Q1248" i="5"/>
  <c r="R1248" i="5" s="1"/>
  <c r="S1248" i="5" s="1"/>
  <c r="J1248" i="5"/>
  <c r="Q1247" i="5"/>
  <c r="R1247" i="5" s="1"/>
  <c r="S1247" i="5" s="1"/>
  <c r="J1247" i="5"/>
  <c r="Q1246" i="5"/>
  <c r="R1246" i="5" s="1"/>
  <c r="S1246" i="5" s="1"/>
  <c r="J1246" i="5"/>
  <c r="R1245" i="5"/>
  <c r="S1245" i="5" s="1"/>
  <c r="Q1245" i="5"/>
  <c r="J1245" i="5"/>
  <c r="Q1244" i="5"/>
  <c r="R1244" i="5" s="1"/>
  <c r="S1244" i="5" s="1"/>
  <c r="J1244" i="5"/>
  <c r="Q1243" i="5"/>
  <c r="R1243" i="5" s="1"/>
  <c r="S1243" i="5" s="1"/>
  <c r="J1243" i="5"/>
  <c r="Q1242" i="5"/>
  <c r="R1242" i="5" s="1"/>
  <c r="S1242" i="5" s="1"/>
  <c r="J1242" i="5"/>
  <c r="R1241" i="5"/>
  <c r="S1241" i="5" s="1"/>
  <c r="Q1241" i="5"/>
  <c r="J1241" i="5"/>
  <c r="Q1240" i="5"/>
  <c r="R1240" i="5" s="1"/>
  <c r="S1240" i="5" s="1"/>
  <c r="J1240" i="5"/>
  <c r="Q1239" i="5"/>
  <c r="R1239" i="5" s="1"/>
  <c r="S1239" i="5" s="1"/>
  <c r="J1239" i="5"/>
  <c r="Q1238" i="5"/>
  <c r="R1238" i="5" s="1"/>
  <c r="S1238" i="5" s="1"/>
  <c r="J1238" i="5"/>
  <c r="Q1237" i="5"/>
  <c r="R1237" i="5" s="1"/>
  <c r="S1237" i="5" s="1"/>
  <c r="J1237" i="5"/>
  <c r="Q1236" i="5"/>
  <c r="R1236" i="5" s="1"/>
  <c r="S1236" i="5" s="1"/>
  <c r="J1236" i="5"/>
  <c r="R1235" i="5"/>
  <c r="S1235" i="5" s="1"/>
  <c r="Q1235" i="5"/>
  <c r="J1235" i="5"/>
  <c r="Q1234" i="5"/>
  <c r="R1234" i="5" s="1"/>
  <c r="S1234" i="5" s="1"/>
  <c r="J1234" i="5"/>
  <c r="Q1233" i="5"/>
  <c r="R1233" i="5" s="1"/>
  <c r="S1233" i="5" s="1"/>
  <c r="J1233" i="5"/>
  <c r="Q1232" i="5"/>
  <c r="R1232" i="5" s="1"/>
  <c r="S1232" i="5" s="1"/>
  <c r="J1232" i="5"/>
  <c r="Q1231" i="5"/>
  <c r="R1231" i="5" s="1"/>
  <c r="S1231" i="5" s="1"/>
  <c r="J1231" i="5"/>
  <c r="Q1230" i="5"/>
  <c r="R1230" i="5" s="1"/>
  <c r="S1230" i="5" s="1"/>
  <c r="J1230" i="5"/>
  <c r="R1229" i="5"/>
  <c r="S1229" i="5" s="1"/>
  <c r="Q1229" i="5"/>
  <c r="J1229" i="5"/>
  <c r="Q1228" i="5"/>
  <c r="R1228" i="5" s="1"/>
  <c r="S1228" i="5" s="1"/>
  <c r="J1228" i="5"/>
  <c r="Q1227" i="5"/>
  <c r="R1227" i="5" s="1"/>
  <c r="S1227" i="5" s="1"/>
  <c r="J1227" i="5"/>
  <c r="Q1226" i="5"/>
  <c r="R1226" i="5" s="1"/>
  <c r="S1226" i="5" s="1"/>
  <c r="J1226" i="5"/>
  <c r="Q1225" i="5"/>
  <c r="R1225" i="5" s="1"/>
  <c r="S1225" i="5" s="1"/>
  <c r="J1225" i="5"/>
  <c r="Q1224" i="5"/>
  <c r="R1224" i="5" s="1"/>
  <c r="S1224" i="5" s="1"/>
  <c r="J1224" i="5"/>
  <c r="Q1223" i="5"/>
  <c r="R1223" i="5" s="1"/>
  <c r="S1223" i="5" s="1"/>
  <c r="J1223" i="5"/>
  <c r="Q1222" i="5"/>
  <c r="R1222" i="5" s="1"/>
  <c r="S1222" i="5" s="1"/>
  <c r="J1222" i="5"/>
  <c r="R1221" i="5"/>
  <c r="S1221" i="5" s="1"/>
  <c r="Q1221" i="5"/>
  <c r="J1221" i="5"/>
  <c r="Q1220" i="5"/>
  <c r="R1220" i="5" s="1"/>
  <c r="S1220" i="5" s="1"/>
  <c r="J1220" i="5"/>
  <c r="Q1219" i="5"/>
  <c r="R1219" i="5" s="1"/>
  <c r="S1219" i="5" s="1"/>
  <c r="J1219" i="5"/>
  <c r="Q1218" i="5"/>
  <c r="R1218" i="5" s="1"/>
  <c r="S1218" i="5" s="1"/>
  <c r="J1218" i="5"/>
  <c r="R1217" i="5"/>
  <c r="S1217" i="5" s="1"/>
  <c r="Q1217" i="5"/>
  <c r="J1217" i="5"/>
  <c r="Q1216" i="5"/>
  <c r="R1216" i="5" s="1"/>
  <c r="S1216" i="5" s="1"/>
  <c r="J1216" i="5"/>
  <c r="Q1215" i="5"/>
  <c r="R1215" i="5" s="1"/>
  <c r="S1215" i="5" s="1"/>
  <c r="J1215" i="5"/>
  <c r="Q1214" i="5"/>
  <c r="R1214" i="5" s="1"/>
  <c r="S1214" i="5" s="1"/>
  <c r="J1214" i="5"/>
  <c r="Q1213" i="5"/>
  <c r="R1213" i="5" s="1"/>
  <c r="S1213" i="5" s="1"/>
  <c r="J1213" i="5"/>
  <c r="Q1212" i="5"/>
  <c r="R1212" i="5" s="1"/>
  <c r="S1212" i="5" s="1"/>
  <c r="J1212" i="5"/>
  <c r="R1211" i="5"/>
  <c r="S1211" i="5" s="1"/>
  <c r="Q1211" i="5"/>
  <c r="J1211" i="5"/>
  <c r="Q1210" i="5"/>
  <c r="R1210" i="5" s="1"/>
  <c r="S1210" i="5" s="1"/>
  <c r="J1210" i="5"/>
  <c r="Q1209" i="5"/>
  <c r="R1209" i="5" s="1"/>
  <c r="S1209" i="5" s="1"/>
  <c r="J1209" i="5"/>
  <c r="Q1208" i="5"/>
  <c r="R1208" i="5" s="1"/>
  <c r="S1208" i="5" s="1"/>
  <c r="J1208" i="5"/>
  <c r="Q1207" i="5"/>
  <c r="R1207" i="5" s="1"/>
  <c r="S1207" i="5" s="1"/>
  <c r="J1207" i="5"/>
  <c r="Q1206" i="5"/>
  <c r="R1206" i="5" s="1"/>
  <c r="S1206" i="5" s="1"/>
  <c r="J1206" i="5"/>
  <c r="R1205" i="5"/>
  <c r="S1205" i="5" s="1"/>
  <c r="Q1205" i="5"/>
  <c r="J1205" i="5"/>
  <c r="Q1204" i="5"/>
  <c r="R1204" i="5" s="1"/>
  <c r="S1204" i="5" s="1"/>
  <c r="J1204" i="5"/>
  <c r="Q1203" i="5"/>
  <c r="R1203" i="5" s="1"/>
  <c r="S1203" i="5" s="1"/>
  <c r="J1203" i="5"/>
  <c r="Q1202" i="5"/>
  <c r="R1202" i="5" s="1"/>
  <c r="S1202" i="5" s="1"/>
  <c r="J1202" i="5"/>
  <c r="Q1201" i="5"/>
  <c r="R1201" i="5" s="1"/>
  <c r="S1201" i="5" s="1"/>
  <c r="J1201" i="5"/>
  <c r="Q1200" i="5"/>
  <c r="R1200" i="5" s="1"/>
  <c r="S1200" i="5" s="1"/>
  <c r="J1200" i="5"/>
  <c r="Q1199" i="5"/>
  <c r="R1199" i="5" s="1"/>
  <c r="S1199" i="5" s="1"/>
  <c r="J1199" i="5"/>
  <c r="Q1198" i="5"/>
  <c r="R1198" i="5" s="1"/>
  <c r="S1198" i="5" s="1"/>
  <c r="J1198" i="5"/>
  <c r="R1197" i="5"/>
  <c r="S1197" i="5" s="1"/>
  <c r="Q1197" i="5"/>
  <c r="J1197" i="5"/>
  <c r="Q1196" i="5"/>
  <c r="R1196" i="5" s="1"/>
  <c r="S1196" i="5" s="1"/>
  <c r="J1196" i="5"/>
  <c r="Q1195" i="5"/>
  <c r="R1195" i="5" s="1"/>
  <c r="S1195" i="5" s="1"/>
  <c r="J1195" i="5"/>
  <c r="Q1194" i="5"/>
  <c r="R1194" i="5" s="1"/>
  <c r="S1194" i="5" s="1"/>
  <c r="J1194" i="5"/>
  <c r="R1193" i="5"/>
  <c r="S1193" i="5" s="1"/>
  <c r="Q1193" i="5"/>
  <c r="J1193" i="5"/>
  <c r="Q1192" i="5"/>
  <c r="R1192" i="5" s="1"/>
  <c r="S1192" i="5" s="1"/>
  <c r="J1192" i="5"/>
  <c r="Q1191" i="5"/>
  <c r="R1191" i="5" s="1"/>
  <c r="S1191" i="5" s="1"/>
  <c r="J1191" i="5"/>
  <c r="Q1190" i="5"/>
  <c r="R1190" i="5" s="1"/>
  <c r="S1190" i="5" s="1"/>
  <c r="J1190" i="5"/>
  <c r="Q1189" i="5"/>
  <c r="R1189" i="5" s="1"/>
  <c r="S1189" i="5" s="1"/>
  <c r="J1189" i="5"/>
  <c r="Q1188" i="5"/>
  <c r="R1188" i="5" s="1"/>
  <c r="S1188" i="5" s="1"/>
  <c r="J1188" i="5"/>
  <c r="R1187" i="5"/>
  <c r="S1187" i="5" s="1"/>
  <c r="Q1187" i="5"/>
  <c r="J1187" i="5"/>
  <c r="Q1186" i="5"/>
  <c r="R1186" i="5" s="1"/>
  <c r="S1186" i="5" s="1"/>
  <c r="J1186" i="5"/>
  <c r="Q1185" i="5"/>
  <c r="R1185" i="5" s="1"/>
  <c r="S1185" i="5" s="1"/>
  <c r="J1185" i="5"/>
  <c r="Q1184" i="5"/>
  <c r="R1184" i="5" s="1"/>
  <c r="S1184" i="5" s="1"/>
  <c r="J1184" i="5"/>
  <c r="Q1183" i="5"/>
  <c r="R1183" i="5" s="1"/>
  <c r="S1183" i="5" s="1"/>
  <c r="J1183" i="5"/>
  <c r="Q1182" i="5"/>
  <c r="R1182" i="5" s="1"/>
  <c r="S1182" i="5" s="1"/>
  <c r="J1182" i="5"/>
  <c r="R1181" i="5"/>
  <c r="S1181" i="5" s="1"/>
  <c r="Q1181" i="5"/>
  <c r="J1181" i="5"/>
  <c r="Q1180" i="5"/>
  <c r="R1180" i="5" s="1"/>
  <c r="S1180" i="5" s="1"/>
  <c r="J1180" i="5"/>
  <c r="Q1179" i="5"/>
  <c r="R1179" i="5" s="1"/>
  <c r="S1179" i="5" s="1"/>
  <c r="J1179" i="5"/>
  <c r="Q1178" i="5"/>
  <c r="R1178" i="5" s="1"/>
  <c r="S1178" i="5" s="1"/>
  <c r="J1178" i="5"/>
  <c r="R1177" i="5"/>
  <c r="S1177" i="5" s="1"/>
  <c r="Q1177" i="5"/>
  <c r="J1177" i="5"/>
  <c r="Q1176" i="5"/>
  <c r="R1176" i="5" s="1"/>
  <c r="S1176" i="5" s="1"/>
  <c r="J1176" i="5"/>
  <c r="Q1175" i="5"/>
  <c r="R1175" i="5" s="1"/>
  <c r="S1175" i="5" s="1"/>
  <c r="J1175" i="5"/>
  <c r="Q1174" i="5"/>
  <c r="R1174" i="5" s="1"/>
  <c r="S1174" i="5" s="1"/>
  <c r="J1174" i="5"/>
  <c r="R1173" i="5"/>
  <c r="S1173" i="5" s="1"/>
  <c r="Q1173" i="5"/>
  <c r="J1173" i="5"/>
  <c r="Q1172" i="5"/>
  <c r="R1172" i="5" s="1"/>
  <c r="S1172" i="5" s="1"/>
  <c r="J1172" i="5"/>
  <c r="Q1171" i="5"/>
  <c r="R1171" i="5" s="1"/>
  <c r="S1171" i="5" s="1"/>
  <c r="J1171" i="5"/>
  <c r="Q1170" i="5"/>
  <c r="R1170" i="5" s="1"/>
  <c r="S1170" i="5" s="1"/>
  <c r="J1170" i="5"/>
  <c r="Q1169" i="5"/>
  <c r="R1169" i="5" s="1"/>
  <c r="S1169" i="5" s="1"/>
  <c r="J1169" i="5"/>
  <c r="R1168" i="5"/>
  <c r="S1168" i="5" s="1"/>
  <c r="Q1168" i="5"/>
  <c r="J1168" i="5"/>
  <c r="Q1167" i="5"/>
  <c r="R1167" i="5" s="1"/>
  <c r="S1167" i="5" s="1"/>
  <c r="J1167" i="5"/>
  <c r="Q1166" i="5"/>
  <c r="R1166" i="5" s="1"/>
  <c r="S1166" i="5" s="1"/>
  <c r="J1166" i="5"/>
  <c r="Q1165" i="5"/>
  <c r="R1165" i="5" s="1"/>
  <c r="S1165" i="5" s="1"/>
  <c r="J1165" i="5"/>
  <c r="R1164" i="5"/>
  <c r="S1164" i="5" s="1"/>
  <c r="Q1164" i="5"/>
  <c r="J1164" i="5"/>
  <c r="Q1163" i="5"/>
  <c r="R1163" i="5" s="1"/>
  <c r="S1163" i="5" s="1"/>
  <c r="J1163" i="5"/>
  <c r="Q1162" i="5"/>
  <c r="R1162" i="5" s="1"/>
  <c r="S1162" i="5" s="1"/>
  <c r="J1162" i="5"/>
  <c r="Q1161" i="5"/>
  <c r="R1161" i="5" s="1"/>
  <c r="S1161" i="5" s="1"/>
  <c r="J1161" i="5"/>
  <c r="Q1160" i="5"/>
  <c r="R1160" i="5" s="1"/>
  <c r="S1160" i="5" s="1"/>
  <c r="J1160" i="5"/>
  <c r="Q1159" i="5"/>
  <c r="R1159" i="5" s="1"/>
  <c r="S1159" i="5" s="1"/>
  <c r="J1159" i="5"/>
  <c r="R1158" i="5"/>
  <c r="S1158" i="5" s="1"/>
  <c r="Q1158" i="5"/>
  <c r="J1158" i="5"/>
  <c r="Q1157" i="5"/>
  <c r="R1157" i="5" s="1"/>
  <c r="S1157" i="5" s="1"/>
  <c r="J1157" i="5"/>
  <c r="Q1156" i="5"/>
  <c r="R1156" i="5" s="1"/>
  <c r="S1156" i="5" s="1"/>
  <c r="J1156" i="5"/>
  <c r="Q1155" i="5"/>
  <c r="R1155" i="5" s="1"/>
  <c r="S1155" i="5" s="1"/>
  <c r="J1155" i="5"/>
  <c r="Q1154" i="5"/>
  <c r="R1154" i="5" s="1"/>
  <c r="S1154" i="5" s="1"/>
  <c r="J1154" i="5"/>
  <c r="Q1153" i="5"/>
  <c r="R1153" i="5" s="1"/>
  <c r="S1153" i="5" s="1"/>
  <c r="J1153" i="5"/>
  <c r="R1152" i="5"/>
  <c r="S1152" i="5" s="1"/>
  <c r="Q1152" i="5"/>
  <c r="J1152" i="5"/>
  <c r="Q1151" i="5"/>
  <c r="R1151" i="5" s="1"/>
  <c r="S1151" i="5" s="1"/>
  <c r="J1151" i="5"/>
  <c r="Q1150" i="5"/>
  <c r="R1150" i="5" s="1"/>
  <c r="S1150" i="5" s="1"/>
  <c r="J1150" i="5"/>
  <c r="Q1149" i="5"/>
  <c r="R1149" i="5" s="1"/>
  <c r="S1149" i="5" s="1"/>
  <c r="J1149" i="5"/>
  <c r="R1148" i="5"/>
  <c r="S1148" i="5" s="1"/>
  <c r="Q1148" i="5"/>
  <c r="J1148" i="5"/>
  <c r="Q1147" i="5"/>
  <c r="R1147" i="5" s="1"/>
  <c r="S1147" i="5" s="1"/>
  <c r="J1147" i="5"/>
  <c r="Q1146" i="5"/>
  <c r="R1146" i="5" s="1"/>
  <c r="S1146" i="5" s="1"/>
  <c r="J1146" i="5"/>
  <c r="Q1145" i="5"/>
  <c r="R1145" i="5" s="1"/>
  <c r="S1145" i="5" s="1"/>
  <c r="J1145" i="5"/>
  <c r="R1144" i="5"/>
  <c r="S1144" i="5" s="1"/>
  <c r="Q1144" i="5"/>
  <c r="J1144" i="5"/>
  <c r="Q1143" i="5"/>
  <c r="R1143" i="5" s="1"/>
  <c r="S1143" i="5" s="1"/>
  <c r="J1143" i="5"/>
  <c r="Q1142" i="5"/>
  <c r="R1142" i="5" s="1"/>
  <c r="S1142" i="5" s="1"/>
  <c r="J1142" i="5"/>
  <c r="Q1141" i="5"/>
  <c r="R1141" i="5" s="1"/>
  <c r="S1141" i="5" s="1"/>
  <c r="J1141" i="5"/>
  <c r="R1140" i="5"/>
  <c r="S1140" i="5" s="1"/>
  <c r="Q1140" i="5"/>
  <c r="J1140" i="5"/>
  <c r="Q1139" i="5"/>
  <c r="R1139" i="5" s="1"/>
  <c r="S1139" i="5" s="1"/>
  <c r="J1139" i="5"/>
  <c r="Q1138" i="5"/>
  <c r="R1138" i="5" s="1"/>
  <c r="S1138" i="5" s="1"/>
  <c r="J1138" i="5"/>
  <c r="Q1137" i="5"/>
  <c r="R1137" i="5" s="1"/>
  <c r="S1137" i="5" s="1"/>
  <c r="J1137" i="5"/>
  <c r="Q1136" i="5"/>
  <c r="R1136" i="5" s="1"/>
  <c r="S1136" i="5" s="1"/>
  <c r="J1136" i="5"/>
  <c r="Q1135" i="5"/>
  <c r="R1135" i="5" s="1"/>
  <c r="S1135" i="5" s="1"/>
  <c r="J1135" i="5"/>
  <c r="R1134" i="5"/>
  <c r="S1134" i="5" s="1"/>
  <c r="Q1134" i="5"/>
  <c r="J1134" i="5"/>
  <c r="Q1133" i="5"/>
  <c r="R1133" i="5" s="1"/>
  <c r="S1133" i="5" s="1"/>
  <c r="J1133" i="5"/>
  <c r="Q1132" i="5"/>
  <c r="R1132" i="5" s="1"/>
  <c r="S1132" i="5" s="1"/>
  <c r="J1132" i="5"/>
  <c r="Q1131" i="5"/>
  <c r="R1131" i="5" s="1"/>
  <c r="S1131" i="5" s="1"/>
  <c r="J1131" i="5"/>
  <c r="Q1130" i="5"/>
  <c r="R1130" i="5" s="1"/>
  <c r="S1130" i="5" s="1"/>
  <c r="J1130" i="5"/>
  <c r="Q1129" i="5"/>
  <c r="R1129" i="5" s="1"/>
  <c r="S1129" i="5" s="1"/>
  <c r="J1129" i="5"/>
  <c r="R1128" i="5"/>
  <c r="S1128" i="5" s="1"/>
  <c r="Q1128" i="5"/>
  <c r="J1128" i="5"/>
  <c r="Q1127" i="5"/>
  <c r="R1127" i="5" s="1"/>
  <c r="S1127" i="5" s="1"/>
  <c r="J1127" i="5"/>
  <c r="Q1126" i="5"/>
  <c r="R1126" i="5" s="1"/>
  <c r="S1126" i="5" s="1"/>
  <c r="J1126" i="5"/>
  <c r="Q1125" i="5"/>
  <c r="R1125" i="5" s="1"/>
  <c r="S1125" i="5" s="1"/>
  <c r="J1125" i="5"/>
  <c r="R1124" i="5"/>
  <c r="S1124" i="5" s="1"/>
  <c r="Q1124" i="5"/>
  <c r="J1124" i="5"/>
  <c r="Q1123" i="5"/>
  <c r="R1123" i="5" s="1"/>
  <c r="S1123" i="5" s="1"/>
  <c r="J1123" i="5"/>
  <c r="Q1122" i="5"/>
  <c r="R1122" i="5" s="1"/>
  <c r="S1122" i="5" s="1"/>
  <c r="J1122" i="5"/>
  <c r="Q1121" i="5"/>
  <c r="R1121" i="5" s="1"/>
  <c r="S1121" i="5" s="1"/>
  <c r="J1121" i="5"/>
  <c r="R1120" i="5"/>
  <c r="S1120" i="5" s="1"/>
  <c r="Q1120" i="5"/>
  <c r="J1120" i="5"/>
  <c r="Q1119" i="5"/>
  <c r="R1119" i="5" s="1"/>
  <c r="S1119" i="5" s="1"/>
  <c r="J1119" i="5"/>
  <c r="Q1118" i="5"/>
  <c r="R1118" i="5" s="1"/>
  <c r="S1118" i="5" s="1"/>
  <c r="J1118" i="5"/>
  <c r="Q1117" i="5"/>
  <c r="R1117" i="5" s="1"/>
  <c r="S1117" i="5" s="1"/>
  <c r="J1117" i="5"/>
  <c r="R1116" i="5"/>
  <c r="S1116" i="5" s="1"/>
  <c r="Q1116" i="5"/>
  <c r="J1116" i="5"/>
  <c r="Q1115" i="5"/>
  <c r="R1115" i="5" s="1"/>
  <c r="S1115" i="5" s="1"/>
  <c r="J1115" i="5"/>
  <c r="Q1114" i="5"/>
  <c r="R1114" i="5" s="1"/>
  <c r="S1114" i="5" s="1"/>
  <c r="J1114" i="5"/>
  <c r="Q1113" i="5"/>
  <c r="R1113" i="5" s="1"/>
  <c r="S1113" i="5" s="1"/>
  <c r="J1113" i="5"/>
  <c r="Q1112" i="5"/>
  <c r="R1112" i="5" s="1"/>
  <c r="S1112" i="5" s="1"/>
  <c r="J1112" i="5"/>
  <c r="Q1111" i="5"/>
  <c r="R1111" i="5" s="1"/>
  <c r="S1111" i="5" s="1"/>
  <c r="J1111" i="5"/>
  <c r="R1110" i="5"/>
  <c r="S1110" i="5" s="1"/>
  <c r="Q1110" i="5"/>
  <c r="J1110" i="5"/>
  <c r="Q1109" i="5"/>
  <c r="R1109" i="5" s="1"/>
  <c r="S1109" i="5" s="1"/>
  <c r="J1109" i="5"/>
  <c r="Q1108" i="5"/>
  <c r="R1108" i="5" s="1"/>
  <c r="S1108" i="5" s="1"/>
  <c r="J1108" i="5"/>
  <c r="Q1107" i="5"/>
  <c r="R1107" i="5" s="1"/>
  <c r="S1107" i="5" s="1"/>
  <c r="J1107" i="5"/>
  <c r="Q1106" i="5"/>
  <c r="R1106" i="5" s="1"/>
  <c r="S1106" i="5" s="1"/>
  <c r="J1106" i="5"/>
  <c r="Q1105" i="5"/>
  <c r="R1105" i="5" s="1"/>
  <c r="S1105" i="5" s="1"/>
  <c r="J1105" i="5"/>
  <c r="R1104" i="5"/>
  <c r="S1104" i="5" s="1"/>
  <c r="Q1104" i="5"/>
  <c r="J1104" i="5"/>
  <c r="Q1103" i="5"/>
  <c r="R1103" i="5" s="1"/>
  <c r="S1103" i="5" s="1"/>
  <c r="J1103" i="5"/>
  <c r="Q1102" i="5"/>
  <c r="R1102" i="5" s="1"/>
  <c r="S1102" i="5" s="1"/>
  <c r="J1102" i="5"/>
  <c r="Q1101" i="5"/>
  <c r="R1101" i="5" s="1"/>
  <c r="S1101" i="5" s="1"/>
  <c r="J1101" i="5"/>
  <c r="R1100" i="5"/>
  <c r="S1100" i="5" s="1"/>
  <c r="Q1100" i="5"/>
  <c r="J1100" i="5"/>
  <c r="Q1099" i="5"/>
  <c r="R1099" i="5" s="1"/>
  <c r="S1099" i="5" s="1"/>
  <c r="J1099" i="5"/>
  <c r="Q1098" i="5"/>
  <c r="R1098" i="5" s="1"/>
  <c r="S1098" i="5" s="1"/>
  <c r="J1098" i="5"/>
  <c r="Q1097" i="5"/>
  <c r="R1097" i="5" s="1"/>
  <c r="S1097" i="5" s="1"/>
  <c r="J1097" i="5"/>
  <c r="R1096" i="5"/>
  <c r="S1096" i="5" s="1"/>
  <c r="Q1096" i="5"/>
  <c r="J1096" i="5"/>
  <c r="Q1095" i="5"/>
  <c r="R1095" i="5" s="1"/>
  <c r="S1095" i="5" s="1"/>
  <c r="J1095" i="5"/>
  <c r="Q1094" i="5"/>
  <c r="R1094" i="5" s="1"/>
  <c r="S1094" i="5" s="1"/>
  <c r="J1094" i="5"/>
  <c r="Q1093" i="5"/>
  <c r="R1093" i="5" s="1"/>
  <c r="S1093" i="5" s="1"/>
  <c r="J1093" i="5"/>
  <c r="R1092" i="5"/>
  <c r="S1092" i="5" s="1"/>
  <c r="Q1092" i="5"/>
  <c r="J1092" i="5"/>
  <c r="Q1091" i="5"/>
  <c r="R1091" i="5" s="1"/>
  <c r="S1091" i="5" s="1"/>
  <c r="J1091" i="5"/>
  <c r="Q1090" i="5"/>
  <c r="R1090" i="5" s="1"/>
  <c r="S1090" i="5" s="1"/>
  <c r="J1090" i="5"/>
  <c r="Q1089" i="5"/>
  <c r="R1089" i="5" s="1"/>
  <c r="S1089" i="5" s="1"/>
  <c r="J1089" i="5"/>
  <c r="Q1088" i="5"/>
  <c r="R1088" i="5" s="1"/>
  <c r="S1088" i="5" s="1"/>
  <c r="J1088" i="5"/>
  <c r="Q1087" i="5"/>
  <c r="R1087" i="5" s="1"/>
  <c r="S1087" i="5" s="1"/>
  <c r="J1087" i="5"/>
  <c r="R1086" i="5"/>
  <c r="S1086" i="5" s="1"/>
  <c r="Q1086" i="5"/>
  <c r="J1086" i="5"/>
  <c r="Q1085" i="5"/>
  <c r="R1085" i="5" s="1"/>
  <c r="S1085" i="5" s="1"/>
  <c r="J1085" i="5"/>
  <c r="Q1084" i="5"/>
  <c r="R1084" i="5" s="1"/>
  <c r="S1084" i="5" s="1"/>
  <c r="J1084" i="5"/>
  <c r="Q1083" i="5"/>
  <c r="R1083" i="5" s="1"/>
  <c r="S1083" i="5" s="1"/>
  <c r="J1083" i="5"/>
  <c r="Q1082" i="5"/>
  <c r="R1082" i="5" s="1"/>
  <c r="S1082" i="5" s="1"/>
  <c r="J1082" i="5"/>
  <c r="Q1081" i="5"/>
  <c r="R1081" i="5" s="1"/>
  <c r="S1081" i="5" s="1"/>
  <c r="J1081" i="5"/>
  <c r="R1080" i="5"/>
  <c r="S1080" i="5" s="1"/>
  <c r="Q1080" i="5"/>
  <c r="J1080" i="5"/>
  <c r="Q1079" i="5"/>
  <c r="R1079" i="5" s="1"/>
  <c r="S1079" i="5" s="1"/>
  <c r="J1079" i="5"/>
  <c r="Q1078" i="5"/>
  <c r="R1078" i="5" s="1"/>
  <c r="S1078" i="5" s="1"/>
  <c r="J1078" i="5"/>
  <c r="Q1077" i="5"/>
  <c r="R1077" i="5" s="1"/>
  <c r="S1077" i="5" s="1"/>
  <c r="J1077" i="5"/>
  <c r="R1076" i="5"/>
  <c r="S1076" i="5" s="1"/>
  <c r="Q1076" i="5"/>
  <c r="J1076" i="5"/>
  <c r="Q1075" i="5"/>
  <c r="R1075" i="5" s="1"/>
  <c r="S1075" i="5" s="1"/>
  <c r="J1075" i="5"/>
  <c r="Q1074" i="5"/>
  <c r="R1074" i="5" s="1"/>
  <c r="S1074" i="5" s="1"/>
  <c r="J1074" i="5"/>
  <c r="Q1073" i="5"/>
  <c r="R1073" i="5" s="1"/>
  <c r="S1073" i="5" s="1"/>
  <c r="J1073" i="5"/>
  <c r="R1072" i="5"/>
  <c r="S1072" i="5" s="1"/>
  <c r="Q1072" i="5"/>
  <c r="J1072" i="5"/>
  <c r="Q1071" i="5"/>
  <c r="R1071" i="5" s="1"/>
  <c r="S1071" i="5" s="1"/>
  <c r="J1071" i="5"/>
  <c r="Q1070" i="5"/>
  <c r="R1070" i="5" s="1"/>
  <c r="S1070" i="5" s="1"/>
  <c r="J1070" i="5"/>
  <c r="Q1069" i="5"/>
  <c r="R1069" i="5" s="1"/>
  <c r="S1069" i="5" s="1"/>
  <c r="J1069" i="5"/>
  <c r="R1068" i="5"/>
  <c r="S1068" i="5" s="1"/>
  <c r="Q1068" i="5"/>
  <c r="J1068" i="5"/>
  <c r="Q1067" i="5"/>
  <c r="R1067" i="5" s="1"/>
  <c r="S1067" i="5" s="1"/>
  <c r="J1067" i="5"/>
  <c r="Q1066" i="5"/>
  <c r="R1066" i="5" s="1"/>
  <c r="S1066" i="5" s="1"/>
  <c r="J1066" i="5"/>
  <c r="Q1065" i="5"/>
  <c r="R1065" i="5" s="1"/>
  <c r="S1065" i="5" s="1"/>
  <c r="J1065" i="5"/>
  <c r="Q1064" i="5"/>
  <c r="R1064" i="5" s="1"/>
  <c r="S1064" i="5" s="1"/>
  <c r="J1064" i="5"/>
  <c r="Q1063" i="5"/>
  <c r="R1063" i="5" s="1"/>
  <c r="S1063" i="5" s="1"/>
  <c r="J1063" i="5"/>
  <c r="R1062" i="5"/>
  <c r="S1062" i="5" s="1"/>
  <c r="Q1062" i="5"/>
  <c r="J1062" i="5"/>
  <c r="Q1061" i="5"/>
  <c r="R1061" i="5" s="1"/>
  <c r="S1061" i="5" s="1"/>
  <c r="J1061" i="5"/>
  <c r="Q1060" i="5"/>
  <c r="R1060" i="5" s="1"/>
  <c r="S1060" i="5" s="1"/>
  <c r="J1060" i="5"/>
  <c r="Q1059" i="5"/>
  <c r="R1059" i="5" s="1"/>
  <c r="S1059" i="5" s="1"/>
  <c r="J1059" i="5"/>
  <c r="Q1058" i="5"/>
  <c r="R1058" i="5" s="1"/>
  <c r="S1058" i="5" s="1"/>
  <c r="J1058" i="5"/>
  <c r="Q1057" i="5"/>
  <c r="R1057" i="5" s="1"/>
  <c r="S1057" i="5" s="1"/>
  <c r="J1057" i="5"/>
  <c r="R1056" i="5"/>
  <c r="S1056" i="5" s="1"/>
  <c r="Q1056" i="5"/>
  <c r="J1056" i="5"/>
  <c r="Q1055" i="5"/>
  <c r="R1055" i="5" s="1"/>
  <c r="S1055" i="5" s="1"/>
  <c r="J1055" i="5"/>
  <c r="Q1054" i="5"/>
  <c r="R1054" i="5" s="1"/>
  <c r="S1054" i="5" s="1"/>
  <c r="J1054" i="5"/>
  <c r="Q1053" i="5"/>
  <c r="R1053" i="5" s="1"/>
  <c r="S1053" i="5" s="1"/>
  <c r="J1053" i="5"/>
  <c r="R1052" i="5"/>
  <c r="S1052" i="5" s="1"/>
  <c r="Q1052" i="5"/>
  <c r="J1052" i="5"/>
  <c r="Q1051" i="5"/>
  <c r="R1051" i="5" s="1"/>
  <c r="S1051" i="5" s="1"/>
  <c r="J1051" i="5"/>
  <c r="Q1050" i="5"/>
  <c r="R1050" i="5" s="1"/>
  <c r="S1050" i="5" s="1"/>
  <c r="J1050" i="5"/>
  <c r="Q1049" i="5"/>
  <c r="R1049" i="5" s="1"/>
  <c r="S1049" i="5" s="1"/>
  <c r="J1049" i="5"/>
  <c r="R1048" i="5"/>
  <c r="S1048" i="5" s="1"/>
  <c r="Q1048" i="5"/>
  <c r="J1048" i="5"/>
  <c r="Q1047" i="5"/>
  <c r="R1047" i="5" s="1"/>
  <c r="S1047" i="5" s="1"/>
  <c r="J1047" i="5"/>
  <c r="Q1046" i="5"/>
  <c r="R1046" i="5" s="1"/>
  <c r="S1046" i="5" s="1"/>
  <c r="J1046" i="5"/>
  <c r="Q1045" i="5"/>
  <c r="R1045" i="5" s="1"/>
  <c r="S1045" i="5" s="1"/>
  <c r="J1045" i="5"/>
  <c r="R1044" i="5"/>
  <c r="S1044" i="5" s="1"/>
  <c r="Q1044" i="5"/>
  <c r="J1044" i="5"/>
  <c r="Q1043" i="5"/>
  <c r="R1043" i="5" s="1"/>
  <c r="S1043" i="5" s="1"/>
  <c r="J1043" i="5"/>
  <c r="Q1042" i="5"/>
  <c r="R1042" i="5" s="1"/>
  <c r="S1042" i="5" s="1"/>
  <c r="J1042" i="5"/>
  <c r="Q1041" i="5"/>
  <c r="R1041" i="5" s="1"/>
  <c r="S1041" i="5" s="1"/>
  <c r="J1041" i="5"/>
  <c r="Q1040" i="5"/>
  <c r="R1040" i="5" s="1"/>
  <c r="S1040" i="5" s="1"/>
  <c r="J1040" i="5"/>
  <c r="Q1039" i="5"/>
  <c r="R1039" i="5" s="1"/>
  <c r="S1039" i="5" s="1"/>
  <c r="J1039" i="5"/>
  <c r="R1038" i="5"/>
  <c r="S1038" i="5" s="1"/>
  <c r="Q1038" i="5"/>
  <c r="J1038" i="5"/>
  <c r="Q1037" i="5"/>
  <c r="R1037" i="5" s="1"/>
  <c r="S1037" i="5" s="1"/>
  <c r="J1037" i="5"/>
  <c r="Q1036" i="5"/>
  <c r="R1036" i="5" s="1"/>
  <c r="S1036" i="5" s="1"/>
  <c r="J1036" i="5"/>
  <c r="Q1035" i="5"/>
  <c r="R1035" i="5" s="1"/>
  <c r="S1035" i="5" s="1"/>
  <c r="J1035" i="5"/>
  <c r="Q1034" i="5"/>
  <c r="R1034" i="5" s="1"/>
  <c r="S1034" i="5" s="1"/>
  <c r="J1034" i="5"/>
  <c r="Q1033" i="5"/>
  <c r="R1033" i="5" s="1"/>
  <c r="S1033" i="5" s="1"/>
  <c r="J1033" i="5"/>
  <c r="R1032" i="5"/>
  <c r="S1032" i="5" s="1"/>
  <c r="Q1032" i="5"/>
  <c r="J1032" i="5"/>
  <c r="Q1031" i="5"/>
  <c r="R1031" i="5" s="1"/>
  <c r="S1031" i="5" s="1"/>
  <c r="J1031" i="5"/>
  <c r="Q1030" i="5"/>
  <c r="R1030" i="5" s="1"/>
  <c r="S1030" i="5" s="1"/>
  <c r="J1030" i="5"/>
  <c r="Q1029" i="5"/>
  <c r="R1029" i="5" s="1"/>
  <c r="S1029" i="5" s="1"/>
  <c r="J1029" i="5"/>
  <c r="R1028" i="5"/>
  <c r="S1028" i="5" s="1"/>
  <c r="Q1028" i="5"/>
  <c r="J1028" i="5"/>
  <c r="Q1027" i="5"/>
  <c r="R1027" i="5" s="1"/>
  <c r="S1027" i="5" s="1"/>
  <c r="J1027" i="5"/>
  <c r="Q1026" i="5"/>
  <c r="R1026" i="5" s="1"/>
  <c r="S1026" i="5" s="1"/>
  <c r="J1026" i="5"/>
  <c r="Q1025" i="5"/>
  <c r="R1025" i="5" s="1"/>
  <c r="S1025" i="5" s="1"/>
  <c r="J1025" i="5"/>
  <c r="R1024" i="5"/>
  <c r="S1024" i="5" s="1"/>
  <c r="Q1024" i="5"/>
  <c r="J1024" i="5"/>
  <c r="Q1023" i="5"/>
  <c r="R1023" i="5" s="1"/>
  <c r="S1023" i="5" s="1"/>
  <c r="J1023" i="5"/>
  <c r="Q1022" i="5"/>
  <c r="R1022" i="5" s="1"/>
  <c r="S1022" i="5" s="1"/>
  <c r="J1022" i="5"/>
  <c r="Q1021" i="5"/>
  <c r="R1021" i="5" s="1"/>
  <c r="S1021" i="5" s="1"/>
  <c r="J1021" i="5"/>
  <c r="R1020" i="5"/>
  <c r="S1020" i="5" s="1"/>
  <c r="Q1020" i="5"/>
  <c r="J1020" i="5"/>
  <c r="Q1019" i="5"/>
  <c r="R1019" i="5" s="1"/>
  <c r="S1019" i="5" s="1"/>
  <c r="J1019" i="5"/>
  <c r="Q1018" i="5"/>
  <c r="R1018" i="5" s="1"/>
  <c r="S1018" i="5" s="1"/>
  <c r="J1018" i="5"/>
  <c r="Q1017" i="5"/>
  <c r="R1017" i="5" s="1"/>
  <c r="S1017" i="5" s="1"/>
  <c r="J1017" i="5"/>
  <c r="Q1016" i="5"/>
  <c r="R1016" i="5" s="1"/>
  <c r="S1016" i="5" s="1"/>
  <c r="J1016" i="5"/>
  <c r="Q1015" i="5"/>
  <c r="R1015" i="5" s="1"/>
  <c r="S1015" i="5" s="1"/>
  <c r="J1015" i="5"/>
  <c r="R1014" i="5"/>
  <c r="S1014" i="5" s="1"/>
  <c r="Q1014" i="5"/>
  <c r="J1014" i="5"/>
  <c r="Q1013" i="5"/>
  <c r="R1013" i="5" s="1"/>
  <c r="S1013" i="5" s="1"/>
  <c r="J1013" i="5"/>
  <c r="Q1012" i="5"/>
  <c r="R1012" i="5" s="1"/>
  <c r="S1012" i="5" s="1"/>
  <c r="J1012" i="5"/>
  <c r="Q1011" i="5"/>
  <c r="R1011" i="5" s="1"/>
  <c r="S1011" i="5" s="1"/>
  <c r="J1011" i="5"/>
  <c r="Q1010" i="5"/>
  <c r="R1010" i="5" s="1"/>
  <c r="S1010" i="5" s="1"/>
  <c r="J1010" i="5"/>
  <c r="Q1009" i="5"/>
  <c r="R1009" i="5" s="1"/>
  <c r="S1009" i="5" s="1"/>
  <c r="J1009" i="5"/>
  <c r="R1008" i="5"/>
  <c r="S1008" i="5" s="1"/>
  <c r="Q1008" i="5"/>
  <c r="J1008" i="5"/>
  <c r="Q1007" i="5"/>
  <c r="R1007" i="5" s="1"/>
  <c r="S1007" i="5" s="1"/>
  <c r="J1007" i="5"/>
  <c r="Q1006" i="5"/>
  <c r="R1006" i="5" s="1"/>
  <c r="S1006" i="5" s="1"/>
  <c r="J1006" i="5"/>
  <c r="Q1005" i="5"/>
  <c r="R1005" i="5" s="1"/>
  <c r="S1005" i="5" s="1"/>
  <c r="J1005" i="5"/>
  <c r="R1004" i="5"/>
  <c r="S1004" i="5" s="1"/>
  <c r="Q1004" i="5"/>
  <c r="J1004" i="5"/>
  <c r="Q1003" i="5"/>
  <c r="R1003" i="5" s="1"/>
  <c r="S1003" i="5" s="1"/>
  <c r="J1003" i="5"/>
  <c r="Q1002" i="5"/>
  <c r="R1002" i="5" s="1"/>
  <c r="S1002" i="5" s="1"/>
  <c r="J1002" i="5"/>
  <c r="Q1001" i="5"/>
  <c r="R1001" i="5" s="1"/>
  <c r="S1001" i="5" s="1"/>
  <c r="J1001" i="5"/>
  <c r="R1000" i="5"/>
  <c r="S1000" i="5" s="1"/>
  <c r="Q1000" i="5"/>
  <c r="J1000" i="5"/>
  <c r="Q999" i="5"/>
  <c r="R999" i="5" s="1"/>
  <c r="S999" i="5" s="1"/>
  <c r="J999" i="5"/>
  <c r="Q998" i="5"/>
  <c r="R998" i="5" s="1"/>
  <c r="S998" i="5" s="1"/>
  <c r="J998" i="5"/>
  <c r="Q997" i="5"/>
  <c r="R997" i="5" s="1"/>
  <c r="S997" i="5" s="1"/>
  <c r="J997" i="5"/>
  <c r="R996" i="5"/>
  <c r="S996" i="5" s="1"/>
  <c r="Q996" i="5"/>
  <c r="J996" i="5"/>
  <c r="Q995" i="5"/>
  <c r="R995" i="5" s="1"/>
  <c r="S995" i="5" s="1"/>
  <c r="J995" i="5"/>
  <c r="Q994" i="5"/>
  <c r="R994" i="5" s="1"/>
  <c r="S994" i="5" s="1"/>
  <c r="J994" i="5"/>
  <c r="Q993" i="5"/>
  <c r="R993" i="5" s="1"/>
  <c r="S993" i="5" s="1"/>
  <c r="J993" i="5"/>
  <c r="Q992" i="5"/>
  <c r="R992" i="5" s="1"/>
  <c r="S992" i="5" s="1"/>
  <c r="J992" i="5"/>
  <c r="Q991" i="5"/>
  <c r="R991" i="5" s="1"/>
  <c r="S991" i="5" s="1"/>
  <c r="J991" i="5"/>
  <c r="R990" i="5"/>
  <c r="S990" i="5" s="1"/>
  <c r="Q990" i="5"/>
  <c r="J990" i="5"/>
  <c r="Q989" i="5"/>
  <c r="R989" i="5" s="1"/>
  <c r="S989" i="5" s="1"/>
  <c r="J989" i="5"/>
  <c r="Q988" i="5"/>
  <c r="R988" i="5" s="1"/>
  <c r="S988" i="5" s="1"/>
  <c r="J988" i="5"/>
  <c r="Q987" i="5"/>
  <c r="R987" i="5" s="1"/>
  <c r="S987" i="5" s="1"/>
  <c r="J987" i="5"/>
  <c r="Q986" i="5"/>
  <c r="R986" i="5" s="1"/>
  <c r="S986" i="5" s="1"/>
  <c r="J986" i="5"/>
  <c r="Q985" i="5"/>
  <c r="R985" i="5" s="1"/>
  <c r="S985" i="5" s="1"/>
  <c r="J985" i="5"/>
  <c r="R984" i="5"/>
  <c r="S984" i="5" s="1"/>
  <c r="Q984" i="5"/>
  <c r="J984" i="5"/>
  <c r="Q983" i="5"/>
  <c r="R983" i="5" s="1"/>
  <c r="S983" i="5" s="1"/>
  <c r="J983" i="5"/>
  <c r="Q982" i="5"/>
  <c r="R982" i="5" s="1"/>
  <c r="S982" i="5" s="1"/>
  <c r="J982" i="5"/>
  <c r="Q981" i="5"/>
  <c r="R981" i="5" s="1"/>
  <c r="S981" i="5" s="1"/>
  <c r="J981" i="5"/>
  <c r="R980" i="5"/>
  <c r="S980" i="5" s="1"/>
  <c r="Q980" i="5"/>
  <c r="J980" i="5"/>
  <c r="Q979" i="5"/>
  <c r="R979" i="5" s="1"/>
  <c r="S979" i="5" s="1"/>
  <c r="J979" i="5"/>
  <c r="Q978" i="5"/>
  <c r="R978" i="5" s="1"/>
  <c r="S978" i="5" s="1"/>
  <c r="J978" i="5"/>
  <c r="Q977" i="5"/>
  <c r="R977" i="5" s="1"/>
  <c r="S977" i="5" s="1"/>
  <c r="J977" i="5"/>
  <c r="R976" i="5"/>
  <c r="S976" i="5" s="1"/>
  <c r="Q976" i="5"/>
  <c r="J976" i="5"/>
  <c r="Q975" i="5"/>
  <c r="R975" i="5" s="1"/>
  <c r="S975" i="5" s="1"/>
  <c r="J975" i="5"/>
  <c r="Q974" i="5"/>
  <c r="R974" i="5" s="1"/>
  <c r="S974" i="5" s="1"/>
  <c r="J974" i="5"/>
  <c r="Q973" i="5"/>
  <c r="R973" i="5" s="1"/>
  <c r="S973" i="5" s="1"/>
  <c r="J973" i="5"/>
  <c r="R972" i="5"/>
  <c r="S972" i="5" s="1"/>
  <c r="Q972" i="5"/>
  <c r="J972" i="5"/>
  <c r="Q971" i="5"/>
  <c r="R971" i="5" s="1"/>
  <c r="S971" i="5" s="1"/>
  <c r="J971" i="5"/>
  <c r="Q970" i="5"/>
  <c r="R970" i="5" s="1"/>
  <c r="S970" i="5" s="1"/>
  <c r="J970" i="5"/>
  <c r="Q969" i="5"/>
  <c r="R969" i="5" s="1"/>
  <c r="S969" i="5" s="1"/>
  <c r="J969" i="5"/>
  <c r="Q968" i="5"/>
  <c r="R968" i="5" s="1"/>
  <c r="S968" i="5" s="1"/>
  <c r="J968" i="5"/>
  <c r="Q967" i="5"/>
  <c r="R967" i="5" s="1"/>
  <c r="S967" i="5" s="1"/>
  <c r="J967" i="5"/>
  <c r="R966" i="5"/>
  <c r="S966" i="5" s="1"/>
  <c r="Q966" i="5"/>
  <c r="J966" i="5"/>
  <c r="Q965" i="5"/>
  <c r="R965" i="5" s="1"/>
  <c r="S965" i="5" s="1"/>
  <c r="J965" i="5"/>
  <c r="Q964" i="5"/>
  <c r="R964" i="5" s="1"/>
  <c r="S964" i="5" s="1"/>
  <c r="J964" i="5"/>
  <c r="Q963" i="5"/>
  <c r="R963" i="5" s="1"/>
  <c r="S963" i="5" s="1"/>
  <c r="J963" i="5"/>
  <c r="Q962" i="5"/>
  <c r="R962" i="5" s="1"/>
  <c r="S962" i="5" s="1"/>
  <c r="J962" i="5"/>
  <c r="Q961" i="5"/>
  <c r="R961" i="5" s="1"/>
  <c r="S961" i="5" s="1"/>
  <c r="J961" i="5"/>
  <c r="R960" i="5"/>
  <c r="S960" i="5" s="1"/>
  <c r="Q960" i="5"/>
  <c r="J960" i="5"/>
  <c r="Q959" i="5"/>
  <c r="R959" i="5" s="1"/>
  <c r="S959" i="5" s="1"/>
  <c r="J959" i="5"/>
  <c r="Q958" i="5"/>
  <c r="R958" i="5" s="1"/>
  <c r="S958" i="5" s="1"/>
  <c r="J958" i="5"/>
  <c r="Q957" i="5"/>
  <c r="R957" i="5" s="1"/>
  <c r="S957" i="5" s="1"/>
  <c r="J957" i="5"/>
  <c r="R956" i="5"/>
  <c r="S956" i="5" s="1"/>
  <c r="Q956" i="5"/>
  <c r="J956" i="5"/>
  <c r="Q955" i="5"/>
  <c r="R955" i="5" s="1"/>
  <c r="S955" i="5" s="1"/>
  <c r="J955" i="5"/>
  <c r="Q954" i="5"/>
  <c r="R954" i="5" s="1"/>
  <c r="S954" i="5" s="1"/>
  <c r="J954" i="5"/>
  <c r="Q953" i="5"/>
  <c r="R953" i="5" s="1"/>
  <c r="S953" i="5" s="1"/>
  <c r="J953" i="5"/>
  <c r="R952" i="5"/>
  <c r="S952" i="5" s="1"/>
  <c r="Q952" i="5"/>
  <c r="J952" i="5"/>
  <c r="Q951" i="5"/>
  <c r="R951" i="5" s="1"/>
  <c r="S951" i="5" s="1"/>
  <c r="J951" i="5"/>
  <c r="Q950" i="5"/>
  <c r="R950" i="5" s="1"/>
  <c r="S950" i="5" s="1"/>
  <c r="J950" i="5"/>
  <c r="Q949" i="5"/>
  <c r="R949" i="5" s="1"/>
  <c r="S949" i="5" s="1"/>
  <c r="J949" i="5"/>
  <c r="R948" i="5"/>
  <c r="S948" i="5" s="1"/>
  <c r="Q948" i="5"/>
  <c r="J948" i="5"/>
  <c r="Q947" i="5"/>
  <c r="R947" i="5" s="1"/>
  <c r="S947" i="5" s="1"/>
  <c r="J947" i="5"/>
  <c r="Q946" i="5"/>
  <c r="R946" i="5" s="1"/>
  <c r="S946" i="5" s="1"/>
  <c r="J946" i="5"/>
  <c r="Q945" i="5"/>
  <c r="R945" i="5" s="1"/>
  <c r="S945" i="5" s="1"/>
  <c r="J945" i="5"/>
  <c r="Q944" i="5"/>
  <c r="R944" i="5" s="1"/>
  <c r="S944" i="5" s="1"/>
  <c r="J944" i="5"/>
  <c r="Q943" i="5"/>
  <c r="R943" i="5" s="1"/>
  <c r="S943" i="5" s="1"/>
  <c r="J943" i="5"/>
  <c r="R942" i="5"/>
  <c r="S942" i="5" s="1"/>
  <c r="Q942" i="5"/>
  <c r="J942" i="5"/>
  <c r="Q941" i="5"/>
  <c r="R941" i="5" s="1"/>
  <c r="S941" i="5" s="1"/>
  <c r="J941" i="5"/>
  <c r="Q940" i="5"/>
  <c r="R940" i="5" s="1"/>
  <c r="S940" i="5" s="1"/>
  <c r="J940" i="5"/>
  <c r="Q939" i="5"/>
  <c r="R939" i="5" s="1"/>
  <c r="S939" i="5" s="1"/>
  <c r="J939" i="5"/>
  <c r="Q938" i="5"/>
  <c r="R938" i="5" s="1"/>
  <c r="S938" i="5" s="1"/>
  <c r="J938" i="5"/>
  <c r="Q937" i="5"/>
  <c r="R937" i="5" s="1"/>
  <c r="S937" i="5" s="1"/>
  <c r="J937" i="5"/>
  <c r="R936" i="5"/>
  <c r="S936" i="5" s="1"/>
  <c r="Q936" i="5"/>
  <c r="J936" i="5"/>
  <c r="Q935" i="5"/>
  <c r="R935" i="5" s="1"/>
  <c r="S935" i="5" s="1"/>
  <c r="J935" i="5"/>
  <c r="Q934" i="5"/>
  <c r="R934" i="5" s="1"/>
  <c r="S934" i="5" s="1"/>
  <c r="J934" i="5"/>
  <c r="Q933" i="5"/>
  <c r="R933" i="5" s="1"/>
  <c r="S933" i="5" s="1"/>
  <c r="J933" i="5"/>
  <c r="R932" i="5"/>
  <c r="S932" i="5" s="1"/>
  <c r="Q932" i="5"/>
  <c r="J932" i="5"/>
  <c r="Q931" i="5"/>
  <c r="R931" i="5" s="1"/>
  <c r="S931" i="5" s="1"/>
  <c r="J931" i="5"/>
  <c r="Q930" i="5"/>
  <c r="R930" i="5" s="1"/>
  <c r="S930" i="5" s="1"/>
  <c r="J930" i="5"/>
  <c r="Q929" i="5"/>
  <c r="R929" i="5" s="1"/>
  <c r="S929" i="5" s="1"/>
  <c r="J929" i="5"/>
  <c r="R928" i="5"/>
  <c r="S928" i="5" s="1"/>
  <c r="Q928" i="5"/>
  <c r="J928" i="5"/>
  <c r="Q927" i="5"/>
  <c r="R927" i="5" s="1"/>
  <c r="S927" i="5" s="1"/>
  <c r="J927" i="5"/>
  <c r="Q926" i="5"/>
  <c r="R926" i="5" s="1"/>
  <c r="S926" i="5" s="1"/>
  <c r="J926" i="5"/>
  <c r="Q925" i="5"/>
  <c r="R925" i="5" s="1"/>
  <c r="S925" i="5" s="1"/>
  <c r="J925" i="5"/>
  <c r="R924" i="5"/>
  <c r="S924" i="5" s="1"/>
  <c r="Q924" i="5"/>
  <c r="J924" i="5"/>
  <c r="Q923" i="5"/>
  <c r="R923" i="5" s="1"/>
  <c r="S923" i="5" s="1"/>
  <c r="J923" i="5"/>
  <c r="Q922" i="5"/>
  <c r="R922" i="5" s="1"/>
  <c r="S922" i="5" s="1"/>
  <c r="J922" i="5"/>
  <c r="Q921" i="5"/>
  <c r="R921" i="5" s="1"/>
  <c r="S921" i="5" s="1"/>
  <c r="J921" i="5"/>
  <c r="Q920" i="5"/>
  <c r="R920" i="5" s="1"/>
  <c r="S920" i="5" s="1"/>
  <c r="J920" i="5"/>
  <c r="Q919" i="5"/>
  <c r="R919" i="5" s="1"/>
  <c r="S919" i="5" s="1"/>
  <c r="J919" i="5"/>
  <c r="R918" i="5"/>
  <c r="S918" i="5" s="1"/>
  <c r="Q918" i="5"/>
  <c r="J918" i="5"/>
  <c r="Q917" i="5"/>
  <c r="R917" i="5" s="1"/>
  <c r="S917" i="5" s="1"/>
  <c r="J917" i="5"/>
  <c r="Q916" i="5"/>
  <c r="R916" i="5" s="1"/>
  <c r="S916" i="5" s="1"/>
  <c r="J916" i="5"/>
  <c r="Q915" i="5"/>
  <c r="R915" i="5" s="1"/>
  <c r="S915" i="5" s="1"/>
  <c r="J915" i="5"/>
  <c r="Q914" i="5"/>
  <c r="R914" i="5" s="1"/>
  <c r="S914" i="5" s="1"/>
  <c r="J914" i="5"/>
  <c r="Q913" i="5"/>
  <c r="R913" i="5" s="1"/>
  <c r="S913" i="5" s="1"/>
  <c r="J913" i="5"/>
  <c r="R912" i="5"/>
  <c r="S912" i="5" s="1"/>
  <c r="Q912" i="5"/>
  <c r="J912" i="5"/>
  <c r="Q911" i="5"/>
  <c r="R911" i="5" s="1"/>
  <c r="S911" i="5" s="1"/>
  <c r="J911" i="5"/>
  <c r="Q910" i="5"/>
  <c r="R910" i="5" s="1"/>
  <c r="S910" i="5" s="1"/>
  <c r="J910" i="5"/>
  <c r="Q909" i="5"/>
  <c r="R909" i="5" s="1"/>
  <c r="S909" i="5" s="1"/>
  <c r="J909" i="5"/>
  <c r="R908" i="5"/>
  <c r="S908" i="5" s="1"/>
  <c r="Q908" i="5"/>
  <c r="J908" i="5"/>
  <c r="Q907" i="5"/>
  <c r="R907" i="5" s="1"/>
  <c r="S907" i="5" s="1"/>
  <c r="J907" i="5"/>
  <c r="Q906" i="5"/>
  <c r="R906" i="5" s="1"/>
  <c r="S906" i="5" s="1"/>
  <c r="J906" i="5"/>
  <c r="Q905" i="5"/>
  <c r="R905" i="5" s="1"/>
  <c r="S905" i="5" s="1"/>
  <c r="J905" i="5"/>
  <c r="R904" i="5"/>
  <c r="S904" i="5" s="1"/>
  <c r="Q904" i="5"/>
  <c r="J904" i="5"/>
  <c r="Q903" i="5"/>
  <c r="R903" i="5" s="1"/>
  <c r="S903" i="5" s="1"/>
  <c r="J903" i="5"/>
  <c r="Q902" i="5"/>
  <c r="R902" i="5" s="1"/>
  <c r="S902" i="5" s="1"/>
  <c r="J902" i="5"/>
  <c r="Q901" i="5"/>
  <c r="R901" i="5" s="1"/>
  <c r="S901" i="5" s="1"/>
  <c r="J901" i="5"/>
  <c r="R900" i="5"/>
  <c r="S900" i="5" s="1"/>
  <c r="Q900" i="5"/>
  <c r="J900" i="5"/>
  <c r="Q899" i="5"/>
  <c r="R899" i="5" s="1"/>
  <c r="S899" i="5" s="1"/>
  <c r="J899" i="5"/>
  <c r="Q898" i="5"/>
  <c r="R898" i="5" s="1"/>
  <c r="S898" i="5" s="1"/>
  <c r="J898" i="5"/>
  <c r="Q897" i="5"/>
  <c r="R897" i="5" s="1"/>
  <c r="S897" i="5" s="1"/>
  <c r="J897" i="5"/>
  <c r="Q896" i="5"/>
  <c r="R896" i="5" s="1"/>
  <c r="S896" i="5" s="1"/>
  <c r="J896" i="5"/>
  <c r="Q895" i="5"/>
  <c r="R895" i="5" s="1"/>
  <c r="S895" i="5" s="1"/>
  <c r="J895" i="5"/>
  <c r="R894" i="5"/>
  <c r="S894" i="5" s="1"/>
  <c r="Q894" i="5"/>
  <c r="J894" i="5"/>
  <c r="Q893" i="5"/>
  <c r="R893" i="5" s="1"/>
  <c r="S893" i="5" s="1"/>
  <c r="J893" i="5"/>
  <c r="Q892" i="5"/>
  <c r="R892" i="5" s="1"/>
  <c r="S892" i="5" s="1"/>
  <c r="J892" i="5"/>
  <c r="Q891" i="5"/>
  <c r="R891" i="5" s="1"/>
  <c r="S891" i="5" s="1"/>
  <c r="J891" i="5"/>
  <c r="Q890" i="5"/>
  <c r="R890" i="5" s="1"/>
  <c r="S890" i="5" s="1"/>
  <c r="J890" i="5"/>
  <c r="Q889" i="5"/>
  <c r="R889" i="5" s="1"/>
  <c r="S889" i="5" s="1"/>
  <c r="J889" i="5"/>
  <c r="R888" i="5"/>
  <c r="S888" i="5" s="1"/>
  <c r="Q888" i="5"/>
  <c r="J888" i="5"/>
  <c r="Q887" i="5"/>
  <c r="R887" i="5" s="1"/>
  <c r="S887" i="5" s="1"/>
  <c r="J887" i="5"/>
  <c r="Q886" i="5"/>
  <c r="R886" i="5" s="1"/>
  <c r="S886" i="5" s="1"/>
  <c r="J886" i="5"/>
  <c r="Q885" i="5"/>
  <c r="R885" i="5" s="1"/>
  <c r="S885" i="5" s="1"/>
  <c r="J885" i="5"/>
  <c r="R884" i="5"/>
  <c r="S884" i="5" s="1"/>
  <c r="Q884" i="5"/>
  <c r="J884" i="5"/>
  <c r="Q883" i="5"/>
  <c r="R883" i="5" s="1"/>
  <c r="S883" i="5" s="1"/>
  <c r="J883" i="5"/>
  <c r="Q882" i="5"/>
  <c r="R882" i="5" s="1"/>
  <c r="S882" i="5" s="1"/>
  <c r="J882" i="5"/>
  <c r="Q881" i="5"/>
  <c r="R881" i="5" s="1"/>
  <c r="S881" i="5" s="1"/>
  <c r="J881" i="5"/>
  <c r="R880" i="5"/>
  <c r="S880" i="5" s="1"/>
  <c r="Q880" i="5"/>
  <c r="J880" i="5"/>
  <c r="Q879" i="5"/>
  <c r="R879" i="5" s="1"/>
  <c r="S879" i="5" s="1"/>
  <c r="J879" i="5"/>
  <c r="Q878" i="5"/>
  <c r="R878" i="5" s="1"/>
  <c r="S878" i="5" s="1"/>
  <c r="J878" i="5"/>
  <c r="Q877" i="5"/>
  <c r="R877" i="5" s="1"/>
  <c r="S877" i="5" s="1"/>
  <c r="J877" i="5"/>
  <c r="R876" i="5"/>
  <c r="S876" i="5" s="1"/>
  <c r="Q876" i="5"/>
  <c r="J876" i="5"/>
  <c r="Q875" i="5"/>
  <c r="R875" i="5" s="1"/>
  <c r="S875" i="5" s="1"/>
  <c r="J875" i="5"/>
  <c r="Q874" i="5"/>
  <c r="R874" i="5" s="1"/>
  <c r="S874" i="5" s="1"/>
  <c r="J874" i="5"/>
  <c r="Q873" i="5"/>
  <c r="R873" i="5" s="1"/>
  <c r="S873" i="5" s="1"/>
  <c r="J873" i="5"/>
  <c r="Q872" i="5"/>
  <c r="R872" i="5" s="1"/>
  <c r="S872" i="5" s="1"/>
  <c r="J872" i="5"/>
  <c r="Q871" i="5"/>
  <c r="R871" i="5" s="1"/>
  <c r="S871" i="5" s="1"/>
  <c r="J871" i="5"/>
  <c r="R870" i="5"/>
  <c r="S870" i="5" s="1"/>
  <c r="Q870" i="5"/>
  <c r="J870" i="5"/>
  <c r="Q869" i="5"/>
  <c r="R869" i="5" s="1"/>
  <c r="S869" i="5" s="1"/>
  <c r="J869" i="5"/>
  <c r="Q868" i="5"/>
  <c r="R868" i="5" s="1"/>
  <c r="S868" i="5" s="1"/>
  <c r="J868" i="5"/>
  <c r="Q867" i="5"/>
  <c r="R867" i="5" s="1"/>
  <c r="S867" i="5" s="1"/>
  <c r="J867" i="5"/>
  <c r="Q866" i="5"/>
  <c r="R866" i="5" s="1"/>
  <c r="S866" i="5" s="1"/>
  <c r="J866" i="5"/>
  <c r="Q865" i="5"/>
  <c r="R865" i="5" s="1"/>
  <c r="S865" i="5" s="1"/>
  <c r="J865" i="5"/>
  <c r="R864" i="5"/>
  <c r="S864" i="5" s="1"/>
  <c r="Q864" i="5"/>
  <c r="J864" i="5"/>
  <c r="Q863" i="5"/>
  <c r="R863" i="5" s="1"/>
  <c r="S863" i="5" s="1"/>
  <c r="J863" i="5"/>
  <c r="Q862" i="5"/>
  <c r="R862" i="5" s="1"/>
  <c r="S862" i="5" s="1"/>
  <c r="J862" i="5"/>
  <c r="Q861" i="5"/>
  <c r="R861" i="5" s="1"/>
  <c r="S861" i="5" s="1"/>
  <c r="J861" i="5"/>
  <c r="R860" i="5"/>
  <c r="S860" i="5" s="1"/>
  <c r="Q860" i="5"/>
  <c r="J860" i="5"/>
  <c r="Q859" i="5"/>
  <c r="R859" i="5" s="1"/>
  <c r="S859" i="5" s="1"/>
  <c r="J859" i="5"/>
  <c r="Q858" i="5"/>
  <c r="R858" i="5" s="1"/>
  <c r="S858" i="5" s="1"/>
  <c r="J858" i="5"/>
  <c r="Q857" i="5"/>
  <c r="R857" i="5" s="1"/>
  <c r="S857" i="5" s="1"/>
  <c r="J857" i="5"/>
  <c r="R856" i="5"/>
  <c r="S856" i="5" s="1"/>
  <c r="Q856" i="5"/>
  <c r="J856" i="5"/>
  <c r="Q855" i="5"/>
  <c r="R855" i="5" s="1"/>
  <c r="S855" i="5" s="1"/>
  <c r="J855" i="5"/>
  <c r="Q854" i="5"/>
  <c r="R854" i="5" s="1"/>
  <c r="S854" i="5" s="1"/>
  <c r="J854" i="5"/>
  <c r="Q853" i="5"/>
  <c r="R853" i="5" s="1"/>
  <c r="S853" i="5" s="1"/>
  <c r="J853" i="5"/>
  <c r="Q1040" i="2"/>
  <c r="R1040" i="2" s="1"/>
  <c r="S1040" i="2" s="1"/>
  <c r="Q1046" i="2"/>
  <c r="R1046" i="2" s="1"/>
  <c r="S1046" i="2" s="1"/>
  <c r="Q1035" i="2"/>
  <c r="R1035" i="2" s="1"/>
  <c r="S1035" i="2" s="1"/>
  <c r="Q1039" i="2"/>
  <c r="R1039" i="2" s="1"/>
  <c r="S1039" i="2" s="1"/>
  <c r="Q1044" i="2"/>
  <c r="R1044" i="2" s="1"/>
  <c r="S1044" i="2" s="1"/>
  <c r="Q1038" i="2"/>
  <c r="R1038" i="2" s="1"/>
  <c r="S1038" i="2" s="1"/>
  <c r="Q1041" i="2"/>
  <c r="R1041" i="2" s="1"/>
  <c r="S1041" i="2" s="1"/>
  <c r="Q1034" i="2"/>
  <c r="R1034" i="2" s="1"/>
  <c r="S1034" i="2" s="1"/>
  <c r="Q1037" i="2"/>
  <c r="R1037" i="2" s="1"/>
  <c r="S1037" i="2" s="1"/>
  <c r="Q1016" i="2"/>
  <c r="R1016" i="2" s="1"/>
  <c r="S1016" i="2" s="1"/>
  <c r="Q1075" i="2"/>
  <c r="R1075" i="2" s="1"/>
  <c r="S1075" i="2" s="1"/>
  <c r="Q1076" i="2"/>
  <c r="R1076" i="2" s="1"/>
  <c r="S1076" i="2" s="1"/>
  <c r="Q1036" i="2"/>
  <c r="R1036" i="2" s="1"/>
  <c r="S1036" i="2" s="1"/>
  <c r="Q1023" i="2"/>
  <c r="R1023" i="2" s="1"/>
  <c r="S1023" i="2" s="1"/>
  <c r="Q1182" i="2"/>
  <c r="R1182" i="2" s="1"/>
  <c r="S1182" i="2" s="1"/>
  <c r="Q1063" i="2"/>
  <c r="R1063" i="2" s="1"/>
  <c r="S1063" i="2" s="1"/>
  <c r="Q1043" i="2"/>
  <c r="R1043" i="2" s="1"/>
  <c r="S1043" i="2" s="1"/>
  <c r="Q1064" i="2"/>
  <c r="R1064" i="2" s="1"/>
  <c r="S1064" i="2" s="1"/>
  <c r="Q1065" i="2"/>
  <c r="R1065" i="2" s="1"/>
  <c r="S1065" i="2" s="1"/>
  <c r="Q1184" i="2"/>
  <c r="R1184" i="2" s="1"/>
  <c r="S1184" i="2" s="1"/>
  <c r="Q1185" i="2"/>
  <c r="R1185" i="2" s="1"/>
  <c r="S1185" i="2" s="1"/>
  <c r="Q1188" i="2"/>
  <c r="R1188" i="2" s="1"/>
  <c r="S1188" i="2" s="1"/>
  <c r="Q1189" i="2"/>
  <c r="R1189" i="2" s="1"/>
  <c r="S1189" i="2" s="1"/>
  <c r="Q1222" i="2"/>
  <c r="R1222" i="2" s="1"/>
  <c r="S1222" i="2" s="1"/>
  <c r="Q1223" i="2"/>
  <c r="R1223" i="2" s="1"/>
  <c r="S1223" i="2" s="1"/>
  <c r="Q1104" i="2"/>
  <c r="R1104" i="2" s="1"/>
  <c r="S1104" i="2" s="1"/>
  <c r="Q805" i="2"/>
  <c r="R805" i="2" s="1"/>
  <c r="S805" i="2" s="1"/>
  <c r="Q1105" i="2"/>
  <c r="R1105" i="2" s="1"/>
  <c r="S1105" i="2" s="1"/>
  <c r="Q1122" i="2"/>
  <c r="R1122" i="2" s="1"/>
  <c r="S1122" i="2" s="1"/>
  <c r="Q707" i="2"/>
  <c r="R707" i="2" s="1"/>
  <c r="S707" i="2" s="1"/>
  <c r="Q1125" i="2"/>
  <c r="R1125" i="2" s="1"/>
  <c r="S1125" i="2" s="1"/>
  <c r="Q1074" i="2"/>
  <c r="R1074" i="2" s="1"/>
  <c r="S1074" i="2" s="1"/>
  <c r="Q1224" i="2"/>
  <c r="R1224" i="2" s="1"/>
  <c r="S1224" i="2" s="1"/>
  <c r="Q806" i="2"/>
  <c r="R806" i="2" s="1"/>
  <c r="S806" i="2" s="1"/>
  <c r="Q1186" i="2"/>
  <c r="R1186" i="2" s="1"/>
  <c r="S1186" i="2" s="1"/>
  <c r="Q1187" i="2"/>
  <c r="R1187" i="2" s="1"/>
  <c r="S1187" i="2" s="1"/>
  <c r="Q990" i="2"/>
  <c r="R990" i="2" s="1"/>
  <c r="S990" i="2" s="1"/>
  <c r="Q1027" i="2"/>
  <c r="R1027" i="2" s="1"/>
  <c r="S1027" i="2" s="1"/>
  <c r="Q1028" i="2"/>
  <c r="R1028" i="2" s="1"/>
  <c r="S1028" i="2" s="1"/>
  <c r="Q1235" i="2"/>
  <c r="R1235" i="2" s="1"/>
  <c r="S1235" i="2" s="1"/>
  <c r="Q1175" i="2"/>
  <c r="R1175" i="2" s="1"/>
  <c r="S1175" i="2" s="1"/>
  <c r="Q1233" i="2"/>
  <c r="R1233" i="2" s="1"/>
  <c r="S1233" i="2" s="1"/>
  <c r="Q1128" i="2"/>
  <c r="R1128" i="2" s="1"/>
  <c r="S1128" i="2" s="1"/>
  <c r="Q1165" i="2"/>
  <c r="R1165" i="2" s="1"/>
  <c r="S1165" i="2" s="1"/>
  <c r="Q1129" i="2"/>
  <c r="R1129" i="2" s="1"/>
  <c r="S1129" i="2" s="1"/>
  <c r="Q1166" i="2"/>
  <c r="R1166" i="2" s="1"/>
  <c r="S1166" i="2" s="1"/>
  <c r="Q1157" i="2"/>
  <c r="R1157" i="2" s="1"/>
  <c r="S1157" i="2" s="1"/>
  <c r="Q704" i="2"/>
  <c r="R704" i="2" s="1"/>
  <c r="S704" i="2" s="1"/>
  <c r="Q1123" i="2"/>
  <c r="R1123" i="2" s="1"/>
  <c r="S1123" i="2" s="1"/>
  <c r="Q1240" i="2"/>
  <c r="R1240" i="2" s="1"/>
  <c r="S1240" i="2" s="1"/>
  <c r="Q1241" i="2"/>
  <c r="R1241" i="2" s="1"/>
  <c r="S1241" i="2" s="1"/>
  <c r="Q1108" i="2"/>
  <c r="R1108" i="2" s="1"/>
  <c r="S1108" i="2" s="1"/>
  <c r="Q1136" i="2"/>
  <c r="R1136" i="2" s="1"/>
  <c r="S1136" i="2" s="1"/>
  <c r="Q991" i="2"/>
  <c r="R991" i="2" s="1"/>
  <c r="S991" i="2" s="1"/>
  <c r="Q1236" i="2"/>
  <c r="R1236" i="2" s="1"/>
  <c r="S1236" i="2" s="1"/>
  <c r="Q1176" i="2"/>
  <c r="R1176" i="2" s="1"/>
  <c r="S1176" i="2" s="1"/>
  <c r="Q1234" i="2"/>
  <c r="R1234" i="2" s="1"/>
  <c r="S1234" i="2" s="1"/>
  <c r="Q1060" i="2"/>
  <c r="R1060" i="2" s="1"/>
  <c r="S1060" i="2" s="1"/>
  <c r="Q1061" i="2"/>
  <c r="R1061" i="2" s="1"/>
  <c r="S1061" i="2" s="1"/>
  <c r="Q1062" i="2"/>
  <c r="R1062" i="2" s="1"/>
  <c r="S1062" i="2" s="1"/>
  <c r="Q1047" i="2"/>
  <c r="R1047" i="2" s="1"/>
  <c r="S1047" i="2" s="1"/>
  <c r="Q1045" i="2"/>
  <c r="R1045" i="2" s="1"/>
  <c r="S1045" i="2" s="1"/>
  <c r="Q1069" i="2"/>
  <c r="R1069" i="2" s="1"/>
  <c r="S1069" i="2" s="1"/>
  <c r="Q1017" i="2"/>
  <c r="R1017" i="2" s="1"/>
  <c r="S1017" i="2" s="1"/>
  <c r="Q1077" i="2"/>
  <c r="R1077" i="2" s="1"/>
  <c r="S1077" i="2" s="1"/>
  <c r="Q1126" i="2"/>
  <c r="R1126" i="2" s="1"/>
  <c r="S1126" i="2" s="1"/>
  <c r="Q1209" i="2"/>
  <c r="R1209" i="2" s="1"/>
  <c r="S1209" i="2" s="1"/>
  <c r="Q1174" i="2"/>
  <c r="R1174" i="2" s="1"/>
  <c r="S1174" i="2" s="1"/>
  <c r="Q1203" i="2"/>
  <c r="R1203" i="2" s="1"/>
  <c r="S1203" i="2" s="1"/>
  <c r="Q1204" i="2"/>
  <c r="R1204" i="2" s="1"/>
  <c r="S1204" i="2" s="1"/>
  <c r="Q853" i="2"/>
  <c r="R853" i="2" s="1"/>
  <c r="S853" i="2" s="1"/>
  <c r="Q1083" i="2"/>
  <c r="R1083" i="2" s="1"/>
  <c r="S1083" i="2" s="1"/>
  <c r="Q1162" i="2"/>
  <c r="R1162" i="2" s="1"/>
  <c r="S1162" i="2" s="1"/>
  <c r="Q1161" i="2"/>
  <c r="R1161" i="2" s="1"/>
  <c r="S1161" i="2" s="1"/>
  <c r="Q1160" i="2"/>
  <c r="R1160" i="2" s="1"/>
  <c r="S1160" i="2" s="1"/>
  <c r="Q1218" i="2"/>
  <c r="R1218" i="2" s="1"/>
  <c r="S1218" i="2" s="1"/>
  <c r="Q1219" i="2"/>
  <c r="R1219" i="2" s="1"/>
  <c r="S1219" i="2" s="1"/>
  <c r="Q1220" i="2"/>
  <c r="R1220" i="2" s="1"/>
  <c r="S1220" i="2" s="1"/>
  <c r="Q1221" i="2"/>
  <c r="R1221" i="2" s="1"/>
  <c r="S1221" i="2" s="1"/>
  <c r="Q1211" i="2"/>
  <c r="R1211" i="2" s="1"/>
  <c r="S1211" i="2" s="1"/>
  <c r="Q1212" i="2"/>
  <c r="R1212" i="2" s="1"/>
  <c r="S1212" i="2" s="1"/>
  <c r="Q1213" i="2"/>
  <c r="R1213" i="2" s="1"/>
  <c r="S1213" i="2" s="1"/>
  <c r="Q1217" i="2"/>
  <c r="R1217" i="2" s="1"/>
  <c r="S1217" i="2" s="1"/>
  <c r="Q703" i="2"/>
  <c r="R703" i="2" s="1"/>
  <c r="S703" i="2" s="1"/>
  <c r="Q1072" i="2"/>
  <c r="R1072" i="2" s="1"/>
  <c r="S1072" i="2" s="1"/>
  <c r="Q1005" i="2"/>
  <c r="R1005" i="2" s="1"/>
  <c r="S1005" i="2" s="1"/>
  <c r="Q1006" i="2"/>
  <c r="R1006" i="2" s="1"/>
  <c r="S1006" i="2" s="1"/>
  <c r="Q1231" i="2"/>
  <c r="R1231" i="2" s="1"/>
  <c r="S1231" i="2" s="1"/>
  <c r="Q1073" i="2"/>
  <c r="R1073" i="2" s="1"/>
  <c r="S1073" i="2" s="1"/>
  <c r="Q761" i="2"/>
  <c r="R761" i="2" s="1"/>
  <c r="S761" i="2" s="1"/>
  <c r="Q1153" i="2"/>
  <c r="R1153" i="2" s="1"/>
  <c r="S1153" i="2" s="1"/>
  <c r="Q1171" i="2"/>
  <c r="R1171" i="2" s="1"/>
  <c r="S1171" i="2" s="1"/>
  <c r="Q1190" i="2"/>
  <c r="R1190" i="2" s="1"/>
  <c r="S1190" i="2" s="1"/>
  <c r="Q1131" i="2"/>
  <c r="R1131" i="2" s="1"/>
  <c r="S1131" i="2" s="1"/>
  <c r="Q1155" i="2"/>
  <c r="R1155" i="2" s="1"/>
  <c r="S1155" i="2" s="1"/>
  <c r="Q1132" i="2"/>
  <c r="R1132" i="2" s="1"/>
  <c r="S1132" i="2" s="1"/>
  <c r="Q1103" i="2"/>
  <c r="R1103" i="2" s="1"/>
  <c r="S1103" i="2" s="1"/>
  <c r="Q1116" i="2"/>
  <c r="R1116" i="2" s="1"/>
  <c r="S1116" i="2" s="1"/>
  <c r="Q702" i="2"/>
  <c r="R702" i="2" s="1"/>
  <c r="S702" i="2" s="1"/>
  <c r="Q1164" i="2"/>
  <c r="R1164" i="2" s="1"/>
  <c r="S1164" i="2" s="1"/>
  <c r="Q1202" i="2"/>
  <c r="R1202" i="2" s="1"/>
  <c r="S1202" i="2" s="1"/>
  <c r="Q1002" i="2"/>
  <c r="R1002" i="2" s="1"/>
  <c r="S1002" i="2" s="1"/>
  <c r="Q1071" i="2"/>
  <c r="R1071" i="2" s="1"/>
  <c r="S1071" i="2" s="1"/>
  <c r="Q1121" i="2"/>
  <c r="R1121" i="2" s="1"/>
  <c r="S1121" i="2" s="1"/>
  <c r="Q1179" i="2"/>
  <c r="R1179" i="2" s="1"/>
  <c r="S1179" i="2" s="1"/>
  <c r="Q1208" i="2"/>
  <c r="R1208" i="2" s="1"/>
  <c r="S1208" i="2" s="1"/>
  <c r="Q1242" i="2"/>
  <c r="R1242" i="2" s="1"/>
  <c r="S1242" i="2" s="1"/>
  <c r="Q1237" i="2"/>
  <c r="R1237" i="2" s="1"/>
  <c r="S1237" i="2" s="1"/>
  <c r="Q1243" i="2"/>
  <c r="R1243" i="2" s="1"/>
  <c r="S1243" i="2" s="1"/>
  <c r="Q1163" i="2"/>
  <c r="R1163" i="2" s="1"/>
  <c r="S1163" i="2" s="1"/>
  <c r="Q1196" i="2"/>
  <c r="R1196" i="2" s="1"/>
  <c r="S1196" i="2" s="1"/>
  <c r="Q1197" i="2"/>
  <c r="R1197" i="2" s="1"/>
  <c r="S1197" i="2" s="1"/>
  <c r="Q1055" i="2"/>
  <c r="R1055" i="2" s="1"/>
  <c r="S1055" i="2" s="1"/>
  <c r="Q1148" i="2"/>
  <c r="R1148" i="2" s="1"/>
  <c r="S1148" i="2" s="1"/>
  <c r="Q1257" i="2"/>
  <c r="R1257" i="2" s="1"/>
  <c r="S1257" i="2" s="1"/>
  <c r="Q1173" i="2"/>
  <c r="R1173" i="2" s="1"/>
  <c r="S1173" i="2" s="1"/>
  <c r="Q1256" i="2"/>
  <c r="R1256" i="2" s="1"/>
  <c r="S1256" i="2" s="1"/>
  <c r="Q1109" i="2"/>
  <c r="R1109" i="2" s="1"/>
  <c r="S1109" i="2" s="1"/>
  <c r="Q1137" i="2"/>
  <c r="R1137" i="2" s="1"/>
  <c r="S1137" i="2" s="1"/>
  <c r="Q1138" i="2"/>
  <c r="R1138" i="2" s="1"/>
  <c r="S1138" i="2" s="1"/>
  <c r="Q1230" i="2"/>
  <c r="R1230" i="2" s="1"/>
  <c r="S1230" i="2" s="1"/>
  <c r="Q1030" i="2"/>
  <c r="R1030" i="2" s="1"/>
  <c r="S1030" i="2" s="1"/>
  <c r="Q1141" i="2"/>
  <c r="R1141" i="2" s="1"/>
  <c r="S1141" i="2" s="1"/>
  <c r="Q1159" i="2"/>
  <c r="R1159" i="2" s="1"/>
  <c r="S1159" i="2" s="1"/>
  <c r="Q1018" i="2"/>
  <c r="R1018" i="2" s="1"/>
  <c r="S1018" i="2" s="1"/>
  <c r="Q1078" i="2"/>
  <c r="R1078" i="2" s="1"/>
  <c r="S1078" i="2" s="1"/>
  <c r="Q1127" i="2"/>
  <c r="R1127" i="2" s="1"/>
  <c r="S1127" i="2" s="1"/>
  <c r="Q1024" i="2"/>
  <c r="R1024" i="2" s="1"/>
  <c r="S1024" i="2" s="1"/>
  <c r="Q1183" i="2"/>
  <c r="R1183" i="2" s="1"/>
  <c r="S1183" i="2" s="1"/>
  <c r="Q705" i="2"/>
  <c r="R705" i="2" s="1"/>
  <c r="S705" i="2" s="1"/>
  <c r="Q1124" i="2"/>
  <c r="R1124" i="2" s="1"/>
  <c r="S1124" i="2" s="1"/>
  <c r="Q1042" i="2"/>
  <c r="R1042" i="2" s="1"/>
  <c r="S1042" i="2" s="1"/>
  <c r="Q700" i="2"/>
  <c r="R700" i="2" s="1"/>
  <c r="S700" i="2" s="1"/>
  <c r="Q1178" i="2"/>
  <c r="R1178" i="2" s="1"/>
  <c r="S1178" i="2" s="1"/>
  <c r="Q1068" i="2"/>
  <c r="R1068" i="2" s="1"/>
  <c r="S1068" i="2" s="1"/>
  <c r="Q1070" i="2"/>
  <c r="R1070" i="2" s="1"/>
  <c r="S1070" i="2" s="1"/>
  <c r="Q879" i="2"/>
  <c r="R879" i="2" s="1"/>
  <c r="S879" i="2" s="1"/>
  <c r="Q1067" i="2"/>
  <c r="R1067" i="2" s="1"/>
  <c r="S1067" i="2" s="1"/>
  <c r="Q1180" i="2"/>
  <c r="R1180" i="2" s="1"/>
  <c r="S1180" i="2" s="1"/>
  <c r="Q1181" i="2"/>
  <c r="R1181" i="2" s="1"/>
  <c r="S1181" i="2" s="1"/>
  <c r="Q907" i="2"/>
  <c r="R907" i="2" s="1"/>
  <c r="S907" i="2" s="1"/>
  <c r="Q910" i="2"/>
  <c r="R910" i="2" s="1"/>
  <c r="S910" i="2" s="1"/>
  <c r="Q912" i="2"/>
  <c r="R912" i="2" s="1"/>
  <c r="S912" i="2" s="1"/>
  <c r="Q914" i="2"/>
  <c r="R914" i="2" s="1"/>
  <c r="S914" i="2" s="1"/>
  <c r="Q915" i="2"/>
  <c r="R915" i="2" s="1"/>
  <c r="S915" i="2" s="1"/>
  <c r="Q1008" i="2"/>
  <c r="R1008" i="2" s="1"/>
  <c r="S1008" i="2" s="1"/>
  <c r="Q1009" i="2"/>
  <c r="R1009" i="2" s="1"/>
  <c r="S1009" i="2" s="1"/>
  <c r="Q1011" i="2"/>
  <c r="R1011" i="2" s="1"/>
  <c r="S1011" i="2" s="1"/>
  <c r="Q1015" i="2"/>
  <c r="R1015" i="2" s="1"/>
  <c r="S1015" i="2" s="1"/>
  <c r="Q1086" i="2"/>
  <c r="R1086" i="2" s="1"/>
  <c r="S1086" i="2" s="1"/>
  <c r="Q1087" i="2"/>
  <c r="R1087" i="2" s="1"/>
  <c r="S1087" i="2" s="1"/>
  <c r="Q1088" i="2"/>
  <c r="R1088" i="2" s="1"/>
  <c r="S1088" i="2" s="1"/>
  <c r="Q1084" i="2"/>
  <c r="R1084" i="2" s="1"/>
  <c r="S1084" i="2" s="1"/>
  <c r="Q1007" i="2"/>
  <c r="R1007" i="2" s="1"/>
  <c r="S1007" i="2" s="1"/>
  <c r="Q1232" i="2"/>
  <c r="R1232" i="2" s="1"/>
  <c r="S1232" i="2" s="1"/>
  <c r="Q1200" i="2"/>
  <c r="R1200" i="2" s="1"/>
  <c r="S1200" i="2" s="1"/>
  <c r="Q1210" i="2"/>
  <c r="R1210" i="2" s="1"/>
  <c r="S1210" i="2" s="1"/>
  <c r="Q621" i="2"/>
  <c r="R621" i="2" s="1"/>
  <c r="S621" i="2" s="1"/>
  <c r="Q814" i="2"/>
  <c r="R814" i="2" s="1"/>
  <c r="S814" i="2" s="1"/>
  <c r="Q1079" i="2"/>
  <c r="R1079" i="2" s="1"/>
  <c r="S1079" i="2" s="1"/>
  <c r="Q1080" i="2"/>
  <c r="R1080" i="2" s="1"/>
  <c r="S1080" i="2" s="1"/>
  <c r="Q1081" i="2"/>
  <c r="R1081" i="2" s="1"/>
  <c r="S1081" i="2" s="1"/>
  <c r="Q1139" i="2"/>
  <c r="R1139" i="2" s="1"/>
  <c r="S1139" i="2" s="1"/>
  <c r="Q849" i="2"/>
  <c r="R849" i="2" s="1"/>
  <c r="S849" i="2" s="1"/>
  <c r="Q952" i="2"/>
  <c r="R952" i="2" s="1"/>
  <c r="S952" i="2" s="1"/>
  <c r="Q1003" i="2"/>
  <c r="R1003" i="2" s="1"/>
  <c r="S1003" i="2" s="1"/>
  <c r="Q1059" i="2"/>
  <c r="R1059" i="2" s="1"/>
  <c r="S1059" i="2" s="1"/>
  <c r="Q804" i="2"/>
  <c r="R804" i="2" s="1"/>
  <c r="S804" i="2" s="1"/>
  <c r="Q692" i="2"/>
  <c r="R692" i="2" s="1"/>
  <c r="S692" i="2" s="1"/>
  <c r="Q916" i="2"/>
  <c r="R916" i="2" s="1"/>
  <c r="S916" i="2" s="1"/>
  <c r="Q908" i="2"/>
  <c r="R908" i="2" s="1"/>
  <c r="S908" i="2" s="1"/>
  <c r="Q1205" i="2"/>
  <c r="R1205" i="2" s="1"/>
  <c r="S1205" i="2" s="1"/>
  <c r="Q1010" i="2"/>
  <c r="R1010" i="2" s="1"/>
  <c r="S1010" i="2" s="1"/>
  <c r="Q1013" i="2"/>
  <c r="R1013" i="2" s="1"/>
  <c r="S1013" i="2" s="1"/>
  <c r="Q1014" i="2"/>
  <c r="R1014" i="2" s="1"/>
  <c r="S1014" i="2" s="1"/>
  <c r="Q859" i="2"/>
  <c r="R859" i="2" s="1"/>
  <c r="S859" i="2" s="1"/>
  <c r="Q860" i="2"/>
  <c r="R860" i="2" s="1"/>
  <c r="S860" i="2" s="1"/>
  <c r="Q1085" i="2"/>
  <c r="R1085" i="2" s="1"/>
  <c r="S1085" i="2" s="1"/>
  <c r="Q729" i="2"/>
  <c r="R729" i="2" s="1"/>
  <c r="S729" i="2" s="1"/>
  <c r="Q730" i="2"/>
  <c r="R730" i="2" s="1"/>
  <c r="S730" i="2" s="1"/>
  <c r="Q1089" i="2"/>
  <c r="R1089" i="2" s="1"/>
  <c r="S1089" i="2" s="1"/>
  <c r="Q1032" i="2"/>
  <c r="R1032" i="2" s="1"/>
  <c r="S1032" i="2" s="1"/>
  <c r="Q706" i="2"/>
  <c r="R706" i="2" s="1"/>
  <c r="S706" i="2" s="1"/>
  <c r="Q1004" i="2"/>
  <c r="R1004" i="2" s="1"/>
  <c r="S1004" i="2" s="1"/>
  <c r="Q1066" i="2"/>
  <c r="R1066" i="2" s="1"/>
  <c r="S1066" i="2" s="1"/>
  <c r="Q1150" i="2"/>
  <c r="R1150" i="2" s="1"/>
  <c r="S1150" i="2" s="1"/>
  <c r="Q1120" i="2"/>
  <c r="R1120" i="2" s="1"/>
  <c r="S1120" i="2" s="1"/>
  <c r="Q917" i="2"/>
  <c r="R917" i="2" s="1"/>
  <c r="S917" i="2" s="1"/>
  <c r="Q1250" i="2"/>
  <c r="R1250" i="2" s="1"/>
  <c r="S1250" i="2" s="1"/>
  <c r="Q1251" i="2"/>
  <c r="R1251" i="2" s="1"/>
  <c r="S1251" i="2" s="1"/>
  <c r="Q1248" i="2"/>
  <c r="R1248" i="2" s="1"/>
  <c r="S1248" i="2" s="1"/>
  <c r="Q1167" i="2"/>
  <c r="R1167" i="2" s="1"/>
  <c r="S1167" i="2" s="1"/>
  <c r="Q1206" i="2"/>
  <c r="R1206" i="2" s="1"/>
  <c r="S1206" i="2" s="1"/>
  <c r="Q1207" i="2"/>
  <c r="R1207" i="2" s="1"/>
  <c r="S1207" i="2" s="1"/>
  <c r="Q1111" i="2"/>
  <c r="R1111" i="2" s="1"/>
  <c r="S1111" i="2" s="1"/>
  <c r="Q620" i="2"/>
  <c r="R620" i="2" s="1"/>
  <c r="S620" i="2" s="1"/>
  <c r="Q855" i="2"/>
  <c r="R855" i="2" s="1"/>
  <c r="S855" i="2" s="1"/>
  <c r="Q1151" i="2"/>
  <c r="R1151" i="2" s="1"/>
  <c r="S1151" i="2" s="1"/>
  <c r="Q1149" i="2"/>
  <c r="R1149" i="2" s="1"/>
  <c r="S1149" i="2" s="1"/>
  <c r="Q1152" i="2"/>
  <c r="R1152" i="2" s="1"/>
  <c r="S1152" i="2" s="1"/>
  <c r="Q1026" i="2"/>
  <c r="R1026" i="2" s="1"/>
  <c r="S1026" i="2" s="1"/>
  <c r="Q1169" i="2"/>
  <c r="R1169" i="2" s="1"/>
  <c r="S1169" i="2" s="1"/>
  <c r="Q1191" i="2"/>
  <c r="R1191" i="2" s="1"/>
  <c r="S1191" i="2" s="1"/>
  <c r="Q1225" i="2"/>
  <c r="R1225" i="2" s="1"/>
  <c r="S1225" i="2" s="1"/>
  <c r="Q1154" i="2"/>
  <c r="R1154" i="2" s="1"/>
  <c r="S1154" i="2" s="1"/>
  <c r="Q1170" i="2"/>
  <c r="R1170" i="2" s="1"/>
  <c r="S1170" i="2" s="1"/>
  <c r="Q1192" i="2"/>
  <c r="R1192" i="2" s="1"/>
  <c r="S1192" i="2" s="1"/>
  <c r="Q1156" i="2"/>
  <c r="R1156" i="2" s="1"/>
  <c r="S1156" i="2" s="1"/>
  <c r="Q1133" i="2"/>
  <c r="R1133" i="2" s="1"/>
  <c r="S1133" i="2" s="1"/>
  <c r="Q1158" i="2"/>
  <c r="R1158" i="2" s="1"/>
  <c r="S1158" i="2" s="1"/>
  <c r="Q1048" i="2"/>
  <c r="R1048" i="2" s="1"/>
  <c r="S1048" i="2" s="1"/>
  <c r="Q863" i="2"/>
  <c r="R863" i="2" s="1"/>
  <c r="S863" i="2" s="1"/>
  <c r="Q951" i="2"/>
  <c r="R951" i="2" s="1"/>
  <c r="S951" i="2" s="1"/>
  <c r="Q636" i="2"/>
  <c r="R636" i="2" s="1"/>
  <c r="S636" i="2" s="1"/>
  <c r="Q637" i="2"/>
  <c r="R637" i="2" s="1"/>
  <c r="S637" i="2" s="1"/>
  <c r="Q638" i="2"/>
  <c r="R638" i="2" s="1"/>
  <c r="S638" i="2" s="1"/>
  <c r="Q639" i="2"/>
  <c r="R639" i="2" s="1"/>
  <c r="S639" i="2" s="1"/>
  <c r="Q640" i="2"/>
  <c r="R640" i="2" s="1"/>
  <c r="S640" i="2" s="1"/>
  <c r="Q641" i="2"/>
  <c r="R641" i="2" s="1"/>
  <c r="S641" i="2" s="1"/>
  <c r="Q767" i="2"/>
  <c r="R767" i="2" s="1"/>
  <c r="S767" i="2" s="1"/>
  <c r="Q766" i="2"/>
  <c r="R766" i="2" s="1"/>
  <c r="S766" i="2" s="1"/>
  <c r="Q747" i="2"/>
  <c r="R747" i="2" s="1"/>
  <c r="S747" i="2" s="1"/>
  <c r="Q752" i="2"/>
  <c r="R752" i="2" s="1"/>
  <c r="S752" i="2" s="1"/>
  <c r="Q757" i="2"/>
  <c r="R757" i="2" s="1"/>
  <c r="S757" i="2" s="1"/>
  <c r="Q751" i="2"/>
  <c r="R751" i="2" s="1"/>
  <c r="S751" i="2" s="1"/>
  <c r="Q615" i="2"/>
  <c r="R615" i="2" s="1"/>
  <c r="S615" i="2" s="1"/>
  <c r="Q958" i="2"/>
  <c r="R958" i="2" s="1"/>
  <c r="S958" i="2" s="1"/>
  <c r="Q1098" i="2"/>
  <c r="R1098" i="2" s="1"/>
  <c r="S1098" i="2" s="1"/>
  <c r="Q1099" i="2"/>
  <c r="R1099" i="2" s="1"/>
  <c r="S1099" i="2" s="1"/>
  <c r="Q1100" i="2"/>
  <c r="R1100" i="2" s="1"/>
  <c r="S1100" i="2" s="1"/>
  <c r="Q1101" i="2"/>
  <c r="R1101" i="2" s="1"/>
  <c r="S1101" i="2" s="1"/>
  <c r="Q1102" i="2"/>
  <c r="R1102" i="2" s="1"/>
  <c r="S1102" i="2" s="1"/>
  <c r="Q890" i="2"/>
  <c r="R890" i="2" s="1"/>
  <c r="S890" i="2" s="1"/>
  <c r="Q920" i="2"/>
  <c r="R920" i="2" s="1"/>
  <c r="S920" i="2" s="1"/>
  <c r="Q921" i="2"/>
  <c r="R921" i="2" s="1"/>
  <c r="S921" i="2" s="1"/>
  <c r="Q922" i="2"/>
  <c r="R922" i="2" s="1"/>
  <c r="S922" i="2" s="1"/>
  <c r="Q972" i="2"/>
  <c r="R972" i="2" s="1"/>
  <c r="S972" i="2" s="1"/>
  <c r="Q984" i="2"/>
  <c r="R984" i="2" s="1"/>
  <c r="S984" i="2" s="1"/>
  <c r="Q975" i="2"/>
  <c r="R975" i="2" s="1"/>
  <c r="S975" i="2" s="1"/>
  <c r="Q746" i="2"/>
  <c r="R746" i="2" s="1"/>
  <c r="S746" i="2" s="1"/>
  <c r="Q745" i="2"/>
  <c r="R745" i="2" s="1"/>
  <c r="S745" i="2" s="1"/>
  <c r="Q899" i="2"/>
  <c r="R899" i="2" s="1"/>
  <c r="S899" i="2" s="1"/>
  <c r="Q900" i="2"/>
  <c r="R900" i="2" s="1"/>
  <c r="S900" i="2" s="1"/>
  <c r="Q904" i="2"/>
  <c r="R904" i="2" s="1"/>
  <c r="S904" i="2" s="1"/>
  <c r="Q903" i="2"/>
  <c r="R903" i="2" s="1"/>
  <c r="S903" i="2" s="1"/>
  <c r="Q905" i="2"/>
  <c r="R905" i="2" s="1"/>
  <c r="S905" i="2" s="1"/>
  <c r="Q901" i="2"/>
  <c r="R901" i="2" s="1"/>
  <c r="S901" i="2" s="1"/>
  <c r="Q902" i="2"/>
  <c r="R902" i="2" s="1"/>
  <c r="S902" i="2" s="1"/>
  <c r="Q959" i="2"/>
  <c r="R959" i="2" s="1"/>
  <c r="S959" i="2" s="1"/>
  <c r="Q960" i="2"/>
  <c r="R960" i="2" s="1"/>
  <c r="S960" i="2" s="1"/>
  <c r="Q961" i="2"/>
  <c r="R961" i="2" s="1"/>
  <c r="S961" i="2" s="1"/>
  <c r="Q1119" i="2"/>
  <c r="R1119" i="2" s="1"/>
  <c r="S1119" i="2" s="1"/>
  <c r="Q1118" i="2"/>
  <c r="R1118" i="2" s="1"/>
  <c r="S1118" i="2" s="1"/>
  <c r="Q1117" i="2"/>
  <c r="R1117" i="2" s="1"/>
  <c r="S1117" i="2" s="1"/>
  <c r="Q1172" i="2"/>
  <c r="R1172" i="2" s="1"/>
  <c r="S1172" i="2" s="1"/>
  <c r="Q1130" i="2"/>
  <c r="R1130" i="2" s="1"/>
  <c r="S1130" i="2" s="1"/>
  <c r="Q924" i="2"/>
  <c r="R924" i="2" s="1"/>
  <c r="S924" i="2" s="1"/>
  <c r="Q929" i="2"/>
  <c r="R929" i="2" s="1"/>
  <c r="S929" i="2" s="1"/>
  <c r="Q925" i="2"/>
  <c r="R925" i="2" s="1"/>
  <c r="S925" i="2" s="1"/>
  <c r="Q930" i="2"/>
  <c r="R930" i="2" s="1"/>
  <c r="S930" i="2" s="1"/>
  <c r="Q1142" i="2"/>
  <c r="R1142" i="2" s="1"/>
  <c r="S1142" i="2" s="1"/>
  <c r="Q1143" i="2"/>
  <c r="R1143" i="2" s="1"/>
  <c r="S1143" i="2" s="1"/>
  <c r="Q1145" i="2"/>
  <c r="R1145" i="2" s="1"/>
  <c r="S1145" i="2" s="1"/>
  <c r="Q1146" i="2"/>
  <c r="R1146" i="2" s="1"/>
  <c r="S1146" i="2" s="1"/>
  <c r="Q1147" i="2"/>
  <c r="R1147" i="2" s="1"/>
  <c r="S1147" i="2" s="1"/>
  <c r="Q819" i="2"/>
  <c r="R819" i="2" s="1"/>
  <c r="S819" i="2" s="1"/>
  <c r="Q1140" i="2"/>
  <c r="R1140" i="2" s="1"/>
  <c r="S1140" i="2" s="1"/>
  <c r="Q1012" i="2"/>
  <c r="R1012" i="2" s="1"/>
  <c r="S1012" i="2" s="1"/>
  <c r="Q1201" i="2"/>
  <c r="R1201" i="2" s="1"/>
  <c r="S1201" i="2" s="1"/>
  <c r="Q954" i="2"/>
  <c r="R954" i="2" s="1"/>
  <c r="S954" i="2" s="1"/>
  <c r="Q956" i="2"/>
  <c r="R956" i="2" s="1"/>
  <c r="S956" i="2" s="1"/>
  <c r="Q977" i="2"/>
  <c r="R977" i="2" s="1"/>
  <c r="S977" i="2" s="1"/>
  <c r="Q976" i="2"/>
  <c r="R976" i="2" s="1"/>
  <c r="S976" i="2" s="1"/>
  <c r="Q978" i="2"/>
  <c r="R978" i="2" s="1"/>
  <c r="S978" i="2" s="1"/>
  <c r="Q1258" i="2"/>
  <c r="R1258" i="2" s="1"/>
  <c r="S1258" i="2" s="1"/>
  <c r="Q955" i="2"/>
  <c r="R955" i="2" s="1"/>
  <c r="S955" i="2" s="1"/>
  <c r="Q957" i="2"/>
  <c r="R957" i="2" s="1"/>
  <c r="S957" i="2" s="1"/>
  <c r="Q1246" i="2"/>
  <c r="R1246" i="2" s="1"/>
  <c r="S1246" i="2" s="1"/>
  <c r="Q1000" i="2"/>
  <c r="R1000" i="2" s="1"/>
  <c r="S1000" i="2" s="1"/>
  <c r="Q1229" i="2"/>
  <c r="R1229" i="2" s="1"/>
  <c r="S1229" i="2" s="1"/>
  <c r="Q1259" i="2"/>
  <c r="R1259" i="2" s="1"/>
  <c r="S1259" i="2" s="1"/>
  <c r="Q1168" i="2"/>
  <c r="R1168" i="2" s="1"/>
  <c r="S1168" i="2" s="1"/>
  <c r="Q1033" i="2"/>
  <c r="R1033" i="2" s="1"/>
  <c r="S1033" i="2" s="1"/>
  <c r="Q1095" i="2"/>
  <c r="R1095" i="2" s="1"/>
  <c r="S1095" i="2" s="1"/>
  <c r="Q1093" i="2"/>
  <c r="R1093" i="2" s="1"/>
  <c r="S1093" i="2" s="1"/>
  <c r="Q1094" i="2"/>
  <c r="R1094" i="2" s="1"/>
  <c r="S1094" i="2" s="1"/>
  <c r="Q1019" i="2"/>
  <c r="R1019" i="2" s="1"/>
  <c r="S1019" i="2" s="1"/>
  <c r="Q619" i="2"/>
  <c r="R619" i="2" s="1"/>
  <c r="S619" i="2" s="1"/>
  <c r="Q1096" i="2"/>
  <c r="R1096" i="2" s="1"/>
  <c r="S1096" i="2" s="1"/>
  <c r="Q1020" i="2"/>
  <c r="R1020" i="2" s="1"/>
  <c r="S1020" i="2" s="1"/>
  <c r="Q1214" i="2"/>
  <c r="R1214" i="2" s="1"/>
  <c r="S1214" i="2" s="1"/>
  <c r="Q962" i="2"/>
  <c r="R962" i="2" s="1"/>
  <c r="S962" i="2" s="1"/>
  <c r="Q800" i="2"/>
  <c r="R800" i="2" s="1"/>
  <c r="S800" i="2" s="1"/>
  <c r="Q642" i="2"/>
  <c r="R642" i="2" s="1"/>
  <c r="S642" i="2" s="1"/>
  <c r="Q616" i="2"/>
  <c r="R616" i="2" s="1"/>
  <c r="S616" i="2" s="1"/>
  <c r="Q1097" i="2"/>
  <c r="R1097" i="2" s="1"/>
  <c r="S1097" i="2" s="1"/>
  <c r="Q1021" i="2"/>
  <c r="R1021" i="2" s="1"/>
  <c r="S1021" i="2" s="1"/>
  <c r="Q1215" i="2"/>
  <c r="R1215" i="2" s="1"/>
  <c r="S1215" i="2" s="1"/>
  <c r="Q801" i="2"/>
  <c r="R801" i="2" s="1"/>
  <c r="S801" i="2" s="1"/>
  <c r="Q802" i="2"/>
  <c r="R802" i="2" s="1"/>
  <c r="S802" i="2" s="1"/>
  <c r="Q716" i="2"/>
  <c r="R716" i="2" s="1"/>
  <c r="S716" i="2" s="1"/>
  <c r="Q643" i="2"/>
  <c r="R643" i="2" s="1"/>
  <c r="S643" i="2" s="1"/>
  <c r="Q717" i="2"/>
  <c r="R717" i="2" s="1"/>
  <c r="S717" i="2" s="1"/>
  <c r="Q644" i="2"/>
  <c r="R644" i="2" s="1"/>
  <c r="S644" i="2" s="1"/>
  <c r="Q1022" i="2"/>
  <c r="R1022" i="2" s="1"/>
  <c r="S1022" i="2" s="1"/>
  <c r="Q963" i="2"/>
  <c r="R963" i="2" s="1"/>
  <c r="S963" i="2" s="1"/>
  <c r="Q803" i="2"/>
  <c r="R803" i="2" s="1"/>
  <c r="S803" i="2" s="1"/>
  <c r="Q617" i="2"/>
  <c r="R617" i="2" s="1"/>
  <c r="S617" i="2" s="1"/>
  <c r="Q1216" i="2"/>
  <c r="R1216" i="2" s="1"/>
  <c r="S1216" i="2" s="1"/>
  <c r="Q618" i="2"/>
  <c r="R618" i="2" s="1"/>
  <c r="S618" i="2" s="1"/>
  <c r="Q1226" i="2"/>
  <c r="R1226" i="2" s="1"/>
  <c r="S1226" i="2" s="1"/>
  <c r="Q1227" i="2"/>
  <c r="R1227" i="2" s="1"/>
  <c r="S1227" i="2" s="1"/>
  <c r="Q1252" i="2"/>
  <c r="R1252" i="2" s="1"/>
  <c r="S1252" i="2" s="1"/>
  <c r="Q1255" i="2"/>
  <c r="R1255" i="2" s="1"/>
  <c r="S1255" i="2" s="1"/>
  <c r="Q1244" i="2"/>
  <c r="R1244" i="2" s="1"/>
  <c r="S1244" i="2" s="1"/>
  <c r="Q993" i="2"/>
  <c r="R993" i="2" s="1"/>
  <c r="S993" i="2" s="1"/>
  <c r="Q1247" i="2"/>
  <c r="R1247" i="2" s="1"/>
  <c r="S1247" i="2" s="1"/>
  <c r="Q1238" i="2"/>
  <c r="R1238" i="2" s="1"/>
  <c r="S1238" i="2" s="1"/>
  <c r="Q1106" i="2"/>
  <c r="R1106" i="2" s="1"/>
  <c r="S1106" i="2" s="1"/>
  <c r="Q1107" i="2"/>
  <c r="R1107" i="2" s="1"/>
  <c r="S1107" i="2" s="1"/>
  <c r="Q1228" i="2"/>
  <c r="R1228" i="2" s="1"/>
  <c r="S1228" i="2" s="1"/>
  <c r="Q1239" i="2"/>
  <c r="R1239" i="2" s="1"/>
  <c r="S1239" i="2" s="1"/>
  <c r="Q999" i="2"/>
  <c r="R999" i="2" s="1"/>
  <c r="S999" i="2" s="1"/>
  <c r="Q1249" i="2"/>
  <c r="R1249" i="2" s="1"/>
  <c r="S1249" i="2" s="1"/>
  <c r="Q1253" i="2"/>
  <c r="R1253" i="2" s="1"/>
  <c r="S1253" i="2" s="1"/>
  <c r="Q1254" i="2"/>
  <c r="R1254" i="2" s="1"/>
  <c r="S1254" i="2" s="1"/>
  <c r="Q1193" i="2"/>
  <c r="R1193" i="2" s="1"/>
  <c r="S1193" i="2" s="1"/>
  <c r="Q996" i="2"/>
  <c r="R996" i="2" s="1"/>
  <c r="S996" i="2" s="1"/>
  <c r="Q997" i="2"/>
  <c r="R997" i="2" s="1"/>
  <c r="S997" i="2" s="1"/>
  <c r="Q998" i="2"/>
  <c r="R998" i="2" s="1"/>
  <c r="S998" i="2" s="1"/>
  <c r="Q992" i="2"/>
  <c r="R992" i="2" s="1"/>
  <c r="S992" i="2" s="1"/>
  <c r="Q911" i="2"/>
  <c r="R911" i="2" s="1"/>
  <c r="S911" i="2" s="1"/>
  <c r="Q913" i="2"/>
  <c r="R913" i="2" s="1"/>
  <c r="S913" i="2" s="1"/>
  <c r="Q852" i="2"/>
  <c r="R852" i="2" s="1"/>
  <c r="S852" i="2" s="1"/>
  <c r="Q1050" i="2"/>
  <c r="R1050" i="2" s="1"/>
  <c r="S1050" i="2" s="1"/>
  <c r="Q807" i="2"/>
  <c r="R807" i="2" s="1"/>
  <c r="S807" i="2" s="1"/>
  <c r="Q856" i="2"/>
  <c r="R856" i="2" s="1"/>
  <c r="S856" i="2" s="1"/>
  <c r="Q857" i="2"/>
  <c r="R857" i="2" s="1"/>
  <c r="S857" i="2" s="1"/>
  <c r="Q759" i="2"/>
  <c r="R759" i="2" s="1"/>
  <c r="S759" i="2" s="1"/>
  <c r="Q646" i="2"/>
  <c r="R646" i="2" s="1"/>
  <c r="S646" i="2" s="1"/>
  <c r="Q647" i="2"/>
  <c r="R647" i="2" s="1"/>
  <c r="S647" i="2" s="1"/>
  <c r="Q693" i="2"/>
  <c r="R693" i="2" s="1"/>
  <c r="S693" i="2" s="1"/>
  <c r="Q733" i="2"/>
  <c r="R733" i="2" s="1"/>
  <c r="S733" i="2" s="1"/>
  <c r="Q760" i="2"/>
  <c r="R760" i="2" s="1"/>
  <c r="S760" i="2" s="1"/>
  <c r="Q648" i="2"/>
  <c r="R648" i="2" s="1"/>
  <c r="S648" i="2" s="1"/>
  <c r="Q649" i="2"/>
  <c r="R649" i="2" s="1"/>
  <c r="S649" i="2" s="1"/>
  <c r="Q650" i="2"/>
  <c r="R650" i="2" s="1"/>
  <c r="S650" i="2" s="1"/>
  <c r="Q888" i="2"/>
  <c r="R888" i="2" s="1"/>
  <c r="S888" i="2" s="1"/>
  <c r="Q906" i="2"/>
  <c r="R906" i="2" s="1"/>
  <c r="S906" i="2" s="1"/>
  <c r="Q923" i="2"/>
  <c r="R923" i="2" s="1"/>
  <c r="S923" i="2" s="1"/>
  <c r="Q974" i="2"/>
  <c r="R974" i="2" s="1"/>
  <c r="S974" i="2" s="1"/>
  <c r="Q1025" i="2"/>
  <c r="R1025" i="2" s="1"/>
  <c r="S1025" i="2" s="1"/>
  <c r="Q623" i="2"/>
  <c r="R623" i="2" s="1"/>
  <c r="S623" i="2" s="1"/>
  <c r="Q889" i="2"/>
  <c r="R889" i="2" s="1"/>
  <c r="S889" i="2" s="1"/>
  <c r="Q973" i="2"/>
  <c r="R973" i="2" s="1"/>
  <c r="S973" i="2" s="1"/>
  <c r="Q1051" i="2"/>
  <c r="R1051" i="2" s="1"/>
  <c r="S1051" i="2" s="1"/>
  <c r="Q1090" i="2"/>
  <c r="R1090" i="2" s="1"/>
  <c r="S1090" i="2" s="1"/>
  <c r="Q1091" i="2"/>
  <c r="R1091" i="2" s="1"/>
  <c r="S1091" i="2" s="1"/>
  <c r="Q1092" i="2"/>
  <c r="R1092" i="2" s="1"/>
  <c r="S1092" i="2" s="1"/>
  <c r="Q808" i="2"/>
  <c r="R808" i="2" s="1"/>
  <c r="S808" i="2" s="1"/>
  <c r="Q809" i="2"/>
  <c r="R809" i="2" s="1"/>
  <c r="S809" i="2" s="1"/>
  <c r="Q887" i="2"/>
  <c r="R887" i="2" s="1"/>
  <c r="S887" i="2" s="1"/>
  <c r="Q622" i="2"/>
  <c r="R622" i="2" s="1"/>
  <c r="S622" i="2" s="1"/>
  <c r="Q645" i="2"/>
  <c r="R645" i="2" s="1"/>
  <c r="S645" i="2" s="1"/>
  <c r="Q758" i="2"/>
  <c r="R758" i="2" s="1"/>
  <c r="S758" i="2" s="1"/>
  <c r="Q1049" i="2"/>
  <c r="R1049" i="2" s="1"/>
  <c r="S1049" i="2" s="1"/>
  <c r="Q971" i="2"/>
  <c r="R971" i="2" s="1"/>
  <c r="S971" i="2" s="1"/>
  <c r="Q1245" i="2"/>
  <c r="R1245" i="2" s="1"/>
  <c r="S1245" i="2" s="1"/>
  <c r="Q1029" i="2"/>
  <c r="R1029" i="2" s="1"/>
  <c r="S1029" i="2" s="1"/>
  <c r="Q982" i="2"/>
  <c r="R982" i="2" s="1"/>
  <c r="S982" i="2" s="1"/>
  <c r="Q1110" i="2"/>
  <c r="R1110" i="2" s="1"/>
  <c r="S1110" i="2" s="1"/>
  <c r="Q1001" i="2"/>
  <c r="R1001" i="2" s="1"/>
  <c r="S1001" i="2" s="1"/>
  <c r="Q964" i="2"/>
  <c r="R964" i="2" s="1"/>
  <c r="S964" i="2" s="1"/>
  <c r="Q966" i="2"/>
  <c r="R966" i="2" s="1"/>
  <c r="S966" i="2" s="1"/>
  <c r="Q689" i="2"/>
  <c r="R689" i="2" s="1"/>
  <c r="S689" i="2" s="1"/>
  <c r="Q881" i="2"/>
  <c r="R881" i="2" s="1"/>
  <c r="S881" i="2" s="1"/>
  <c r="Q687" i="2"/>
  <c r="R687" i="2" s="1"/>
  <c r="S687" i="2" s="1"/>
  <c r="Q631" i="2"/>
  <c r="R631" i="2" s="1"/>
  <c r="S631" i="2" s="1"/>
  <c r="Q885" i="2"/>
  <c r="R885" i="2" s="1"/>
  <c r="S885" i="2" s="1"/>
  <c r="Q632" i="2"/>
  <c r="R632" i="2" s="1"/>
  <c r="S632" i="2" s="1"/>
  <c r="Q634" i="2"/>
  <c r="R634" i="2" s="1"/>
  <c r="S634" i="2" s="1"/>
  <c r="Q635" i="2"/>
  <c r="R635" i="2" s="1"/>
  <c r="S635" i="2" s="1"/>
  <c r="Q880" i="2"/>
  <c r="R880" i="2" s="1"/>
  <c r="S880" i="2" s="1"/>
  <c r="Q882" i="2"/>
  <c r="R882" i="2" s="1"/>
  <c r="S882" i="2" s="1"/>
  <c r="Q884" i="2"/>
  <c r="R884" i="2" s="1"/>
  <c r="S884" i="2" s="1"/>
  <c r="Q897" i="2"/>
  <c r="R897" i="2" s="1"/>
  <c r="S897" i="2" s="1"/>
  <c r="Q898" i="2"/>
  <c r="R898" i="2" s="1"/>
  <c r="S898" i="2" s="1"/>
  <c r="Q771" i="2"/>
  <c r="R771" i="2" s="1"/>
  <c r="S771" i="2" s="1"/>
  <c r="Q691" i="2"/>
  <c r="R691" i="2" s="1"/>
  <c r="S691" i="2" s="1"/>
  <c r="Q928" i="2"/>
  <c r="R928" i="2" s="1"/>
  <c r="S928" i="2" s="1"/>
  <c r="Q624" i="2"/>
  <c r="R624" i="2" s="1"/>
  <c r="S624" i="2" s="1"/>
  <c r="Q629" i="2"/>
  <c r="R629" i="2" s="1"/>
  <c r="S629" i="2" s="1"/>
  <c r="Q626" i="2"/>
  <c r="R626" i="2" s="1"/>
  <c r="S626" i="2" s="1"/>
  <c r="Q628" i="2"/>
  <c r="R628" i="2" s="1"/>
  <c r="S628" i="2" s="1"/>
  <c r="Q816" i="2"/>
  <c r="R816" i="2" s="1"/>
  <c r="S816" i="2" s="1"/>
  <c r="Q813" i="2"/>
  <c r="R813" i="2" s="1"/>
  <c r="S813" i="2" s="1"/>
  <c r="Q818" i="2"/>
  <c r="R818" i="2" s="1"/>
  <c r="S818" i="2" s="1"/>
  <c r="Q812" i="2"/>
  <c r="R812" i="2" s="1"/>
  <c r="S812" i="2" s="1"/>
  <c r="Q815" i="2"/>
  <c r="R815" i="2" s="1"/>
  <c r="S815" i="2" s="1"/>
  <c r="Q1082" i="2"/>
  <c r="R1082" i="2" s="1"/>
  <c r="S1082" i="2" s="1"/>
  <c r="Q762" i="2"/>
  <c r="R762" i="2" s="1"/>
  <c r="S762" i="2" s="1"/>
  <c r="Q861" i="2"/>
  <c r="R861" i="2" s="1"/>
  <c r="S861" i="2" s="1"/>
  <c r="Q862" i="2"/>
  <c r="R862" i="2" s="1"/>
  <c r="S862" i="2" s="1"/>
  <c r="Q763" i="2"/>
  <c r="R763" i="2" s="1"/>
  <c r="S763" i="2" s="1"/>
  <c r="Q654" i="2"/>
  <c r="R654" i="2" s="1"/>
  <c r="S654" i="2" s="1"/>
  <c r="Q1134" i="2"/>
  <c r="R1134" i="2" s="1"/>
  <c r="S1134" i="2" s="1"/>
  <c r="Q1135" i="2"/>
  <c r="R1135" i="2" s="1"/>
  <c r="S1135" i="2" s="1"/>
  <c r="Q967" i="2"/>
  <c r="R967" i="2" s="1"/>
  <c r="S967" i="2" s="1"/>
  <c r="Q968" i="2"/>
  <c r="R968" i="2" s="1"/>
  <c r="S968" i="2" s="1"/>
  <c r="Q969" i="2"/>
  <c r="R969" i="2" s="1"/>
  <c r="S969" i="2" s="1"/>
  <c r="Q970" i="2"/>
  <c r="R970" i="2" s="1"/>
  <c r="S970" i="2" s="1"/>
  <c r="Q965" i="2"/>
  <c r="R965" i="2" s="1"/>
  <c r="S965" i="2" s="1"/>
  <c r="Q772" i="2"/>
  <c r="R772" i="2" s="1"/>
  <c r="S772" i="2" s="1"/>
  <c r="Q773" i="2"/>
  <c r="R773" i="2" s="1"/>
  <c r="S773" i="2" s="1"/>
  <c r="Q774" i="2"/>
  <c r="R774" i="2" s="1"/>
  <c r="S774" i="2" s="1"/>
  <c r="Q788" i="2"/>
  <c r="R788" i="2" s="1"/>
  <c r="S788" i="2" s="1"/>
  <c r="Q775" i="2"/>
  <c r="R775" i="2" s="1"/>
  <c r="S775" i="2" s="1"/>
  <c r="Q776" i="2"/>
  <c r="R776" i="2" s="1"/>
  <c r="S776" i="2" s="1"/>
  <c r="Q777" i="2"/>
  <c r="R777" i="2" s="1"/>
  <c r="S777" i="2" s="1"/>
  <c r="Q789" i="2"/>
  <c r="R789" i="2" s="1"/>
  <c r="S789" i="2" s="1"/>
  <c r="Q712" i="2"/>
  <c r="R712" i="2" s="1"/>
  <c r="S712" i="2" s="1"/>
  <c r="Q708" i="2"/>
  <c r="R708" i="2" s="1"/>
  <c r="S708" i="2" s="1"/>
  <c r="Q713" i="2"/>
  <c r="R713" i="2" s="1"/>
  <c r="S713" i="2" s="1"/>
  <c r="Q709" i="2"/>
  <c r="R709" i="2" s="1"/>
  <c r="S709" i="2" s="1"/>
  <c r="Q714" i="2"/>
  <c r="R714" i="2" s="1"/>
  <c r="S714" i="2" s="1"/>
  <c r="Q710" i="2"/>
  <c r="R710" i="2" s="1"/>
  <c r="S710" i="2" s="1"/>
  <c r="Q715" i="2"/>
  <c r="R715" i="2" s="1"/>
  <c r="S715" i="2" s="1"/>
  <c r="Q711" i="2"/>
  <c r="R711" i="2" s="1"/>
  <c r="S711" i="2" s="1"/>
  <c r="Q1198" i="2"/>
  <c r="R1198" i="2" s="1"/>
  <c r="S1198" i="2" s="1"/>
  <c r="Q1199" i="2"/>
  <c r="R1199" i="2" s="1"/>
  <c r="S1199" i="2" s="1"/>
  <c r="Q1177" i="2"/>
  <c r="R1177" i="2" s="1"/>
  <c r="S1177" i="2" s="1"/>
  <c r="Q1194" i="2"/>
  <c r="R1194" i="2" s="1"/>
  <c r="S1194" i="2" s="1"/>
  <c r="Q1195" i="2"/>
  <c r="R1195" i="2" s="1"/>
  <c r="S1195" i="2" s="1"/>
  <c r="Q1144" i="2"/>
  <c r="R1144" i="2" s="1"/>
  <c r="S1144" i="2" s="1"/>
  <c r="Q865" i="2"/>
  <c r="R865" i="2" s="1"/>
  <c r="S865" i="2" s="1"/>
  <c r="Q866" i="2"/>
  <c r="R866" i="2" s="1"/>
  <c r="S866" i="2" s="1"/>
  <c r="Q867" i="2"/>
  <c r="R867" i="2" s="1"/>
  <c r="S867" i="2" s="1"/>
  <c r="Q868" i="2"/>
  <c r="R868" i="2" s="1"/>
  <c r="S868" i="2" s="1"/>
  <c r="Q869" i="2"/>
  <c r="R869" i="2" s="1"/>
  <c r="S869" i="2" s="1"/>
  <c r="Q918" i="2"/>
  <c r="R918" i="2" s="1"/>
  <c r="S918" i="2" s="1"/>
  <c r="Q953" i="2"/>
  <c r="R953" i="2" s="1"/>
  <c r="S953" i="2" s="1"/>
  <c r="Q750" i="2"/>
  <c r="R750" i="2" s="1"/>
  <c r="S750" i="2" s="1"/>
  <c r="Q948" i="2"/>
  <c r="R948" i="2" s="1"/>
  <c r="S948" i="2" s="1"/>
  <c r="Q738" i="2"/>
  <c r="R738" i="2" s="1"/>
  <c r="S738" i="2" s="1"/>
  <c r="Q739" i="2"/>
  <c r="R739" i="2" s="1"/>
  <c r="S739" i="2" s="1"/>
  <c r="Q660" i="2"/>
  <c r="R660" i="2" s="1"/>
  <c r="S660" i="2" s="1"/>
  <c r="Q983" i="2"/>
  <c r="R983" i="2" s="1"/>
  <c r="S983" i="2" s="1"/>
  <c r="Q728" i="2"/>
  <c r="R728" i="2" s="1"/>
  <c r="S728" i="2" s="1"/>
  <c r="Q994" i="2"/>
  <c r="R994" i="2" s="1"/>
  <c r="S994" i="2" s="1"/>
  <c r="Q1115" i="2"/>
  <c r="R1115" i="2" s="1"/>
  <c r="S1115" i="2" s="1"/>
  <c r="Q1112" i="2"/>
  <c r="R1112" i="2" s="1"/>
  <c r="S1112" i="2" s="1"/>
  <c r="Q1113" i="2"/>
  <c r="R1113" i="2" s="1"/>
  <c r="S1113" i="2" s="1"/>
  <c r="Q1114" i="2"/>
  <c r="R1114" i="2" s="1"/>
  <c r="S1114" i="2" s="1"/>
  <c r="Q838" i="2"/>
  <c r="R838" i="2" s="1"/>
  <c r="S838" i="2" s="1"/>
  <c r="Q839" i="2"/>
  <c r="R839" i="2" s="1"/>
  <c r="S839" i="2" s="1"/>
  <c r="Q810" i="2"/>
  <c r="R810" i="2" s="1"/>
  <c r="S810" i="2" s="1"/>
  <c r="Q979" i="2"/>
  <c r="R979" i="2" s="1"/>
  <c r="S979" i="2" s="1"/>
  <c r="Q980" i="2"/>
  <c r="R980" i="2" s="1"/>
  <c r="S980" i="2" s="1"/>
  <c r="Q625" i="2"/>
  <c r="R625" i="2" s="1"/>
  <c r="S625" i="2" s="1"/>
  <c r="Q627" i="2"/>
  <c r="R627" i="2" s="1"/>
  <c r="S627" i="2" s="1"/>
  <c r="Q651" i="2"/>
  <c r="R651" i="2" s="1"/>
  <c r="S651" i="2" s="1"/>
  <c r="Q611" i="2"/>
  <c r="R611" i="2" s="1"/>
  <c r="S611" i="2" s="1"/>
  <c r="Q614" i="2"/>
  <c r="R614" i="2" s="1"/>
  <c r="S614" i="2" s="1"/>
  <c r="Q748" i="2"/>
  <c r="R748" i="2" s="1"/>
  <c r="S748" i="2" s="1"/>
  <c r="Q820" i="2"/>
  <c r="R820" i="2" s="1"/>
  <c r="S820" i="2" s="1"/>
  <c r="Q742" i="2"/>
  <c r="R742" i="2" s="1"/>
  <c r="S742" i="2" s="1"/>
  <c r="Q740" i="2"/>
  <c r="R740" i="2" s="1"/>
  <c r="S740" i="2" s="1"/>
  <c r="Q981" i="2"/>
  <c r="R981" i="2" s="1"/>
  <c r="S981" i="2" s="1"/>
  <c r="Q753" i="2"/>
  <c r="R753" i="2" s="1"/>
  <c r="S753" i="2" s="1"/>
  <c r="Q661" i="2"/>
  <c r="R661" i="2" s="1"/>
  <c r="S661" i="2" s="1"/>
  <c r="Q656" i="2"/>
  <c r="R656" i="2" s="1"/>
  <c r="S656" i="2" s="1"/>
  <c r="Q657" i="2"/>
  <c r="R657" i="2" s="1"/>
  <c r="S657" i="2" s="1"/>
  <c r="Q658" i="2"/>
  <c r="R658" i="2" s="1"/>
  <c r="S658" i="2" s="1"/>
  <c r="Q690" i="2"/>
  <c r="R690" i="2" s="1"/>
  <c r="S690" i="2" s="1"/>
  <c r="Q630" i="2"/>
  <c r="R630" i="2" s="1"/>
  <c r="S630" i="2" s="1"/>
  <c r="Q886" i="2"/>
  <c r="R886" i="2" s="1"/>
  <c r="S886" i="2" s="1"/>
  <c r="Q873" i="2"/>
  <c r="R873" i="2" s="1"/>
  <c r="S873" i="2" s="1"/>
  <c r="Q697" i="2"/>
  <c r="R697" i="2" s="1"/>
  <c r="S697" i="2" s="1"/>
  <c r="Q726" i="2"/>
  <c r="R726" i="2" s="1"/>
  <c r="S726" i="2" s="1"/>
  <c r="Q720" i="2"/>
  <c r="R720" i="2" s="1"/>
  <c r="S720" i="2" s="1"/>
  <c r="Q724" i="2"/>
  <c r="R724" i="2" s="1"/>
  <c r="S724" i="2" s="1"/>
  <c r="Q718" i="2"/>
  <c r="R718" i="2" s="1"/>
  <c r="S718" i="2" s="1"/>
  <c r="Q870" i="2"/>
  <c r="R870" i="2" s="1"/>
  <c r="S870" i="2" s="1"/>
  <c r="Q790" i="2"/>
  <c r="R790" i="2" s="1"/>
  <c r="S790" i="2" s="1"/>
  <c r="Q778" i="2"/>
  <c r="R778" i="2" s="1"/>
  <c r="S778" i="2" s="1"/>
  <c r="Q779" i="2"/>
  <c r="R779" i="2" s="1"/>
  <c r="S779" i="2" s="1"/>
  <c r="Q843" i="2"/>
  <c r="R843" i="2" s="1"/>
  <c r="S843" i="2" s="1"/>
  <c r="Q933" i="2"/>
  <c r="R933" i="2" s="1"/>
  <c r="S933" i="2" s="1"/>
  <c r="Q934" i="2"/>
  <c r="R934" i="2" s="1"/>
  <c r="S934" i="2" s="1"/>
  <c r="Q935" i="2"/>
  <c r="R935" i="2" s="1"/>
  <c r="S935" i="2" s="1"/>
  <c r="Q936" i="2"/>
  <c r="R936" i="2" s="1"/>
  <c r="S936" i="2" s="1"/>
  <c r="Q919" i="2"/>
  <c r="R919" i="2" s="1"/>
  <c r="S919" i="2" s="1"/>
  <c r="Q949" i="2"/>
  <c r="R949" i="2" s="1"/>
  <c r="S949" i="2" s="1"/>
  <c r="Q741" i="2"/>
  <c r="R741" i="2" s="1"/>
  <c r="S741" i="2" s="1"/>
  <c r="Q737" i="2"/>
  <c r="R737" i="2" s="1"/>
  <c r="S737" i="2" s="1"/>
  <c r="Q851" i="2"/>
  <c r="R851" i="2" s="1"/>
  <c r="S851" i="2" s="1"/>
  <c r="Q731" i="2"/>
  <c r="R731" i="2" s="1"/>
  <c r="S731" i="2" s="1"/>
  <c r="Q1052" i="2"/>
  <c r="R1052" i="2" s="1"/>
  <c r="S1052" i="2" s="1"/>
  <c r="Q1031" i="2"/>
  <c r="R1031" i="2" s="1"/>
  <c r="S1031" i="2" s="1"/>
  <c r="Q1053" i="2"/>
  <c r="R1053" i="2" s="1"/>
  <c r="S1053" i="2" s="1"/>
  <c r="Q1054" i="2"/>
  <c r="R1054" i="2" s="1"/>
  <c r="S1054" i="2" s="1"/>
  <c r="Q727" i="2"/>
  <c r="R727" i="2" s="1"/>
  <c r="S727" i="2" s="1"/>
  <c r="Q725" i="2"/>
  <c r="R725" i="2" s="1"/>
  <c r="S725" i="2" s="1"/>
  <c r="Q696" i="2"/>
  <c r="R696" i="2" s="1"/>
  <c r="S696" i="2" s="1"/>
  <c r="Q663" i="2"/>
  <c r="R663" i="2" s="1"/>
  <c r="S663" i="2" s="1"/>
  <c r="Q871" i="2"/>
  <c r="R871" i="2" s="1"/>
  <c r="S871" i="2" s="1"/>
  <c r="Q664" i="2"/>
  <c r="R664" i="2" s="1"/>
  <c r="S664" i="2" s="1"/>
  <c r="Q874" i="2"/>
  <c r="R874" i="2" s="1"/>
  <c r="S874" i="2" s="1"/>
  <c r="Q665" i="2"/>
  <c r="R665" i="2" s="1"/>
  <c r="S665" i="2" s="1"/>
  <c r="Q872" i="2"/>
  <c r="R872" i="2" s="1"/>
  <c r="S872" i="2" s="1"/>
  <c r="Q674" i="2"/>
  <c r="R674" i="2" s="1"/>
  <c r="S674" i="2" s="1"/>
  <c r="Q950" i="2"/>
  <c r="R950" i="2" s="1"/>
  <c r="S950" i="2" s="1"/>
  <c r="Q791" i="2"/>
  <c r="R791" i="2" s="1"/>
  <c r="S791" i="2" s="1"/>
  <c r="Q780" i="2"/>
  <c r="R780" i="2" s="1"/>
  <c r="S780" i="2" s="1"/>
  <c r="Q781" i="2"/>
  <c r="R781" i="2" s="1"/>
  <c r="S781" i="2" s="1"/>
  <c r="Q782" i="2"/>
  <c r="R782" i="2" s="1"/>
  <c r="S782" i="2" s="1"/>
  <c r="Q1057" i="2"/>
  <c r="R1057" i="2" s="1"/>
  <c r="S1057" i="2" s="1"/>
  <c r="Q1058" i="2"/>
  <c r="R1058" i="2" s="1"/>
  <c r="S1058" i="2" s="1"/>
  <c r="Q1056" i="2"/>
  <c r="R1056" i="2" s="1"/>
  <c r="S1056" i="2" s="1"/>
  <c r="Q939" i="2"/>
  <c r="R939" i="2" s="1"/>
  <c r="S939" i="2" s="1"/>
  <c r="Q941" i="2"/>
  <c r="R941" i="2" s="1"/>
  <c r="S941" i="2" s="1"/>
  <c r="Q783" i="2"/>
  <c r="R783" i="2" s="1"/>
  <c r="S783" i="2" s="1"/>
  <c r="Q732" i="2"/>
  <c r="R732" i="2" s="1"/>
  <c r="S732" i="2" s="1"/>
  <c r="Q609" i="2"/>
  <c r="R609" i="2" s="1"/>
  <c r="S609" i="2" s="1"/>
  <c r="Q610" i="2"/>
  <c r="R610" i="2" s="1"/>
  <c r="S610" i="2" s="1"/>
  <c r="Q719" i="2"/>
  <c r="R719" i="2" s="1"/>
  <c r="S719" i="2" s="1"/>
  <c r="Q927" i="2"/>
  <c r="R927" i="2" s="1"/>
  <c r="S927" i="2" s="1"/>
  <c r="Q755" i="2"/>
  <c r="R755" i="2" s="1"/>
  <c r="S755" i="2" s="1"/>
  <c r="Q756" i="2"/>
  <c r="R756" i="2" s="1"/>
  <c r="S756" i="2" s="1"/>
  <c r="Q754" i="2"/>
  <c r="R754" i="2" s="1"/>
  <c r="S754" i="2" s="1"/>
  <c r="Q822" i="2"/>
  <c r="R822" i="2" s="1"/>
  <c r="S822" i="2" s="1"/>
  <c r="Q823" i="2"/>
  <c r="R823" i="2" s="1"/>
  <c r="S823" i="2" s="1"/>
  <c r="Q847" i="2"/>
  <c r="R847" i="2" s="1"/>
  <c r="S847" i="2" s="1"/>
  <c r="Q848" i="2"/>
  <c r="R848" i="2" s="1"/>
  <c r="S848" i="2" s="1"/>
  <c r="Q826" i="2"/>
  <c r="R826" i="2" s="1"/>
  <c r="S826" i="2" s="1"/>
  <c r="Q827" i="2"/>
  <c r="R827" i="2" s="1"/>
  <c r="S827" i="2" s="1"/>
  <c r="Q828" i="2"/>
  <c r="R828" i="2" s="1"/>
  <c r="S828" i="2" s="1"/>
  <c r="Q829" i="2"/>
  <c r="R829" i="2" s="1"/>
  <c r="S829" i="2" s="1"/>
  <c r="Q830" i="2"/>
  <c r="R830" i="2" s="1"/>
  <c r="S830" i="2" s="1"/>
  <c r="Q831" i="2"/>
  <c r="R831" i="2" s="1"/>
  <c r="S831" i="2" s="1"/>
  <c r="Q824" i="2"/>
  <c r="R824" i="2" s="1"/>
  <c r="S824" i="2" s="1"/>
  <c r="Q821" i="2"/>
  <c r="R821" i="2" s="1"/>
  <c r="S821" i="2" s="1"/>
  <c r="Q832" i="2"/>
  <c r="R832" i="2" s="1"/>
  <c r="S832" i="2" s="1"/>
  <c r="Q833" i="2"/>
  <c r="R833" i="2" s="1"/>
  <c r="S833" i="2" s="1"/>
  <c r="Q797" i="2"/>
  <c r="R797" i="2" s="1"/>
  <c r="S797" i="2" s="1"/>
  <c r="Q613" i="2"/>
  <c r="R613" i="2" s="1"/>
  <c r="S613" i="2" s="1"/>
  <c r="Q749" i="2"/>
  <c r="R749" i="2" s="1"/>
  <c r="S749" i="2" s="1"/>
  <c r="Q743" i="2"/>
  <c r="R743" i="2" s="1"/>
  <c r="S743" i="2" s="1"/>
  <c r="Q744" i="2"/>
  <c r="R744" i="2" s="1"/>
  <c r="S744" i="2" s="1"/>
  <c r="Q735" i="2"/>
  <c r="R735" i="2" s="1"/>
  <c r="S735" i="2" s="1"/>
  <c r="Q736" i="2"/>
  <c r="R736" i="2" s="1"/>
  <c r="S736" i="2" s="1"/>
  <c r="Q764" i="2"/>
  <c r="R764" i="2" s="1"/>
  <c r="S764" i="2" s="1"/>
  <c r="Q840" i="2"/>
  <c r="R840" i="2" s="1"/>
  <c r="S840" i="2" s="1"/>
  <c r="Q834" i="2"/>
  <c r="R834" i="2" s="1"/>
  <c r="S834" i="2" s="1"/>
  <c r="Q835" i="2"/>
  <c r="R835" i="2" s="1"/>
  <c r="S835" i="2" s="1"/>
  <c r="Q841" i="2"/>
  <c r="R841" i="2" s="1"/>
  <c r="S841" i="2" s="1"/>
  <c r="Q653" i="2"/>
  <c r="R653" i="2" s="1"/>
  <c r="S653" i="2" s="1"/>
  <c r="Q655" i="2"/>
  <c r="R655" i="2" s="1"/>
  <c r="S655" i="2" s="1"/>
  <c r="Q659" i="2"/>
  <c r="R659" i="2" s="1"/>
  <c r="S659" i="2" s="1"/>
  <c r="Q662" i="2"/>
  <c r="R662" i="2" s="1"/>
  <c r="S662" i="2" s="1"/>
  <c r="Q864" i="2"/>
  <c r="R864" i="2" s="1"/>
  <c r="S864" i="2" s="1"/>
  <c r="Q688" i="2"/>
  <c r="R688" i="2" s="1"/>
  <c r="S688" i="2" s="1"/>
  <c r="Q995" i="2"/>
  <c r="R995" i="2" s="1"/>
  <c r="S995" i="2" s="1"/>
  <c r="Q988" i="2"/>
  <c r="R988" i="2" s="1"/>
  <c r="S988" i="2" s="1"/>
  <c r="Q987" i="2"/>
  <c r="R987" i="2" s="1"/>
  <c r="S987" i="2" s="1"/>
  <c r="Q985" i="2"/>
  <c r="R985" i="2" s="1"/>
  <c r="S985" i="2" s="1"/>
  <c r="Q986" i="2"/>
  <c r="R986" i="2" s="1"/>
  <c r="S986" i="2" s="1"/>
  <c r="Q945" i="2"/>
  <c r="R945" i="2" s="1"/>
  <c r="S945" i="2" s="1"/>
  <c r="Q946" i="2"/>
  <c r="R946" i="2" s="1"/>
  <c r="S946" i="2" s="1"/>
  <c r="Q944" i="2"/>
  <c r="R944" i="2" s="1"/>
  <c r="S944" i="2" s="1"/>
  <c r="Q943" i="2"/>
  <c r="R943" i="2" s="1"/>
  <c r="S943" i="2" s="1"/>
  <c r="Q947" i="2"/>
  <c r="R947" i="2" s="1"/>
  <c r="S947" i="2" s="1"/>
  <c r="Q940" i="2"/>
  <c r="R940" i="2" s="1"/>
  <c r="S940" i="2" s="1"/>
  <c r="Q989" i="2"/>
  <c r="R989" i="2" s="1"/>
  <c r="S989" i="2" s="1"/>
  <c r="Q942" i="2"/>
  <c r="R942" i="2" s="1"/>
  <c r="S942" i="2" s="1"/>
  <c r="Q937" i="2"/>
  <c r="R937" i="2" s="1"/>
  <c r="S937" i="2" s="1"/>
  <c r="Q938" i="2"/>
  <c r="R938" i="2" s="1"/>
  <c r="S938" i="2" s="1"/>
  <c r="Q931" i="2"/>
  <c r="R931" i="2" s="1"/>
  <c r="S931" i="2" s="1"/>
  <c r="Q926" i="2"/>
  <c r="R926" i="2" s="1"/>
  <c r="S926" i="2" s="1"/>
  <c r="Q793" i="2"/>
  <c r="R793" i="2" s="1"/>
  <c r="S793" i="2" s="1"/>
  <c r="Q794" i="2"/>
  <c r="R794" i="2" s="1"/>
  <c r="S794" i="2" s="1"/>
  <c r="Q796" i="2"/>
  <c r="R796" i="2" s="1"/>
  <c r="S796" i="2" s="1"/>
  <c r="Q798" i="2"/>
  <c r="R798" i="2" s="1"/>
  <c r="S798" i="2" s="1"/>
  <c r="Q612" i="2"/>
  <c r="R612" i="2" s="1"/>
  <c r="S612" i="2" s="1"/>
  <c r="Q817" i="2"/>
  <c r="R817" i="2" s="1"/>
  <c r="S817" i="2" s="1"/>
  <c r="Q765" i="2"/>
  <c r="R765" i="2" s="1"/>
  <c r="S765" i="2" s="1"/>
  <c r="Q633" i="2"/>
  <c r="R633" i="2" s="1"/>
  <c r="S633" i="2" s="1"/>
  <c r="Q721" i="2"/>
  <c r="R721" i="2" s="1"/>
  <c r="S721" i="2" s="1"/>
  <c r="Q698" i="2"/>
  <c r="R698" i="2" s="1"/>
  <c r="S698" i="2" s="1"/>
  <c r="Q722" i="2"/>
  <c r="R722" i="2" s="1"/>
  <c r="S722" i="2" s="1"/>
  <c r="Q723" i="2"/>
  <c r="R723" i="2" s="1"/>
  <c r="S723" i="2" s="1"/>
  <c r="Q858" i="2"/>
  <c r="R858" i="2" s="1"/>
  <c r="S858" i="2" s="1"/>
  <c r="Q677" i="2"/>
  <c r="R677" i="2" s="1"/>
  <c r="S677" i="2" s="1"/>
  <c r="Q678" i="2"/>
  <c r="R678" i="2" s="1"/>
  <c r="S678" i="2" s="1"/>
  <c r="Q679" i="2"/>
  <c r="R679" i="2" s="1"/>
  <c r="S679" i="2" s="1"/>
  <c r="Q680" i="2"/>
  <c r="R680" i="2" s="1"/>
  <c r="S680" i="2" s="1"/>
  <c r="Q795" i="2"/>
  <c r="R795" i="2" s="1"/>
  <c r="S795" i="2" s="1"/>
  <c r="Q792" i="2"/>
  <c r="R792" i="2" s="1"/>
  <c r="S792" i="2" s="1"/>
  <c r="Q769" i="2"/>
  <c r="R769" i="2" s="1"/>
  <c r="S769" i="2" s="1"/>
  <c r="Q845" i="2"/>
  <c r="R845" i="2" s="1"/>
  <c r="S845" i="2" s="1"/>
  <c r="Q770" i="2"/>
  <c r="R770" i="2" s="1"/>
  <c r="S770" i="2" s="1"/>
  <c r="Q846" i="2"/>
  <c r="R846" i="2" s="1"/>
  <c r="S846" i="2" s="1"/>
  <c r="Q768" i="2"/>
  <c r="R768" i="2" s="1"/>
  <c r="S768" i="2" s="1"/>
  <c r="Q844" i="2"/>
  <c r="R844" i="2" s="1"/>
  <c r="S844" i="2" s="1"/>
  <c r="Q701" i="2"/>
  <c r="R701" i="2" s="1"/>
  <c r="S701" i="2" s="1"/>
  <c r="Q699" i="2"/>
  <c r="R699" i="2" s="1"/>
  <c r="S699" i="2" s="1"/>
  <c r="Q784" i="2"/>
  <c r="R784" i="2" s="1"/>
  <c r="S784" i="2" s="1"/>
  <c r="Q785" i="2"/>
  <c r="R785" i="2" s="1"/>
  <c r="S785" i="2" s="1"/>
  <c r="Q786" i="2"/>
  <c r="R786" i="2" s="1"/>
  <c r="S786" i="2" s="1"/>
  <c r="Q787" i="2"/>
  <c r="R787" i="2" s="1"/>
  <c r="S787" i="2" s="1"/>
  <c r="Q825" i="2"/>
  <c r="R825" i="2" s="1"/>
  <c r="S825" i="2" s="1"/>
  <c r="Q811" i="2"/>
  <c r="R811" i="2" s="1"/>
  <c r="S811" i="2" s="1"/>
  <c r="Q909" i="2"/>
  <c r="R909" i="2" s="1"/>
  <c r="S909" i="2" s="1"/>
  <c r="Q675" i="2"/>
  <c r="R675" i="2" s="1"/>
  <c r="S675" i="2" s="1"/>
  <c r="Q666" i="2"/>
  <c r="R666" i="2" s="1"/>
  <c r="S666" i="2" s="1"/>
  <c r="Q667" i="2"/>
  <c r="R667" i="2" s="1"/>
  <c r="S667" i="2" s="1"/>
  <c r="Q668" i="2"/>
  <c r="R668" i="2" s="1"/>
  <c r="S668" i="2" s="1"/>
  <c r="Q669" i="2"/>
  <c r="R669" i="2" s="1"/>
  <c r="S669" i="2" s="1"/>
  <c r="Q670" i="2"/>
  <c r="R670" i="2" s="1"/>
  <c r="S670" i="2" s="1"/>
  <c r="Q671" i="2"/>
  <c r="R671" i="2" s="1"/>
  <c r="S671" i="2" s="1"/>
  <c r="Q672" i="2"/>
  <c r="R672" i="2" s="1"/>
  <c r="S672" i="2" s="1"/>
  <c r="Q694" i="2"/>
  <c r="R694" i="2" s="1"/>
  <c r="S694" i="2" s="1"/>
  <c r="Q932" i="2"/>
  <c r="R932" i="2" s="1"/>
  <c r="S932" i="2" s="1"/>
  <c r="Q799" i="2"/>
  <c r="R799" i="2" s="1"/>
  <c r="S799" i="2" s="1"/>
  <c r="Q876" i="2"/>
  <c r="R876" i="2" s="1"/>
  <c r="S876" i="2" s="1"/>
  <c r="Q875" i="2"/>
  <c r="R875" i="2" s="1"/>
  <c r="S875" i="2" s="1"/>
  <c r="Q893" i="2"/>
  <c r="R893" i="2" s="1"/>
  <c r="S893" i="2" s="1"/>
  <c r="Q892" i="2"/>
  <c r="R892" i="2" s="1"/>
  <c r="S892" i="2" s="1"/>
  <c r="Q895" i="2"/>
  <c r="R895" i="2" s="1"/>
  <c r="S895" i="2" s="1"/>
  <c r="Q894" i="2"/>
  <c r="R894" i="2" s="1"/>
  <c r="S894" i="2" s="1"/>
  <c r="Q891" i="2"/>
  <c r="R891" i="2" s="1"/>
  <c r="S891" i="2" s="1"/>
  <c r="Q878" i="2"/>
  <c r="R878" i="2" s="1"/>
  <c r="S878" i="2" s="1"/>
  <c r="Q896" i="2"/>
  <c r="R896" i="2" s="1"/>
  <c r="S896" i="2" s="1"/>
  <c r="Q877" i="2"/>
  <c r="R877" i="2" s="1"/>
  <c r="S877" i="2" s="1"/>
  <c r="Q836" i="2"/>
  <c r="R836" i="2" s="1"/>
  <c r="S836" i="2" s="1"/>
  <c r="Q842" i="2"/>
  <c r="R842" i="2" s="1"/>
  <c r="S842" i="2" s="1"/>
  <c r="Q837" i="2"/>
  <c r="R837" i="2" s="1"/>
  <c r="S837" i="2" s="1"/>
  <c r="Q673" i="2"/>
  <c r="R673" i="2" s="1"/>
  <c r="S673" i="2" s="1"/>
  <c r="Q676" i="2"/>
  <c r="R676" i="2" s="1"/>
  <c r="S676" i="2" s="1"/>
  <c r="Q883" i="2"/>
  <c r="R883" i="2" s="1"/>
  <c r="S883" i="2" s="1"/>
  <c r="Q850" i="2"/>
  <c r="R850" i="2" s="1"/>
  <c r="S850" i="2" s="1"/>
  <c r="Q854" i="2"/>
  <c r="R854" i="2" s="1"/>
  <c r="S854" i="2" s="1"/>
  <c r="Q695" i="2"/>
  <c r="R695" i="2" s="1"/>
  <c r="S695" i="2" s="1"/>
  <c r="Q734" i="2"/>
  <c r="R734" i="2" s="1"/>
  <c r="S734" i="2" s="1"/>
  <c r="Q652" i="2"/>
  <c r="R652" i="2" s="1"/>
  <c r="S652" i="2" s="1"/>
  <c r="Q684" i="2"/>
  <c r="R684" i="2" s="1"/>
  <c r="S684" i="2" s="1"/>
  <c r="Q685" i="2"/>
  <c r="R685" i="2" s="1"/>
  <c r="S685" i="2" s="1"/>
  <c r="Q681" i="2"/>
  <c r="R681" i="2" s="1"/>
  <c r="S681" i="2" s="1"/>
  <c r="Q682" i="2"/>
  <c r="R682" i="2" s="1"/>
  <c r="S682" i="2" s="1"/>
  <c r="Q686" i="2"/>
  <c r="R686" i="2" s="1"/>
  <c r="S686" i="2" s="1"/>
  <c r="Q683" i="2"/>
  <c r="R683" i="2" s="1"/>
  <c r="S683" i="2" s="1"/>
  <c r="P1040" i="2"/>
  <c r="P1046" i="2"/>
  <c r="P1035" i="2"/>
  <c r="P1039" i="2"/>
  <c r="P1044" i="2"/>
  <c r="P1038" i="2"/>
  <c r="P1041" i="2"/>
  <c r="P1034" i="2"/>
  <c r="P1037" i="2"/>
  <c r="P1016" i="2"/>
  <c r="P1075" i="2"/>
  <c r="P1076" i="2"/>
  <c r="P1036" i="2"/>
  <c r="P1023" i="2"/>
  <c r="P1182" i="2"/>
  <c r="P1063" i="2"/>
  <c r="P1043" i="2"/>
  <c r="P1064" i="2"/>
  <c r="P1065" i="2"/>
  <c r="P1184" i="2"/>
  <c r="P1185" i="2"/>
  <c r="P1188" i="2"/>
  <c r="P1189" i="2"/>
  <c r="P1222" i="2"/>
  <c r="P1223" i="2"/>
  <c r="P1104" i="2"/>
  <c r="P805" i="2"/>
  <c r="P1105" i="2"/>
  <c r="P1122" i="2"/>
  <c r="P707" i="2"/>
  <c r="P1125" i="2"/>
  <c r="P1074" i="2"/>
  <c r="P1224" i="2"/>
  <c r="P806" i="2"/>
  <c r="P1186" i="2"/>
  <c r="P1187" i="2"/>
  <c r="P990" i="2"/>
  <c r="P1027" i="2"/>
  <c r="P1028" i="2"/>
  <c r="P1235" i="2"/>
  <c r="P1175" i="2"/>
  <c r="P1233" i="2"/>
  <c r="P1128" i="2"/>
  <c r="P1165" i="2"/>
  <c r="P1129" i="2"/>
  <c r="P1166" i="2"/>
  <c r="P1157" i="2"/>
  <c r="P704" i="2"/>
  <c r="P1123" i="2"/>
  <c r="P1240" i="2"/>
  <c r="P1241" i="2"/>
  <c r="P1108" i="2"/>
  <c r="P1136" i="2"/>
  <c r="P991" i="2"/>
  <c r="P1236" i="2"/>
  <c r="P1176" i="2"/>
  <c r="P1234" i="2"/>
  <c r="P1060" i="2"/>
  <c r="P1061" i="2"/>
  <c r="P1062" i="2"/>
  <c r="P1047" i="2"/>
  <c r="P1045" i="2"/>
  <c r="P1069" i="2"/>
  <c r="P1017" i="2"/>
  <c r="P1077" i="2"/>
  <c r="P1126" i="2"/>
  <c r="P1209" i="2"/>
  <c r="P1174" i="2"/>
  <c r="P1203" i="2"/>
  <c r="P1204" i="2"/>
  <c r="P853" i="2"/>
  <c r="P1083" i="2"/>
  <c r="P1162" i="2"/>
  <c r="P1161" i="2"/>
  <c r="P1160" i="2"/>
  <c r="P1218" i="2"/>
  <c r="P1219" i="2"/>
  <c r="P1220" i="2"/>
  <c r="P1221" i="2"/>
  <c r="P1211" i="2"/>
  <c r="P1212" i="2"/>
  <c r="P1213" i="2"/>
  <c r="P1217" i="2"/>
  <c r="P703" i="2"/>
  <c r="P1072" i="2"/>
  <c r="P1005" i="2"/>
  <c r="P1006" i="2"/>
  <c r="P1231" i="2"/>
  <c r="P1073" i="2"/>
  <c r="P761" i="2"/>
  <c r="P1153" i="2"/>
  <c r="P1171" i="2"/>
  <c r="P1190" i="2"/>
  <c r="P1131" i="2"/>
  <c r="P1155" i="2"/>
  <c r="P1132" i="2"/>
  <c r="P1103" i="2"/>
  <c r="P1116" i="2"/>
  <c r="P702" i="2"/>
  <c r="P1164" i="2"/>
  <c r="P1202" i="2"/>
  <c r="P1002" i="2"/>
  <c r="P1071" i="2"/>
  <c r="P1121" i="2"/>
  <c r="P1179" i="2"/>
  <c r="P1208" i="2"/>
  <c r="P1242" i="2"/>
  <c r="P1237" i="2"/>
  <c r="P1243" i="2"/>
  <c r="P1163" i="2"/>
  <c r="P1196" i="2"/>
  <c r="P1197" i="2"/>
  <c r="P1055" i="2"/>
  <c r="P1148" i="2"/>
  <c r="P1257" i="2"/>
  <c r="P1173" i="2"/>
  <c r="P1256" i="2"/>
  <c r="P1109" i="2"/>
  <c r="P1137" i="2"/>
  <c r="P1138" i="2"/>
  <c r="P1230" i="2"/>
  <c r="P1030" i="2"/>
  <c r="P1141" i="2"/>
  <c r="P1159" i="2"/>
  <c r="P1018" i="2"/>
  <c r="P1078" i="2"/>
  <c r="P1127" i="2"/>
  <c r="P1024" i="2"/>
  <c r="P1183" i="2"/>
  <c r="P705" i="2"/>
  <c r="P1124" i="2"/>
  <c r="P1042" i="2"/>
  <c r="P700" i="2"/>
  <c r="P1178" i="2"/>
  <c r="P1068" i="2"/>
  <c r="P1070" i="2"/>
  <c r="P879" i="2"/>
  <c r="P1067" i="2"/>
  <c r="P1180" i="2"/>
  <c r="P1181" i="2"/>
  <c r="P907" i="2"/>
  <c r="P910" i="2"/>
  <c r="P912" i="2"/>
  <c r="P914" i="2"/>
  <c r="P915" i="2"/>
  <c r="P1008" i="2"/>
  <c r="P1009" i="2"/>
  <c r="P1011" i="2"/>
  <c r="P1015" i="2"/>
  <c r="P1086" i="2"/>
  <c r="P1087" i="2"/>
  <c r="P1088" i="2"/>
  <c r="P1084" i="2"/>
  <c r="P1007" i="2"/>
  <c r="P1232" i="2"/>
  <c r="P1200" i="2"/>
  <c r="P1210" i="2"/>
  <c r="P621" i="2"/>
  <c r="P814" i="2"/>
  <c r="P1079" i="2"/>
  <c r="P1080" i="2"/>
  <c r="P1081" i="2"/>
  <c r="P1139" i="2"/>
  <c r="P849" i="2"/>
  <c r="P952" i="2"/>
  <c r="P1003" i="2"/>
  <c r="P1059" i="2"/>
  <c r="P804" i="2"/>
  <c r="P692" i="2"/>
  <c r="P916" i="2"/>
  <c r="P908" i="2"/>
  <c r="P1205" i="2"/>
  <c r="P1010" i="2"/>
  <c r="P1013" i="2"/>
  <c r="P1014" i="2"/>
  <c r="P859" i="2"/>
  <c r="P860" i="2"/>
  <c r="P1085" i="2"/>
  <c r="P729" i="2"/>
  <c r="P730" i="2"/>
  <c r="P1089" i="2"/>
  <c r="P1032" i="2"/>
  <c r="P706" i="2"/>
  <c r="P1004" i="2"/>
  <c r="P1066" i="2"/>
  <c r="P1150" i="2"/>
  <c r="P1120" i="2"/>
  <c r="P917" i="2"/>
  <c r="P1250" i="2"/>
  <c r="P1251" i="2"/>
  <c r="P1248" i="2"/>
  <c r="P1167" i="2"/>
  <c r="P1206" i="2"/>
  <c r="P1207" i="2"/>
  <c r="P1111" i="2"/>
  <c r="P620" i="2"/>
  <c r="P855" i="2"/>
  <c r="P1151" i="2"/>
  <c r="P1149" i="2"/>
  <c r="P1152" i="2"/>
  <c r="P1026" i="2"/>
  <c r="P1169" i="2"/>
  <c r="P1191" i="2"/>
  <c r="P1225" i="2"/>
  <c r="P1154" i="2"/>
  <c r="P1170" i="2"/>
  <c r="P1192" i="2"/>
  <c r="P1156" i="2"/>
  <c r="P1133" i="2"/>
  <c r="P1158" i="2"/>
  <c r="P1048" i="2"/>
  <c r="P863" i="2"/>
  <c r="P951" i="2"/>
  <c r="P636" i="2"/>
  <c r="P637" i="2"/>
  <c r="P638" i="2"/>
  <c r="P639" i="2"/>
  <c r="P640" i="2"/>
  <c r="P641" i="2"/>
  <c r="P767" i="2"/>
  <c r="P766" i="2"/>
  <c r="P747" i="2"/>
  <c r="P752" i="2"/>
  <c r="P757" i="2"/>
  <c r="P751" i="2"/>
  <c r="P615" i="2"/>
  <c r="P958" i="2"/>
  <c r="P1098" i="2"/>
  <c r="P1099" i="2"/>
  <c r="P1100" i="2"/>
  <c r="P1101" i="2"/>
  <c r="P1102" i="2"/>
  <c r="P890" i="2"/>
  <c r="P920" i="2"/>
  <c r="P921" i="2"/>
  <c r="P922" i="2"/>
  <c r="P972" i="2"/>
  <c r="P984" i="2"/>
  <c r="P975" i="2"/>
  <c r="P746" i="2"/>
  <c r="P745" i="2"/>
  <c r="P899" i="2"/>
  <c r="P900" i="2"/>
  <c r="P904" i="2"/>
  <c r="P903" i="2"/>
  <c r="P905" i="2"/>
  <c r="P901" i="2"/>
  <c r="P902" i="2"/>
  <c r="P959" i="2"/>
  <c r="P960" i="2"/>
  <c r="P961" i="2"/>
  <c r="P1119" i="2"/>
  <c r="P1118" i="2"/>
  <c r="P1117" i="2"/>
  <c r="P1172" i="2"/>
  <c r="P1130" i="2"/>
  <c r="P924" i="2"/>
  <c r="P929" i="2"/>
  <c r="P925" i="2"/>
  <c r="P930" i="2"/>
  <c r="P1142" i="2"/>
  <c r="P1143" i="2"/>
  <c r="P1145" i="2"/>
  <c r="P1146" i="2"/>
  <c r="P1147" i="2"/>
  <c r="P819" i="2"/>
  <c r="P1140" i="2"/>
  <c r="P1012" i="2"/>
  <c r="P1201" i="2"/>
  <c r="P954" i="2"/>
  <c r="P956" i="2"/>
  <c r="P977" i="2"/>
  <c r="P976" i="2"/>
  <c r="P978" i="2"/>
  <c r="P1258" i="2"/>
  <c r="P955" i="2"/>
  <c r="P957" i="2"/>
  <c r="P1246" i="2"/>
  <c r="P1000" i="2"/>
  <c r="P1229" i="2"/>
  <c r="P1259" i="2"/>
  <c r="P1168" i="2"/>
  <c r="P1033" i="2"/>
  <c r="P1095" i="2"/>
  <c r="P1093" i="2"/>
  <c r="P1094" i="2"/>
  <c r="P1019" i="2"/>
  <c r="P619" i="2"/>
  <c r="P1096" i="2"/>
  <c r="P1020" i="2"/>
  <c r="P1214" i="2"/>
  <c r="P962" i="2"/>
  <c r="P800" i="2"/>
  <c r="P642" i="2"/>
  <c r="P616" i="2"/>
  <c r="P1097" i="2"/>
  <c r="P1021" i="2"/>
  <c r="P1215" i="2"/>
  <c r="P801" i="2"/>
  <c r="P802" i="2"/>
  <c r="P716" i="2"/>
  <c r="P643" i="2"/>
  <c r="P717" i="2"/>
  <c r="P644" i="2"/>
  <c r="P1022" i="2"/>
  <c r="P963" i="2"/>
  <c r="P803" i="2"/>
  <c r="P617" i="2"/>
  <c r="P1216" i="2"/>
  <c r="P618" i="2"/>
  <c r="P1226" i="2"/>
  <c r="P1227" i="2"/>
  <c r="P1252" i="2"/>
  <c r="P1255" i="2"/>
  <c r="P1244" i="2"/>
  <c r="P993" i="2"/>
  <c r="P1247" i="2"/>
  <c r="P1238" i="2"/>
  <c r="P1106" i="2"/>
  <c r="P1107" i="2"/>
  <c r="P1228" i="2"/>
  <c r="P1239" i="2"/>
  <c r="P999" i="2"/>
  <c r="P1249" i="2"/>
  <c r="P1253" i="2"/>
  <c r="P1254" i="2"/>
  <c r="P1193" i="2"/>
  <c r="P996" i="2"/>
  <c r="P997" i="2"/>
  <c r="P998" i="2"/>
  <c r="P992" i="2"/>
  <c r="P911" i="2"/>
  <c r="P913" i="2"/>
  <c r="P852" i="2"/>
  <c r="P1050" i="2"/>
  <c r="P807" i="2"/>
  <c r="P856" i="2"/>
  <c r="P857" i="2"/>
  <c r="P759" i="2"/>
  <c r="P646" i="2"/>
  <c r="P647" i="2"/>
  <c r="P693" i="2"/>
  <c r="P733" i="2"/>
  <c r="P760" i="2"/>
  <c r="P648" i="2"/>
  <c r="P649" i="2"/>
  <c r="P650" i="2"/>
  <c r="P888" i="2"/>
  <c r="P906" i="2"/>
  <c r="P923" i="2"/>
  <c r="P974" i="2"/>
  <c r="P1025" i="2"/>
  <c r="P623" i="2"/>
  <c r="P889" i="2"/>
  <c r="P973" i="2"/>
  <c r="P1051" i="2"/>
  <c r="P1090" i="2"/>
  <c r="P1091" i="2"/>
  <c r="P1092" i="2"/>
  <c r="P808" i="2"/>
  <c r="P809" i="2"/>
  <c r="P887" i="2"/>
  <c r="P622" i="2"/>
  <c r="P645" i="2"/>
  <c r="P758" i="2"/>
  <c r="P1049" i="2"/>
  <c r="P971" i="2"/>
  <c r="P1245" i="2"/>
  <c r="P1029" i="2"/>
  <c r="P982" i="2"/>
  <c r="P1110" i="2"/>
  <c r="P1001" i="2"/>
  <c r="P964" i="2"/>
  <c r="P966" i="2"/>
  <c r="P689" i="2"/>
  <c r="P881" i="2"/>
  <c r="P687" i="2"/>
  <c r="P631" i="2"/>
  <c r="P885" i="2"/>
  <c r="P632" i="2"/>
  <c r="P634" i="2"/>
  <c r="P635" i="2"/>
  <c r="P880" i="2"/>
  <c r="P882" i="2"/>
  <c r="P884" i="2"/>
  <c r="P897" i="2"/>
  <c r="P898" i="2"/>
  <c r="P771" i="2"/>
  <c r="P691" i="2"/>
  <c r="P928" i="2"/>
  <c r="P624" i="2"/>
  <c r="P629" i="2"/>
  <c r="P626" i="2"/>
  <c r="P628" i="2"/>
  <c r="P816" i="2"/>
  <c r="P813" i="2"/>
  <c r="P818" i="2"/>
  <c r="P812" i="2"/>
  <c r="P815" i="2"/>
  <c r="P1082" i="2"/>
  <c r="P762" i="2"/>
  <c r="P861" i="2"/>
  <c r="P862" i="2"/>
  <c r="P763" i="2"/>
  <c r="P654" i="2"/>
  <c r="P1134" i="2"/>
  <c r="P1135" i="2"/>
  <c r="P967" i="2"/>
  <c r="P968" i="2"/>
  <c r="P969" i="2"/>
  <c r="P970" i="2"/>
  <c r="P965" i="2"/>
  <c r="P772" i="2"/>
  <c r="P773" i="2"/>
  <c r="P774" i="2"/>
  <c r="P788" i="2"/>
  <c r="P775" i="2"/>
  <c r="P776" i="2"/>
  <c r="P777" i="2"/>
  <c r="P789" i="2"/>
  <c r="P712" i="2"/>
  <c r="P708" i="2"/>
  <c r="P713" i="2"/>
  <c r="P709" i="2"/>
  <c r="P714" i="2"/>
  <c r="P710" i="2"/>
  <c r="P715" i="2"/>
  <c r="P711" i="2"/>
  <c r="P1198" i="2"/>
  <c r="P1199" i="2"/>
  <c r="P1177" i="2"/>
  <c r="P1194" i="2"/>
  <c r="P1195" i="2"/>
  <c r="P1144" i="2"/>
  <c r="P865" i="2"/>
  <c r="P866" i="2"/>
  <c r="P867" i="2"/>
  <c r="P868" i="2"/>
  <c r="P869" i="2"/>
  <c r="P918" i="2"/>
  <c r="P953" i="2"/>
  <c r="P750" i="2"/>
  <c r="P948" i="2"/>
  <c r="P738" i="2"/>
  <c r="P739" i="2"/>
  <c r="P660" i="2"/>
  <c r="P983" i="2"/>
  <c r="P728" i="2"/>
  <c r="P994" i="2"/>
  <c r="P1115" i="2"/>
  <c r="P1112" i="2"/>
  <c r="P1113" i="2"/>
  <c r="P1114" i="2"/>
  <c r="P838" i="2"/>
  <c r="P839" i="2"/>
  <c r="P810" i="2"/>
  <c r="P979" i="2"/>
  <c r="P980" i="2"/>
  <c r="P625" i="2"/>
  <c r="P627" i="2"/>
  <c r="P651" i="2"/>
  <c r="P611" i="2"/>
  <c r="P614" i="2"/>
  <c r="P748" i="2"/>
  <c r="P820" i="2"/>
  <c r="P742" i="2"/>
  <c r="P740" i="2"/>
  <c r="P981" i="2"/>
  <c r="P753" i="2"/>
  <c r="P661" i="2"/>
  <c r="P656" i="2"/>
  <c r="P657" i="2"/>
  <c r="P658" i="2"/>
  <c r="P690" i="2"/>
  <c r="P630" i="2"/>
  <c r="P886" i="2"/>
  <c r="P873" i="2"/>
  <c r="P697" i="2"/>
  <c r="P726" i="2"/>
  <c r="P720" i="2"/>
  <c r="P724" i="2"/>
  <c r="P718" i="2"/>
  <c r="P870" i="2"/>
  <c r="P790" i="2"/>
  <c r="P778" i="2"/>
  <c r="P779" i="2"/>
  <c r="P843" i="2"/>
  <c r="P933" i="2"/>
  <c r="P934" i="2"/>
  <c r="P935" i="2"/>
  <c r="P936" i="2"/>
  <c r="P919" i="2"/>
  <c r="P949" i="2"/>
  <c r="P741" i="2"/>
  <c r="P737" i="2"/>
  <c r="P851" i="2"/>
  <c r="P731" i="2"/>
  <c r="P1052" i="2"/>
  <c r="P1031" i="2"/>
  <c r="P1053" i="2"/>
  <c r="P1054" i="2"/>
  <c r="P727" i="2"/>
  <c r="P725" i="2"/>
  <c r="P696" i="2"/>
  <c r="P663" i="2"/>
  <c r="P871" i="2"/>
  <c r="P664" i="2"/>
  <c r="P874" i="2"/>
  <c r="P665" i="2"/>
  <c r="P872" i="2"/>
  <c r="P674" i="2"/>
  <c r="P950" i="2"/>
  <c r="P791" i="2"/>
  <c r="P780" i="2"/>
  <c r="P781" i="2"/>
  <c r="P782" i="2"/>
  <c r="P1057" i="2"/>
  <c r="P1058" i="2"/>
  <c r="P1056" i="2"/>
  <c r="P939" i="2"/>
  <c r="P941" i="2"/>
  <c r="P783" i="2"/>
  <c r="P732" i="2"/>
  <c r="P609" i="2"/>
  <c r="P610" i="2"/>
  <c r="P719" i="2"/>
  <c r="P927" i="2"/>
  <c r="P755" i="2"/>
  <c r="P756" i="2"/>
  <c r="P754" i="2"/>
  <c r="P822" i="2"/>
  <c r="P823" i="2"/>
  <c r="P847" i="2"/>
  <c r="P848" i="2"/>
  <c r="P826" i="2"/>
  <c r="P827" i="2"/>
  <c r="P828" i="2"/>
  <c r="P829" i="2"/>
  <c r="P830" i="2"/>
  <c r="P831" i="2"/>
  <c r="P824" i="2"/>
  <c r="P821" i="2"/>
  <c r="P832" i="2"/>
  <c r="P833" i="2"/>
  <c r="P797" i="2"/>
  <c r="P613" i="2"/>
  <c r="P749" i="2"/>
  <c r="P743" i="2"/>
  <c r="P744" i="2"/>
  <c r="P735" i="2"/>
  <c r="P736" i="2"/>
  <c r="P764" i="2"/>
  <c r="P840" i="2"/>
  <c r="P834" i="2"/>
  <c r="P835" i="2"/>
  <c r="P841" i="2"/>
  <c r="P653" i="2"/>
  <c r="P655" i="2"/>
  <c r="P659" i="2"/>
  <c r="P662" i="2"/>
  <c r="P864" i="2"/>
  <c r="P688" i="2"/>
  <c r="P995" i="2"/>
  <c r="P988" i="2"/>
  <c r="P987" i="2"/>
  <c r="P985" i="2"/>
  <c r="P986" i="2"/>
  <c r="P945" i="2"/>
  <c r="P946" i="2"/>
  <c r="P944" i="2"/>
  <c r="P943" i="2"/>
  <c r="P947" i="2"/>
  <c r="P940" i="2"/>
  <c r="P989" i="2"/>
  <c r="P942" i="2"/>
  <c r="P937" i="2"/>
  <c r="P938" i="2"/>
  <c r="P931" i="2"/>
  <c r="P926" i="2"/>
  <c r="P793" i="2"/>
  <c r="P794" i="2"/>
  <c r="P796" i="2"/>
  <c r="P798" i="2"/>
  <c r="P612" i="2"/>
  <c r="P817" i="2"/>
  <c r="P765" i="2"/>
  <c r="P633" i="2"/>
  <c r="P721" i="2"/>
  <c r="P698" i="2"/>
  <c r="P722" i="2"/>
  <c r="P723" i="2"/>
  <c r="P858" i="2"/>
  <c r="P677" i="2"/>
  <c r="P678" i="2"/>
  <c r="P679" i="2"/>
  <c r="P680" i="2"/>
  <c r="P795" i="2"/>
  <c r="P792" i="2"/>
  <c r="P769" i="2"/>
  <c r="P845" i="2"/>
  <c r="P770" i="2"/>
  <c r="P846" i="2"/>
  <c r="P768" i="2"/>
  <c r="P844" i="2"/>
  <c r="P701" i="2"/>
  <c r="P699" i="2"/>
  <c r="P784" i="2"/>
  <c r="P785" i="2"/>
  <c r="P786" i="2"/>
  <c r="P787" i="2"/>
  <c r="P825" i="2"/>
  <c r="P811" i="2"/>
  <c r="P909" i="2"/>
  <c r="P675" i="2"/>
  <c r="P666" i="2"/>
  <c r="P667" i="2"/>
  <c r="P668" i="2"/>
  <c r="P669" i="2"/>
  <c r="P670" i="2"/>
  <c r="P671" i="2"/>
  <c r="P672" i="2"/>
  <c r="P694" i="2"/>
  <c r="P932" i="2"/>
  <c r="P799" i="2"/>
  <c r="P876" i="2"/>
  <c r="P875" i="2"/>
  <c r="P893" i="2"/>
  <c r="P892" i="2"/>
  <c r="P895" i="2"/>
  <c r="P894" i="2"/>
  <c r="P891" i="2"/>
  <c r="P878" i="2"/>
  <c r="P896" i="2"/>
  <c r="P877" i="2"/>
  <c r="P836" i="2"/>
  <c r="P842" i="2"/>
  <c r="P837" i="2"/>
  <c r="P673" i="2"/>
  <c r="P676" i="2"/>
  <c r="P883" i="2"/>
  <c r="P850" i="2"/>
  <c r="P854" i="2"/>
  <c r="P695" i="2"/>
  <c r="P734" i="2"/>
  <c r="P652" i="2"/>
  <c r="P684" i="2"/>
  <c r="P685" i="2"/>
  <c r="P681" i="2"/>
  <c r="P682" i="2"/>
  <c r="P686" i="2"/>
  <c r="P683" i="2"/>
  <c r="J1016" i="2"/>
  <c r="J1075" i="2"/>
  <c r="J1076" i="2"/>
  <c r="J1023" i="2"/>
  <c r="J1182" i="2"/>
  <c r="J1184" i="2"/>
  <c r="J1185" i="2"/>
  <c r="J1188" i="2"/>
  <c r="J1189" i="2"/>
  <c r="J1222" i="2"/>
  <c r="J1223" i="2"/>
  <c r="J1104" i="2"/>
  <c r="J805" i="2"/>
  <c r="J1105" i="2"/>
  <c r="J1074" i="2"/>
  <c r="J1224" i="2"/>
  <c r="J806" i="2"/>
  <c r="J1186" i="2"/>
  <c r="J1187" i="2"/>
  <c r="J990" i="2"/>
  <c r="J1027" i="2"/>
  <c r="J1028" i="2"/>
  <c r="J1235" i="2"/>
  <c r="J1175" i="2"/>
  <c r="J1233" i="2"/>
  <c r="J1128" i="2"/>
  <c r="J1165" i="2"/>
  <c r="J1129" i="2"/>
  <c r="J1166" i="2"/>
  <c r="J1157" i="2"/>
  <c r="J1240" i="2"/>
  <c r="J1241" i="2"/>
  <c r="J1108" i="2"/>
  <c r="J1136" i="2"/>
  <c r="J991" i="2"/>
  <c r="J1236" i="2"/>
  <c r="J1176" i="2"/>
  <c r="J1234" i="2"/>
  <c r="J1069" i="2"/>
  <c r="J1017" i="2"/>
  <c r="J1077" i="2"/>
  <c r="J1126" i="2"/>
  <c r="J1209" i="2"/>
  <c r="J1174" i="2"/>
  <c r="J1162" i="2"/>
  <c r="J1161" i="2"/>
  <c r="J1160" i="2"/>
  <c r="J1218" i="2"/>
  <c r="J1219" i="2"/>
  <c r="J1220" i="2"/>
  <c r="J1221" i="2"/>
  <c r="J1211" i="2"/>
  <c r="J1212" i="2"/>
  <c r="J1213" i="2"/>
  <c r="J1217" i="2"/>
  <c r="J1231" i="2"/>
  <c r="J761" i="2"/>
  <c r="J1153" i="2"/>
  <c r="J1171" i="2"/>
  <c r="J1190" i="2"/>
  <c r="J1131" i="2"/>
  <c r="J1155" i="2"/>
  <c r="J1132" i="2"/>
  <c r="J1103" i="2"/>
  <c r="J1116" i="2"/>
  <c r="J702" i="2"/>
  <c r="J1164" i="2"/>
  <c r="J1202" i="2"/>
  <c r="J1002" i="2"/>
  <c r="J1071" i="2"/>
  <c r="J1121" i="2"/>
  <c r="J1179" i="2"/>
  <c r="J1208" i="2"/>
  <c r="J1242" i="2"/>
  <c r="J1237" i="2"/>
  <c r="J1243" i="2"/>
  <c r="J1163" i="2"/>
  <c r="J1196" i="2"/>
  <c r="J1197" i="2"/>
  <c r="J1055" i="2"/>
  <c r="J1148" i="2"/>
  <c r="J1257" i="2"/>
  <c r="J1173" i="2"/>
  <c r="J1256" i="2"/>
  <c r="J1109" i="2"/>
  <c r="J1137" i="2"/>
  <c r="J1138" i="2"/>
  <c r="J1230" i="2"/>
  <c r="J1030" i="2"/>
  <c r="J1141" i="2"/>
  <c r="J1159" i="2"/>
  <c r="J1018" i="2"/>
  <c r="J1078" i="2"/>
  <c r="J1127" i="2"/>
  <c r="J1024" i="2"/>
  <c r="J1183" i="2"/>
  <c r="J1068" i="2"/>
  <c r="J1070" i="2"/>
  <c r="J879" i="2"/>
  <c r="J1067" i="2"/>
  <c r="J1232" i="2"/>
  <c r="J1200" i="2"/>
  <c r="J1210" i="2"/>
  <c r="J621" i="2"/>
  <c r="J814" i="2"/>
  <c r="J1139" i="2"/>
  <c r="J849" i="2"/>
  <c r="J952" i="2"/>
  <c r="J1003" i="2"/>
  <c r="J1059" i="2"/>
  <c r="J804" i="2"/>
  <c r="J692" i="2"/>
  <c r="J859" i="2"/>
  <c r="J860" i="2"/>
  <c r="J1032" i="2"/>
  <c r="J1066" i="2"/>
  <c r="J1150" i="2"/>
  <c r="J1120" i="2"/>
  <c r="J917" i="2"/>
  <c r="J1250" i="2"/>
  <c r="J1251" i="2"/>
  <c r="J1248" i="2"/>
  <c r="J1167" i="2"/>
  <c r="J1206" i="2"/>
  <c r="J1207" i="2"/>
  <c r="J1111" i="2"/>
  <c r="J620" i="2"/>
  <c r="J855" i="2"/>
  <c r="J1151" i="2"/>
  <c r="J1149" i="2"/>
  <c r="J1152" i="2"/>
  <c r="J1026" i="2"/>
  <c r="J1169" i="2"/>
  <c r="J1191" i="2"/>
  <c r="J1225" i="2"/>
  <c r="J1154" i="2"/>
  <c r="J1170" i="2"/>
  <c r="J1192" i="2"/>
  <c r="J1156" i="2"/>
  <c r="J1133" i="2"/>
  <c r="J1158" i="2"/>
  <c r="J1048" i="2"/>
  <c r="J863" i="2"/>
  <c r="J951" i="2"/>
  <c r="J636" i="2"/>
  <c r="J637" i="2"/>
  <c r="J638" i="2"/>
  <c r="J639" i="2"/>
  <c r="J640" i="2"/>
  <c r="J641" i="2"/>
  <c r="J767" i="2"/>
  <c r="J766" i="2"/>
  <c r="J747" i="2"/>
  <c r="J752" i="2"/>
  <c r="J757" i="2"/>
  <c r="J751" i="2"/>
  <c r="J615" i="2"/>
  <c r="J958" i="2"/>
  <c r="J1098" i="2"/>
  <c r="J1099" i="2"/>
  <c r="J1100" i="2"/>
  <c r="J1101" i="2"/>
  <c r="J1102" i="2"/>
  <c r="J890" i="2"/>
  <c r="J920" i="2"/>
  <c r="J921" i="2"/>
  <c r="J922" i="2"/>
  <c r="J972" i="2"/>
  <c r="J984" i="2"/>
  <c r="J975" i="2"/>
  <c r="J746" i="2"/>
  <c r="J745" i="2"/>
  <c r="J899" i="2"/>
  <c r="J900" i="2"/>
  <c r="J904" i="2"/>
  <c r="J903" i="2"/>
  <c r="J905" i="2"/>
  <c r="J901" i="2"/>
  <c r="J902" i="2"/>
  <c r="J959" i="2"/>
  <c r="J960" i="2"/>
  <c r="J961" i="2"/>
  <c r="J1119" i="2"/>
  <c r="J1118" i="2"/>
  <c r="J1117" i="2"/>
  <c r="J1172" i="2"/>
  <c r="J1130" i="2"/>
  <c r="J924" i="2"/>
  <c r="J929" i="2"/>
  <c r="J925" i="2"/>
  <c r="J930" i="2"/>
  <c r="J1142" i="2"/>
  <c r="J1143" i="2"/>
  <c r="J1145" i="2"/>
  <c r="J1146" i="2"/>
  <c r="J1147" i="2"/>
  <c r="J819" i="2"/>
  <c r="J1140" i="2"/>
  <c r="J1201" i="2"/>
  <c r="J977" i="2"/>
  <c r="J976" i="2"/>
  <c r="J978" i="2"/>
  <c r="J1258" i="2"/>
  <c r="J1246" i="2"/>
  <c r="J1000" i="2"/>
  <c r="J1229" i="2"/>
  <c r="J1259" i="2"/>
  <c r="J1168" i="2"/>
  <c r="J1033" i="2"/>
  <c r="J1095" i="2"/>
  <c r="J1093" i="2"/>
  <c r="J1094" i="2"/>
  <c r="J1019" i="2"/>
  <c r="J619" i="2"/>
  <c r="J1096" i="2"/>
  <c r="J1020" i="2"/>
  <c r="J1214" i="2"/>
  <c r="J962" i="2"/>
  <c r="J800" i="2"/>
  <c r="J642" i="2"/>
  <c r="J616" i="2"/>
  <c r="J1097" i="2"/>
  <c r="J1021" i="2"/>
  <c r="J1215" i="2"/>
  <c r="J801" i="2"/>
  <c r="J802" i="2"/>
  <c r="J716" i="2"/>
  <c r="J643" i="2"/>
  <c r="J717" i="2"/>
  <c r="J644" i="2"/>
  <c r="J1022" i="2"/>
  <c r="J963" i="2"/>
  <c r="J803" i="2"/>
  <c r="J617" i="2"/>
  <c r="J1216" i="2"/>
  <c r="J618" i="2"/>
  <c r="J1226" i="2"/>
  <c r="J1227" i="2"/>
  <c r="J1252" i="2"/>
  <c r="J1255" i="2"/>
  <c r="J1244" i="2"/>
  <c r="J993" i="2"/>
  <c r="J1247" i="2"/>
  <c r="J1238" i="2"/>
  <c r="J1106" i="2"/>
  <c r="J1107" i="2"/>
  <c r="J1228" i="2"/>
  <c r="J1239" i="2"/>
  <c r="J999" i="2"/>
  <c r="J1249" i="2"/>
  <c r="J1253" i="2"/>
  <c r="J1254" i="2"/>
  <c r="J1193" i="2"/>
  <c r="J996" i="2"/>
  <c r="J997" i="2"/>
  <c r="J998" i="2"/>
  <c r="J992" i="2"/>
  <c r="J1050" i="2"/>
  <c r="J807" i="2"/>
  <c r="J856" i="2"/>
  <c r="J857" i="2"/>
  <c r="J759" i="2"/>
  <c r="J646" i="2"/>
  <c r="J647" i="2"/>
  <c r="J693" i="2"/>
  <c r="J733" i="2"/>
  <c r="J760" i="2"/>
  <c r="J648" i="2"/>
  <c r="J649" i="2"/>
  <c r="J650" i="2"/>
  <c r="J888" i="2"/>
  <c r="J906" i="2"/>
  <c r="J923" i="2"/>
  <c r="J974" i="2"/>
  <c r="J1025" i="2"/>
  <c r="J623" i="2"/>
  <c r="J889" i="2"/>
  <c r="J973" i="2"/>
  <c r="J1051" i="2"/>
  <c r="J1090" i="2"/>
  <c r="J1091" i="2"/>
  <c r="J1092" i="2"/>
  <c r="J808" i="2"/>
  <c r="J809" i="2"/>
  <c r="J887" i="2"/>
  <c r="J622" i="2"/>
  <c r="J645" i="2"/>
  <c r="J758" i="2"/>
  <c r="J1049" i="2"/>
  <c r="J971" i="2"/>
  <c r="J1245" i="2"/>
  <c r="J1029" i="2"/>
  <c r="J982" i="2"/>
  <c r="J1110" i="2"/>
  <c r="J1001" i="2"/>
  <c r="J964" i="2"/>
  <c r="J966" i="2"/>
  <c r="J689" i="2"/>
  <c r="J881" i="2"/>
  <c r="J687" i="2"/>
  <c r="J631" i="2"/>
  <c r="J885" i="2"/>
  <c r="J632" i="2"/>
  <c r="J634" i="2"/>
  <c r="J635" i="2"/>
  <c r="J880" i="2"/>
  <c r="J882" i="2"/>
  <c r="J884" i="2"/>
  <c r="J897" i="2"/>
  <c r="J898" i="2"/>
  <c r="J771" i="2"/>
  <c r="J691" i="2"/>
  <c r="J928" i="2"/>
  <c r="J624" i="2"/>
  <c r="J629" i="2"/>
  <c r="J626" i="2"/>
  <c r="J628" i="2"/>
  <c r="J816" i="2"/>
  <c r="J813" i="2"/>
  <c r="J818" i="2"/>
  <c r="J812" i="2"/>
  <c r="J815" i="2"/>
  <c r="J762" i="2"/>
  <c r="J861" i="2"/>
  <c r="J862" i="2"/>
  <c r="J763" i="2"/>
  <c r="J654" i="2"/>
  <c r="J1134" i="2"/>
  <c r="J1135" i="2"/>
  <c r="J967" i="2"/>
  <c r="J968" i="2"/>
  <c r="J969" i="2"/>
  <c r="J970" i="2"/>
  <c r="J965" i="2"/>
  <c r="J772" i="2"/>
  <c r="J773" i="2"/>
  <c r="J774" i="2"/>
  <c r="J788" i="2"/>
  <c r="J775" i="2"/>
  <c r="J776" i="2"/>
  <c r="J777" i="2"/>
  <c r="J789" i="2"/>
  <c r="J712" i="2"/>
  <c r="J708" i="2"/>
  <c r="J713" i="2"/>
  <c r="J709" i="2"/>
  <c r="J714" i="2"/>
  <c r="J710" i="2"/>
  <c r="J715" i="2"/>
  <c r="J711" i="2"/>
  <c r="J1198" i="2"/>
  <c r="J1199" i="2"/>
  <c r="J1177" i="2"/>
  <c r="J1194" i="2"/>
  <c r="J1195" i="2"/>
  <c r="J1144" i="2"/>
  <c r="J865" i="2"/>
  <c r="J866" i="2"/>
  <c r="J867" i="2"/>
  <c r="J868" i="2"/>
  <c r="J869" i="2"/>
  <c r="J918" i="2"/>
  <c r="J750" i="2"/>
  <c r="J948" i="2"/>
  <c r="J738" i="2"/>
  <c r="J739" i="2"/>
  <c r="J660" i="2"/>
  <c r="J983" i="2"/>
  <c r="J994" i="2"/>
  <c r="J1115" i="2"/>
  <c r="J1112" i="2"/>
  <c r="J1113" i="2"/>
  <c r="J1114" i="2"/>
  <c r="J838" i="2"/>
  <c r="J839" i="2"/>
  <c r="J810" i="2"/>
  <c r="J979" i="2"/>
  <c r="J980" i="2"/>
  <c r="J625" i="2"/>
  <c r="J627" i="2"/>
  <c r="J651" i="2"/>
  <c r="J611" i="2"/>
  <c r="J614" i="2"/>
  <c r="J748" i="2"/>
  <c r="J820" i="2"/>
  <c r="J742" i="2"/>
  <c r="J740" i="2"/>
  <c r="J981" i="2"/>
  <c r="J753" i="2"/>
  <c r="J661" i="2"/>
  <c r="J656" i="2"/>
  <c r="J657" i="2"/>
  <c r="J658" i="2"/>
  <c r="J690" i="2"/>
  <c r="J630" i="2"/>
  <c r="J886" i="2"/>
  <c r="J873" i="2"/>
  <c r="J697" i="2"/>
  <c r="J726" i="2"/>
  <c r="J720" i="2"/>
  <c r="J724" i="2"/>
  <c r="J718" i="2"/>
  <c r="J870" i="2"/>
  <c r="J790" i="2"/>
  <c r="J778" i="2"/>
  <c r="J779" i="2"/>
  <c r="J843" i="2"/>
  <c r="J933" i="2"/>
  <c r="J934" i="2"/>
  <c r="J935" i="2"/>
  <c r="J936" i="2"/>
  <c r="J919" i="2"/>
  <c r="J949" i="2"/>
  <c r="J741" i="2"/>
  <c r="J737" i="2"/>
  <c r="J1052" i="2"/>
  <c r="J1031" i="2"/>
  <c r="J1053" i="2"/>
  <c r="J1054" i="2"/>
  <c r="J727" i="2"/>
  <c r="J725" i="2"/>
  <c r="J696" i="2"/>
  <c r="J663" i="2"/>
  <c r="J871" i="2"/>
  <c r="J664" i="2"/>
  <c r="J874" i="2"/>
  <c r="J665" i="2"/>
  <c r="J872" i="2"/>
  <c r="J674" i="2"/>
  <c r="J950" i="2"/>
  <c r="J791" i="2"/>
  <c r="J780" i="2"/>
  <c r="J781" i="2"/>
  <c r="J782" i="2"/>
  <c r="J1057" i="2"/>
  <c r="J1058" i="2"/>
  <c r="J1056" i="2"/>
  <c r="J939" i="2"/>
  <c r="J941" i="2"/>
  <c r="J783" i="2"/>
  <c r="J609" i="2"/>
  <c r="J610" i="2"/>
  <c r="J719" i="2"/>
  <c r="J927" i="2"/>
  <c r="J755" i="2"/>
  <c r="J756" i="2"/>
  <c r="J754" i="2"/>
  <c r="J822" i="2"/>
  <c r="J823" i="2"/>
  <c r="J847" i="2"/>
  <c r="J848" i="2"/>
  <c r="J826" i="2"/>
  <c r="J827" i="2"/>
  <c r="J828" i="2"/>
  <c r="J829" i="2"/>
  <c r="J830" i="2"/>
  <c r="J831" i="2"/>
  <c r="J824" i="2"/>
  <c r="J821" i="2"/>
  <c r="J832" i="2"/>
  <c r="J833" i="2"/>
  <c r="J797" i="2"/>
  <c r="J613" i="2"/>
  <c r="J749" i="2"/>
  <c r="J743" i="2"/>
  <c r="J744" i="2"/>
  <c r="J735" i="2"/>
  <c r="J736" i="2"/>
  <c r="J764" i="2"/>
  <c r="J840" i="2"/>
  <c r="J834" i="2"/>
  <c r="J835" i="2"/>
  <c r="J841" i="2"/>
  <c r="J653" i="2"/>
  <c r="J655" i="2"/>
  <c r="J659" i="2"/>
  <c r="J662" i="2"/>
  <c r="J864" i="2"/>
  <c r="J688" i="2"/>
  <c r="J995" i="2"/>
  <c r="J988" i="2"/>
  <c r="J987" i="2"/>
  <c r="J985" i="2"/>
  <c r="J986" i="2"/>
  <c r="J945" i="2"/>
  <c r="J946" i="2"/>
  <c r="J944" i="2"/>
  <c r="J943" i="2"/>
  <c r="J947" i="2"/>
  <c r="J940" i="2"/>
  <c r="J989" i="2"/>
  <c r="J942" i="2"/>
  <c r="J937" i="2"/>
  <c r="J938" i="2"/>
  <c r="J931" i="2"/>
  <c r="J926" i="2"/>
  <c r="J793" i="2"/>
  <c r="J794" i="2"/>
  <c r="J796" i="2"/>
  <c r="J798" i="2"/>
  <c r="J612" i="2"/>
  <c r="J817" i="2"/>
  <c r="J765" i="2"/>
  <c r="J633" i="2"/>
  <c r="J721" i="2"/>
  <c r="J698" i="2"/>
  <c r="J722" i="2"/>
  <c r="J723" i="2"/>
  <c r="J858" i="2"/>
  <c r="J677" i="2"/>
  <c r="J678" i="2"/>
  <c r="J679" i="2"/>
  <c r="J680" i="2"/>
  <c r="J795" i="2"/>
  <c r="J792" i="2"/>
  <c r="J769" i="2"/>
  <c r="J845" i="2"/>
  <c r="J770" i="2"/>
  <c r="J846" i="2"/>
  <c r="J768" i="2"/>
  <c r="J844" i="2"/>
  <c r="J699" i="2"/>
  <c r="J784" i="2"/>
  <c r="J785" i="2"/>
  <c r="J786" i="2"/>
  <c r="J787" i="2"/>
  <c r="J825" i="2"/>
  <c r="J811" i="2"/>
  <c r="J675" i="2"/>
  <c r="J666" i="2"/>
  <c r="J667" i="2"/>
  <c r="J668" i="2"/>
  <c r="J669" i="2"/>
  <c r="J670" i="2"/>
  <c r="J671" i="2"/>
  <c r="J672" i="2"/>
  <c r="J694" i="2"/>
  <c r="J932" i="2"/>
  <c r="J799" i="2"/>
  <c r="J876" i="2"/>
  <c r="J875" i="2"/>
  <c r="J893" i="2"/>
  <c r="J892" i="2"/>
  <c r="J895" i="2"/>
  <c r="J894" i="2"/>
  <c r="J891" i="2"/>
  <c r="J878" i="2"/>
  <c r="J896" i="2"/>
  <c r="J877" i="2"/>
  <c r="J836" i="2"/>
  <c r="J842" i="2"/>
  <c r="J837" i="2"/>
  <c r="J673" i="2"/>
  <c r="J676" i="2"/>
  <c r="J883" i="2"/>
  <c r="J850" i="2"/>
  <c r="J854" i="2"/>
  <c r="J695" i="2"/>
  <c r="J734" i="2"/>
  <c r="J652" i="2"/>
  <c r="J684" i="2"/>
  <c r="J685" i="2"/>
  <c r="J681" i="2"/>
  <c r="J682" i="2"/>
  <c r="J686" i="2"/>
  <c r="J683" i="2"/>
  <c r="W852" i="5" l="1"/>
  <c r="Q852" i="5"/>
  <c r="R852" i="5" s="1"/>
  <c r="S852" i="5" s="1"/>
  <c r="J852" i="5"/>
  <c r="W851" i="5"/>
  <c r="Q851" i="5"/>
  <c r="R851" i="5" s="1"/>
  <c r="S851" i="5" s="1"/>
  <c r="J851" i="5"/>
  <c r="W850" i="5"/>
  <c r="Q850" i="5"/>
  <c r="R850" i="5" s="1"/>
  <c r="S850" i="5" s="1"/>
  <c r="P850" i="5"/>
  <c r="J850" i="5"/>
  <c r="W849" i="5"/>
  <c r="Q849" i="5"/>
  <c r="R849" i="5" s="1"/>
  <c r="S849" i="5" s="1"/>
  <c r="P849" i="5"/>
  <c r="J849" i="5"/>
  <c r="W848" i="5"/>
  <c r="Q848" i="5"/>
  <c r="R848" i="5" s="1"/>
  <c r="S848" i="5" s="1"/>
  <c r="P848" i="5"/>
  <c r="J848" i="5"/>
  <c r="W847" i="5"/>
  <c r="Q847" i="5"/>
  <c r="R847" i="5" s="1"/>
  <c r="S847" i="5" s="1"/>
  <c r="P847" i="5"/>
  <c r="J847" i="5"/>
  <c r="W846" i="5"/>
  <c r="Q846" i="5"/>
  <c r="R846" i="5" s="1"/>
  <c r="S846" i="5" s="1"/>
  <c r="P846" i="5"/>
  <c r="J846" i="5"/>
  <c r="W845" i="5"/>
  <c r="Q845" i="5"/>
  <c r="R845" i="5" s="1"/>
  <c r="S845" i="5" s="1"/>
  <c r="P845" i="5"/>
  <c r="J845" i="5"/>
  <c r="W844" i="5"/>
  <c r="Q844" i="5"/>
  <c r="R844" i="5" s="1"/>
  <c r="S844" i="5" s="1"/>
  <c r="P844" i="5"/>
  <c r="J844" i="5"/>
  <c r="W843" i="5"/>
  <c r="Q843" i="5"/>
  <c r="R843" i="5" s="1"/>
  <c r="S843" i="5" s="1"/>
  <c r="P843" i="5"/>
  <c r="J843" i="5"/>
  <c r="W842" i="5"/>
  <c r="Q842" i="5"/>
  <c r="R842" i="5" s="1"/>
  <c r="S842" i="5" s="1"/>
  <c r="P842" i="5"/>
  <c r="J842" i="5"/>
  <c r="W841" i="5"/>
  <c r="Q841" i="5"/>
  <c r="R841" i="5" s="1"/>
  <c r="S841" i="5" s="1"/>
  <c r="P841" i="5"/>
  <c r="J841" i="5"/>
  <c r="W840" i="5"/>
  <c r="Q840" i="5"/>
  <c r="R840" i="5" s="1"/>
  <c r="S840" i="5" s="1"/>
  <c r="P840" i="5"/>
  <c r="J840" i="5"/>
  <c r="W839" i="5"/>
  <c r="Q839" i="5"/>
  <c r="R839" i="5" s="1"/>
  <c r="S839" i="5" s="1"/>
  <c r="P839" i="5"/>
  <c r="J839" i="5"/>
  <c r="W838" i="5"/>
  <c r="Q838" i="5"/>
  <c r="R838" i="5" s="1"/>
  <c r="S838" i="5" s="1"/>
  <c r="P838" i="5"/>
  <c r="J838" i="5"/>
  <c r="W837" i="5"/>
  <c r="Q837" i="5"/>
  <c r="R837" i="5" s="1"/>
  <c r="S837" i="5" s="1"/>
  <c r="P837" i="5"/>
  <c r="J837" i="5"/>
  <c r="W836" i="5"/>
  <c r="Q836" i="5"/>
  <c r="R836" i="5" s="1"/>
  <c r="S836" i="5" s="1"/>
  <c r="P836" i="5"/>
  <c r="J836" i="5"/>
  <c r="W835" i="5"/>
  <c r="Q835" i="5"/>
  <c r="R835" i="5" s="1"/>
  <c r="S835" i="5" s="1"/>
  <c r="P835" i="5"/>
  <c r="J835" i="5"/>
  <c r="W834" i="5"/>
  <c r="Q834" i="5"/>
  <c r="R834" i="5" s="1"/>
  <c r="S834" i="5" s="1"/>
  <c r="P834" i="5"/>
  <c r="J834" i="5"/>
  <c r="W833" i="5"/>
  <c r="Q833" i="5"/>
  <c r="R833" i="5" s="1"/>
  <c r="S833" i="5" s="1"/>
  <c r="P833" i="5"/>
  <c r="J833" i="5"/>
  <c r="W832" i="5"/>
  <c r="Q832" i="5"/>
  <c r="R832" i="5" s="1"/>
  <c r="S832" i="5" s="1"/>
  <c r="P832" i="5"/>
  <c r="J832" i="5"/>
  <c r="W831" i="5"/>
  <c r="Q831" i="5"/>
  <c r="R831" i="5" s="1"/>
  <c r="S831" i="5" s="1"/>
  <c r="P831" i="5"/>
  <c r="J831" i="5"/>
  <c r="W830" i="5"/>
  <c r="Q830" i="5"/>
  <c r="R830" i="5" s="1"/>
  <c r="S830" i="5" s="1"/>
  <c r="P830" i="5"/>
  <c r="J830" i="5"/>
  <c r="W829" i="5"/>
  <c r="Q829" i="5"/>
  <c r="R829" i="5" s="1"/>
  <c r="S829" i="5" s="1"/>
  <c r="P829" i="5"/>
  <c r="J829" i="5"/>
  <c r="W828" i="5"/>
  <c r="Q828" i="5"/>
  <c r="R828" i="5" s="1"/>
  <c r="S828" i="5" s="1"/>
  <c r="P828" i="5"/>
  <c r="J828" i="5"/>
  <c r="W827" i="5"/>
  <c r="Q827" i="5"/>
  <c r="R827" i="5" s="1"/>
  <c r="S827" i="5" s="1"/>
  <c r="P827" i="5"/>
  <c r="J827" i="5"/>
  <c r="W826" i="5"/>
  <c r="Q826" i="5"/>
  <c r="R826" i="5" s="1"/>
  <c r="S826" i="5" s="1"/>
  <c r="P826" i="5"/>
  <c r="J826" i="5"/>
  <c r="W825" i="5"/>
  <c r="Q825" i="5"/>
  <c r="R825" i="5" s="1"/>
  <c r="S825" i="5" s="1"/>
  <c r="P825" i="5"/>
  <c r="J825" i="5"/>
  <c r="W824" i="5"/>
  <c r="Q824" i="5"/>
  <c r="R824" i="5" s="1"/>
  <c r="S824" i="5" s="1"/>
  <c r="P824" i="5"/>
  <c r="J824" i="5"/>
  <c r="W823" i="5"/>
  <c r="Q823" i="5"/>
  <c r="R823" i="5" s="1"/>
  <c r="S823" i="5" s="1"/>
  <c r="P823" i="5"/>
  <c r="J823" i="5"/>
  <c r="W822" i="5"/>
  <c r="Q822" i="5"/>
  <c r="R822" i="5" s="1"/>
  <c r="S822" i="5" s="1"/>
  <c r="P822" i="5"/>
  <c r="J822" i="5"/>
  <c r="W821" i="5"/>
  <c r="Q821" i="5"/>
  <c r="R821" i="5" s="1"/>
  <c r="S821" i="5" s="1"/>
  <c r="P821" i="5"/>
  <c r="J821" i="5"/>
  <c r="W820" i="5"/>
  <c r="Q820" i="5"/>
  <c r="R820" i="5" s="1"/>
  <c r="S820" i="5" s="1"/>
  <c r="P820" i="5"/>
  <c r="J820" i="5"/>
  <c r="W819" i="5"/>
  <c r="Q819" i="5"/>
  <c r="R819" i="5" s="1"/>
  <c r="S819" i="5" s="1"/>
  <c r="P819" i="5"/>
  <c r="J819" i="5"/>
  <c r="W818" i="5"/>
  <c r="Q818" i="5"/>
  <c r="R818" i="5" s="1"/>
  <c r="S818" i="5" s="1"/>
  <c r="P818" i="5"/>
  <c r="J818" i="5"/>
  <c r="W817" i="5"/>
  <c r="Q817" i="5"/>
  <c r="R817" i="5" s="1"/>
  <c r="S817" i="5" s="1"/>
  <c r="P817" i="5"/>
  <c r="J817" i="5"/>
  <c r="W816" i="5"/>
  <c r="Q816" i="5"/>
  <c r="R816" i="5" s="1"/>
  <c r="S816" i="5" s="1"/>
  <c r="P816" i="5"/>
  <c r="J816" i="5"/>
  <c r="W815" i="5"/>
  <c r="Q815" i="5"/>
  <c r="R815" i="5" s="1"/>
  <c r="S815" i="5" s="1"/>
  <c r="P815" i="5"/>
  <c r="J815" i="5"/>
  <c r="W814" i="5"/>
  <c r="Q814" i="5"/>
  <c r="R814" i="5" s="1"/>
  <c r="S814" i="5" s="1"/>
  <c r="P814" i="5"/>
  <c r="J814" i="5"/>
  <c r="W813" i="5"/>
  <c r="Q813" i="5"/>
  <c r="R813" i="5" s="1"/>
  <c r="S813" i="5" s="1"/>
  <c r="P813" i="5"/>
  <c r="J813" i="5"/>
  <c r="W812" i="5"/>
  <c r="Q812" i="5"/>
  <c r="R812" i="5" s="1"/>
  <c r="S812" i="5" s="1"/>
  <c r="P812" i="5"/>
  <c r="J812" i="5"/>
  <c r="W811" i="5"/>
  <c r="Q811" i="5"/>
  <c r="R811" i="5" s="1"/>
  <c r="S811" i="5" s="1"/>
  <c r="P811" i="5"/>
  <c r="J811" i="5"/>
  <c r="W810" i="5"/>
  <c r="Q810" i="5"/>
  <c r="R810" i="5" s="1"/>
  <c r="S810" i="5" s="1"/>
  <c r="P810" i="5"/>
  <c r="J810" i="5"/>
  <c r="W809" i="5"/>
  <c r="Q809" i="5"/>
  <c r="R809" i="5" s="1"/>
  <c r="S809" i="5" s="1"/>
  <c r="P809" i="5"/>
  <c r="J809" i="5"/>
  <c r="W808" i="5"/>
  <c r="Q808" i="5"/>
  <c r="R808" i="5" s="1"/>
  <c r="S808" i="5" s="1"/>
  <c r="P808" i="5"/>
  <c r="J808" i="5"/>
  <c r="W807" i="5"/>
  <c r="Q807" i="5"/>
  <c r="R807" i="5" s="1"/>
  <c r="S807" i="5" s="1"/>
  <c r="P807" i="5"/>
  <c r="J807" i="5"/>
  <c r="W806" i="5"/>
  <c r="Q806" i="5"/>
  <c r="R806" i="5" s="1"/>
  <c r="S806" i="5" s="1"/>
  <c r="P806" i="5"/>
  <c r="J806" i="5"/>
  <c r="W805" i="5"/>
  <c r="Q805" i="5"/>
  <c r="R805" i="5" s="1"/>
  <c r="S805" i="5" s="1"/>
  <c r="P805" i="5"/>
  <c r="J805" i="5"/>
  <c r="W804" i="5"/>
  <c r="Q804" i="5"/>
  <c r="R804" i="5" s="1"/>
  <c r="S804" i="5" s="1"/>
  <c r="P804" i="5"/>
  <c r="J804" i="5"/>
  <c r="W803" i="5"/>
  <c r="Q803" i="5"/>
  <c r="R803" i="5" s="1"/>
  <c r="S803" i="5" s="1"/>
  <c r="P803" i="5"/>
  <c r="J803" i="5"/>
  <c r="W802" i="5"/>
  <c r="Q802" i="5"/>
  <c r="R802" i="5" s="1"/>
  <c r="S802" i="5" s="1"/>
  <c r="P802" i="5"/>
  <c r="J802" i="5"/>
  <c r="W801" i="5"/>
  <c r="Q801" i="5"/>
  <c r="R801" i="5" s="1"/>
  <c r="S801" i="5" s="1"/>
  <c r="P801" i="5"/>
  <c r="J801" i="5"/>
  <c r="W800" i="5"/>
  <c r="Q800" i="5"/>
  <c r="R800" i="5" s="1"/>
  <c r="S800" i="5" s="1"/>
  <c r="P800" i="5"/>
  <c r="J800" i="5"/>
  <c r="W799" i="5"/>
  <c r="Q799" i="5"/>
  <c r="R799" i="5" s="1"/>
  <c r="S799" i="5" s="1"/>
  <c r="P799" i="5"/>
  <c r="J799" i="5"/>
  <c r="W798" i="5"/>
  <c r="Q798" i="5"/>
  <c r="R798" i="5" s="1"/>
  <c r="S798" i="5" s="1"/>
  <c r="P798" i="5"/>
  <c r="J798" i="5"/>
  <c r="W797" i="5"/>
  <c r="Q797" i="5"/>
  <c r="R797" i="5" s="1"/>
  <c r="S797" i="5" s="1"/>
  <c r="P797" i="5"/>
  <c r="J797" i="5"/>
  <c r="W796" i="5"/>
  <c r="Q796" i="5"/>
  <c r="R796" i="5" s="1"/>
  <c r="S796" i="5" s="1"/>
  <c r="P796" i="5"/>
  <c r="J796" i="5"/>
  <c r="W795" i="5"/>
  <c r="Q795" i="5"/>
  <c r="R795" i="5" s="1"/>
  <c r="S795" i="5" s="1"/>
  <c r="P795" i="5"/>
  <c r="J795" i="5"/>
  <c r="W794" i="5"/>
  <c r="Q794" i="5"/>
  <c r="R794" i="5" s="1"/>
  <c r="S794" i="5" s="1"/>
  <c r="P794" i="5"/>
  <c r="J794" i="5"/>
  <c r="W793" i="5"/>
  <c r="Q793" i="5"/>
  <c r="R793" i="5" s="1"/>
  <c r="S793" i="5" s="1"/>
  <c r="P793" i="5"/>
  <c r="J793" i="5"/>
  <c r="W792" i="5"/>
  <c r="Q792" i="5"/>
  <c r="R792" i="5" s="1"/>
  <c r="S792" i="5" s="1"/>
  <c r="P792" i="5"/>
  <c r="J792" i="5"/>
  <c r="W791" i="5"/>
  <c r="Q791" i="5"/>
  <c r="R791" i="5" s="1"/>
  <c r="S791" i="5" s="1"/>
  <c r="P791" i="5"/>
  <c r="J791" i="5"/>
  <c r="W790" i="5"/>
  <c r="Q790" i="5"/>
  <c r="R790" i="5" s="1"/>
  <c r="S790" i="5" s="1"/>
  <c r="P790" i="5"/>
  <c r="J790" i="5"/>
  <c r="W789" i="5"/>
  <c r="Q789" i="5"/>
  <c r="R789" i="5" s="1"/>
  <c r="S789" i="5" s="1"/>
  <c r="P789" i="5"/>
  <c r="J789" i="5"/>
  <c r="W788" i="5"/>
  <c r="Q788" i="5"/>
  <c r="R788" i="5" s="1"/>
  <c r="S788" i="5" s="1"/>
  <c r="P788" i="5"/>
  <c r="J788" i="5"/>
  <c r="W787" i="5"/>
  <c r="Q787" i="5"/>
  <c r="R787" i="5" s="1"/>
  <c r="S787" i="5" s="1"/>
  <c r="P787" i="5"/>
  <c r="J787" i="5"/>
  <c r="W786" i="5"/>
  <c r="Q786" i="5"/>
  <c r="R786" i="5" s="1"/>
  <c r="S786" i="5" s="1"/>
  <c r="P786" i="5"/>
  <c r="J786" i="5"/>
  <c r="W785" i="5"/>
  <c r="Q785" i="5"/>
  <c r="R785" i="5" s="1"/>
  <c r="S785" i="5" s="1"/>
  <c r="P785" i="5"/>
  <c r="J785" i="5"/>
  <c r="W784" i="5"/>
  <c r="Q784" i="5"/>
  <c r="R784" i="5" s="1"/>
  <c r="S784" i="5" s="1"/>
  <c r="P784" i="5"/>
  <c r="J784" i="5"/>
  <c r="W783" i="5"/>
  <c r="Q783" i="5"/>
  <c r="R783" i="5" s="1"/>
  <c r="S783" i="5" s="1"/>
  <c r="P783" i="5"/>
  <c r="J783" i="5"/>
  <c r="W782" i="5"/>
  <c r="Q782" i="5"/>
  <c r="R782" i="5" s="1"/>
  <c r="S782" i="5" s="1"/>
  <c r="P782" i="5"/>
  <c r="J782" i="5"/>
  <c r="W781" i="5"/>
  <c r="Q781" i="5"/>
  <c r="R781" i="5" s="1"/>
  <c r="S781" i="5" s="1"/>
  <c r="P781" i="5"/>
  <c r="J781" i="5"/>
  <c r="W780" i="5"/>
  <c r="Q780" i="5"/>
  <c r="R780" i="5" s="1"/>
  <c r="S780" i="5" s="1"/>
  <c r="P780" i="5"/>
  <c r="J780" i="5"/>
  <c r="W779" i="5"/>
  <c r="Q779" i="5"/>
  <c r="R779" i="5" s="1"/>
  <c r="S779" i="5" s="1"/>
  <c r="P779" i="5"/>
  <c r="J779" i="5"/>
  <c r="W778" i="5"/>
  <c r="Q778" i="5"/>
  <c r="R778" i="5" s="1"/>
  <c r="S778" i="5" s="1"/>
  <c r="P778" i="5"/>
  <c r="J778" i="5"/>
  <c r="W777" i="5"/>
  <c r="Q777" i="5"/>
  <c r="R777" i="5" s="1"/>
  <c r="S777" i="5" s="1"/>
  <c r="P777" i="5"/>
  <c r="J777" i="5"/>
  <c r="W776" i="5"/>
  <c r="Q776" i="5"/>
  <c r="R776" i="5" s="1"/>
  <c r="S776" i="5" s="1"/>
  <c r="P776" i="5"/>
  <c r="J776" i="5"/>
  <c r="W775" i="5"/>
  <c r="Q775" i="5"/>
  <c r="R775" i="5" s="1"/>
  <c r="S775" i="5" s="1"/>
  <c r="P775" i="5"/>
  <c r="J775" i="5"/>
  <c r="W774" i="5"/>
  <c r="S774" i="5"/>
  <c r="Q774" i="5"/>
  <c r="R774" i="5" s="1"/>
  <c r="P774" i="5"/>
  <c r="J774" i="5"/>
  <c r="W773" i="5"/>
  <c r="Q773" i="5"/>
  <c r="R773" i="5" s="1"/>
  <c r="S773" i="5" s="1"/>
  <c r="P773" i="5"/>
  <c r="J773" i="5"/>
  <c r="W772" i="5"/>
  <c r="Q772" i="5"/>
  <c r="R772" i="5" s="1"/>
  <c r="S772" i="5" s="1"/>
  <c r="P772" i="5"/>
  <c r="J772" i="5"/>
  <c r="W771" i="5"/>
  <c r="Q771" i="5"/>
  <c r="R771" i="5" s="1"/>
  <c r="S771" i="5" s="1"/>
  <c r="P771" i="5"/>
  <c r="J771" i="5"/>
  <c r="W770" i="5"/>
  <c r="Q770" i="5"/>
  <c r="R770" i="5" s="1"/>
  <c r="S770" i="5" s="1"/>
  <c r="P770" i="5"/>
  <c r="J770" i="5"/>
  <c r="W769" i="5"/>
  <c r="Q769" i="5"/>
  <c r="R769" i="5" s="1"/>
  <c r="S769" i="5" s="1"/>
  <c r="P769" i="5"/>
  <c r="J769" i="5"/>
  <c r="W768" i="5"/>
  <c r="Q768" i="5"/>
  <c r="R768" i="5" s="1"/>
  <c r="S768" i="5" s="1"/>
  <c r="P768" i="5"/>
  <c r="J768" i="5"/>
  <c r="W767" i="5"/>
  <c r="Q767" i="5"/>
  <c r="R767" i="5" s="1"/>
  <c r="S767" i="5" s="1"/>
  <c r="P767" i="5"/>
  <c r="J767" i="5"/>
  <c r="W766" i="5"/>
  <c r="Q766" i="5"/>
  <c r="R766" i="5" s="1"/>
  <c r="S766" i="5" s="1"/>
  <c r="P766" i="5"/>
  <c r="J766" i="5"/>
  <c r="W765" i="5"/>
  <c r="Q765" i="5"/>
  <c r="R765" i="5" s="1"/>
  <c r="S765" i="5" s="1"/>
  <c r="P765" i="5"/>
  <c r="J765" i="5"/>
  <c r="W764" i="5"/>
  <c r="Q764" i="5"/>
  <c r="R764" i="5" s="1"/>
  <c r="S764" i="5" s="1"/>
  <c r="P764" i="5"/>
  <c r="J764" i="5"/>
  <c r="W763" i="5"/>
  <c r="Q763" i="5"/>
  <c r="R763" i="5" s="1"/>
  <c r="S763" i="5" s="1"/>
  <c r="P763" i="5"/>
  <c r="J763" i="5"/>
  <c r="W762" i="5"/>
  <c r="Q762" i="5"/>
  <c r="R762" i="5" s="1"/>
  <c r="S762" i="5" s="1"/>
  <c r="P762" i="5"/>
  <c r="J762" i="5"/>
  <c r="W761" i="5"/>
  <c r="Q761" i="5"/>
  <c r="R761" i="5" s="1"/>
  <c r="S761" i="5" s="1"/>
  <c r="P761" i="5"/>
  <c r="J761" i="5"/>
  <c r="W760" i="5"/>
  <c r="Q760" i="5"/>
  <c r="R760" i="5" s="1"/>
  <c r="S760" i="5" s="1"/>
  <c r="P760" i="5"/>
  <c r="J760" i="5"/>
  <c r="W759" i="5"/>
  <c r="Q759" i="5"/>
  <c r="R759" i="5" s="1"/>
  <c r="S759" i="5" s="1"/>
  <c r="P759" i="5"/>
  <c r="J759" i="5"/>
  <c r="W758" i="5"/>
  <c r="Q758" i="5"/>
  <c r="R758" i="5" s="1"/>
  <c r="S758" i="5" s="1"/>
  <c r="P758" i="5"/>
  <c r="J758" i="5"/>
  <c r="W757" i="5"/>
  <c r="Q757" i="5"/>
  <c r="R757" i="5" s="1"/>
  <c r="S757" i="5" s="1"/>
  <c r="P757" i="5"/>
  <c r="J757" i="5"/>
  <c r="W756" i="5"/>
  <c r="Q756" i="5"/>
  <c r="R756" i="5" s="1"/>
  <c r="S756" i="5" s="1"/>
  <c r="P756" i="5"/>
  <c r="J756" i="5"/>
  <c r="W755" i="5"/>
  <c r="Q755" i="5"/>
  <c r="R755" i="5" s="1"/>
  <c r="S755" i="5" s="1"/>
  <c r="P755" i="5"/>
  <c r="J755" i="5"/>
  <c r="W754" i="5"/>
  <c r="Q754" i="5"/>
  <c r="R754" i="5" s="1"/>
  <c r="S754" i="5" s="1"/>
  <c r="P754" i="5"/>
  <c r="J754" i="5"/>
  <c r="W753" i="5"/>
  <c r="Q753" i="5"/>
  <c r="R753" i="5" s="1"/>
  <c r="S753" i="5" s="1"/>
  <c r="P753" i="5"/>
  <c r="J753" i="5"/>
  <c r="W752" i="5"/>
  <c r="Q752" i="5"/>
  <c r="R752" i="5" s="1"/>
  <c r="S752" i="5" s="1"/>
  <c r="P752" i="5"/>
  <c r="J752" i="5"/>
  <c r="W751" i="5"/>
  <c r="Q751" i="5"/>
  <c r="R751" i="5" s="1"/>
  <c r="S751" i="5" s="1"/>
  <c r="P751" i="5"/>
  <c r="J751" i="5"/>
  <c r="W750" i="5"/>
  <c r="Q750" i="5"/>
  <c r="R750" i="5" s="1"/>
  <c r="S750" i="5" s="1"/>
  <c r="P750" i="5"/>
  <c r="J750" i="5"/>
  <c r="W749" i="5"/>
  <c r="Q749" i="5"/>
  <c r="R749" i="5" s="1"/>
  <c r="S749" i="5" s="1"/>
  <c r="P749" i="5"/>
  <c r="J749" i="5"/>
  <c r="W748" i="5"/>
  <c r="S748" i="5"/>
  <c r="Q748" i="5"/>
  <c r="R748" i="5" s="1"/>
  <c r="P748" i="5"/>
  <c r="J748" i="5"/>
  <c r="W747" i="5"/>
  <c r="Q747" i="5"/>
  <c r="R747" i="5" s="1"/>
  <c r="S747" i="5" s="1"/>
  <c r="P747" i="5"/>
  <c r="J747" i="5"/>
  <c r="W746" i="5"/>
  <c r="Q746" i="5"/>
  <c r="R746" i="5" s="1"/>
  <c r="S746" i="5" s="1"/>
  <c r="P746" i="5"/>
  <c r="J746" i="5"/>
  <c r="W745" i="5"/>
  <c r="Q745" i="5"/>
  <c r="R745" i="5" s="1"/>
  <c r="S745" i="5" s="1"/>
  <c r="P745" i="5"/>
  <c r="J745" i="5"/>
  <c r="W744" i="5"/>
  <c r="Q744" i="5"/>
  <c r="R744" i="5" s="1"/>
  <c r="S744" i="5" s="1"/>
  <c r="P744" i="5"/>
  <c r="J744" i="5"/>
  <c r="W743" i="5"/>
  <c r="Q743" i="5"/>
  <c r="R743" i="5" s="1"/>
  <c r="S743" i="5" s="1"/>
  <c r="P743" i="5"/>
  <c r="J743" i="5"/>
  <c r="W742" i="5"/>
  <c r="Q742" i="5"/>
  <c r="R742" i="5" s="1"/>
  <c r="S742" i="5" s="1"/>
  <c r="P742" i="5"/>
  <c r="J742" i="5"/>
  <c r="W741" i="5"/>
  <c r="Q741" i="5"/>
  <c r="R741" i="5" s="1"/>
  <c r="S741" i="5" s="1"/>
  <c r="P741" i="5"/>
  <c r="J741" i="5"/>
  <c r="W740" i="5"/>
  <c r="Q740" i="5"/>
  <c r="R740" i="5" s="1"/>
  <c r="S740" i="5" s="1"/>
  <c r="P740" i="5"/>
  <c r="J740" i="5"/>
  <c r="W739" i="5"/>
  <c r="Q739" i="5"/>
  <c r="R739" i="5" s="1"/>
  <c r="S739" i="5" s="1"/>
  <c r="P739" i="5"/>
  <c r="J739" i="5"/>
  <c r="W738" i="5"/>
  <c r="Q738" i="5"/>
  <c r="R738" i="5" s="1"/>
  <c r="S738" i="5" s="1"/>
  <c r="P738" i="5"/>
  <c r="J738" i="5"/>
  <c r="W737" i="5"/>
  <c r="Q737" i="5"/>
  <c r="R737" i="5" s="1"/>
  <c r="S737" i="5" s="1"/>
  <c r="P737" i="5"/>
  <c r="J737" i="5"/>
  <c r="W736" i="5"/>
  <c r="Q736" i="5"/>
  <c r="R736" i="5" s="1"/>
  <c r="S736" i="5" s="1"/>
  <c r="P736" i="5"/>
  <c r="J736" i="5"/>
  <c r="W735" i="5"/>
  <c r="Q735" i="5"/>
  <c r="R735" i="5" s="1"/>
  <c r="S735" i="5" s="1"/>
  <c r="P735" i="5"/>
  <c r="J735" i="5"/>
  <c r="W734" i="5"/>
  <c r="Q734" i="5"/>
  <c r="R734" i="5" s="1"/>
  <c r="S734" i="5" s="1"/>
  <c r="P734" i="5"/>
  <c r="J734" i="5"/>
  <c r="W733" i="5"/>
  <c r="Q733" i="5"/>
  <c r="R733" i="5" s="1"/>
  <c r="S733" i="5" s="1"/>
  <c r="P733" i="5"/>
  <c r="J733" i="5"/>
  <c r="W732" i="5"/>
  <c r="Q732" i="5"/>
  <c r="R732" i="5" s="1"/>
  <c r="S732" i="5" s="1"/>
  <c r="P732" i="5"/>
  <c r="J732" i="5"/>
  <c r="W731" i="5"/>
  <c r="Q731" i="5"/>
  <c r="R731" i="5" s="1"/>
  <c r="S731" i="5" s="1"/>
  <c r="P731" i="5"/>
  <c r="J731" i="5"/>
  <c r="W730" i="5"/>
  <c r="Q730" i="5"/>
  <c r="R730" i="5" s="1"/>
  <c r="S730" i="5" s="1"/>
  <c r="P730" i="5"/>
  <c r="J730" i="5"/>
  <c r="W729" i="5"/>
  <c r="Q729" i="5"/>
  <c r="R729" i="5" s="1"/>
  <c r="S729" i="5" s="1"/>
  <c r="P729" i="5"/>
  <c r="J729" i="5"/>
  <c r="W728" i="5"/>
  <c r="Q728" i="5"/>
  <c r="R728" i="5" s="1"/>
  <c r="S728" i="5" s="1"/>
  <c r="P728" i="5"/>
  <c r="J728" i="5"/>
  <c r="W727" i="5"/>
  <c r="Q727" i="5"/>
  <c r="R727" i="5" s="1"/>
  <c r="S727" i="5" s="1"/>
  <c r="P727" i="5"/>
  <c r="J727" i="5"/>
  <c r="W726" i="5"/>
  <c r="Q726" i="5"/>
  <c r="R726" i="5" s="1"/>
  <c r="S726" i="5" s="1"/>
  <c r="P726" i="5"/>
  <c r="J726" i="5"/>
  <c r="W725" i="5"/>
  <c r="Q725" i="5"/>
  <c r="R725" i="5" s="1"/>
  <c r="S725" i="5" s="1"/>
  <c r="P725" i="5"/>
  <c r="J725" i="5"/>
  <c r="W724" i="5"/>
  <c r="Q724" i="5"/>
  <c r="R724" i="5" s="1"/>
  <c r="S724" i="5" s="1"/>
  <c r="P724" i="5"/>
  <c r="J724" i="5"/>
  <c r="W723" i="5"/>
  <c r="Q723" i="5"/>
  <c r="R723" i="5" s="1"/>
  <c r="S723" i="5" s="1"/>
  <c r="P723" i="5"/>
  <c r="J723" i="5"/>
  <c r="W722" i="5"/>
  <c r="Q722" i="5"/>
  <c r="R722" i="5" s="1"/>
  <c r="S722" i="5" s="1"/>
  <c r="P722" i="5"/>
  <c r="J722" i="5"/>
  <c r="W721" i="5"/>
  <c r="Q721" i="5"/>
  <c r="R721" i="5" s="1"/>
  <c r="S721" i="5" s="1"/>
  <c r="P721" i="5"/>
  <c r="J721" i="5"/>
  <c r="W720" i="5"/>
  <c r="Q720" i="5"/>
  <c r="R720" i="5" s="1"/>
  <c r="S720" i="5" s="1"/>
  <c r="P720" i="5"/>
  <c r="J720" i="5"/>
  <c r="W719" i="5"/>
  <c r="Q719" i="5"/>
  <c r="R719" i="5" s="1"/>
  <c r="S719" i="5" s="1"/>
  <c r="P719" i="5"/>
  <c r="J719" i="5"/>
  <c r="W718" i="5"/>
  <c r="Q718" i="5"/>
  <c r="R718" i="5" s="1"/>
  <c r="S718" i="5" s="1"/>
  <c r="P718" i="5"/>
  <c r="J718" i="5"/>
  <c r="W717" i="5"/>
  <c r="Q717" i="5"/>
  <c r="R717" i="5" s="1"/>
  <c r="S717" i="5" s="1"/>
  <c r="P717" i="5"/>
  <c r="J717" i="5"/>
  <c r="W716" i="5"/>
  <c r="S716" i="5"/>
  <c r="Q716" i="5"/>
  <c r="R716" i="5" s="1"/>
  <c r="P716" i="5"/>
  <c r="J716" i="5"/>
  <c r="W715" i="5"/>
  <c r="Q715" i="5"/>
  <c r="R715" i="5" s="1"/>
  <c r="S715" i="5" s="1"/>
  <c r="P715" i="5"/>
  <c r="J715" i="5"/>
  <c r="W714" i="5"/>
  <c r="Q714" i="5"/>
  <c r="R714" i="5" s="1"/>
  <c r="S714" i="5" s="1"/>
  <c r="P714" i="5"/>
  <c r="J714" i="5"/>
  <c r="W713" i="5"/>
  <c r="Q713" i="5"/>
  <c r="R713" i="5" s="1"/>
  <c r="S713" i="5" s="1"/>
  <c r="P713" i="5"/>
  <c r="J713" i="5"/>
  <c r="W712" i="5"/>
  <c r="Q712" i="5"/>
  <c r="R712" i="5" s="1"/>
  <c r="S712" i="5" s="1"/>
  <c r="P712" i="5"/>
  <c r="J712" i="5"/>
  <c r="W711" i="5"/>
  <c r="Q711" i="5"/>
  <c r="R711" i="5" s="1"/>
  <c r="S711" i="5" s="1"/>
  <c r="P711" i="5"/>
  <c r="J711" i="5"/>
  <c r="W710" i="5"/>
  <c r="Q710" i="5"/>
  <c r="R710" i="5" s="1"/>
  <c r="S710" i="5" s="1"/>
  <c r="P710" i="5"/>
  <c r="J710" i="5"/>
  <c r="W709" i="5"/>
  <c r="Q709" i="5"/>
  <c r="R709" i="5" s="1"/>
  <c r="S709" i="5" s="1"/>
  <c r="P709" i="5"/>
  <c r="J709" i="5"/>
  <c r="W708" i="5"/>
  <c r="S708" i="5"/>
  <c r="Q708" i="5"/>
  <c r="R708" i="5" s="1"/>
  <c r="P708" i="5"/>
  <c r="J708" i="5"/>
  <c r="W707" i="5"/>
  <c r="Q707" i="5"/>
  <c r="R707" i="5" s="1"/>
  <c r="S707" i="5" s="1"/>
  <c r="P707" i="5"/>
  <c r="J707" i="5"/>
  <c r="W706" i="5"/>
  <c r="Q706" i="5"/>
  <c r="R706" i="5" s="1"/>
  <c r="S706" i="5" s="1"/>
  <c r="P706" i="5"/>
  <c r="J706" i="5"/>
  <c r="W705" i="5"/>
  <c r="Q705" i="5"/>
  <c r="R705" i="5" s="1"/>
  <c r="S705" i="5" s="1"/>
  <c r="P705" i="5"/>
  <c r="J705" i="5"/>
  <c r="W704" i="5"/>
  <c r="Q704" i="5"/>
  <c r="R704" i="5" s="1"/>
  <c r="S704" i="5" s="1"/>
  <c r="P704" i="5"/>
  <c r="J704" i="5"/>
  <c r="W703" i="5"/>
  <c r="Q703" i="5"/>
  <c r="R703" i="5" s="1"/>
  <c r="S703" i="5" s="1"/>
  <c r="P703" i="5"/>
  <c r="J703" i="5"/>
  <c r="W702" i="5"/>
  <c r="Q702" i="5"/>
  <c r="R702" i="5" s="1"/>
  <c r="S702" i="5" s="1"/>
  <c r="P702" i="5"/>
  <c r="J702" i="5"/>
  <c r="W701" i="5"/>
  <c r="Q701" i="5"/>
  <c r="R701" i="5" s="1"/>
  <c r="S701" i="5" s="1"/>
  <c r="P701" i="5"/>
  <c r="J701" i="5"/>
  <c r="W700" i="5"/>
  <c r="S700" i="5"/>
  <c r="Q700" i="5"/>
  <c r="R700" i="5" s="1"/>
  <c r="P700" i="5"/>
  <c r="J700" i="5"/>
  <c r="W699" i="5"/>
  <c r="Q699" i="5"/>
  <c r="R699" i="5" s="1"/>
  <c r="S699" i="5" s="1"/>
  <c r="P699" i="5"/>
  <c r="J699" i="5"/>
  <c r="W698" i="5"/>
  <c r="Q698" i="5"/>
  <c r="R698" i="5" s="1"/>
  <c r="S698" i="5" s="1"/>
  <c r="P698" i="5"/>
  <c r="J698" i="5"/>
  <c r="W697" i="5"/>
  <c r="Q697" i="5"/>
  <c r="R697" i="5" s="1"/>
  <c r="S697" i="5" s="1"/>
  <c r="P697" i="5"/>
  <c r="J697" i="5"/>
  <c r="W696" i="5"/>
  <c r="Q696" i="5"/>
  <c r="R696" i="5" s="1"/>
  <c r="S696" i="5" s="1"/>
  <c r="P696" i="5"/>
  <c r="J696" i="5"/>
  <c r="W695" i="5"/>
  <c r="Q695" i="5"/>
  <c r="R695" i="5" s="1"/>
  <c r="S695" i="5" s="1"/>
  <c r="P695" i="5"/>
  <c r="J695" i="5"/>
  <c r="W694" i="5"/>
  <c r="Q694" i="5"/>
  <c r="R694" i="5" s="1"/>
  <c r="S694" i="5" s="1"/>
  <c r="P694" i="5"/>
  <c r="J694" i="5"/>
  <c r="W693" i="5"/>
  <c r="Q693" i="5"/>
  <c r="R693" i="5" s="1"/>
  <c r="S693" i="5" s="1"/>
  <c r="P693" i="5"/>
  <c r="J693" i="5"/>
  <c r="W692" i="5"/>
  <c r="Q692" i="5"/>
  <c r="R692" i="5" s="1"/>
  <c r="S692" i="5" s="1"/>
  <c r="P692" i="5"/>
  <c r="J692" i="5"/>
  <c r="W691" i="5"/>
  <c r="Q691" i="5"/>
  <c r="R691" i="5" s="1"/>
  <c r="S691" i="5" s="1"/>
  <c r="P691" i="5"/>
  <c r="J691" i="5"/>
  <c r="W690" i="5"/>
  <c r="Q690" i="5"/>
  <c r="R690" i="5" s="1"/>
  <c r="S690" i="5" s="1"/>
  <c r="P690" i="5"/>
  <c r="J690" i="5"/>
  <c r="W689" i="5"/>
  <c r="Q689" i="5"/>
  <c r="R689" i="5" s="1"/>
  <c r="S689" i="5" s="1"/>
  <c r="P689" i="5"/>
  <c r="J689" i="5"/>
  <c r="W688" i="5"/>
  <c r="Q688" i="5"/>
  <c r="R688" i="5" s="1"/>
  <c r="S688" i="5" s="1"/>
  <c r="P688" i="5"/>
  <c r="J688" i="5"/>
  <c r="W687" i="5"/>
  <c r="Q687" i="5"/>
  <c r="R687" i="5" s="1"/>
  <c r="S687" i="5" s="1"/>
  <c r="P687" i="5"/>
  <c r="J687" i="5"/>
  <c r="W686" i="5"/>
  <c r="Q686" i="5"/>
  <c r="R686" i="5" s="1"/>
  <c r="S686" i="5" s="1"/>
  <c r="P686" i="5"/>
  <c r="J686" i="5"/>
  <c r="W685" i="5"/>
  <c r="R685" i="5"/>
  <c r="S685" i="5" s="1"/>
  <c r="Q685" i="5"/>
  <c r="P685" i="5"/>
  <c r="J685" i="5"/>
  <c r="W684" i="5"/>
  <c r="Q684" i="5"/>
  <c r="R684" i="5" s="1"/>
  <c r="S684" i="5" s="1"/>
  <c r="P684" i="5"/>
  <c r="J684" i="5"/>
  <c r="W683" i="5"/>
  <c r="Q683" i="5"/>
  <c r="R683" i="5" s="1"/>
  <c r="S683" i="5" s="1"/>
  <c r="P683" i="5"/>
  <c r="J683" i="5"/>
  <c r="W682" i="5"/>
  <c r="Q682" i="5"/>
  <c r="R682" i="5" s="1"/>
  <c r="S682" i="5" s="1"/>
  <c r="P682" i="5"/>
  <c r="J682" i="5"/>
  <c r="W681" i="5"/>
  <c r="Q681" i="5"/>
  <c r="R681" i="5" s="1"/>
  <c r="S681" i="5" s="1"/>
  <c r="P681" i="5"/>
  <c r="J681" i="5"/>
  <c r="W680" i="5"/>
  <c r="Q680" i="5"/>
  <c r="R680" i="5" s="1"/>
  <c r="S680" i="5" s="1"/>
  <c r="P680" i="5"/>
  <c r="J680" i="5"/>
  <c r="W679" i="5"/>
  <c r="Q679" i="5"/>
  <c r="R679" i="5" s="1"/>
  <c r="S679" i="5" s="1"/>
  <c r="P679" i="5"/>
  <c r="J679" i="5"/>
  <c r="W678" i="5"/>
  <c r="Q678" i="5"/>
  <c r="R678" i="5" s="1"/>
  <c r="S678" i="5" s="1"/>
  <c r="P678" i="5"/>
  <c r="J678" i="5"/>
  <c r="W677" i="5"/>
  <c r="R677" i="5"/>
  <c r="S677" i="5" s="1"/>
  <c r="Q677" i="5"/>
  <c r="P677" i="5"/>
  <c r="J677" i="5"/>
  <c r="W676" i="5"/>
  <c r="Q676" i="5"/>
  <c r="R676" i="5" s="1"/>
  <c r="S676" i="5" s="1"/>
  <c r="P676" i="5"/>
  <c r="J676" i="5"/>
  <c r="W675" i="5"/>
  <c r="Q675" i="5"/>
  <c r="R675" i="5" s="1"/>
  <c r="S675" i="5" s="1"/>
  <c r="P675" i="5"/>
  <c r="J675" i="5"/>
  <c r="W674" i="5"/>
  <c r="Q674" i="5"/>
  <c r="R674" i="5" s="1"/>
  <c r="S674" i="5" s="1"/>
  <c r="P674" i="5"/>
  <c r="J674" i="5"/>
  <c r="W673" i="5"/>
  <c r="Q673" i="5"/>
  <c r="R673" i="5" s="1"/>
  <c r="S673" i="5" s="1"/>
  <c r="P673" i="5"/>
  <c r="J673" i="5"/>
  <c r="W672" i="5"/>
  <c r="Q672" i="5"/>
  <c r="R672" i="5" s="1"/>
  <c r="S672" i="5" s="1"/>
  <c r="P672" i="5"/>
  <c r="J672" i="5"/>
  <c r="W671" i="5"/>
  <c r="Q671" i="5"/>
  <c r="R671" i="5" s="1"/>
  <c r="S671" i="5" s="1"/>
  <c r="P671" i="5"/>
  <c r="J671" i="5"/>
  <c r="W670" i="5"/>
  <c r="Q670" i="5"/>
  <c r="R670" i="5" s="1"/>
  <c r="S670" i="5" s="1"/>
  <c r="P670" i="5"/>
  <c r="J670" i="5"/>
  <c r="W669" i="5"/>
  <c r="R669" i="5"/>
  <c r="S669" i="5" s="1"/>
  <c r="Q669" i="5"/>
  <c r="P669" i="5"/>
  <c r="J669" i="5"/>
  <c r="W668" i="5"/>
  <c r="Q668" i="5"/>
  <c r="R668" i="5" s="1"/>
  <c r="S668" i="5" s="1"/>
  <c r="P668" i="5"/>
  <c r="J668" i="5"/>
  <c r="W667" i="5"/>
  <c r="Q667" i="5"/>
  <c r="R667" i="5" s="1"/>
  <c r="S667" i="5" s="1"/>
  <c r="P667" i="5"/>
  <c r="J667" i="5"/>
  <c r="W666" i="5"/>
  <c r="Q666" i="5"/>
  <c r="R666" i="5" s="1"/>
  <c r="S666" i="5" s="1"/>
  <c r="P666" i="5"/>
  <c r="J666" i="5"/>
  <c r="W665" i="5"/>
  <c r="Q665" i="5"/>
  <c r="R665" i="5" s="1"/>
  <c r="S665" i="5" s="1"/>
  <c r="P665" i="5"/>
  <c r="J665" i="5"/>
  <c r="W664" i="5"/>
  <c r="Q664" i="5"/>
  <c r="R664" i="5" s="1"/>
  <c r="S664" i="5" s="1"/>
  <c r="P664" i="5"/>
  <c r="J664" i="5"/>
  <c r="W663" i="5"/>
  <c r="Q663" i="5"/>
  <c r="R663" i="5" s="1"/>
  <c r="S663" i="5" s="1"/>
  <c r="P663" i="5"/>
  <c r="J663" i="5"/>
  <c r="W662" i="5"/>
  <c r="Q662" i="5"/>
  <c r="R662" i="5" s="1"/>
  <c r="S662" i="5" s="1"/>
  <c r="P662" i="5"/>
  <c r="J662" i="5"/>
  <c r="W661" i="5"/>
  <c r="R661" i="5"/>
  <c r="S661" i="5" s="1"/>
  <c r="Q661" i="5"/>
  <c r="P661" i="5"/>
  <c r="J661" i="5"/>
  <c r="W660" i="5"/>
  <c r="Q660" i="5"/>
  <c r="R660" i="5" s="1"/>
  <c r="S660" i="5" s="1"/>
  <c r="P660" i="5"/>
  <c r="J660" i="5"/>
  <c r="W659" i="5"/>
  <c r="Q659" i="5"/>
  <c r="R659" i="5" s="1"/>
  <c r="S659" i="5" s="1"/>
  <c r="P659" i="5"/>
  <c r="J659" i="5"/>
  <c r="W658" i="5"/>
  <c r="Q658" i="5"/>
  <c r="R658" i="5" s="1"/>
  <c r="S658" i="5" s="1"/>
  <c r="P658" i="5"/>
  <c r="J658" i="5"/>
  <c r="W657" i="5"/>
  <c r="Q657" i="5"/>
  <c r="R657" i="5" s="1"/>
  <c r="S657" i="5" s="1"/>
  <c r="P657" i="5"/>
  <c r="J657" i="5"/>
  <c r="W656" i="5"/>
  <c r="Q656" i="5"/>
  <c r="R656" i="5" s="1"/>
  <c r="S656" i="5" s="1"/>
  <c r="P656" i="5"/>
  <c r="J656" i="5"/>
  <c r="W655" i="5"/>
  <c r="Q655" i="5"/>
  <c r="R655" i="5" s="1"/>
  <c r="S655" i="5" s="1"/>
  <c r="P655" i="5"/>
  <c r="J655" i="5"/>
  <c r="W654" i="5"/>
  <c r="Q654" i="5"/>
  <c r="R654" i="5" s="1"/>
  <c r="S654" i="5" s="1"/>
  <c r="P654" i="5"/>
  <c r="J654" i="5"/>
  <c r="W653" i="5"/>
  <c r="R653" i="5"/>
  <c r="S653" i="5" s="1"/>
  <c r="Q653" i="5"/>
  <c r="P653" i="5"/>
  <c r="J653" i="5"/>
  <c r="W652" i="5"/>
  <c r="Q652" i="5"/>
  <c r="R652" i="5" s="1"/>
  <c r="S652" i="5" s="1"/>
  <c r="P652" i="5"/>
  <c r="J652" i="5"/>
  <c r="W651" i="5"/>
  <c r="Q651" i="5"/>
  <c r="R651" i="5" s="1"/>
  <c r="S651" i="5" s="1"/>
  <c r="P651" i="5"/>
  <c r="J651" i="5"/>
  <c r="W650" i="5"/>
  <c r="Q650" i="5"/>
  <c r="R650" i="5" s="1"/>
  <c r="S650" i="5" s="1"/>
  <c r="P650" i="5"/>
  <c r="J650" i="5"/>
  <c r="W649" i="5"/>
  <c r="Q649" i="5"/>
  <c r="R649" i="5" s="1"/>
  <c r="S649" i="5" s="1"/>
  <c r="P649" i="5"/>
  <c r="J649" i="5"/>
  <c r="W648" i="5"/>
  <c r="Q648" i="5"/>
  <c r="R648" i="5" s="1"/>
  <c r="S648" i="5" s="1"/>
  <c r="P648" i="5"/>
  <c r="J648" i="5"/>
  <c r="W647" i="5"/>
  <c r="Q647" i="5"/>
  <c r="R647" i="5" s="1"/>
  <c r="S647" i="5" s="1"/>
  <c r="P647" i="5"/>
  <c r="J647" i="5"/>
  <c r="W646" i="5"/>
  <c r="Q646" i="5"/>
  <c r="R646" i="5" s="1"/>
  <c r="S646" i="5" s="1"/>
  <c r="P646" i="5"/>
  <c r="J646" i="5"/>
  <c r="W645" i="5"/>
  <c r="R645" i="5"/>
  <c r="S645" i="5" s="1"/>
  <c r="Q645" i="5"/>
  <c r="P645" i="5"/>
  <c r="J645" i="5"/>
  <c r="W644" i="5"/>
  <c r="Q644" i="5"/>
  <c r="R644" i="5" s="1"/>
  <c r="S644" i="5" s="1"/>
  <c r="P644" i="5"/>
  <c r="J644" i="5"/>
  <c r="W643" i="5"/>
  <c r="Q643" i="5"/>
  <c r="R643" i="5" s="1"/>
  <c r="S643" i="5" s="1"/>
  <c r="P643" i="5"/>
  <c r="J643" i="5"/>
  <c r="W642" i="5"/>
  <c r="Q642" i="5"/>
  <c r="R642" i="5" s="1"/>
  <c r="S642" i="5" s="1"/>
  <c r="P642" i="5"/>
  <c r="J642" i="5"/>
  <c r="W641" i="5"/>
  <c r="Q641" i="5"/>
  <c r="R641" i="5" s="1"/>
  <c r="S641" i="5" s="1"/>
  <c r="P641" i="5"/>
  <c r="J641" i="5"/>
  <c r="W640" i="5"/>
  <c r="Q640" i="5"/>
  <c r="R640" i="5" s="1"/>
  <c r="S640" i="5" s="1"/>
  <c r="P640" i="5"/>
  <c r="J640" i="5"/>
  <c r="W639" i="5"/>
  <c r="Q639" i="5"/>
  <c r="R639" i="5" s="1"/>
  <c r="S639" i="5" s="1"/>
  <c r="P639" i="5"/>
  <c r="J639" i="5"/>
  <c r="W638" i="5"/>
  <c r="Q638" i="5"/>
  <c r="R638" i="5" s="1"/>
  <c r="S638" i="5" s="1"/>
  <c r="P638" i="5"/>
  <c r="J638" i="5"/>
  <c r="W637" i="5"/>
  <c r="R637" i="5"/>
  <c r="S637" i="5" s="1"/>
  <c r="Q637" i="5"/>
  <c r="P637" i="5"/>
  <c r="J637" i="5"/>
  <c r="W636" i="5"/>
  <c r="Q636" i="5"/>
  <c r="R636" i="5" s="1"/>
  <c r="S636" i="5" s="1"/>
  <c r="P636" i="5"/>
  <c r="J636" i="5"/>
  <c r="W635" i="5"/>
  <c r="Q635" i="5"/>
  <c r="R635" i="5" s="1"/>
  <c r="S635" i="5" s="1"/>
  <c r="P635" i="5"/>
  <c r="J635" i="5"/>
  <c r="W634" i="5"/>
  <c r="Q634" i="5"/>
  <c r="R634" i="5" s="1"/>
  <c r="S634" i="5" s="1"/>
  <c r="P634" i="5"/>
  <c r="J634" i="5"/>
  <c r="W633" i="5"/>
  <c r="Q633" i="5"/>
  <c r="R633" i="5" s="1"/>
  <c r="S633" i="5" s="1"/>
  <c r="P633" i="5"/>
  <c r="J633" i="5"/>
  <c r="W632" i="5"/>
  <c r="Q632" i="5"/>
  <c r="R632" i="5" s="1"/>
  <c r="S632" i="5" s="1"/>
  <c r="P632" i="5"/>
  <c r="J632" i="5"/>
  <c r="W631" i="5"/>
  <c r="Q631" i="5"/>
  <c r="R631" i="5" s="1"/>
  <c r="S631" i="5" s="1"/>
  <c r="P631" i="5"/>
  <c r="J631" i="5"/>
  <c r="W630" i="5"/>
  <c r="Q630" i="5"/>
  <c r="R630" i="5" s="1"/>
  <c r="S630" i="5" s="1"/>
  <c r="P630" i="5"/>
  <c r="J630" i="5"/>
  <c r="W629" i="5"/>
  <c r="R629" i="5"/>
  <c r="S629" i="5" s="1"/>
  <c r="Q629" i="5"/>
  <c r="P629" i="5"/>
  <c r="J629" i="5"/>
  <c r="W628" i="5"/>
  <c r="Q628" i="5"/>
  <c r="R628" i="5" s="1"/>
  <c r="S628" i="5" s="1"/>
  <c r="P628" i="5"/>
  <c r="J628" i="5"/>
  <c r="W627" i="5"/>
  <c r="Q627" i="5"/>
  <c r="R627" i="5" s="1"/>
  <c r="S627" i="5" s="1"/>
  <c r="P627" i="5"/>
  <c r="J627" i="5"/>
  <c r="W626" i="5"/>
  <c r="Q626" i="5"/>
  <c r="R626" i="5" s="1"/>
  <c r="S626" i="5" s="1"/>
  <c r="P626" i="5"/>
  <c r="J626" i="5"/>
  <c r="W625" i="5"/>
  <c r="Q625" i="5"/>
  <c r="R625" i="5" s="1"/>
  <c r="S625" i="5" s="1"/>
  <c r="P625" i="5"/>
  <c r="J625" i="5"/>
  <c r="W624" i="5"/>
  <c r="Q624" i="5"/>
  <c r="R624" i="5" s="1"/>
  <c r="S624" i="5" s="1"/>
  <c r="P624" i="5"/>
  <c r="J624" i="5"/>
  <c r="W623" i="5"/>
  <c r="Q623" i="5"/>
  <c r="R623" i="5" s="1"/>
  <c r="S623" i="5" s="1"/>
  <c r="P623" i="5"/>
  <c r="J623" i="5"/>
  <c r="W622" i="5"/>
  <c r="Q622" i="5"/>
  <c r="R622" i="5" s="1"/>
  <c r="S622" i="5" s="1"/>
  <c r="P622" i="5"/>
  <c r="J622" i="5"/>
  <c r="W621" i="5"/>
  <c r="R621" i="5"/>
  <c r="S621" i="5" s="1"/>
  <c r="Q621" i="5"/>
  <c r="P621" i="5"/>
  <c r="J621" i="5"/>
  <c r="W620" i="5"/>
  <c r="Q620" i="5"/>
  <c r="R620" i="5" s="1"/>
  <c r="S620" i="5" s="1"/>
  <c r="P620" i="5"/>
  <c r="J620" i="5"/>
  <c r="W619" i="5"/>
  <c r="Q619" i="5"/>
  <c r="R619" i="5" s="1"/>
  <c r="S619" i="5" s="1"/>
  <c r="P619" i="5"/>
  <c r="J619" i="5"/>
  <c r="W618" i="5"/>
  <c r="Q618" i="5"/>
  <c r="R618" i="5" s="1"/>
  <c r="S618" i="5" s="1"/>
  <c r="P618" i="5"/>
  <c r="J618" i="5"/>
  <c r="W617" i="5"/>
  <c r="Q617" i="5"/>
  <c r="R617" i="5" s="1"/>
  <c r="S617" i="5" s="1"/>
  <c r="P617" i="5"/>
  <c r="J617" i="5"/>
  <c r="W616" i="5"/>
  <c r="Q616" i="5"/>
  <c r="R616" i="5" s="1"/>
  <c r="S616" i="5" s="1"/>
  <c r="P616" i="5"/>
  <c r="J616" i="5"/>
  <c r="W615" i="5"/>
  <c r="Q615" i="5"/>
  <c r="R615" i="5" s="1"/>
  <c r="S615" i="5" s="1"/>
  <c r="P615" i="5"/>
  <c r="J615" i="5"/>
  <c r="W614" i="5"/>
  <c r="Q614" i="5"/>
  <c r="R614" i="5" s="1"/>
  <c r="S614" i="5" s="1"/>
  <c r="P614" i="5"/>
  <c r="J614" i="5"/>
  <c r="W613" i="5"/>
  <c r="R613" i="5"/>
  <c r="S613" i="5" s="1"/>
  <c r="Q613" i="5"/>
  <c r="P613" i="5"/>
  <c r="J613" i="5"/>
  <c r="W612" i="5"/>
  <c r="Q612" i="5"/>
  <c r="R612" i="5" s="1"/>
  <c r="S612" i="5" s="1"/>
  <c r="P612" i="5"/>
  <c r="J612" i="5"/>
  <c r="W611" i="5"/>
  <c r="Q611" i="5"/>
  <c r="R611" i="5" s="1"/>
  <c r="S611" i="5" s="1"/>
  <c r="P611" i="5"/>
  <c r="J611" i="5"/>
  <c r="W610" i="5"/>
  <c r="Q610" i="5"/>
  <c r="R610" i="5" s="1"/>
  <c r="S610" i="5" s="1"/>
  <c r="P610" i="5"/>
  <c r="J610" i="5"/>
  <c r="W609" i="5"/>
  <c r="Q609" i="5"/>
  <c r="R609" i="5" s="1"/>
  <c r="S609" i="5" s="1"/>
  <c r="P609" i="5"/>
  <c r="J609" i="5"/>
  <c r="W608" i="5"/>
  <c r="Q608" i="5"/>
  <c r="R608" i="5" s="1"/>
  <c r="S608" i="5" s="1"/>
  <c r="P608" i="5"/>
  <c r="J608" i="5"/>
  <c r="W607" i="5"/>
  <c r="Q607" i="5"/>
  <c r="R607" i="5" s="1"/>
  <c r="S607" i="5" s="1"/>
  <c r="P607" i="5"/>
  <c r="J607" i="5"/>
  <c r="W606" i="5"/>
  <c r="Q606" i="5"/>
  <c r="R606" i="5" s="1"/>
  <c r="S606" i="5" s="1"/>
  <c r="P606" i="5"/>
  <c r="J606" i="5"/>
  <c r="W605" i="5"/>
  <c r="R605" i="5"/>
  <c r="S605" i="5" s="1"/>
  <c r="Q605" i="5"/>
  <c r="P605" i="5"/>
  <c r="J605" i="5"/>
  <c r="W604" i="5"/>
  <c r="Q604" i="5"/>
  <c r="R604" i="5" s="1"/>
  <c r="S604" i="5" s="1"/>
  <c r="P604" i="5"/>
  <c r="J604" i="5"/>
  <c r="W603" i="5"/>
  <c r="Q603" i="5"/>
  <c r="R603" i="5" s="1"/>
  <c r="S603" i="5" s="1"/>
  <c r="P603" i="5"/>
  <c r="J603" i="5"/>
  <c r="W602" i="5"/>
  <c r="Q602" i="5"/>
  <c r="R602" i="5" s="1"/>
  <c r="S602" i="5" s="1"/>
  <c r="P602" i="5"/>
  <c r="J602" i="5"/>
  <c r="W601" i="5"/>
  <c r="Q601" i="5"/>
  <c r="R601" i="5" s="1"/>
  <c r="S601" i="5" s="1"/>
  <c r="P601" i="5"/>
  <c r="J601" i="5"/>
  <c r="W600" i="5"/>
  <c r="Q600" i="5"/>
  <c r="R600" i="5" s="1"/>
  <c r="S600" i="5" s="1"/>
  <c r="P600" i="5"/>
  <c r="J600" i="5"/>
  <c r="W599" i="5"/>
  <c r="Q599" i="5"/>
  <c r="R599" i="5" s="1"/>
  <c r="S599" i="5" s="1"/>
  <c r="P599" i="5"/>
  <c r="J599" i="5"/>
  <c r="W598" i="5"/>
  <c r="Q598" i="5"/>
  <c r="R598" i="5" s="1"/>
  <c r="S598" i="5" s="1"/>
  <c r="P598" i="5"/>
  <c r="J598" i="5"/>
  <c r="W597" i="5"/>
  <c r="R597" i="5"/>
  <c r="S597" i="5" s="1"/>
  <c r="Q597" i="5"/>
  <c r="P597" i="5"/>
  <c r="J597" i="5"/>
  <c r="W596" i="5"/>
  <c r="Q596" i="5"/>
  <c r="R596" i="5" s="1"/>
  <c r="S596" i="5" s="1"/>
  <c r="P596" i="5"/>
  <c r="J596" i="5"/>
  <c r="W595" i="5"/>
  <c r="Q595" i="5"/>
  <c r="R595" i="5" s="1"/>
  <c r="S595" i="5" s="1"/>
  <c r="P595" i="5"/>
  <c r="J595" i="5"/>
  <c r="W594" i="5"/>
  <c r="Q594" i="5"/>
  <c r="R594" i="5" s="1"/>
  <c r="S594" i="5" s="1"/>
  <c r="P594" i="5"/>
  <c r="J594" i="5"/>
  <c r="W593" i="5"/>
  <c r="Q593" i="5"/>
  <c r="R593" i="5" s="1"/>
  <c r="S593" i="5" s="1"/>
  <c r="P593" i="5"/>
  <c r="J593" i="5"/>
  <c r="W592" i="5"/>
  <c r="Q592" i="5"/>
  <c r="R592" i="5" s="1"/>
  <c r="S592" i="5" s="1"/>
  <c r="P592" i="5"/>
  <c r="J592" i="5"/>
  <c r="W591" i="5"/>
  <c r="Q591" i="5"/>
  <c r="R591" i="5" s="1"/>
  <c r="S591" i="5" s="1"/>
  <c r="P591" i="5"/>
  <c r="J591" i="5"/>
  <c r="W590" i="5"/>
  <c r="Q590" i="5"/>
  <c r="R590" i="5" s="1"/>
  <c r="S590" i="5" s="1"/>
  <c r="P590" i="5"/>
  <c r="J590" i="5"/>
  <c r="W589" i="5"/>
  <c r="R589" i="5"/>
  <c r="S589" i="5" s="1"/>
  <c r="Q589" i="5"/>
  <c r="P589" i="5"/>
  <c r="J589" i="5"/>
  <c r="W588" i="5"/>
  <c r="Q588" i="5"/>
  <c r="R588" i="5" s="1"/>
  <c r="S588" i="5" s="1"/>
  <c r="P588" i="5"/>
  <c r="J588" i="5"/>
  <c r="W587" i="5"/>
  <c r="Q587" i="5"/>
  <c r="R587" i="5" s="1"/>
  <c r="S587" i="5" s="1"/>
  <c r="P587" i="5"/>
  <c r="J587" i="5"/>
  <c r="W586" i="5"/>
  <c r="Q586" i="5"/>
  <c r="R586" i="5" s="1"/>
  <c r="S586" i="5" s="1"/>
  <c r="P586" i="5"/>
  <c r="J586" i="5"/>
  <c r="W585" i="5"/>
  <c r="Q585" i="5"/>
  <c r="R585" i="5" s="1"/>
  <c r="S585" i="5" s="1"/>
  <c r="P585" i="5"/>
  <c r="J585" i="5"/>
  <c r="W584" i="5"/>
  <c r="Q584" i="5"/>
  <c r="R584" i="5" s="1"/>
  <c r="S584" i="5" s="1"/>
  <c r="P584" i="5"/>
  <c r="J584" i="5"/>
  <c r="W583" i="5"/>
  <c r="Q583" i="5"/>
  <c r="R583" i="5" s="1"/>
  <c r="S583" i="5" s="1"/>
  <c r="P583" i="5"/>
  <c r="J583" i="5"/>
  <c r="W582" i="5"/>
  <c r="Q582" i="5"/>
  <c r="R582" i="5" s="1"/>
  <c r="S582" i="5" s="1"/>
  <c r="P582" i="5"/>
  <c r="J582" i="5"/>
  <c r="W581" i="5"/>
  <c r="R581" i="5"/>
  <c r="S581" i="5" s="1"/>
  <c r="Q581" i="5"/>
  <c r="P581" i="5"/>
  <c r="J581" i="5"/>
  <c r="W580" i="5"/>
  <c r="Q580" i="5"/>
  <c r="R580" i="5" s="1"/>
  <c r="S580" i="5" s="1"/>
  <c r="P580" i="5"/>
  <c r="J580" i="5"/>
  <c r="W579" i="5"/>
  <c r="Q579" i="5"/>
  <c r="R579" i="5" s="1"/>
  <c r="S579" i="5" s="1"/>
  <c r="P579" i="5"/>
  <c r="J579" i="5"/>
  <c r="W578" i="5"/>
  <c r="Q578" i="5"/>
  <c r="R578" i="5" s="1"/>
  <c r="S578" i="5" s="1"/>
  <c r="P578" i="5"/>
  <c r="J578" i="5"/>
  <c r="W577" i="5"/>
  <c r="Q577" i="5"/>
  <c r="R577" i="5" s="1"/>
  <c r="S577" i="5" s="1"/>
  <c r="P577" i="5"/>
  <c r="J577" i="5"/>
  <c r="W576" i="5"/>
  <c r="Q576" i="5"/>
  <c r="R576" i="5" s="1"/>
  <c r="S576" i="5" s="1"/>
  <c r="P576" i="5"/>
  <c r="J576" i="5"/>
  <c r="W575" i="5"/>
  <c r="Q575" i="5"/>
  <c r="R575" i="5" s="1"/>
  <c r="S575" i="5" s="1"/>
  <c r="P575" i="5"/>
  <c r="J575" i="5"/>
  <c r="W574" i="5"/>
  <c r="Q574" i="5"/>
  <c r="R574" i="5" s="1"/>
  <c r="S574" i="5" s="1"/>
  <c r="P574" i="5"/>
  <c r="J574" i="5"/>
  <c r="W573" i="5"/>
  <c r="R573" i="5"/>
  <c r="S573" i="5" s="1"/>
  <c r="Q573" i="5"/>
  <c r="P573" i="5"/>
  <c r="J573" i="5"/>
  <c r="W572" i="5"/>
  <c r="Q572" i="5"/>
  <c r="R572" i="5" s="1"/>
  <c r="S572" i="5" s="1"/>
  <c r="P572" i="5"/>
  <c r="J572" i="5"/>
  <c r="W571" i="5"/>
  <c r="Q571" i="5"/>
  <c r="R571" i="5" s="1"/>
  <c r="S571" i="5" s="1"/>
  <c r="P571" i="5"/>
  <c r="J571" i="5"/>
  <c r="W570" i="5"/>
  <c r="Q570" i="5"/>
  <c r="R570" i="5" s="1"/>
  <c r="S570" i="5" s="1"/>
  <c r="P570" i="5"/>
  <c r="J570" i="5"/>
  <c r="W569" i="5"/>
  <c r="Q569" i="5"/>
  <c r="R569" i="5" s="1"/>
  <c r="S569" i="5" s="1"/>
  <c r="P569" i="5"/>
  <c r="J569" i="5"/>
  <c r="W568" i="5"/>
  <c r="Q568" i="5"/>
  <c r="R568" i="5" s="1"/>
  <c r="S568" i="5" s="1"/>
  <c r="P568" i="5"/>
  <c r="J568" i="5"/>
  <c r="W567" i="5"/>
  <c r="Q567" i="5"/>
  <c r="R567" i="5" s="1"/>
  <c r="S567" i="5" s="1"/>
  <c r="P567" i="5"/>
  <c r="J567" i="5"/>
  <c r="W566" i="5"/>
  <c r="Q566" i="5"/>
  <c r="R566" i="5" s="1"/>
  <c r="S566" i="5" s="1"/>
  <c r="P566" i="5"/>
  <c r="J566" i="5"/>
  <c r="W565" i="5"/>
  <c r="R565" i="5"/>
  <c r="S565" i="5" s="1"/>
  <c r="Q565" i="5"/>
  <c r="P565" i="5"/>
  <c r="J565" i="5"/>
  <c r="W564" i="5"/>
  <c r="Q564" i="5"/>
  <c r="R564" i="5" s="1"/>
  <c r="S564" i="5" s="1"/>
  <c r="P564" i="5"/>
  <c r="J564" i="5"/>
  <c r="W563" i="5"/>
  <c r="Q563" i="5"/>
  <c r="R563" i="5" s="1"/>
  <c r="S563" i="5" s="1"/>
  <c r="P563" i="5"/>
  <c r="J563" i="5"/>
  <c r="W562" i="5"/>
  <c r="Q562" i="5"/>
  <c r="R562" i="5" s="1"/>
  <c r="S562" i="5" s="1"/>
  <c r="P562" i="5"/>
  <c r="J562" i="5"/>
  <c r="W561" i="5"/>
  <c r="Q561" i="5"/>
  <c r="R561" i="5" s="1"/>
  <c r="S561" i="5" s="1"/>
  <c r="P561" i="5"/>
  <c r="J561" i="5"/>
  <c r="W560" i="5"/>
  <c r="Q560" i="5"/>
  <c r="R560" i="5" s="1"/>
  <c r="S560" i="5" s="1"/>
  <c r="P560" i="5"/>
  <c r="J560" i="5"/>
  <c r="W559" i="5"/>
  <c r="Q559" i="5"/>
  <c r="R559" i="5" s="1"/>
  <c r="S559" i="5" s="1"/>
  <c r="P559" i="5"/>
  <c r="J559" i="5"/>
  <c r="W558" i="5"/>
  <c r="Q558" i="5"/>
  <c r="R558" i="5" s="1"/>
  <c r="S558" i="5" s="1"/>
  <c r="P558" i="5"/>
  <c r="J558" i="5"/>
  <c r="W557" i="5"/>
  <c r="R557" i="5"/>
  <c r="S557" i="5" s="1"/>
  <c r="Q557" i="5"/>
  <c r="P557" i="5"/>
  <c r="J557" i="5"/>
  <c r="W556" i="5"/>
  <c r="Q556" i="5"/>
  <c r="R556" i="5" s="1"/>
  <c r="S556" i="5" s="1"/>
  <c r="P556" i="5"/>
  <c r="J556" i="5"/>
  <c r="W555" i="5"/>
  <c r="Q555" i="5"/>
  <c r="R555" i="5" s="1"/>
  <c r="S555" i="5" s="1"/>
  <c r="P555" i="5"/>
  <c r="J555" i="5"/>
  <c r="W554" i="5"/>
  <c r="Q554" i="5"/>
  <c r="R554" i="5" s="1"/>
  <c r="S554" i="5" s="1"/>
  <c r="P554" i="5"/>
  <c r="J554" i="5"/>
  <c r="W553" i="5"/>
  <c r="Q553" i="5"/>
  <c r="R553" i="5" s="1"/>
  <c r="S553" i="5" s="1"/>
  <c r="P553" i="5"/>
  <c r="J553" i="5"/>
  <c r="W552" i="5"/>
  <c r="R552" i="5"/>
  <c r="S552" i="5" s="1"/>
  <c r="Q552" i="5"/>
  <c r="P552" i="5"/>
  <c r="J552" i="5"/>
  <c r="W551" i="5"/>
  <c r="Q551" i="5"/>
  <c r="R551" i="5" s="1"/>
  <c r="S551" i="5" s="1"/>
  <c r="P551" i="5"/>
  <c r="J551" i="5"/>
  <c r="W550" i="5"/>
  <c r="Q550" i="5"/>
  <c r="R550" i="5" s="1"/>
  <c r="S550" i="5" s="1"/>
  <c r="P550" i="5"/>
  <c r="J550" i="5"/>
  <c r="W549" i="5"/>
  <c r="Q549" i="5"/>
  <c r="R549" i="5" s="1"/>
  <c r="S549" i="5" s="1"/>
  <c r="P549" i="5"/>
  <c r="J549" i="5"/>
  <c r="W548" i="5"/>
  <c r="Q548" i="5"/>
  <c r="R548" i="5" s="1"/>
  <c r="S548" i="5" s="1"/>
  <c r="P548" i="5"/>
  <c r="J548" i="5"/>
  <c r="W547" i="5"/>
  <c r="Q547" i="5"/>
  <c r="R547" i="5" s="1"/>
  <c r="S547" i="5" s="1"/>
  <c r="P547" i="5"/>
  <c r="J547" i="5"/>
  <c r="W546" i="5"/>
  <c r="Q546" i="5"/>
  <c r="R546" i="5" s="1"/>
  <c r="S546" i="5" s="1"/>
  <c r="P546" i="5"/>
  <c r="J546" i="5"/>
  <c r="W545" i="5"/>
  <c r="Q545" i="5"/>
  <c r="R545" i="5" s="1"/>
  <c r="S545" i="5" s="1"/>
  <c r="P545" i="5"/>
  <c r="J545" i="5"/>
  <c r="W544" i="5"/>
  <c r="Q544" i="5"/>
  <c r="R544" i="5" s="1"/>
  <c r="S544" i="5" s="1"/>
  <c r="P544" i="5"/>
  <c r="J544" i="5"/>
  <c r="W543" i="5"/>
  <c r="Q543" i="5"/>
  <c r="R543" i="5" s="1"/>
  <c r="S543" i="5" s="1"/>
  <c r="P543" i="5"/>
  <c r="J543" i="5"/>
  <c r="W542" i="5"/>
  <c r="Q542" i="5"/>
  <c r="R542" i="5" s="1"/>
  <c r="S542" i="5" s="1"/>
  <c r="P542" i="5"/>
  <c r="J542" i="5"/>
  <c r="W541" i="5"/>
  <c r="Q541" i="5"/>
  <c r="R541" i="5" s="1"/>
  <c r="S541" i="5" s="1"/>
  <c r="P541" i="5"/>
  <c r="J541" i="5"/>
  <c r="W540" i="5"/>
  <c r="Q540" i="5"/>
  <c r="R540" i="5" s="1"/>
  <c r="S540" i="5" s="1"/>
  <c r="P540" i="5"/>
  <c r="J540" i="5"/>
  <c r="W539" i="5"/>
  <c r="Q539" i="5"/>
  <c r="R539" i="5" s="1"/>
  <c r="S539" i="5" s="1"/>
  <c r="P539" i="5"/>
  <c r="J539" i="5"/>
  <c r="W538" i="5"/>
  <c r="Q538" i="5"/>
  <c r="R538" i="5" s="1"/>
  <c r="S538" i="5" s="1"/>
  <c r="P538" i="5"/>
  <c r="J538" i="5"/>
  <c r="W537" i="5"/>
  <c r="Q537" i="5"/>
  <c r="R537" i="5" s="1"/>
  <c r="S537" i="5" s="1"/>
  <c r="P537" i="5"/>
  <c r="J537" i="5"/>
  <c r="W536" i="5"/>
  <c r="Q536" i="5"/>
  <c r="R536" i="5" s="1"/>
  <c r="S536" i="5" s="1"/>
  <c r="P536" i="5"/>
  <c r="J536" i="5"/>
  <c r="W535" i="5"/>
  <c r="Q535" i="5"/>
  <c r="R535" i="5" s="1"/>
  <c r="S535" i="5" s="1"/>
  <c r="P535" i="5"/>
  <c r="J535" i="5"/>
  <c r="W534" i="5"/>
  <c r="Q534" i="5"/>
  <c r="R534" i="5" s="1"/>
  <c r="S534" i="5" s="1"/>
  <c r="P534" i="5"/>
  <c r="J534" i="5"/>
  <c r="W533" i="5"/>
  <c r="Q533" i="5"/>
  <c r="R533" i="5" s="1"/>
  <c r="S533" i="5" s="1"/>
  <c r="P533" i="5"/>
  <c r="J533" i="5"/>
  <c r="W532" i="5"/>
  <c r="Q532" i="5"/>
  <c r="R532" i="5" s="1"/>
  <c r="S532" i="5" s="1"/>
  <c r="P532" i="5"/>
  <c r="J532" i="5"/>
  <c r="W531" i="5"/>
  <c r="Q531" i="5"/>
  <c r="R531" i="5" s="1"/>
  <c r="S531" i="5" s="1"/>
  <c r="P531" i="5"/>
  <c r="J531" i="5"/>
  <c r="W530" i="5"/>
  <c r="Q530" i="5"/>
  <c r="R530" i="5" s="1"/>
  <c r="S530" i="5" s="1"/>
  <c r="P530" i="5"/>
  <c r="J530" i="5"/>
  <c r="W529" i="5"/>
  <c r="Q529" i="5"/>
  <c r="R529" i="5" s="1"/>
  <c r="S529" i="5" s="1"/>
  <c r="P529" i="5"/>
  <c r="J529" i="5"/>
  <c r="W528" i="5"/>
  <c r="Q528" i="5"/>
  <c r="R528" i="5" s="1"/>
  <c r="S528" i="5" s="1"/>
  <c r="P528" i="5"/>
  <c r="J528" i="5"/>
  <c r="W527" i="5"/>
  <c r="Q527" i="5"/>
  <c r="R527" i="5" s="1"/>
  <c r="S527" i="5" s="1"/>
  <c r="P527" i="5"/>
  <c r="J527" i="5"/>
  <c r="W526" i="5"/>
  <c r="Q526" i="5"/>
  <c r="R526" i="5" s="1"/>
  <c r="S526" i="5" s="1"/>
  <c r="P526" i="5"/>
  <c r="J526" i="5"/>
  <c r="W525" i="5"/>
  <c r="Q525" i="5"/>
  <c r="R525" i="5" s="1"/>
  <c r="S525" i="5" s="1"/>
  <c r="P525" i="5"/>
  <c r="J525" i="5"/>
  <c r="W524" i="5"/>
  <c r="Q524" i="5"/>
  <c r="R524" i="5" s="1"/>
  <c r="S524" i="5" s="1"/>
  <c r="P524" i="5"/>
  <c r="J524" i="5"/>
  <c r="W523" i="5"/>
  <c r="Q523" i="5"/>
  <c r="R523" i="5" s="1"/>
  <c r="S523" i="5" s="1"/>
  <c r="P523" i="5"/>
  <c r="J523" i="5"/>
  <c r="W522" i="5"/>
  <c r="Q522" i="5"/>
  <c r="R522" i="5" s="1"/>
  <c r="S522" i="5" s="1"/>
  <c r="P522" i="5"/>
  <c r="J522" i="5"/>
  <c r="W521" i="5"/>
  <c r="Q521" i="5"/>
  <c r="R521" i="5" s="1"/>
  <c r="S521" i="5" s="1"/>
  <c r="P521" i="5"/>
  <c r="J521" i="5"/>
  <c r="W520" i="5"/>
  <c r="Q520" i="5"/>
  <c r="R520" i="5" s="1"/>
  <c r="S520" i="5" s="1"/>
  <c r="P520" i="5"/>
  <c r="J520" i="5"/>
  <c r="W519" i="5"/>
  <c r="Q519" i="5"/>
  <c r="R519" i="5" s="1"/>
  <c r="S519" i="5" s="1"/>
  <c r="P519" i="5"/>
  <c r="J519" i="5"/>
  <c r="W518" i="5"/>
  <c r="Q518" i="5"/>
  <c r="R518" i="5" s="1"/>
  <c r="S518" i="5" s="1"/>
  <c r="P518" i="5"/>
  <c r="J518" i="5"/>
  <c r="W517" i="5"/>
  <c r="Q517" i="5"/>
  <c r="R517" i="5" s="1"/>
  <c r="S517" i="5" s="1"/>
  <c r="P517" i="5"/>
  <c r="J517" i="5"/>
  <c r="W516" i="5"/>
  <c r="Q516" i="5"/>
  <c r="R516" i="5" s="1"/>
  <c r="S516" i="5" s="1"/>
  <c r="P516" i="5"/>
  <c r="J516" i="5"/>
  <c r="W515" i="5"/>
  <c r="Q515" i="5"/>
  <c r="R515" i="5" s="1"/>
  <c r="S515" i="5" s="1"/>
  <c r="P515" i="5"/>
  <c r="J515" i="5"/>
  <c r="W514" i="5"/>
  <c r="Q514" i="5"/>
  <c r="R514" i="5" s="1"/>
  <c r="S514" i="5" s="1"/>
  <c r="P514" i="5"/>
  <c r="J514" i="5"/>
  <c r="W513" i="5"/>
  <c r="Q513" i="5"/>
  <c r="R513" i="5" s="1"/>
  <c r="S513" i="5" s="1"/>
  <c r="P513" i="5"/>
  <c r="J513" i="5"/>
  <c r="W512" i="5"/>
  <c r="Q512" i="5"/>
  <c r="R512" i="5" s="1"/>
  <c r="S512" i="5" s="1"/>
  <c r="P512" i="5"/>
  <c r="J512" i="5"/>
  <c r="W511" i="5"/>
  <c r="Q511" i="5"/>
  <c r="R511" i="5" s="1"/>
  <c r="S511" i="5" s="1"/>
  <c r="P511" i="5"/>
  <c r="J511" i="5"/>
  <c r="W510" i="5"/>
  <c r="Q510" i="5"/>
  <c r="R510" i="5" s="1"/>
  <c r="S510" i="5" s="1"/>
  <c r="P510" i="5"/>
  <c r="J510" i="5"/>
  <c r="W509" i="5"/>
  <c r="Q509" i="5"/>
  <c r="R509" i="5" s="1"/>
  <c r="S509" i="5" s="1"/>
  <c r="P509" i="5"/>
  <c r="J509" i="5"/>
  <c r="W508" i="5"/>
  <c r="Q508" i="5"/>
  <c r="R508" i="5" s="1"/>
  <c r="S508" i="5" s="1"/>
  <c r="P508" i="5"/>
  <c r="J508" i="5"/>
  <c r="W507" i="5"/>
  <c r="Q507" i="5"/>
  <c r="R507" i="5" s="1"/>
  <c r="S507" i="5" s="1"/>
  <c r="P507" i="5"/>
  <c r="J507" i="5"/>
  <c r="W506" i="5"/>
  <c r="Q506" i="5"/>
  <c r="R506" i="5" s="1"/>
  <c r="S506" i="5" s="1"/>
  <c r="P506" i="5"/>
  <c r="J506" i="5"/>
  <c r="W505" i="5"/>
  <c r="Q505" i="5"/>
  <c r="R505" i="5" s="1"/>
  <c r="S505" i="5" s="1"/>
  <c r="P505" i="5"/>
  <c r="J505" i="5"/>
  <c r="W504" i="5"/>
  <c r="Q504" i="5"/>
  <c r="R504" i="5" s="1"/>
  <c r="S504" i="5" s="1"/>
  <c r="P504" i="5"/>
  <c r="J504" i="5"/>
  <c r="W503" i="5"/>
  <c r="Q503" i="5"/>
  <c r="R503" i="5" s="1"/>
  <c r="S503" i="5" s="1"/>
  <c r="P503" i="5"/>
  <c r="J503" i="5"/>
  <c r="W502" i="5"/>
  <c r="Q502" i="5"/>
  <c r="R502" i="5" s="1"/>
  <c r="S502" i="5" s="1"/>
  <c r="P502" i="5"/>
  <c r="J502" i="5"/>
  <c r="W501" i="5"/>
  <c r="Q501" i="5"/>
  <c r="R501" i="5" s="1"/>
  <c r="S501" i="5" s="1"/>
  <c r="P501" i="5"/>
  <c r="J501" i="5"/>
  <c r="W500" i="5"/>
  <c r="Q500" i="5"/>
  <c r="R500" i="5" s="1"/>
  <c r="S500" i="5" s="1"/>
  <c r="P500" i="5"/>
  <c r="J500" i="5"/>
  <c r="W499" i="5"/>
  <c r="Q499" i="5"/>
  <c r="R499" i="5" s="1"/>
  <c r="S499" i="5" s="1"/>
  <c r="P499" i="5"/>
  <c r="J499" i="5"/>
  <c r="W498" i="5"/>
  <c r="Q498" i="5"/>
  <c r="R498" i="5" s="1"/>
  <c r="S498" i="5" s="1"/>
  <c r="P498" i="5"/>
  <c r="J498" i="5"/>
  <c r="W497" i="5"/>
  <c r="Q497" i="5"/>
  <c r="R497" i="5" s="1"/>
  <c r="S497" i="5" s="1"/>
  <c r="P497" i="5"/>
  <c r="J497" i="5"/>
  <c r="W496" i="5"/>
  <c r="Q496" i="5"/>
  <c r="R496" i="5" s="1"/>
  <c r="S496" i="5" s="1"/>
  <c r="P496" i="5"/>
  <c r="J496" i="5"/>
  <c r="W495" i="5"/>
  <c r="Q495" i="5"/>
  <c r="R495" i="5" s="1"/>
  <c r="S495" i="5" s="1"/>
  <c r="P495" i="5"/>
  <c r="J495" i="5"/>
  <c r="W494" i="5"/>
  <c r="Q494" i="5"/>
  <c r="R494" i="5" s="1"/>
  <c r="S494" i="5" s="1"/>
  <c r="P494" i="5"/>
  <c r="J494" i="5"/>
  <c r="W493" i="5"/>
  <c r="Q493" i="5"/>
  <c r="R493" i="5" s="1"/>
  <c r="S493" i="5" s="1"/>
  <c r="P493" i="5"/>
  <c r="J493" i="5"/>
  <c r="W492" i="5"/>
  <c r="Q492" i="5"/>
  <c r="R492" i="5" s="1"/>
  <c r="S492" i="5" s="1"/>
  <c r="P492" i="5"/>
  <c r="J492" i="5"/>
  <c r="W491" i="5"/>
  <c r="Q491" i="5"/>
  <c r="R491" i="5" s="1"/>
  <c r="S491" i="5" s="1"/>
  <c r="P491" i="5"/>
  <c r="J491" i="5"/>
  <c r="W490" i="5"/>
  <c r="Q490" i="5"/>
  <c r="R490" i="5" s="1"/>
  <c r="S490" i="5" s="1"/>
  <c r="P490" i="5"/>
  <c r="J490" i="5"/>
  <c r="W489" i="5"/>
  <c r="Q489" i="5"/>
  <c r="R489" i="5" s="1"/>
  <c r="S489" i="5" s="1"/>
  <c r="P489" i="5"/>
  <c r="J489" i="5"/>
  <c r="W488" i="5"/>
  <c r="Q488" i="5"/>
  <c r="R488" i="5" s="1"/>
  <c r="S488" i="5" s="1"/>
  <c r="P488" i="5"/>
  <c r="J488" i="5"/>
  <c r="W487" i="5"/>
  <c r="Q487" i="5"/>
  <c r="R487" i="5" s="1"/>
  <c r="S487" i="5" s="1"/>
  <c r="P487" i="5"/>
  <c r="J487" i="5"/>
  <c r="W486" i="5"/>
  <c r="Q486" i="5"/>
  <c r="R486" i="5" s="1"/>
  <c r="S486" i="5" s="1"/>
  <c r="P486" i="5"/>
  <c r="J486" i="5"/>
  <c r="W485" i="5"/>
  <c r="Q485" i="5"/>
  <c r="R485" i="5" s="1"/>
  <c r="S485" i="5" s="1"/>
  <c r="P485" i="5"/>
  <c r="J485" i="5"/>
  <c r="W484" i="5"/>
  <c r="Q484" i="5"/>
  <c r="R484" i="5" s="1"/>
  <c r="S484" i="5" s="1"/>
  <c r="P484" i="5"/>
  <c r="J484" i="5"/>
  <c r="W483" i="5"/>
  <c r="Q483" i="5"/>
  <c r="R483" i="5" s="1"/>
  <c r="S483" i="5" s="1"/>
  <c r="P483" i="5"/>
  <c r="J483" i="5"/>
  <c r="W482" i="5"/>
  <c r="Q482" i="5"/>
  <c r="R482" i="5" s="1"/>
  <c r="S482" i="5" s="1"/>
  <c r="P482" i="5"/>
  <c r="J482" i="5"/>
  <c r="W481" i="5"/>
  <c r="Q481" i="5"/>
  <c r="R481" i="5" s="1"/>
  <c r="S481" i="5" s="1"/>
  <c r="P481" i="5"/>
  <c r="J481" i="5"/>
  <c r="W480" i="5"/>
  <c r="Q480" i="5"/>
  <c r="R480" i="5" s="1"/>
  <c r="S480" i="5" s="1"/>
  <c r="P480" i="5"/>
  <c r="J480" i="5"/>
  <c r="W479" i="5"/>
  <c r="Q479" i="5"/>
  <c r="R479" i="5" s="1"/>
  <c r="S479" i="5" s="1"/>
  <c r="P479" i="5"/>
  <c r="J479" i="5"/>
  <c r="W478" i="5"/>
  <c r="Q478" i="5"/>
  <c r="R478" i="5" s="1"/>
  <c r="S478" i="5" s="1"/>
  <c r="P478" i="5"/>
  <c r="J478" i="5"/>
  <c r="W477" i="5"/>
  <c r="Q477" i="5"/>
  <c r="R477" i="5" s="1"/>
  <c r="S477" i="5" s="1"/>
  <c r="P477" i="5"/>
  <c r="J477" i="5"/>
  <c r="W476" i="5"/>
  <c r="Q476" i="5"/>
  <c r="R476" i="5" s="1"/>
  <c r="S476" i="5" s="1"/>
  <c r="P476" i="5"/>
  <c r="J476" i="5"/>
  <c r="W475" i="5"/>
  <c r="Q475" i="5"/>
  <c r="R475" i="5" s="1"/>
  <c r="S475" i="5" s="1"/>
  <c r="P475" i="5"/>
  <c r="J475" i="5"/>
  <c r="W474" i="5"/>
  <c r="Q474" i="5"/>
  <c r="R474" i="5" s="1"/>
  <c r="S474" i="5" s="1"/>
  <c r="P474" i="5"/>
  <c r="J474" i="5"/>
  <c r="W473" i="5"/>
  <c r="Q473" i="5"/>
  <c r="R473" i="5" s="1"/>
  <c r="S473" i="5" s="1"/>
  <c r="P473" i="5"/>
  <c r="J473" i="5"/>
  <c r="W472" i="5"/>
  <c r="Q472" i="5"/>
  <c r="R472" i="5" s="1"/>
  <c r="S472" i="5" s="1"/>
  <c r="P472" i="5"/>
  <c r="J472" i="5"/>
  <c r="W471" i="5"/>
  <c r="Q471" i="5"/>
  <c r="R471" i="5" s="1"/>
  <c r="S471" i="5" s="1"/>
  <c r="P471" i="5"/>
  <c r="J471" i="5"/>
  <c r="W470" i="5"/>
  <c r="Q470" i="5"/>
  <c r="R470" i="5" s="1"/>
  <c r="S470" i="5" s="1"/>
  <c r="P470" i="5"/>
  <c r="J470" i="5"/>
  <c r="W469" i="5"/>
  <c r="Q469" i="5"/>
  <c r="R469" i="5" s="1"/>
  <c r="S469" i="5" s="1"/>
  <c r="P469" i="5"/>
  <c r="J469" i="5"/>
  <c r="W468" i="5"/>
  <c r="Q468" i="5"/>
  <c r="R468" i="5" s="1"/>
  <c r="S468" i="5" s="1"/>
  <c r="P468" i="5"/>
  <c r="J468" i="5"/>
  <c r="W467" i="5"/>
  <c r="Q467" i="5"/>
  <c r="R467" i="5" s="1"/>
  <c r="S467" i="5" s="1"/>
  <c r="P467" i="5"/>
  <c r="J467" i="5"/>
  <c r="W466" i="5"/>
  <c r="Q466" i="5"/>
  <c r="R466" i="5" s="1"/>
  <c r="S466" i="5" s="1"/>
  <c r="P466" i="5"/>
  <c r="J466" i="5"/>
  <c r="W465" i="5"/>
  <c r="Q465" i="5"/>
  <c r="R465" i="5" s="1"/>
  <c r="S465" i="5" s="1"/>
  <c r="P465" i="5"/>
  <c r="J465" i="5"/>
  <c r="W464" i="5"/>
  <c r="Q464" i="5"/>
  <c r="R464" i="5" s="1"/>
  <c r="S464" i="5" s="1"/>
  <c r="P464" i="5"/>
  <c r="J464" i="5"/>
  <c r="W463" i="5"/>
  <c r="Q463" i="5"/>
  <c r="R463" i="5" s="1"/>
  <c r="S463" i="5" s="1"/>
  <c r="P463" i="5"/>
  <c r="J463" i="5"/>
  <c r="W462" i="5"/>
  <c r="Q462" i="5"/>
  <c r="R462" i="5" s="1"/>
  <c r="S462" i="5" s="1"/>
  <c r="P462" i="5"/>
  <c r="J462" i="5"/>
  <c r="W461" i="5"/>
  <c r="Q461" i="5"/>
  <c r="R461" i="5" s="1"/>
  <c r="S461" i="5" s="1"/>
  <c r="P461" i="5"/>
  <c r="J461" i="5"/>
  <c r="W460" i="5"/>
  <c r="Q460" i="5"/>
  <c r="R460" i="5" s="1"/>
  <c r="S460" i="5" s="1"/>
  <c r="P460" i="5"/>
  <c r="J460" i="5"/>
  <c r="W459" i="5"/>
  <c r="Q459" i="5"/>
  <c r="R459" i="5" s="1"/>
  <c r="S459" i="5" s="1"/>
  <c r="P459" i="5"/>
  <c r="J459" i="5"/>
  <c r="W458" i="5"/>
  <c r="Q458" i="5"/>
  <c r="R458" i="5" s="1"/>
  <c r="S458" i="5" s="1"/>
  <c r="P458" i="5"/>
  <c r="J458" i="5"/>
  <c r="W457" i="5"/>
  <c r="Q457" i="5"/>
  <c r="R457" i="5" s="1"/>
  <c r="S457" i="5" s="1"/>
  <c r="P457" i="5"/>
  <c r="J457" i="5"/>
  <c r="W456" i="5"/>
  <c r="Q456" i="5"/>
  <c r="R456" i="5" s="1"/>
  <c r="S456" i="5" s="1"/>
  <c r="P456" i="5"/>
  <c r="J456" i="5"/>
  <c r="W455" i="5"/>
  <c r="Q455" i="5"/>
  <c r="R455" i="5" s="1"/>
  <c r="S455" i="5" s="1"/>
  <c r="P455" i="5"/>
  <c r="J455" i="5"/>
  <c r="W454" i="5"/>
  <c r="Q454" i="5"/>
  <c r="R454" i="5" s="1"/>
  <c r="S454" i="5" s="1"/>
  <c r="P454" i="5"/>
  <c r="J454" i="5"/>
  <c r="W453" i="5"/>
  <c r="Q453" i="5"/>
  <c r="R453" i="5" s="1"/>
  <c r="S453" i="5" s="1"/>
  <c r="P453" i="5"/>
  <c r="J453" i="5"/>
  <c r="W452" i="5"/>
  <c r="Q452" i="5"/>
  <c r="R452" i="5" s="1"/>
  <c r="S452" i="5" s="1"/>
  <c r="P452" i="5"/>
  <c r="J452" i="5"/>
  <c r="W451" i="5"/>
  <c r="Q451" i="5"/>
  <c r="R451" i="5" s="1"/>
  <c r="S451" i="5" s="1"/>
  <c r="P451" i="5"/>
  <c r="J451" i="5"/>
  <c r="W450" i="5"/>
  <c r="Q450" i="5"/>
  <c r="R450" i="5" s="1"/>
  <c r="S450" i="5" s="1"/>
  <c r="P450" i="5"/>
  <c r="J450" i="5"/>
  <c r="W449" i="5"/>
  <c r="Q449" i="5"/>
  <c r="R449" i="5" s="1"/>
  <c r="S449" i="5" s="1"/>
  <c r="P449" i="5"/>
  <c r="J449" i="5"/>
  <c r="W448" i="5"/>
  <c r="Q448" i="5"/>
  <c r="R448" i="5" s="1"/>
  <c r="S448" i="5" s="1"/>
  <c r="P448" i="5"/>
  <c r="J448" i="5"/>
  <c r="W447" i="5"/>
  <c r="Q447" i="5"/>
  <c r="R447" i="5" s="1"/>
  <c r="S447" i="5" s="1"/>
  <c r="P447" i="5"/>
  <c r="J447" i="5"/>
  <c r="W446" i="5"/>
  <c r="Q446" i="5"/>
  <c r="R446" i="5" s="1"/>
  <c r="S446" i="5" s="1"/>
  <c r="P446" i="5"/>
  <c r="J446" i="5"/>
  <c r="W445" i="5"/>
  <c r="Q445" i="5"/>
  <c r="R445" i="5" s="1"/>
  <c r="S445" i="5" s="1"/>
  <c r="P445" i="5"/>
  <c r="J445" i="5"/>
  <c r="W444" i="5"/>
  <c r="Q444" i="5"/>
  <c r="R444" i="5" s="1"/>
  <c r="S444" i="5" s="1"/>
  <c r="P444" i="5"/>
  <c r="J444" i="5"/>
  <c r="W443" i="5"/>
  <c r="Q443" i="5"/>
  <c r="R443" i="5" s="1"/>
  <c r="S443" i="5" s="1"/>
  <c r="P443" i="5"/>
  <c r="J443" i="5"/>
  <c r="W442" i="5"/>
  <c r="Q442" i="5"/>
  <c r="R442" i="5" s="1"/>
  <c r="S442" i="5" s="1"/>
  <c r="P442" i="5"/>
  <c r="J442" i="5"/>
  <c r="W441" i="5"/>
  <c r="Q441" i="5"/>
  <c r="R441" i="5" s="1"/>
  <c r="S441" i="5" s="1"/>
  <c r="P441" i="5"/>
  <c r="J441" i="5"/>
  <c r="W440" i="5"/>
  <c r="Q440" i="5"/>
  <c r="R440" i="5" s="1"/>
  <c r="S440" i="5" s="1"/>
  <c r="P440" i="5"/>
  <c r="J440" i="5"/>
  <c r="W439" i="5"/>
  <c r="Q439" i="5"/>
  <c r="R439" i="5" s="1"/>
  <c r="S439" i="5" s="1"/>
  <c r="P439" i="5"/>
  <c r="J439" i="5"/>
  <c r="W438" i="5"/>
  <c r="Q438" i="5"/>
  <c r="R438" i="5" s="1"/>
  <c r="S438" i="5" s="1"/>
  <c r="P438" i="5"/>
  <c r="J438" i="5"/>
  <c r="W437" i="5"/>
  <c r="Q437" i="5"/>
  <c r="R437" i="5" s="1"/>
  <c r="S437" i="5" s="1"/>
  <c r="P437" i="5"/>
  <c r="J437" i="5"/>
  <c r="W436" i="5"/>
  <c r="Q436" i="5"/>
  <c r="R436" i="5" s="1"/>
  <c r="S436" i="5" s="1"/>
  <c r="P436" i="5"/>
  <c r="J436" i="5"/>
  <c r="W435" i="5"/>
  <c r="Q435" i="5"/>
  <c r="R435" i="5" s="1"/>
  <c r="S435" i="5" s="1"/>
  <c r="P435" i="5"/>
  <c r="J435" i="5"/>
  <c r="W434" i="5"/>
  <c r="Q434" i="5"/>
  <c r="R434" i="5" s="1"/>
  <c r="S434" i="5" s="1"/>
  <c r="P434" i="5"/>
  <c r="J434" i="5"/>
  <c r="W433" i="5"/>
  <c r="Q433" i="5"/>
  <c r="R433" i="5" s="1"/>
  <c r="S433" i="5" s="1"/>
  <c r="P433" i="5"/>
  <c r="J433" i="5"/>
  <c r="W432" i="5"/>
  <c r="Q432" i="5"/>
  <c r="R432" i="5" s="1"/>
  <c r="S432" i="5" s="1"/>
  <c r="P432" i="5"/>
  <c r="J432" i="5"/>
  <c r="W431" i="5"/>
  <c r="Q431" i="5"/>
  <c r="R431" i="5" s="1"/>
  <c r="S431" i="5" s="1"/>
  <c r="P431" i="5"/>
  <c r="J431" i="5"/>
  <c r="W430" i="5"/>
  <c r="Q430" i="5"/>
  <c r="R430" i="5" s="1"/>
  <c r="S430" i="5" s="1"/>
  <c r="P430" i="5"/>
  <c r="J430" i="5"/>
  <c r="W429" i="5"/>
  <c r="Q429" i="5"/>
  <c r="R429" i="5" s="1"/>
  <c r="S429" i="5" s="1"/>
  <c r="P429" i="5"/>
  <c r="J429" i="5"/>
  <c r="W428" i="5"/>
  <c r="Q428" i="5"/>
  <c r="R428" i="5" s="1"/>
  <c r="S428" i="5" s="1"/>
  <c r="P428" i="5"/>
  <c r="J428" i="5"/>
  <c r="W427" i="5"/>
  <c r="Q427" i="5"/>
  <c r="R427" i="5" s="1"/>
  <c r="S427" i="5" s="1"/>
  <c r="P427" i="5"/>
  <c r="J427" i="5"/>
  <c r="W426" i="5"/>
  <c r="Q426" i="5"/>
  <c r="R426" i="5" s="1"/>
  <c r="S426" i="5" s="1"/>
  <c r="P426" i="5"/>
  <c r="J426" i="5"/>
  <c r="W425" i="5"/>
  <c r="Q425" i="5"/>
  <c r="R425" i="5" s="1"/>
  <c r="S425" i="5" s="1"/>
  <c r="P425" i="5"/>
  <c r="J425" i="5"/>
  <c r="W424" i="5"/>
  <c r="Q424" i="5"/>
  <c r="R424" i="5" s="1"/>
  <c r="S424" i="5" s="1"/>
  <c r="P424" i="5"/>
  <c r="J424" i="5"/>
  <c r="W423" i="5"/>
  <c r="Q423" i="5"/>
  <c r="R423" i="5" s="1"/>
  <c r="S423" i="5" s="1"/>
  <c r="P423" i="5"/>
  <c r="J423" i="5"/>
  <c r="W422" i="5"/>
  <c r="Q422" i="5"/>
  <c r="R422" i="5" s="1"/>
  <c r="S422" i="5" s="1"/>
  <c r="P422" i="5"/>
  <c r="J422" i="5"/>
  <c r="W421" i="5"/>
  <c r="Q421" i="5"/>
  <c r="R421" i="5" s="1"/>
  <c r="S421" i="5" s="1"/>
  <c r="P421" i="5"/>
  <c r="J421" i="5"/>
  <c r="W420" i="5"/>
  <c r="Q420" i="5"/>
  <c r="R420" i="5" s="1"/>
  <c r="S420" i="5" s="1"/>
  <c r="P420" i="5"/>
  <c r="J420" i="5"/>
  <c r="W419" i="5"/>
  <c r="Q419" i="5"/>
  <c r="R419" i="5" s="1"/>
  <c r="S419" i="5" s="1"/>
  <c r="P419" i="5"/>
  <c r="J419" i="5"/>
  <c r="W418" i="5"/>
  <c r="Q418" i="5"/>
  <c r="R418" i="5" s="1"/>
  <c r="S418" i="5" s="1"/>
  <c r="P418" i="5"/>
  <c r="J418" i="5"/>
  <c r="W417" i="5"/>
  <c r="Q417" i="5"/>
  <c r="R417" i="5" s="1"/>
  <c r="S417" i="5" s="1"/>
  <c r="P417" i="5"/>
  <c r="J417" i="5"/>
  <c r="W416" i="5"/>
  <c r="Q416" i="5"/>
  <c r="R416" i="5" s="1"/>
  <c r="S416" i="5" s="1"/>
  <c r="P416" i="5"/>
  <c r="J416" i="5"/>
  <c r="W415" i="5"/>
  <c r="Q415" i="5"/>
  <c r="R415" i="5" s="1"/>
  <c r="S415" i="5" s="1"/>
  <c r="P415" i="5"/>
  <c r="J415" i="5"/>
  <c r="W414" i="5"/>
  <c r="Q414" i="5"/>
  <c r="R414" i="5" s="1"/>
  <c r="S414" i="5" s="1"/>
  <c r="P414" i="5"/>
  <c r="J414" i="5"/>
  <c r="W413" i="5"/>
  <c r="Q413" i="5"/>
  <c r="R413" i="5" s="1"/>
  <c r="S413" i="5" s="1"/>
  <c r="P413" i="5"/>
  <c r="J413" i="5"/>
  <c r="W412" i="5"/>
  <c r="Q412" i="5"/>
  <c r="R412" i="5" s="1"/>
  <c r="S412" i="5" s="1"/>
  <c r="P412" i="5"/>
  <c r="J412" i="5"/>
  <c r="W411" i="5"/>
  <c r="Q411" i="5"/>
  <c r="R411" i="5" s="1"/>
  <c r="S411" i="5" s="1"/>
  <c r="P411" i="5"/>
  <c r="J411" i="5"/>
  <c r="W410" i="5"/>
  <c r="Q410" i="5"/>
  <c r="R410" i="5" s="1"/>
  <c r="S410" i="5" s="1"/>
  <c r="P410" i="5"/>
  <c r="J410" i="5"/>
  <c r="W409" i="5"/>
  <c r="Q409" i="5"/>
  <c r="R409" i="5" s="1"/>
  <c r="S409" i="5" s="1"/>
  <c r="P409" i="5"/>
  <c r="J409" i="5"/>
  <c r="W408" i="5"/>
  <c r="Q408" i="5"/>
  <c r="R408" i="5" s="1"/>
  <c r="S408" i="5" s="1"/>
  <c r="P408" i="5"/>
  <c r="J408" i="5"/>
  <c r="W407" i="5"/>
  <c r="Q407" i="5"/>
  <c r="R407" i="5" s="1"/>
  <c r="S407" i="5" s="1"/>
  <c r="P407" i="5"/>
  <c r="J407" i="5"/>
  <c r="W406" i="5"/>
  <c r="Q406" i="5"/>
  <c r="R406" i="5" s="1"/>
  <c r="S406" i="5" s="1"/>
  <c r="P406" i="5"/>
  <c r="J406" i="5"/>
  <c r="W405" i="5"/>
  <c r="Q405" i="5"/>
  <c r="R405" i="5" s="1"/>
  <c r="S405" i="5" s="1"/>
  <c r="P405" i="5"/>
  <c r="J405" i="5"/>
  <c r="W404" i="5"/>
  <c r="Q404" i="5"/>
  <c r="R404" i="5" s="1"/>
  <c r="S404" i="5" s="1"/>
  <c r="P404" i="5"/>
  <c r="J404" i="5"/>
  <c r="W403" i="5"/>
  <c r="Q403" i="5"/>
  <c r="R403" i="5" s="1"/>
  <c r="S403" i="5" s="1"/>
  <c r="P403" i="5"/>
  <c r="J403" i="5"/>
  <c r="W402" i="5"/>
  <c r="Q402" i="5"/>
  <c r="R402" i="5" s="1"/>
  <c r="S402" i="5" s="1"/>
  <c r="P402" i="5"/>
  <c r="J402" i="5"/>
  <c r="W401" i="5"/>
  <c r="Q401" i="5"/>
  <c r="R401" i="5" s="1"/>
  <c r="S401" i="5" s="1"/>
  <c r="P401" i="5"/>
  <c r="J401" i="5"/>
  <c r="W400" i="5"/>
  <c r="S400" i="5"/>
  <c r="Q400" i="5"/>
  <c r="R400" i="5" s="1"/>
  <c r="P400" i="5"/>
  <c r="J400" i="5"/>
  <c r="W399" i="5"/>
  <c r="Q399" i="5"/>
  <c r="R399" i="5" s="1"/>
  <c r="S399" i="5" s="1"/>
  <c r="P399" i="5"/>
  <c r="J399" i="5"/>
  <c r="W398" i="5"/>
  <c r="Q398" i="5"/>
  <c r="R398" i="5" s="1"/>
  <c r="S398" i="5" s="1"/>
  <c r="P398" i="5"/>
  <c r="J398" i="5"/>
  <c r="W397" i="5"/>
  <c r="Q397" i="5"/>
  <c r="R397" i="5" s="1"/>
  <c r="S397" i="5" s="1"/>
  <c r="P397" i="5"/>
  <c r="J397" i="5"/>
  <c r="W396" i="5"/>
  <c r="Q396" i="5"/>
  <c r="R396" i="5" s="1"/>
  <c r="S396" i="5" s="1"/>
  <c r="P396" i="5"/>
  <c r="J396" i="5"/>
  <c r="W395" i="5"/>
  <c r="Q395" i="5"/>
  <c r="R395" i="5" s="1"/>
  <c r="S395" i="5" s="1"/>
  <c r="P395" i="5"/>
  <c r="J395" i="5"/>
  <c r="W394" i="5"/>
  <c r="Q394" i="5"/>
  <c r="R394" i="5" s="1"/>
  <c r="S394" i="5" s="1"/>
  <c r="P394" i="5"/>
  <c r="J394" i="5"/>
  <c r="W393" i="5"/>
  <c r="Q393" i="5"/>
  <c r="R393" i="5" s="1"/>
  <c r="S393" i="5" s="1"/>
  <c r="P393" i="5"/>
  <c r="J393" i="5"/>
  <c r="W392" i="5"/>
  <c r="Q392" i="5"/>
  <c r="R392" i="5" s="1"/>
  <c r="S392" i="5" s="1"/>
  <c r="P392" i="5"/>
  <c r="J392" i="5"/>
  <c r="W391" i="5"/>
  <c r="Q391" i="5"/>
  <c r="R391" i="5" s="1"/>
  <c r="S391" i="5" s="1"/>
  <c r="P391" i="5"/>
  <c r="J391" i="5"/>
  <c r="W390" i="5"/>
  <c r="Q390" i="5"/>
  <c r="R390" i="5" s="1"/>
  <c r="S390" i="5" s="1"/>
  <c r="P390" i="5"/>
  <c r="J390" i="5"/>
  <c r="W389" i="5"/>
  <c r="Q389" i="5"/>
  <c r="R389" i="5" s="1"/>
  <c r="S389" i="5" s="1"/>
  <c r="P389" i="5"/>
  <c r="J389" i="5"/>
  <c r="W388" i="5"/>
  <c r="S388" i="5"/>
  <c r="Q388" i="5"/>
  <c r="R388" i="5" s="1"/>
  <c r="P388" i="5"/>
  <c r="J388" i="5"/>
  <c r="W387" i="5"/>
  <c r="Q387" i="5"/>
  <c r="R387" i="5" s="1"/>
  <c r="S387" i="5" s="1"/>
  <c r="P387" i="5"/>
  <c r="J387" i="5"/>
  <c r="W386" i="5"/>
  <c r="Q386" i="5"/>
  <c r="R386" i="5" s="1"/>
  <c r="S386" i="5" s="1"/>
  <c r="P386" i="5"/>
  <c r="J386" i="5"/>
  <c r="W385" i="5"/>
  <c r="Q385" i="5"/>
  <c r="R385" i="5" s="1"/>
  <c r="S385" i="5" s="1"/>
  <c r="P385" i="5"/>
  <c r="J385" i="5"/>
  <c r="W384" i="5"/>
  <c r="Q384" i="5"/>
  <c r="R384" i="5" s="1"/>
  <c r="S384" i="5" s="1"/>
  <c r="P384" i="5"/>
  <c r="J384" i="5"/>
  <c r="W383" i="5"/>
  <c r="Q383" i="5"/>
  <c r="R383" i="5" s="1"/>
  <c r="S383" i="5" s="1"/>
  <c r="P383" i="5"/>
  <c r="J383" i="5"/>
  <c r="W382" i="5"/>
  <c r="Q382" i="5"/>
  <c r="R382" i="5" s="1"/>
  <c r="S382" i="5" s="1"/>
  <c r="P382" i="5"/>
  <c r="J382" i="5"/>
  <c r="W381" i="5"/>
  <c r="Q381" i="5"/>
  <c r="R381" i="5" s="1"/>
  <c r="S381" i="5" s="1"/>
  <c r="P381" i="5"/>
  <c r="J381" i="5"/>
  <c r="W380" i="5"/>
  <c r="S380" i="5"/>
  <c r="Q380" i="5"/>
  <c r="R380" i="5" s="1"/>
  <c r="P380" i="5"/>
  <c r="J380" i="5"/>
  <c r="W379" i="5"/>
  <c r="Q379" i="5"/>
  <c r="R379" i="5" s="1"/>
  <c r="S379" i="5" s="1"/>
  <c r="P379" i="5"/>
  <c r="J379" i="5"/>
  <c r="W378" i="5"/>
  <c r="Q378" i="5"/>
  <c r="R378" i="5" s="1"/>
  <c r="S378" i="5" s="1"/>
  <c r="P378" i="5"/>
  <c r="J378" i="5"/>
  <c r="W377" i="5"/>
  <c r="Q377" i="5"/>
  <c r="R377" i="5" s="1"/>
  <c r="S377" i="5" s="1"/>
  <c r="P377" i="5"/>
  <c r="J377" i="5"/>
  <c r="W376" i="5"/>
  <c r="Q376" i="5"/>
  <c r="R376" i="5" s="1"/>
  <c r="S376" i="5" s="1"/>
  <c r="P376" i="5"/>
  <c r="J376" i="5"/>
  <c r="W375" i="5"/>
  <c r="R375" i="5"/>
  <c r="S375" i="5" s="1"/>
  <c r="Q375" i="5"/>
  <c r="P375" i="5"/>
  <c r="J375" i="5"/>
  <c r="W374" i="5"/>
  <c r="Q374" i="5"/>
  <c r="R374" i="5" s="1"/>
  <c r="S374" i="5" s="1"/>
  <c r="P374" i="5"/>
  <c r="J374" i="5"/>
  <c r="W373" i="5"/>
  <c r="Q373" i="5"/>
  <c r="R373" i="5" s="1"/>
  <c r="S373" i="5" s="1"/>
  <c r="P373" i="5"/>
  <c r="J373" i="5"/>
  <c r="W372" i="5"/>
  <c r="Q372" i="5"/>
  <c r="R372" i="5" s="1"/>
  <c r="S372" i="5" s="1"/>
  <c r="P372" i="5"/>
  <c r="J372" i="5"/>
  <c r="W371" i="5"/>
  <c r="Q371" i="5"/>
  <c r="R371" i="5" s="1"/>
  <c r="S371" i="5" s="1"/>
  <c r="P371" i="5"/>
  <c r="J371" i="5"/>
  <c r="W370" i="5"/>
  <c r="Q370" i="5"/>
  <c r="R370" i="5" s="1"/>
  <c r="S370" i="5" s="1"/>
  <c r="P370" i="5"/>
  <c r="J370" i="5"/>
  <c r="W369" i="5"/>
  <c r="Q369" i="5"/>
  <c r="R369" i="5" s="1"/>
  <c r="S369" i="5" s="1"/>
  <c r="P369" i="5"/>
  <c r="J369" i="5"/>
  <c r="W368" i="5"/>
  <c r="Q368" i="5"/>
  <c r="R368" i="5" s="1"/>
  <c r="S368" i="5" s="1"/>
  <c r="P368" i="5"/>
  <c r="J368" i="5"/>
  <c r="W367" i="5"/>
  <c r="R367" i="5"/>
  <c r="S367" i="5" s="1"/>
  <c r="Q367" i="5"/>
  <c r="P367" i="5"/>
  <c r="J367" i="5"/>
  <c r="W366" i="5"/>
  <c r="Q366" i="5"/>
  <c r="R366" i="5" s="1"/>
  <c r="S366" i="5" s="1"/>
  <c r="P366" i="5"/>
  <c r="J366" i="5"/>
  <c r="W365" i="5"/>
  <c r="Q365" i="5"/>
  <c r="R365" i="5" s="1"/>
  <c r="S365" i="5" s="1"/>
  <c r="P365" i="5"/>
  <c r="J365" i="5"/>
  <c r="W364" i="5"/>
  <c r="Q364" i="5"/>
  <c r="R364" i="5" s="1"/>
  <c r="S364" i="5" s="1"/>
  <c r="P364" i="5"/>
  <c r="J364" i="5"/>
  <c r="W363" i="5"/>
  <c r="Q363" i="5"/>
  <c r="R363" i="5" s="1"/>
  <c r="S363" i="5" s="1"/>
  <c r="P363" i="5"/>
  <c r="J363" i="5"/>
  <c r="W362" i="5"/>
  <c r="Q362" i="5"/>
  <c r="R362" i="5" s="1"/>
  <c r="S362" i="5" s="1"/>
  <c r="P362" i="5"/>
  <c r="J362" i="5"/>
  <c r="W361" i="5"/>
  <c r="Q361" i="5"/>
  <c r="R361" i="5" s="1"/>
  <c r="S361" i="5" s="1"/>
  <c r="P361" i="5"/>
  <c r="J361" i="5"/>
  <c r="W360" i="5"/>
  <c r="Q360" i="5"/>
  <c r="R360" i="5" s="1"/>
  <c r="S360" i="5" s="1"/>
  <c r="P360" i="5"/>
  <c r="J360" i="5"/>
  <c r="W359" i="5"/>
  <c r="R359" i="5"/>
  <c r="S359" i="5" s="1"/>
  <c r="Q359" i="5"/>
  <c r="P359" i="5"/>
  <c r="J359" i="5"/>
  <c r="W358" i="5"/>
  <c r="Q358" i="5"/>
  <c r="R358" i="5" s="1"/>
  <c r="S358" i="5" s="1"/>
  <c r="P358" i="5"/>
  <c r="J358" i="5"/>
  <c r="W357" i="5"/>
  <c r="Q357" i="5"/>
  <c r="R357" i="5" s="1"/>
  <c r="S357" i="5" s="1"/>
  <c r="P357" i="5"/>
  <c r="J357" i="5"/>
  <c r="W356" i="5"/>
  <c r="Q356" i="5"/>
  <c r="R356" i="5" s="1"/>
  <c r="S356" i="5" s="1"/>
  <c r="P356" i="5"/>
  <c r="J356" i="5"/>
  <c r="W355" i="5"/>
  <c r="Q355" i="5"/>
  <c r="R355" i="5" s="1"/>
  <c r="S355" i="5" s="1"/>
  <c r="P355" i="5"/>
  <c r="J355" i="5"/>
  <c r="W354" i="5"/>
  <c r="Q354" i="5"/>
  <c r="R354" i="5" s="1"/>
  <c r="S354" i="5" s="1"/>
  <c r="P354" i="5"/>
  <c r="J354" i="5"/>
  <c r="W353" i="5"/>
  <c r="Q353" i="5"/>
  <c r="R353" i="5" s="1"/>
  <c r="S353" i="5" s="1"/>
  <c r="P353" i="5"/>
  <c r="J353" i="5"/>
  <c r="W352" i="5"/>
  <c r="Q352" i="5"/>
  <c r="R352" i="5" s="1"/>
  <c r="S352" i="5" s="1"/>
  <c r="P352" i="5"/>
  <c r="J352" i="5"/>
  <c r="W351" i="5"/>
  <c r="R351" i="5"/>
  <c r="S351" i="5" s="1"/>
  <c r="Q351" i="5"/>
  <c r="P351" i="5"/>
  <c r="J351" i="5"/>
  <c r="W350" i="5"/>
  <c r="Q350" i="5"/>
  <c r="R350" i="5" s="1"/>
  <c r="S350" i="5" s="1"/>
  <c r="P350" i="5"/>
  <c r="J350" i="5"/>
  <c r="W349" i="5"/>
  <c r="Q349" i="5"/>
  <c r="R349" i="5" s="1"/>
  <c r="S349" i="5" s="1"/>
  <c r="P349" i="5"/>
  <c r="J349" i="5"/>
  <c r="W348" i="5"/>
  <c r="Q348" i="5"/>
  <c r="R348" i="5" s="1"/>
  <c r="S348" i="5" s="1"/>
  <c r="P348" i="5"/>
  <c r="J348" i="5"/>
  <c r="W347" i="5"/>
  <c r="Q347" i="5"/>
  <c r="R347" i="5" s="1"/>
  <c r="S347" i="5" s="1"/>
  <c r="P347" i="5"/>
  <c r="J347" i="5"/>
  <c r="W346" i="5"/>
  <c r="Q346" i="5"/>
  <c r="R346" i="5" s="1"/>
  <c r="S346" i="5" s="1"/>
  <c r="P346" i="5"/>
  <c r="J346" i="5"/>
  <c r="W345" i="5"/>
  <c r="Q345" i="5"/>
  <c r="R345" i="5" s="1"/>
  <c r="S345" i="5" s="1"/>
  <c r="P345" i="5"/>
  <c r="J345" i="5"/>
  <c r="W344" i="5"/>
  <c r="Q344" i="5"/>
  <c r="R344" i="5" s="1"/>
  <c r="S344" i="5" s="1"/>
  <c r="P344" i="5"/>
  <c r="J344" i="5"/>
  <c r="W343" i="5"/>
  <c r="R343" i="5"/>
  <c r="S343" i="5" s="1"/>
  <c r="Q343" i="5"/>
  <c r="P343" i="5"/>
  <c r="J343" i="5"/>
  <c r="W342" i="5"/>
  <c r="Q342" i="5"/>
  <c r="R342" i="5" s="1"/>
  <c r="S342" i="5" s="1"/>
  <c r="P342" i="5"/>
  <c r="J342" i="5"/>
  <c r="W341" i="5"/>
  <c r="Q341" i="5"/>
  <c r="R341" i="5" s="1"/>
  <c r="S341" i="5" s="1"/>
  <c r="P341" i="5"/>
  <c r="J341" i="5"/>
  <c r="W340" i="5"/>
  <c r="Q340" i="5"/>
  <c r="R340" i="5" s="1"/>
  <c r="S340" i="5" s="1"/>
  <c r="P340" i="5"/>
  <c r="J340" i="5"/>
  <c r="W339" i="5"/>
  <c r="Q339" i="5"/>
  <c r="R339" i="5" s="1"/>
  <c r="S339" i="5" s="1"/>
  <c r="P339" i="5"/>
  <c r="J339" i="5"/>
  <c r="W338" i="5"/>
  <c r="Q338" i="5"/>
  <c r="R338" i="5" s="1"/>
  <c r="S338" i="5" s="1"/>
  <c r="P338" i="5"/>
  <c r="J338" i="5"/>
  <c r="W337" i="5"/>
  <c r="Q337" i="5"/>
  <c r="R337" i="5" s="1"/>
  <c r="S337" i="5" s="1"/>
  <c r="P337" i="5"/>
  <c r="J337" i="5"/>
  <c r="W336" i="5"/>
  <c r="Q336" i="5"/>
  <c r="R336" i="5" s="1"/>
  <c r="S336" i="5" s="1"/>
  <c r="P336" i="5"/>
  <c r="J336" i="5"/>
  <c r="W335" i="5"/>
  <c r="R335" i="5"/>
  <c r="S335" i="5" s="1"/>
  <c r="Q335" i="5"/>
  <c r="P335" i="5"/>
  <c r="J335" i="5"/>
  <c r="W334" i="5"/>
  <c r="Q334" i="5"/>
  <c r="R334" i="5" s="1"/>
  <c r="S334" i="5" s="1"/>
  <c r="P334" i="5"/>
  <c r="J334" i="5"/>
  <c r="W333" i="5"/>
  <c r="Q333" i="5"/>
  <c r="R333" i="5" s="1"/>
  <c r="S333" i="5" s="1"/>
  <c r="P333" i="5"/>
  <c r="J333" i="5"/>
  <c r="W332" i="5"/>
  <c r="Q332" i="5"/>
  <c r="R332" i="5" s="1"/>
  <c r="S332" i="5" s="1"/>
  <c r="P332" i="5"/>
  <c r="J332" i="5"/>
  <c r="W331" i="5"/>
  <c r="Q331" i="5"/>
  <c r="R331" i="5" s="1"/>
  <c r="S331" i="5" s="1"/>
  <c r="P331" i="5"/>
  <c r="J331" i="5"/>
  <c r="W330" i="5"/>
  <c r="Q330" i="5"/>
  <c r="R330" i="5" s="1"/>
  <c r="S330" i="5" s="1"/>
  <c r="P330" i="5"/>
  <c r="J330" i="5"/>
  <c r="W329" i="5"/>
  <c r="Q329" i="5"/>
  <c r="R329" i="5" s="1"/>
  <c r="S329" i="5" s="1"/>
  <c r="P329" i="5"/>
  <c r="J329" i="5"/>
  <c r="W328" i="5"/>
  <c r="Q328" i="5"/>
  <c r="R328" i="5" s="1"/>
  <c r="S328" i="5" s="1"/>
  <c r="P328" i="5"/>
  <c r="J328" i="5"/>
  <c r="W327" i="5"/>
  <c r="R327" i="5"/>
  <c r="S327" i="5" s="1"/>
  <c r="Q327" i="5"/>
  <c r="P327" i="5"/>
  <c r="J327" i="5"/>
  <c r="W326" i="5"/>
  <c r="Q326" i="5"/>
  <c r="R326" i="5" s="1"/>
  <c r="S326" i="5" s="1"/>
  <c r="P326" i="5"/>
  <c r="J326" i="5"/>
  <c r="W325" i="5"/>
  <c r="Q325" i="5"/>
  <c r="R325" i="5" s="1"/>
  <c r="S325" i="5" s="1"/>
  <c r="P325" i="5"/>
  <c r="J325" i="5"/>
  <c r="W324" i="5"/>
  <c r="Q324" i="5"/>
  <c r="R324" i="5" s="1"/>
  <c r="S324" i="5" s="1"/>
  <c r="P324" i="5"/>
  <c r="J324" i="5"/>
  <c r="W323" i="5"/>
  <c r="Q323" i="5"/>
  <c r="R323" i="5" s="1"/>
  <c r="S323" i="5" s="1"/>
  <c r="P323" i="5"/>
  <c r="J323" i="5"/>
  <c r="W322" i="5"/>
  <c r="Q322" i="5"/>
  <c r="R322" i="5" s="1"/>
  <c r="S322" i="5" s="1"/>
  <c r="P322" i="5"/>
  <c r="J322" i="5"/>
  <c r="W321" i="5"/>
  <c r="Q321" i="5"/>
  <c r="R321" i="5" s="1"/>
  <c r="S321" i="5" s="1"/>
  <c r="P321" i="5"/>
  <c r="J321" i="5"/>
  <c r="W320" i="5"/>
  <c r="Q320" i="5"/>
  <c r="R320" i="5" s="1"/>
  <c r="S320" i="5" s="1"/>
  <c r="P320" i="5"/>
  <c r="J320" i="5"/>
  <c r="W319" i="5"/>
  <c r="R319" i="5"/>
  <c r="S319" i="5" s="1"/>
  <c r="Q319" i="5"/>
  <c r="P319" i="5"/>
  <c r="J319" i="5"/>
  <c r="W318" i="5"/>
  <c r="Q318" i="5"/>
  <c r="R318" i="5" s="1"/>
  <c r="S318" i="5" s="1"/>
  <c r="P318" i="5"/>
  <c r="J318" i="5"/>
  <c r="W317" i="5"/>
  <c r="Q317" i="5"/>
  <c r="R317" i="5" s="1"/>
  <c r="S317" i="5" s="1"/>
  <c r="P317" i="5"/>
  <c r="J317" i="5"/>
  <c r="W316" i="5"/>
  <c r="Q316" i="5"/>
  <c r="R316" i="5" s="1"/>
  <c r="S316" i="5" s="1"/>
  <c r="P316" i="5"/>
  <c r="J316" i="5"/>
  <c r="W315" i="5"/>
  <c r="Q315" i="5"/>
  <c r="R315" i="5" s="1"/>
  <c r="S315" i="5" s="1"/>
  <c r="P315" i="5"/>
  <c r="J315" i="5"/>
  <c r="W314" i="5"/>
  <c r="Q314" i="5"/>
  <c r="R314" i="5" s="1"/>
  <c r="S314" i="5" s="1"/>
  <c r="P314" i="5"/>
  <c r="J314" i="5"/>
  <c r="W313" i="5"/>
  <c r="Q313" i="5"/>
  <c r="R313" i="5" s="1"/>
  <c r="S313" i="5" s="1"/>
  <c r="P313" i="5"/>
  <c r="J313" i="5"/>
  <c r="W312" i="5"/>
  <c r="Q312" i="5"/>
  <c r="R312" i="5" s="1"/>
  <c r="S312" i="5" s="1"/>
  <c r="P312" i="5"/>
  <c r="J312" i="5"/>
  <c r="W311" i="5"/>
  <c r="R311" i="5"/>
  <c r="S311" i="5" s="1"/>
  <c r="Q311" i="5"/>
  <c r="P311" i="5"/>
  <c r="J311" i="5"/>
  <c r="W310" i="5"/>
  <c r="Q310" i="5"/>
  <c r="R310" i="5" s="1"/>
  <c r="S310" i="5" s="1"/>
  <c r="P310" i="5"/>
  <c r="J310" i="5"/>
  <c r="W309" i="5"/>
  <c r="Q309" i="5"/>
  <c r="R309" i="5" s="1"/>
  <c r="S309" i="5" s="1"/>
  <c r="P309" i="5"/>
  <c r="J309" i="5"/>
  <c r="W308" i="5"/>
  <c r="Q308" i="5"/>
  <c r="R308" i="5" s="1"/>
  <c r="S308" i="5" s="1"/>
  <c r="P308" i="5"/>
  <c r="J308" i="5"/>
  <c r="W307" i="5"/>
  <c r="Q307" i="5"/>
  <c r="R307" i="5" s="1"/>
  <c r="S307" i="5" s="1"/>
  <c r="P307" i="5"/>
  <c r="J307" i="5"/>
  <c r="W306" i="5"/>
  <c r="Q306" i="5"/>
  <c r="R306" i="5" s="1"/>
  <c r="S306" i="5" s="1"/>
  <c r="P306" i="5"/>
  <c r="J306" i="5"/>
  <c r="W305" i="5"/>
  <c r="Q305" i="5"/>
  <c r="R305" i="5" s="1"/>
  <c r="S305" i="5" s="1"/>
  <c r="P305" i="5"/>
  <c r="J305" i="5"/>
  <c r="W304" i="5"/>
  <c r="Q304" i="5"/>
  <c r="R304" i="5" s="1"/>
  <c r="S304" i="5" s="1"/>
  <c r="P304" i="5"/>
  <c r="J304" i="5"/>
  <c r="W303" i="5"/>
  <c r="R303" i="5"/>
  <c r="S303" i="5" s="1"/>
  <c r="Q303" i="5"/>
  <c r="P303" i="5"/>
  <c r="J303" i="5"/>
  <c r="W302" i="5"/>
  <c r="Q302" i="5"/>
  <c r="R302" i="5" s="1"/>
  <c r="S302" i="5" s="1"/>
  <c r="P302" i="5"/>
  <c r="J302" i="5"/>
  <c r="W301" i="5"/>
  <c r="Q301" i="5"/>
  <c r="R301" i="5" s="1"/>
  <c r="S301" i="5" s="1"/>
  <c r="P301" i="5"/>
  <c r="J301" i="5"/>
  <c r="W300" i="5"/>
  <c r="Q300" i="5"/>
  <c r="R300" i="5" s="1"/>
  <c r="S300" i="5" s="1"/>
  <c r="P300" i="5"/>
  <c r="J300" i="5"/>
  <c r="W299" i="5"/>
  <c r="Q299" i="5"/>
  <c r="R299" i="5" s="1"/>
  <c r="S299" i="5" s="1"/>
  <c r="P299" i="5"/>
  <c r="J299" i="5"/>
  <c r="W298" i="5"/>
  <c r="Q298" i="5"/>
  <c r="R298" i="5" s="1"/>
  <c r="S298" i="5" s="1"/>
  <c r="P298" i="5"/>
  <c r="J298" i="5"/>
  <c r="W297" i="5"/>
  <c r="Q297" i="5"/>
  <c r="R297" i="5" s="1"/>
  <c r="S297" i="5" s="1"/>
  <c r="P297" i="5"/>
  <c r="J297" i="5"/>
  <c r="W296" i="5"/>
  <c r="Q296" i="5"/>
  <c r="R296" i="5" s="1"/>
  <c r="S296" i="5" s="1"/>
  <c r="P296" i="5"/>
  <c r="J296" i="5"/>
  <c r="W295" i="5"/>
  <c r="R295" i="5"/>
  <c r="S295" i="5" s="1"/>
  <c r="Q295" i="5"/>
  <c r="P295" i="5"/>
  <c r="J295" i="5"/>
  <c r="W294" i="5"/>
  <c r="Q294" i="5"/>
  <c r="R294" i="5" s="1"/>
  <c r="S294" i="5" s="1"/>
  <c r="P294" i="5"/>
  <c r="J294" i="5"/>
  <c r="W293" i="5"/>
  <c r="Q293" i="5"/>
  <c r="R293" i="5" s="1"/>
  <c r="S293" i="5" s="1"/>
  <c r="P293" i="5"/>
  <c r="J293" i="5"/>
  <c r="W292" i="5"/>
  <c r="Q292" i="5"/>
  <c r="R292" i="5" s="1"/>
  <c r="S292" i="5" s="1"/>
  <c r="P292" i="5"/>
  <c r="J292" i="5"/>
  <c r="W291" i="5"/>
  <c r="Q291" i="5"/>
  <c r="R291" i="5" s="1"/>
  <c r="S291" i="5" s="1"/>
  <c r="P291" i="5"/>
  <c r="J291" i="5"/>
  <c r="W290" i="5"/>
  <c r="Q290" i="5"/>
  <c r="R290" i="5" s="1"/>
  <c r="S290" i="5" s="1"/>
  <c r="P290" i="5"/>
  <c r="J290" i="5"/>
  <c r="W289" i="5"/>
  <c r="Q289" i="5"/>
  <c r="R289" i="5" s="1"/>
  <c r="S289" i="5" s="1"/>
  <c r="P289" i="5"/>
  <c r="J289" i="5"/>
  <c r="W288" i="5"/>
  <c r="Q288" i="5"/>
  <c r="R288" i="5" s="1"/>
  <c r="S288" i="5" s="1"/>
  <c r="P288" i="5"/>
  <c r="J288" i="5"/>
  <c r="W287" i="5"/>
  <c r="R287" i="5"/>
  <c r="S287" i="5" s="1"/>
  <c r="Q287" i="5"/>
  <c r="P287" i="5"/>
  <c r="J287" i="5"/>
  <c r="W286" i="5"/>
  <c r="Q286" i="5"/>
  <c r="R286" i="5" s="1"/>
  <c r="S286" i="5" s="1"/>
  <c r="P286" i="5"/>
  <c r="J286" i="5"/>
  <c r="W285" i="5"/>
  <c r="Q285" i="5"/>
  <c r="R285" i="5" s="1"/>
  <c r="S285" i="5" s="1"/>
  <c r="P285" i="5"/>
  <c r="J285" i="5"/>
  <c r="W284" i="5"/>
  <c r="Q284" i="5"/>
  <c r="R284" i="5" s="1"/>
  <c r="S284" i="5" s="1"/>
  <c r="P284" i="5"/>
  <c r="J284" i="5"/>
  <c r="W283" i="5"/>
  <c r="Q283" i="5"/>
  <c r="R283" i="5" s="1"/>
  <c r="S283" i="5" s="1"/>
  <c r="P283" i="5"/>
  <c r="J283" i="5"/>
  <c r="W282" i="5"/>
  <c r="Q282" i="5"/>
  <c r="R282" i="5" s="1"/>
  <c r="S282" i="5" s="1"/>
  <c r="P282" i="5"/>
  <c r="J282" i="5"/>
  <c r="W281" i="5"/>
  <c r="Q281" i="5"/>
  <c r="R281" i="5" s="1"/>
  <c r="S281" i="5" s="1"/>
  <c r="P281" i="5"/>
  <c r="J281" i="5"/>
  <c r="W280" i="5"/>
  <c r="Q280" i="5"/>
  <c r="R280" i="5" s="1"/>
  <c r="S280" i="5" s="1"/>
  <c r="P280" i="5"/>
  <c r="J280" i="5"/>
  <c r="W279" i="5"/>
  <c r="R279" i="5"/>
  <c r="S279" i="5" s="1"/>
  <c r="Q279" i="5"/>
  <c r="P279" i="5"/>
  <c r="J279" i="5"/>
  <c r="W278" i="5"/>
  <c r="Q278" i="5"/>
  <c r="R278" i="5" s="1"/>
  <c r="S278" i="5" s="1"/>
  <c r="P278" i="5"/>
  <c r="J278" i="5"/>
  <c r="W277" i="5"/>
  <c r="Q277" i="5"/>
  <c r="R277" i="5" s="1"/>
  <c r="S277" i="5" s="1"/>
  <c r="P277" i="5"/>
  <c r="J277" i="5"/>
  <c r="W276" i="5"/>
  <c r="Q276" i="5"/>
  <c r="R276" i="5" s="1"/>
  <c r="S276" i="5" s="1"/>
  <c r="P276" i="5"/>
  <c r="J276" i="5"/>
  <c r="W275" i="5"/>
  <c r="Q275" i="5"/>
  <c r="R275" i="5" s="1"/>
  <c r="S275" i="5" s="1"/>
  <c r="P275" i="5"/>
  <c r="J275" i="5"/>
  <c r="W274" i="5"/>
  <c r="Q274" i="5"/>
  <c r="R274" i="5" s="1"/>
  <c r="S274" i="5" s="1"/>
  <c r="P274" i="5"/>
  <c r="J274" i="5"/>
  <c r="W273" i="5"/>
  <c r="Q273" i="5"/>
  <c r="R273" i="5" s="1"/>
  <c r="S273" i="5" s="1"/>
  <c r="P273" i="5"/>
  <c r="J273" i="5"/>
  <c r="W272" i="5"/>
  <c r="Q272" i="5"/>
  <c r="R272" i="5" s="1"/>
  <c r="S272" i="5" s="1"/>
  <c r="P272" i="5"/>
  <c r="J272" i="5"/>
  <c r="W271" i="5"/>
  <c r="R271" i="5"/>
  <c r="S271" i="5" s="1"/>
  <c r="Q271" i="5"/>
  <c r="P271" i="5"/>
  <c r="J271" i="5"/>
  <c r="W270" i="5"/>
  <c r="Q270" i="5"/>
  <c r="R270" i="5" s="1"/>
  <c r="S270" i="5" s="1"/>
  <c r="P270" i="5"/>
  <c r="J270" i="5"/>
  <c r="W269" i="5"/>
  <c r="Q269" i="5"/>
  <c r="R269" i="5" s="1"/>
  <c r="S269" i="5" s="1"/>
  <c r="P269" i="5"/>
  <c r="J269" i="5"/>
  <c r="W268" i="5"/>
  <c r="Q268" i="5"/>
  <c r="R268" i="5" s="1"/>
  <c r="S268" i="5" s="1"/>
  <c r="P268" i="5"/>
  <c r="J268" i="5"/>
  <c r="W267" i="5"/>
  <c r="Q267" i="5"/>
  <c r="R267" i="5" s="1"/>
  <c r="S267" i="5" s="1"/>
  <c r="P267" i="5"/>
  <c r="J267" i="5"/>
  <c r="W266" i="5"/>
  <c r="Q266" i="5"/>
  <c r="R266" i="5" s="1"/>
  <c r="S266" i="5" s="1"/>
  <c r="P266" i="5"/>
  <c r="J266" i="5"/>
  <c r="W265" i="5"/>
  <c r="Q265" i="5"/>
  <c r="R265" i="5" s="1"/>
  <c r="S265" i="5" s="1"/>
  <c r="P265" i="5"/>
  <c r="J265" i="5"/>
  <c r="W264" i="5"/>
  <c r="Q264" i="5"/>
  <c r="R264" i="5" s="1"/>
  <c r="S264" i="5" s="1"/>
  <c r="P264" i="5"/>
  <c r="J264" i="5"/>
  <c r="W263" i="5"/>
  <c r="R263" i="5"/>
  <c r="S263" i="5" s="1"/>
  <c r="Q263" i="5"/>
  <c r="P263" i="5"/>
  <c r="J263" i="5"/>
  <c r="W262" i="5"/>
  <c r="Q262" i="5"/>
  <c r="R262" i="5" s="1"/>
  <c r="S262" i="5" s="1"/>
  <c r="P262" i="5"/>
  <c r="J262" i="5"/>
  <c r="W261" i="5"/>
  <c r="Q261" i="5"/>
  <c r="R261" i="5" s="1"/>
  <c r="S261" i="5" s="1"/>
  <c r="P261" i="5"/>
  <c r="J261" i="5"/>
  <c r="W260" i="5"/>
  <c r="Q260" i="5"/>
  <c r="R260" i="5" s="1"/>
  <c r="S260" i="5" s="1"/>
  <c r="P260" i="5"/>
  <c r="J260" i="5"/>
  <c r="W259" i="5"/>
  <c r="Q259" i="5"/>
  <c r="R259" i="5" s="1"/>
  <c r="S259" i="5" s="1"/>
  <c r="P259" i="5"/>
  <c r="J259" i="5"/>
  <c r="W258" i="5"/>
  <c r="Q258" i="5"/>
  <c r="R258" i="5" s="1"/>
  <c r="S258" i="5" s="1"/>
  <c r="P258" i="5"/>
  <c r="J258" i="5"/>
  <c r="W257" i="5"/>
  <c r="Q257" i="5"/>
  <c r="R257" i="5" s="1"/>
  <c r="S257" i="5" s="1"/>
  <c r="P257" i="5"/>
  <c r="J257" i="5"/>
  <c r="W256" i="5"/>
  <c r="Q256" i="5"/>
  <c r="R256" i="5" s="1"/>
  <c r="S256" i="5" s="1"/>
  <c r="P256" i="5"/>
  <c r="J256" i="5"/>
  <c r="W255" i="5"/>
  <c r="R255" i="5"/>
  <c r="S255" i="5" s="1"/>
  <c r="Q255" i="5"/>
  <c r="P255" i="5"/>
  <c r="J255" i="5"/>
  <c r="W254" i="5"/>
  <c r="Q254" i="5"/>
  <c r="R254" i="5" s="1"/>
  <c r="S254" i="5" s="1"/>
  <c r="P254" i="5"/>
  <c r="J254" i="5"/>
  <c r="W253" i="5"/>
  <c r="Q253" i="5"/>
  <c r="R253" i="5" s="1"/>
  <c r="S253" i="5" s="1"/>
  <c r="P253" i="5"/>
  <c r="J253" i="5"/>
  <c r="W252" i="5"/>
  <c r="Q252" i="5"/>
  <c r="R252" i="5" s="1"/>
  <c r="S252" i="5" s="1"/>
  <c r="P252" i="5"/>
  <c r="J252" i="5"/>
  <c r="W251" i="5"/>
  <c r="Q251" i="5"/>
  <c r="R251" i="5" s="1"/>
  <c r="S251" i="5" s="1"/>
  <c r="P251" i="5"/>
  <c r="J251" i="5"/>
  <c r="W250" i="5"/>
  <c r="Q250" i="5"/>
  <c r="R250" i="5" s="1"/>
  <c r="S250" i="5" s="1"/>
  <c r="P250" i="5"/>
  <c r="J250" i="5"/>
  <c r="W249" i="5"/>
  <c r="Q249" i="5"/>
  <c r="R249" i="5" s="1"/>
  <c r="S249" i="5" s="1"/>
  <c r="P249" i="5"/>
  <c r="J249" i="5"/>
  <c r="W248" i="5"/>
  <c r="Q248" i="5"/>
  <c r="R248" i="5" s="1"/>
  <c r="S248" i="5" s="1"/>
  <c r="P248" i="5"/>
  <c r="J248" i="5"/>
  <c r="W247" i="5"/>
  <c r="R247" i="5"/>
  <c r="S247" i="5" s="1"/>
  <c r="Q247" i="5"/>
  <c r="P247" i="5"/>
  <c r="J247" i="5"/>
  <c r="W246" i="5"/>
  <c r="Q246" i="5"/>
  <c r="R246" i="5" s="1"/>
  <c r="S246" i="5" s="1"/>
  <c r="P246" i="5"/>
  <c r="J246" i="5"/>
  <c r="W245" i="5"/>
  <c r="Q245" i="5"/>
  <c r="R245" i="5" s="1"/>
  <c r="S245" i="5" s="1"/>
  <c r="P245" i="5"/>
  <c r="J245" i="5"/>
  <c r="W244" i="5"/>
  <c r="Q244" i="5"/>
  <c r="R244" i="5" s="1"/>
  <c r="S244" i="5" s="1"/>
  <c r="P244" i="5"/>
  <c r="J244" i="5"/>
  <c r="W243" i="5"/>
  <c r="Q243" i="5"/>
  <c r="R243" i="5" s="1"/>
  <c r="S243" i="5" s="1"/>
  <c r="P243" i="5"/>
  <c r="J243" i="5"/>
  <c r="W242" i="5"/>
  <c r="Q242" i="5"/>
  <c r="R242" i="5" s="1"/>
  <c r="S242" i="5" s="1"/>
  <c r="P242" i="5"/>
  <c r="J242" i="5"/>
  <c r="W241" i="5"/>
  <c r="Q241" i="5"/>
  <c r="R241" i="5" s="1"/>
  <c r="S241" i="5" s="1"/>
  <c r="P241" i="5"/>
  <c r="J241" i="5"/>
  <c r="W240" i="5"/>
  <c r="Q240" i="5"/>
  <c r="R240" i="5" s="1"/>
  <c r="S240" i="5" s="1"/>
  <c r="P240" i="5"/>
  <c r="J240" i="5"/>
  <c r="W239" i="5"/>
  <c r="R239" i="5"/>
  <c r="S239" i="5" s="1"/>
  <c r="Q239" i="5"/>
  <c r="P239" i="5"/>
  <c r="J239" i="5"/>
  <c r="W238" i="5"/>
  <c r="Q238" i="5"/>
  <c r="R238" i="5" s="1"/>
  <c r="S238" i="5" s="1"/>
  <c r="P238" i="5"/>
  <c r="J238" i="5"/>
  <c r="W237" i="5"/>
  <c r="Q237" i="5"/>
  <c r="R237" i="5" s="1"/>
  <c r="S237" i="5" s="1"/>
  <c r="P237" i="5"/>
  <c r="J237" i="5"/>
  <c r="W236" i="5"/>
  <c r="Q236" i="5"/>
  <c r="R236" i="5" s="1"/>
  <c r="S236" i="5" s="1"/>
  <c r="P236" i="5"/>
  <c r="J236" i="5"/>
  <c r="W235" i="5"/>
  <c r="Q235" i="5"/>
  <c r="R235" i="5" s="1"/>
  <c r="S235" i="5" s="1"/>
  <c r="P235" i="5"/>
  <c r="J235" i="5"/>
  <c r="W234" i="5"/>
  <c r="Q234" i="5"/>
  <c r="R234" i="5" s="1"/>
  <c r="S234" i="5" s="1"/>
  <c r="P234" i="5"/>
  <c r="J234" i="5"/>
  <c r="W233" i="5"/>
  <c r="Q233" i="5"/>
  <c r="R233" i="5" s="1"/>
  <c r="S233" i="5" s="1"/>
  <c r="P233" i="5"/>
  <c r="J233" i="5"/>
  <c r="W232" i="5"/>
  <c r="Q232" i="5"/>
  <c r="R232" i="5" s="1"/>
  <c r="S232" i="5" s="1"/>
  <c r="P232" i="5"/>
  <c r="J232" i="5"/>
  <c r="W231" i="5"/>
  <c r="R231" i="5"/>
  <c r="S231" i="5" s="1"/>
  <c r="Q231" i="5"/>
  <c r="P231" i="5"/>
  <c r="J231" i="5"/>
  <c r="W230" i="5"/>
  <c r="Q230" i="5"/>
  <c r="R230" i="5" s="1"/>
  <c r="S230" i="5" s="1"/>
  <c r="P230" i="5"/>
  <c r="J230" i="5"/>
  <c r="W229" i="5"/>
  <c r="Q229" i="5"/>
  <c r="R229" i="5" s="1"/>
  <c r="S229" i="5" s="1"/>
  <c r="P229" i="5"/>
  <c r="J229" i="5"/>
  <c r="W228" i="5"/>
  <c r="Q228" i="5"/>
  <c r="R228" i="5" s="1"/>
  <c r="S228" i="5" s="1"/>
  <c r="P228" i="5"/>
  <c r="J228" i="5"/>
  <c r="W227" i="5"/>
  <c r="Q227" i="5"/>
  <c r="R227" i="5" s="1"/>
  <c r="S227" i="5" s="1"/>
  <c r="P227" i="5"/>
  <c r="J227" i="5"/>
  <c r="W226" i="5"/>
  <c r="Q226" i="5"/>
  <c r="R226" i="5" s="1"/>
  <c r="S226" i="5" s="1"/>
  <c r="P226" i="5"/>
  <c r="J226" i="5"/>
  <c r="W225" i="5"/>
  <c r="Q225" i="5"/>
  <c r="R225" i="5" s="1"/>
  <c r="S225" i="5" s="1"/>
  <c r="P225" i="5"/>
  <c r="J225" i="5"/>
  <c r="W224" i="5"/>
  <c r="Q224" i="5"/>
  <c r="R224" i="5" s="1"/>
  <c r="S224" i="5" s="1"/>
  <c r="P224" i="5"/>
  <c r="J224" i="5"/>
  <c r="W223" i="5"/>
  <c r="R223" i="5"/>
  <c r="S223" i="5" s="1"/>
  <c r="Q223" i="5"/>
  <c r="P223" i="5"/>
  <c r="J223" i="5"/>
  <c r="W222" i="5"/>
  <c r="Q222" i="5"/>
  <c r="R222" i="5" s="1"/>
  <c r="S222" i="5" s="1"/>
  <c r="P222" i="5"/>
  <c r="J222" i="5"/>
  <c r="W221" i="5"/>
  <c r="Q221" i="5"/>
  <c r="R221" i="5" s="1"/>
  <c r="S221" i="5" s="1"/>
  <c r="P221" i="5"/>
  <c r="J221" i="5"/>
  <c r="W220" i="5"/>
  <c r="Q220" i="5"/>
  <c r="R220" i="5" s="1"/>
  <c r="S220" i="5" s="1"/>
  <c r="P220" i="5"/>
  <c r="J220" i="5"/>
  <c r="W219" i="5"/>
  <c r="Q219" i="5"/>
  <c r="R219" i="5" s="1"/>
  <c r="S219" i="5" s="1"/>
  <c r="P219" i="5"/>
  <c r="J219" i="5"/>
  <c r="W218" i="5"/>
  <c r="Q218" i="5"/>
  <c r="R218" i="5" s="1"/>
  <c r="S218" i="5" s="1"/>
  <c r="P218" i="5"/>
  <c r="J218" i="5"/>
  <c r="W217" i="5"/>
  <c r="Q217" i="5"/>
  <c r="R217" i="5" s="1"/>
  <c r="S217" i="5" s="1"/>
  <c r="P217" i="5"/>
  <c r="J217" i="5"/>
  <c r="W216" i="5"/>
  <c r="Q216" i="5"/>
  <c r="R216" i="5" s="1"/>
  <c r="S216" i="5" s="1"/>
  <c r="P216" i="5"/>
  <c r="J216" i="5"/>
  <c r="W215" i="5"/>
  <c r="Q215" i="5"/>
  <c r="R215" i="5" s="1"/>
  <c r="S215" i="5" s="1"/>
  <c r="P215" i="5"/>
  <c r="J215" i="5"/>
  <c r="W214" i="5"/>
  <c r="Q214" i="5"/>
  <c r="R214" i="5" s="1"/>
  <c r="S214" i="5" s="1"/>
  <c r="P214" i="5"/>
  <c r="J214" i="5"/>
  <c r="W213" i="5"/>
  <c r="Q213" i="5"/>
  <c r="R213" i="5" s="1"/>
  <c r="S213" i="5" s="1"/>
  <c r="P213" i="5"/>
  <c r="J213" i="5"/>
  <c r="W212" i="5"/>
  <c r="Q212" i="5"/>
  <c r="R212" i="5" s="1"/>
  <c r="S212" i="5" s="1"/>
  <c r="P212" i="5"/>
  <c r="J212" i="5"/>
  <c r="W211" i="5"/>
  <c r="Q211" i="5"/>
  <c r="R211" i="5" s="1"/>
  <c r="S211" i="5" s="1"/>
  <c r="P211" i="5"/>
  <c r="J211" i="5"/>
  <c r="W210" i="5"/>
  <c r="Q210" i="5"/>
  <c r="R210" i="5" s="1"/>
  <c r="S210" i="5" s="1"/>
  <c r="P210" i="5"/>
  <c r="J210" i="5"/>
  <c r="W209" i="5"/>
  <c r="Q209" i="5"/>
  <c r="R209" i="5" s="1"/>
  <c r="S209" i="5" s="1"/>
  <c r="P209" i="5"/>
  <c r="J209" i="5"/>
  <c r="W208" i="5"/>
  <c r="Q208" i="5"/>
  <c r="R208" i="5" s="1"/>
  <c r="S208" i="5" s="1"/>
  <c r="P208" i="5"/>
  <c r="J208" i="5"/>
  <c r="W207" i="5"/>
  <c r="Q207" i="5"/>
  <c r="R207" i="5" s="1"/>
  <c r="S207" i="5" s="1"/>
  <c r="P207" i="5"/>
  <c r="J207" i="5"/>
  <c r="W206" i="5"/>
  <c r="R206" i="5"/>
  <c r="S206" i="5" s="1"/>
  <c r="Q206" i="5"/>
  <c r="P206" i="5"/>
  <c r="J206" i="5"/>
  <c r="W205" i="5"/>
  <c r="Q205" i="5"/>
  <c r="R205" i="5" s="1"/>
  <c r="S205" i="5" s="1"/>
  <c r="P205" i="5"/>
  <c r="J205" i="5"/>
  <c r="W204" i="5"/>
  <c r="Q204" i="5"/>
  <c r="R204" i="5" s="1"/>
  <c r="S204" i="5" s="1"/>
  <c r="P204" i="5"/>
  <c r="J204" i="5"/>
  <c r="W203" i="5"/>
  <c r="Q203" i="5"/>
  <c r="R203" i="5" s="1"/>
  <c r="S203" i="5" s="1"/>
  <c r="P203" i="5"/>
  <c r="J203" i="5"/>
  <c r="W202" i="5"/>
  <c r="Q202" i="5"/>
  <c r="R202" i="5" s="1"/>
  <c r="S202" i="5" s="1"/>
  <c r="P202" i="5"/>
  <c r="J202" i="5"/>
  <c r="W201" i="5"/>
  <c r="Q201" i="5"/>
  <c r="R201" i="5" s="1"/>
  <c r="S201" i="5" s="1"/>
  <c r="P201" i="5"/>
  <c r="J201" i="5"/>
  <c r="W200" i="5"/>
  <c r="Q200" i="5"/>
  <c r="R200" i="5" s="1"/>
  <c r="S200" i="5" s="1"/>
  <c r="P200" i="5"/>
  <c r="J200" i="5"/>
  <c r="W199" i="5"/>
  <c r="Q199" i="5"/>
  <c r="R199" i="5" s="1"/>
  <c r="S199" i="5" s="1"/>
  <c r="P199" i="5"/>
  <c r="J199" i="5"/>
  <c r="W198" i="5"/>
  <c r="R198" i="5"/>
  <c r="S198" i="5" s="1"/>
  <c r="Q198" i="5"/>
  <c r="P198" i="5"/>
  <c r="J198" i="5"/>
  <c r="W197" i="5"/>
  <c r="Q197" i="5"/>
  <c r="R197" i="5" s="1"/>
  <c r="S197" i="5" s="1"/>
  <c r="P197" i="5"/>
  <c r="J197" i="5"/>
  <c r="W196" i="5"/>
  <c r="Q196" i="5"/>
  <c r="R196" i="5" s="1"/>
  <c r="S196" i="5" s="1"/>
  <c r="P196" i="5"/>
  <c r="J196" i="5"/>
  <c r="W195" i="5"/>
  <c r="Q195" i="5"/>
  <c r="R195" i="5" s="1"/>
  <c r="S195" i="5" s="1"/>
  <c r="P195" i="5"/>
  <c r="J195" i="5"/>
  <c r="W194" i="5"/>
  <c r="Q194" i="5"/>
  <c r="R194" i="5" s="1"/>
  <c r="S194" i="5" s="1"/>
  <c r="P194" i="5"/>
  <c r="J194" i="5"/>
  <c r="W193" i="5"/>
  <c r="Q193" i="5"/>
  <c r="R193" i="5" s="1"/>
  <c r="S193" i="5" s="1"/>
  <c r="P193" i="5"/>
  <c r="J193" i="5"/>
  <c r="W192" i="5"/>
  <c r="Q192" i="5"/>
  <c r="R192" i="5" s="1"/>
  <c r="S192" i="5" s="1"/>
  <c r="P192" i="5"/>
  <c r="J192" i="5"/>
  <c r="W191" i="5"/>
  <c r="Q191" i="5"/>
  <c r="R191" i="5" s="1"/>
  <c r="S191" i="5" s="1"/>
  <c r="P191" i="5"/>
  <c r="J191" i="5"/>
  <c r="W190" i="5"/>
  <c r="R190" i="5"/>
  <c r="S190" i="5" s="1"/>
  <c r="Q190" i="5"/>
  <c r="P190" i="5"/>
  <c r="J190" i="5"/>
  <c r="W189" i="5"/>
  <c r="Q189" i="5"/>
  <c r="R189" i="5" s="1"/>
  <c r="S189" i="5" s="1"/>
  <c r="P189" i="5"/>
  <c r="J189" i="5"/>
  <c r="W188" i="5"/>
  <c r="Q188" i="5"/>
  <c r="R188" i="5" s="1"/>
  <c r="S188" i="5" s="1"/>
  <c r="P188" i="5"/>
  <c r="J188" i="5"/>
  <c r="W187" i="5"/>
  <c r="Q187" i="5"/>
  <c r="R187" i="5" s="1"/>
  <c r="S187" i="5" s="1"/>
  <c r="P187" i="5"/>
  <c r="J187" i="5"/>
  <c r="W186" i="5"/>
  <c r="Q186" i="5"/>
  <c r="R186" i="5" s="1"/>
  <c r="S186" i="5" s="1"/>
  <c r="P186" i="5"/>
  <c r="J186" i="5"/>
  <c r="W185" i="5"/>
  <c r="Q185" i="5"/>
  <c r="R185" i="5" s="1"/>
  <c r="S185" i="5" s="1"/>
  <c r="P185" i="5"/>
  <c r="J185" i="5"/>
  <c r="W184" i="5"/>
  <c r="Q184" i="5"/>
  <c r="R184" i="5" s="1"/>
  <c r="S184" i="5" s="1"/>
  <c r="P184" i="5"/>
  <c r="J184" i="5"/>
  <c r="W183" i="5"/>
  <c r="Q183" i="5"/>
  <c r="R183" i="5" s="1"/>
  <c r="S183" i="5" s="1"/>
  <c r="P183" i="5"/>
  <c r="J183" i="5"/>
  <c r="W182" i="5"/>
  <c r="R182" i="5"/>
  <c r="S182" i="5" s="1"/>
  <c r="Q182" i="5"/>
  <c r="P182" i="5"/>
  <c r="J182" i="5"/>
  <c r="W181" i="5"/>
  <c r="Q181" i="5"/>
  <c r="R181" i="5" s="1"/>
  <c r="S181" i="5" s="1"/>
  <c r="P181" i="5"/>
  <c r="J181" i="5"/>
  <c r="W180" i="5"/>
  <c r="Q180" i="5"/>
  <c r="R180" i="5" s="1"/>
  <c r="S180" i="5" s="1"/>
  <c r="P180" i="5"/>
  <c r="J180" i="5"/>
  <c r="W179" i="5"/>
  <c r="Q179" i="5"/>
  <c r="R179" i="5" s="1"/>
  <c r="S179" i="5" s="1"/>
  <c r="P179" i="5"/>
  <c r="J179" i="5"/>
  <c r="W178" i="5"/>
  <c r="Q178" i="5"/>
  <c r="R178" i="5" s="1"/>
  <c r="S178" i="5" s="1"/>
  <c r="P178" i="5"/>
  <c r="J178" i="5"/>
  <c r="W177" i="5"/>
  <c r="Q177" i="5"/>
  <c r="R177" i="5" s="1"/>
  <c r="S177" i="5" s="1"/>
  <c r="P177" i="5"/>
  <c r="J177" i="5"/>
  <c r="W176" i="5"/>
  <c r="Q176" i="5"/>
  <c r="R176" i="5" s="1"/>
  <c r="S176" i="5" s="1"/>
  <c r="P176" i="5"/>
  <c r="J176" i="5"/>
  <c r="W175" i="5"/>
  <c r="Q175" i="5"/>
  <c r="R175" i="5" s="1"/>
  <c r="S175" i="5" s="1"/>
  <c r="P175" i="5"/>
  <c r="J175" i="5"/>
  <c r="W174" i="5"/>
  <c r="R174" i="5"/>
  <c r="S174" i="5" s="1"/>
  <c r="Q174" i="5"/>
  <c r="P174" i="5"/>
  <c r="J174" i="5"/>
  <c r="W173" i="5"/>
  <c r="Q173" i="5"/>
  <c r="R173" i="5" s="1"/>
  <c r="S173" i="5" s="1"/>
  <c r="P173" i="5"/>
  <c r="J173" i="5"/>
  <c r="W172" i="5"/>
  <c r="Q172" i="5"/>
  <c r="R172" i="5" s="1"/>
  <c r="S172" i="5" s="1"/>
  <c r="P172" i="5"/>
  <c r="J172" i="5"/>
  <c r="W171" i="5"/>
  <c r="Q171" i="5"/>
  <c r="R171" i="5" s="1"/>
  <c r="S171" i="5" s="1"/>
  <c r="P171" i="5"/>
  <c r="J171" i="5"/>
  <c r="W170" i="5"/>
  <c r="Q170" i="5"/>
  <c r="R170" i="5" s="1"/>
  <c r="S170" i="5" s="1"/>
  <c r="P170" i="5"/>
  <c r="J170" i="5"/>
  <c r="W169" i="5"/>
  <c r="Q169" i="5"/>
  <c r="R169" i="5" s="1"/>
  <c r="S169" i="5" s="1"/>
  <c r="P169" i="5"/>
  <c r="J169" i="5"/>
  <c r="W168" i="5"/>
  <c r="Q168" i="5"/>
  <c r="R168" i="5" s="1"/>
  <c r="S168" i="5" s="1"/>
  <c r="P168" i="5"/>
  <c r="J168" i="5"/>
  <c r="W167" i="5"/>
  <c r="Q167" i="5"/>
  <c r="R167" i="5" s="1"/>
  <c r="S167" i="5" s="1"/>
  <c r="P167" i="5"/>
  <c r="J167" i="5"/>
  <c r="W166" i="5"/>
  <c r="R166" i="5"/>
  <c r="S166" i="5" s="1"/>
  <c r="Q166" i="5"/>
  <c r="P166" i="5"/>
  <c r="J166" i="5"/>
  <c r="W165" i="5"/>
  <c r="Q165" i="5"/>
  <c r="R165" i="5" s="1"/>
  <c r="S165" i="5" s="1"/>
  <c r="P165" i="5"/>
  <c r="J165" i="5"/>
  <c r="W164" i="5"/>
  <c r="Q164" i="5"/>
  <c r="R164" i="5" s="1"/>
  <c r="S164" i="5" s="1"/>
  <c r="P164" i="5"/>
  <c r="J164" i="5"/>
  <c r="W163" i="5"/>
  <c r="Q163" i="5"/>
  <c r="R163" i="5" s="1"/>
  <c r="S163" i="5" s="1"/>
  <c r="P163" i="5"/>
  <c r="J163" i="5"/>
  <c r="W162" i="5"/>
  <c r="Q162" i="5"/>
  <c r="R162" i="5" s="1"/>
  <c r="S162" i="5" s="1"/>
  <c r="P162" i="5"/>
  <c r="J162" i="5"/>
  <c r="W161" i="5"/>
  <c r="Q161" i="5"/>
  <c r="R161" i="5" s="1"/>
  <c r="S161" i="5" s="1"/>
  <c r="P161" i="5"/>
  <c r="J161" i="5"/>
  <c r="W160" i="5"/>
  <c r="Q160" i="5"/>
  <c r="R160" i="5" s="1"/>
  <c r="S160" i="5" s="1"/>
  <c r="P160" i="5"/>
  <c r="J160" i="5"/>
  <c r="W159" i="5"/>
  <c r="Q159" i="5"/>
  <c r="R159" i="5" s="1"/>
  <c r="S159" i="5" s="1"/>
  <c r="P159" i="5"/>
  <c r="J159" i="5"/>
  <c r="W158" i="5"/>
  <c r="R158" i="5"/>
  <c r="S158" i="5" s="1"/>
  <c r="Q158" i="5"/>
  <c r="P158" i="5"/>
  <c r="J158" i="5"/>
  <c r="W157" i="5"/>
  <c r="Q157" i="5"/>
  <c r="R157" i="5" s="1"/>
  <c r="S157" i="5" s="1"/>
  <c r="P157" i="5"/>
  <c r="J157" i="5"/>
  <c r="W156" i="5"/>
  <c r="Q156" i="5"/>
  <c r="R156" i="5" s="1"/>
  <c r="S156" i="5" s="1"/>
  <c r="P156" i="5"/>
  <c r="J156" i="5"/>
  <c r="W155" i="5"/>
  <c r="Q155" i="5"/>
  <c r="R155" i="5" s="1"/>
  <c r="S155" i="5" s="1"/>
  <c r="P155" i="5"/>
  <c r="J155" i="5"/>
  <c r="W154" i="5"/>
  <c r="Q154" i="5"/>
  <c r="R154" i="5" s="1"/>
  <c r="S154" i="5" s="1"/>
  <c r="P154" i="5"/>
  <c r="J154" i="5"/>
  <c r="W153" i="5"/>
  <c r="Q153" i="5"/>
  <c r="R153" i="5" s="1"/>
  <c r="S153" i="5" s="1"/>
  <c r="P153" i="5"/>
  <c r="J153" i="5"/>
  <c r="W152" i="5"/>
  <c r="Q152" i="5"/>
  <c r="R152" i="5" s="1"/>
  <c r="S152" i="5" s="1"/>
  <c r="P152" i="5"/>
  <c r="J152" i="5"/>
  <c r="W151" i="5"/>
  <c r="Q151" i="5"/>
  <c r="R151" i="5" s="1"/>
  <c r="S151" i="5" s="1"/>
  <c r="P151" i="5"/>
  <c r="J151" i="5"/>
  <c r="W150" i="5"/>
  <c r="R150" i="5"/>
  <c r="S150" i="5" s="1"/>
  <c r="Q150" i="5"/>
  <c r="P150" i="5"/>
  <c r="J150" i="5"/>
  <c r="W149" i="5"/>
  <c r="Q149" i="5"/>
  <c r="R149" i="5" s="1"/>
  <c r="S149" i="5" s="1"/>
  <c r="P149" i="5"/>
  <c r="J149" i="5"/>
  <c r="W148" i="5"/>
  <c r="Q148" i="5"/>
  <c r="R148" i="5" s="1"/>
  <c r="S148" i="5" s="1"/>
  <c r="P148" i="5"/>
  <c r="J148" i="5"/>
  <c r="W147" i="5"/>
  <c r="Q147" i="5"/>
  <c r="R147" i="5" s="1"/>
  <c r="S147" i="5" s="1"/>
  <c r="P147" i="5"/>
  <c r="J147" i="5"/>
  <c r="W146" i="5"/>
  <c r="Q146" i="5"/>
  <c r="R146" i="5" s="1"/>
  <c r="S146" i="5" s="1"/>
  <c r="P146" i="5"/>
  <c r="J146" i="5"/>
  <c r="W145" i="5"/>
  <c r="Q145" i="5"/>
  <c r="R145" i="5" s="1"/>
  <c r="S145" i="5" s="1"/>
  <c r="P145" i="5"/>
  <c r="J145" i="5"/>
  <c r="W144" i="5"/>
  <c r="Q144" i="5"/>
  <c r="R144" i="5" s="1"/>
  <c r="S144" i="5" s="1"/>
  <c r="P144" i="5"/>
  <c r="J144" i="5"/>
  <c r="W143" i="5"/>
  <c r="Q143" i="5"/>
  <c r="R143" i="5" s="1"/>
  <c r="S143" i="5" s="1"/>
  <c r="P143" i="5"/>
  <c r="J143" i="5"/>
  <c r="W142" i="5"/>
  <c r="R142" i="5"/>
  <c r="S142" i="5" s="1"/>
  <c r="Q142" i="5"/>
  <c r="P142" i="5"/>
  <c r="J142" i="5"/>
  <c r="W141" i="5"/>
  <c r="Q141" i="5"/>
  <c r="R141" i="5" s="1"/>
  <c r="S141" i="5" s="1"/>
  <c r="P141" i="5"/>
  <c r="J141" i="5"/>
  <c r="W140" i="5"/>
  <c r="Q140" i="5"/>
  <c r="R140" i="5" s="1"/>
  <c r="S140" i="5" s="1"/>
  <c r="P140" i="5"/>
  <c r="J140" i="5"/>
  <c r="W139" i="5"/>
  <c r="Q139" i="5"/>
  <c r="R139" i="5" s="1"/>
  <c r="S139" i="5" s="1"/>
  <c r="P139" i="5"/>
  <c r="J139" i="5"/>
  <c r="W138" i="5"/>
  <c r="Q138" i="5"/>
  <c r="R138" i="5" s="1"/>
  <c r="S138" i="5" s="1"/>
  <c r="P138" i="5"/>
  <c r="J138" i="5"/>
  <c r="W137" i="5"/>
  <c r="Q137" i="5"/>
  <c r="R137" i="5" s="1"/>
  <c r="S137" i="5" s="1"/>
  <c r="P137" i="5"/>
  <c r="J137" i="5"/>
  <c r="W136" i="5"/>
  <c r="Q136" i="5"/>
  <c r="R136" i="5" s="1"/>
  <c r="S136" i="5" s="1"/>
  <c r="P136" i="5"/>
  <c r="J136" i="5"/>
  <c r="W135" i="5"/>
  <c r="Q135" i="5"/>
  <c r="R135" i="5" s="1"/>
  <c r="S135" i="5" s="1"/>
  <c r="P135" i="5"/>
  <c r="J135" i="5"/>
  <c r="W134" i="5"/>
  <c r="R134" i="5"/>
  <c r="S134" i="5" s="1"/>
  <c r="Q134" i="5"/>
  <c r="P134" i="5"/>
  <c r="J134" i="5"/>
  <c r="W133" i="5"/>
  <c r="Q133" i="5"/>
  <c r="R133" i="5" s="1"/>
  <c r="S133" i="5" s="1"/>
  <c r="P133" i="5"/>
  <c r="J133" i="5"/>
  <c r="W132" i="5"/>
  <c r="Q132" i="5"/>
  <c r="R132" i="5" s="1"/>
  <c r="S132" i="5" s="1"/>
  <c r="P132" i="5"/>
  <c r="J132" i="5"/>
  <c r="W131" i="5"/>
  <c r="Q131" i="5"/>
  <c r="R131" i="5" s="1"/>
  <c r="S131" i="5" s="1"/>
  <c r="P131" i="5"/>
  <c r="J131" i="5"/>
  <c r="W130" i="5"/>
  <c r="Q130" i="5"/>
  <c r="R130" i="5" s="1"/>
  <c r="S130" i="5" s="1"/>
  <c r="P130" i="5"/>
  <c r="J130" i="5"/>
  <c r="W129" i="5"/>
  <c r="Q129" i="5"/>
  <c r="R129" i="5" s="1"/>
  <c r="S129" i="5" s="1"/>
  <c r="P129" i="5"/>
  <c r="J129" i="5"/>
  <c r="W128" i="5"/>
  <c r="Q128" i="5"/>
  <c r="R128" i="5" s="1"/>
  <c r="S128" i="5" s="1"/>
  <c r="P128" i="5"/>
  <c r="J128" i="5"/>
  <c r="W127" i="5"/>
  <c r="Q127" i="5"/>
  <c r="R127" i="5" s="1"/>
  <c r="S127" i="5" s="1"/>
  <c r="P127" i="5"/>
  <c r="J127" i="5"/>
  <c r="W126" i="5"/>
  <c r="R126" i="5"/>
  <c r="S126" i="5" s="1"/>
  <c r="Q126" i="5"/>
  <c r="P126" i="5"/>
  <c r="J126" i="5"/>
  <c r="W125" i="5"/>
  <c r="Q125" i="5"/>
  <c r="R125" i="5" s="1"/>
  <c r="S125" i="5" s="1"/>
  <c r="P125" i="5"/>
  <c r="J125" i="5"/>
  <c r="W124" i="5"/>
  <c r="Q124" i="5"/>
  <c r="R124" i="5" s="1"/>
  <c r="S124" i="5" s="1"/>
  <c r="P124" i="5"/>
  <c r="J124" i="5"/>
  <c r="W123" i="5"/>
  <c r="Q123" i="5"/>
  <c r="R123" i="5" s="1"/>
  <c r="S123" i="5" s="1"/>
  <c r="P123" i="5"/>
  <c r="J123" i="5"/>
  <c r="W122" i="5"/>
  <c r="Q122" i="5"/>
  <c r="R122" i="5" s="1"/>
  <c r="S122" i="5" s="1"/>
  <c r="P122" i="5"/>
  <c r="J122" i="5"/>
  <c r="W121" i="5"/>
  <c r="Q121" i="5"/>
  <c r="R121" i="5" s="1"/>
  <c r="S121" i="5" s="1"/>
  <c r="P121" i="5"/>
  <c r="J121" i="5"/>
  <c r="W120" i="5"/>
  <c r="Q120" i="5"/>
  <c r="R120" i="5" s="1"/>
  <c r="S120" i="5" s="1"/>
  <c r="P120" i="5"/>
  <c r="J120" i="5"/>
  <c r="W119" i="5"/>
  <c r="Q119" i="5"/>
  <c r="R119" i="5" s="1"/>
  <c r="S119" i="5" s="1"/>
  <c r="P119" i="5"/>
  <c r="J119" i="5"/>
  <c r="W118" i="5"/>
  <c r="R118" i="5"/>
  <c r="S118" i="5" s="1"/>
  <c r="Q118" i="5"/>
  <c r="P118" i="5"/>
  <c r="J118" i="5"/>
  <c r="W117" i="5"/>
  <c r="Q117" i="5"/>
  <c r="R117" i="5" s="1"/>
  <c r="S117" i="5" s="1"/>
  <c r="P117" i="5"/>
  <c r="J117" i="5"/>
  <c r="W116" i="5"/>
  <c r="Q116" i="5"/>
  <c r="R116" i="5" s="1"/>
  <c r="S116" i="5" s="1"/>
  <c r="P116" i="5"/>
  <c r="J116" i="5"/>
  <c r="W115" i="5"/>
  <c r="Q115" i="5"/>
  <c r="R115" i="5" s="1"/>
  <c r="S115" i="5" s="1"/>
  <c r="P115" i="5"/>
  <c r="J115" i="5"/>
  <c r="W114" i="5"/>
  <c r="Q114" i="5"/>
  <c r="R114" i="5" s="1"/>
  <c r="S114" i="5" s="1"/>
  <c r="P114" i="5"/>
  <c r="J114" i="5"/>
  <c r="W113" i="5"/>
  <c r="Q113" i="5"/>
  <c r="R113" i="5" s="1"/>
  <c r="S113" i="5" s="1"/>
  <c r="P113" i="5"/>
  <c r="J113" i="5"/>
  <c r="W112" i="5"/>
  <c r="Q112" i="5"/>
  <c r="R112" i="5" s="1"/>
  <c r="S112" i="5" s="1"/>
  <c r="P112" i="5"/>
  <c r="J112" i="5"/>
  <c r="W111" i="5"/>
  <c r="Q111" i="5"/>
  <c r="R111" i="5" s="1"/>
  <c r="S111" i="5" s="1"/>
  <c r="P111" i="5"/>
  <c r="J111" i="5"/>
  <c r="W110" i="5"/>
  <c r="R110" i="5"/>
  <c r="S110" i="5" s="1"/>
  <c r="Q110" i="5"/>
  <c r="P110" i="5"/>
  <c r="J110" i="5"/>
  <c r="W109" i="5"/>
  <c r="Q109" i="5"/>
  <c r="R109" i="5" s="1"/>
  <c r="S109" i="5" s="1"/>
  <c r="P109" i="5"/>
  <c r="J109" i="5"/>
  <c r="W108" i="5"/>
  <c r="Q108" i="5"/>
  <c r="R108" i="5" s="1"/>
  <c r="S108" i="5" s="1"/>
  <c r="P108" i="5"/>
  <c r="J108" i="5"/>
  <c r="W107" i="5"/>
  <c r="Q107" i="5"/>
  <c r="R107" i="5" s="1"/>
  <c r="S107" i="5" s="1"/>
  <c r="P107" i="5"/>
  <c r="J107" i="5"/>
  <c r="W106" i="5"/>
  <c r="Q106" i="5"/>
  <c r="R106" i="5" s="1"/>
  <c r="S106" i="5" s="1"/>
  <c r="P106" i="5"/>
  <c r="J106" i="5"/>
  <c r="W105" i="5"/>
  <c r="Q105" i="5"/>
  <c r="R105" i="5" s="1"/>
  <c r="S105" i="5" s="1"/>
  <c r="P105" i="5"/>
  <c r="J105" i="5"/>
  <c r="W104" i="5"/>
  <c r="Q104" i="5"/>
  <c r="R104" i="5" s="1"/>
  <c r="S104" i="5" s="1"/>
  <c r="P104" i="5"/>
  <c r="J104" i="5"/>
  <c r="W103" i="5"/>
  <c r="Q103" i="5"/>
  <c r="R103" i="5" s="1"/>
  <c r="S103" i="5" s="1"/>
  <c r="P103" i="5"/>
  <c r="J103" i="5"/>
  <c r="W102" i="5"/>
  <c r="R102" i="5"/>
  <c r="S102" i="5" s="1"/>
  <c r="Q102" i="5"/>
  <c r="P102" i="5"/>
  <c r="J102" i="5"/>
  <c r="W101" i="5"/>
  <c r="Q101" i="5"/>
  <c r="R101" i="5" s="1"/>
  <c r="S101" i="5" s="1"/>
  <c r="P101" i="5"/>
  <c r="J101" i="5"/>
  <c r="W100" i="5"/>
  <c r="Q100" i="5"/>
  <c r="R100" i="5" s="1"/>
  <c r="S100" i="5" s="1"/>
  <c r="P100" i="5"/>
  <c r="J100" i="5"/>
  <c r="W99" i="5"/>
  <c r="Q99" i="5"/>
  <c r="R99" i="5" s="1"/>
  <c r="S99" i="5" s="1"/>
  <c r="P99" i="5"/>
  <c r="J99" i="5"/>
  <c r="W98" i="5"/>
  <c r="Q98" i="5"/>
  <c r="R98" i="5" s="1"/>
  <c r="S98" i="5" s="1"/>
  <c r="P98" i="5"/>
  <c r="J98" i="5"/>
  <c r="W97" i="5"/>
  <c r="Q97" i="5"/>
  <c r="R97" i="5" s="1"/>
  <c r="S97" i="5" s="1"/>
  <c r="P97" i="5"/>
  <c r="J97" i="5"/>
  <c r="W96" i="5"/>
  <c r="Q96" i="5"/>
  <c r="R96" i="5" s="1"/>
  <c r="S96" i="5" s="1"/>
  <c r="P96" i="5"/>
  <c r="J96" i="5"/>
  <c r="W95" i="5"/>
  <c r="Q95" i="5"/>
  <c r="R95" i="5" s="1"/>
  <c r="S95" i="5" s="1"/>
  <c r="P95" i="5"/>
  <c r="J95" i="5"/>
  <c r="W94" i="5"/>
  <c r="R94" i="5"/>
  <c r="S94" i="5" s="1"/>
  <c r="Q94" i="5"/>
  <c r="P94" i="5"/>
  <c r="J94" i="5"/>
  <c r="W93" i="5"/>
  <c r="Q93" i="5"/>
  <c r="R93" i="5" s="1"/>
  <c r="S93" i="5" s="1"/>
  <c r="P93" i="5"/>
  <c r="J93" i="5"/>
  <c r="W92" i="5"/>
  <c r="Q92" i="5"/>
  <c r="R92" i="5" s="1"/>
  <c r="S92" i="5" s="1"/>
  <c r="P92" i="5"/>
  <c r="J92" i="5"/>
  <c r="W91" i="5"/>
  <c r="Q91" i="5"/>
  <c r="R91" i="5" s="1"/>
  <c r="S91" i="5" s="1"/>
  <c r="P91" i="5"/>
  <c r="J91" i="5"/>
  <c r="W90" i="5"/>
  <c r="Q90" i="5"/>
  <c r="R90" i="5" s="1"/>
  <c r="S90" i="5" s="1"/>
  <c r="P90" i="5"/>
  <c r="J90" i="5"/>
  <c r="W89" i="5"/>
  <c r="Q89" i="5"/>
  <c r="R89" i="5" s="1"/>
  <c r="S89" i="5" s="1"/>
  <c r="P89" i="5"/>
  <c r="J89" i="5"/>
  <c r="W88" i="5"/>
  <c r="Q88" i="5"/>
  <c r="R88" i="5" s="1"/>
  <c r="S88" i="5" s="1"/>
  <c r="P88" i="5"/>
  <c r="J88" i="5"/>
  <c r="W87" i="5"/>
  <c r="Q87" i="5"/>
  <c r="R87" i="5" s="1"/>
  <c r="S87" i="5" s="1"/>
  <c r="P87" i="5"/>
  <c r="J87" i="5"/>
  <c r="W86" i="5"/>
  <c r="R86" i="5"/>
  <c r="S86" i="5" s="1"/>
  <c r="Q86" i="5"/>
  <c r="P86" i="5"/>
  <c r="J86" i="5"/>
  <c r="W85" i="5"/>
  <c r="Q85" i="5"/>
  <c r="R85" i="5" s="1"/>
  <c r="S85" i="5" s="1"/>
  <c r="P85" i="5"/>
  <c r="J85" i="5"/>
  <c r="W84" i="5"/>
  <c r="Q84" i="5"/>
  <c r="R84" i="5" s="1"/>
  <c r="S84" i="5" s="1"/>
  <c r="P84" i="5"/>
  <c r="J84" i="5"/>
  <c r="W83" i="5"/>
  <c r="Q83" i="5"/>
  <c r="R83" i="5" s="1"/>
  <c r="S83" i="5" s="1"/>
  <c r="P83" i="5"/>
  <c r="J83" i="5"/>
  <c r="W82" i="5"/>
  <c r="Q82" i="5"/>
  <c r="R82" i="5" s="1"/>
  <c r="S82" i="5" s="1"/>
  <c r="P82" i="5"/>
  <c r="J82" i="5"/>
  <c r="W81" i="5"/>
  <c r="Q81" i="5"/>
  <c r="R81" i="5" s="1"/>
  <c r="S81" i="5" s="1"/>
  <c r="P81" i="5"/>
  <c r="J81" i="5"/>
  <c r="W80" i="5"/>
  <c r="Q80" i="5"/>
  <c r="R80" i="5" s="1"/>
  <c r="S80" i="5" s="1"/>
  <c r="P80" i="5"/>
  <c r="J80" i="5"/>
  <c r="W79" i="5"/>
  <c r="Q79" i="5"/>
  <c r="R79" i="5" s="1"/>
  <c r="S79" i="5" s="1"/>
  <c r="P79" i="5"/>
  <c r="J79" i="5"/>
  <c r="W78" i="5"/>
  <c r="R78" i="5"/>
  <c r="S78" i="5" s="1"/>
  <c r="Q78" i="5"/>
  <c r="P78" i="5"/>
  <c r="J78" i="5"/>
  <c r="W77" i="5"/>
  <c r="Q77" i="5"/>
  <c r="R77" i="5" s="1"/>
  <c r="S77" i="5" s="1"/>
  <c r="P77" i="5"/>
  <c r="J77" i="5"/>
  <c r="W76" i="5"/>
  <c r="Q76" i="5"/>
  <c r="R76" i="5" s="1"/>
  <c r="S76" i="5" s="1"/>
  <c r="P76" i="5"/>
  <c r="J76" i="5"/>
  <c r="W75" i="5"/>
  <c r="Q75" i="5"/>
  <c r="R75" i="5" s="1"/>
  <c r="S75" i="5" s="1"/>
  <c r="P75" i="5"/>
  <c r="J75" i="5"/>
  <c r="W74" i="5"/>
  <c r="Q74" i="5"/>
  <c r="R74" i="5" s="1"/>
  <c r="S74" i="5" s="1"/>
  <c r="P74" i="5"/>
  <c r="J74" i="5"/>
  <c r="W73" i="5"/>
  <c r="Q73" i="5"/>
  <c r="R73" i="5" s="1"/>
  <c r="S73" i="5" s="1"/>
  <c r="P73" i="5"/>
  <c r="J73" i="5"/>
  <c r="W72" i="5"/>
  <c r="Q72" i="5"/>
  <c r="R72" i="5" s="1"/>
  <c r="S72" i="5" s="1"/>
  <c r="P72" i="5"/>
  <c r="J72" i="5"/>
  <c r="W71" i="5"/>
  <c r="Q71" i="5"/>
  <c r="R71" i="5" s="1"/>
  <c r="S71" i="5" s="1"/>
  <c r="P71" i="5"/>
  <c r="J71" i="5"/>
  <c r="W70" i="5"/>
  <c r="R70" i="5"/>
  <c r="S70" i="5" s="1"/>
  <c r="Q70" i="5"/>
  <c r="P70" i="5"/>
  <c r="J70" i="5"/>
  <c r="W69" i="5"/>
  <c r="Q69" i="5"/>
  <c r="R69" i="5" s="1"/>
  <c r="S69" i="5" s="1"/>
  <c r="P69" i="5"/>
  <c r="J69" i="5"/>
  <c r="W68" i="5"/>
  <c r="Q68" i="5"/>
  <c r="R68" i="5" s="1"/>
  <c r="S68" i="5" s="1"/>
  <c r="P68" i="5"/>
  <c r="J68" i="5"/>
  <c r="W67" i="5"/>
  <c r="Q67" i="5"/>
  <c r="R67" i="5" s="1"/>
  <c r="S67" i="5" s="1"/>
  <c r="P67" i="5"/>
  <c r="J67" i="5"/>
  <c r="W66" i="5"/>
  <c r="Q66" i="5"/>
  <c r="R66" i="5" s="1"/>
  <c r="S66" i="5" s="1"/>
  <c r="P66" i="5"/>
  <c r="J66" i="5"/>
  <c r="W65" i="5"/>
  <c r="Q65" i="5"/>
  <c r="R65" i="5" s="1"/>
  <c r="S65" i="5" s="1"/>
  <c r="P65" i="5"/>
  <c r="J65" i="5"/>
  <c r="W64" i="5"/>
  <c r="Q64" i="5"/>
  <c r="R64" i="5" s="1"/>
  <c r="S64" i="5" s="1"/>
  <c r="P64" i="5"/>
  <c r="J64" i="5"/>
  <c r="W63" i="5"/>
  <c r="Q63" i="5"/>
  <c r="R63" i="5" s="1"/>
  <c r="S63" i="5" s="1"/>
  <c r="P63" i="5"/>
  <c r="J63" i="5"/>
  <c r="W62" i="5"/>
  <c r="R62" i="5"/>
  <c r="S62" i="5" s="1"/>
  <c r="Q62" i="5"/>
  <c r="P62" i="5"/>
  <c r="J62" i="5"/>
  <c r="W61" i="5"/>
  <c r="Q61" i="5"/>
  <c r="R61" i="5" s="1"/>
  <c r="S61" i="5" s="1"/>
  <c r="P61" i="5"/>
  <c r="J61" i="5"/>
  <c r="W60" i="5"/>
  <c r="Q60" i="5"/>
  <c r="R60" i="5" s="1"/>
  <c r="S60" i="5" s="1"/>
  <c r="P60" i="5"/>
  <c r="J60" i="5"/>
  <c r="W59" i="5"/>
  <c r="Q59" i="5"/>
  <c r="R59" i="5" s="1"/>
  <c r="S59" i="5" s="1"/>
  <c r="P59" i="5"/>
  <c r="J59" i="5"/>
  <c r="W58" i="5"/>
  <c r="Q58" i="5"/>
  <c r="R58" i="5" s="1"/>
  <c r="S58" i="5" s="1"/>
  <c r="P58" i="5"/>
  <c r="J58" i="5"/>
  <c r="W57" i="5"/>
  <c r="Q57" i="5"/>
  <c r="R57" i="5" s="1"/>
  <c r="S57" i="5" s="1"/>
  <c r="P57" i="5"/>
  <c r="J57" i="5"/>
  <c r="W56" i="5"/>
  <c r="Q56" i="5"/>
  <c r="R56" i="5" s="1"/>
  <c r="S56" i="5" s="1"/>
  <c r="P56" i="5"/>
  <c r="J56" i="5"/>
  <c r="W55" i="5"/>
  <c r="Q55" i="5"/>
  <c r="R55" i="5" s="1"/>
  <c r="S55" i="5" s="1"/>
  <c r="P55" i="5"/>
  <c r="J55" i="5"/>
  <c r="W54" i="5"/>
  <c r="R54" i="5"/>
  <c r="S54" i="5" s="1"/>
  <c r="Q54" i="5"/>
  <c r="P54" i="5"/>
  <c r="J54" i="5"/>
  <c r="W53" i="5"/>
  <c r="Q53" i="5"/>
  <c r="R53" i="5" s="1"/>
  <c r="S53" i="5" s="1"/>
  <c r="P53" i="5"/>
  <c r="J53" i="5"/>
  <c r="W52" i="5"/>
  <c r="Q52" i="5"/>
  <c r="R52" i="5" s="1"/>
  <c r="S52" i="5" s="1"/>
  <c r="P52" i="5"/>
  <c r="J52" i="5"/>
  <c r="W51" i="5"/>
  <c r="Q51" i="5"/>
  <c r="R51" i="5" s="1"/>
  <c r="S51" i="5" s="1"/>
  <c r="P51" i="5"/>
  <c r="J51" i="5"/>
  <c r="W50" i="5"/>
  <c r="Q50" i="5"/>
  <c r="R50" i="5" s="1"/>
  <c r="S50" i="5" s="1"/>
  <c r="P50" i="5"/>
  <c r="J50" i="5"/>
  <c r="W49" i="5"/>
  <c r="Q49" i="5"/>
  <c r="R49" i="5" s="1"/>
  <c r="S49" i="5" s="1"/>
  <c r="P49" i="5"/>
  <c r="J49" i="5"/>
  <c r="W48" i="5"/>
  <c r="Q48" i="5"/>
  <c r="R48" i="5" s="1"/>
  <c r="S48" i="5" s="1"/>
  <c r="P48" i="5"/>
  <c r="J48" i="5"/>
  <c r="W47" i="5"/>
  <c r="Q47" i="5"/>
  <c r="R47" i="5" s="1"/>
  <c r="S47" i="5" s="1"/>
  <c r="P47" i="5"/>
  <c r="J47" i="5"/>
  <c r="W46" i="5"/>
  <c r="R46" i="5"/>
  <c r="S46" i="5" s="1"/>
  <c r="Q46" i="5"/>
  <c r="P46" i="5"/>
  <c r="J46" i="5"/>
  <c r="W45" i="5"/>
  <c r="Q45" i="5"/>
  <c r="R45" i="5" s="1"/>
  <c r="S45" i="5" s="1"/>
  <c r="P45" i="5"/>
  <c r="J45" i="5"/>
  <c r="W44" i="5"/>
  <c r="Q44" i="5"/>
  <c r="R44" i="5" s="1"/>
  <c r="S44" i="5" s="1"/>
  <c r="P44" i="5"/>
  <c r="J44" i="5"/>
  <c r="W43" i="5"/>
  <c r="Q43" i="5"/>
  <c r="R43" i="5" s="1"/>
  <c r="S43" i="5" s="1"/>
  <c r="P43" i="5"/>
  <c r="J43" i="5"/>
  <c r="W42" i="5"/>
  <c r="Q42" i="5"/>
  <c r="R42" i="5" s="1"/>
  <c r="S42" i="5" s="1"/>
  <c r="P42" i="5"/>
  <c r="J42" i="5"/>
  <c r="W41" i="5"/>
  <c r="Q41" i="5"/>
  <c r="R41" i="5" s="1"/>
  <c r="S41" i="5" s="1"/>
  <c r="P41" i="5"/>
  <c r="J41" i="5"/>
  <c r="W40" i="5"/>
  <c r="Q40" i="5"/>
  <c r="R40" i="5" s="1"/>
  <c r="S40" i="5" s="1"/>
  <c r="P40" i="5"/>
  <c r="J40" i="5"/>
  <c r="W39" i="5"/>
  <c r="Q39" i="5"/>
  <c r="R39" i="5" s="1"/>
  <c r="S39" i="5" s="1"/>
  <c r="P39" i="5"/>
  <c r="J39" i="5"/>
  <c r="W38" i="5"/>
  <c r="R38" i="5"/>
  <c r="S38" i="5" s="1"/>
  <c r="Q38" i="5"/>
  <c r="P38" i="5"/>
  <c r="J38" i="5"/>
  <c r="W37" i="5"/>
  <c r="Q37" i="5"/>
  <c r="R37" i="5" s="1"/>
  <c r="S37" i="5" s="1"/>
  <c r="P37" i="5"/>
  <c r="J37" i="5"/>
  <c r="W36" i="5"/>
  <c r="Q36" i="5"/>
  <c r="R36" i="5" s="1"/>
  <c r="S36" i="5" s="1"/>
  <c r="P36" i="5"/>
  <c r="J36" i="5"/>
  <c r="W35" i="5"/>
  <c r="Q35" i="5"/>
  <c r="R35" i="5" s="1"/>
  <c r="S35" i="5" s="1"/>
  <c r="P35" i="5"/>
  <c r="J35" i="5"/>
  <c r="W34" i="5"/>
  <c r="Q34" i="5"/>
  <c r="R34" i="5" s="1"/>
  <c r="S34" i="5" s="1"/>
  <c r="P34" i="5"/>
  <c r="J34" i="5"/>
  <c r="W33" i="5"/>
  <c r="Q33" i="5"/>
  <c r="R33" i="5" s="1"/>
  <c r="S33" i="5" s="1"/>
  <c r="P33" i="5"/>
  <c r="J33" i="5"/>
  <c r="W32" i="5"/>
  <c r="Q32" i="5"/>
  <c r="R32" i="5" s="1"/>
  <c r="S32" i="5" s="1"/>
  <c r="P32" i="5"/>
  <c r="J32" i="5"/>
  <c r="W31" i="5"/>
  <c r="Q31" i="5"/>
  <c r="R31" i="5" s="1"/>
  <c r="S31" i="5" s="1"/>
  <c r="P31" i="5"/>
  <c r="J31" i="5"/>
  <c r="W30" i="5"/>
  <c r="R30" i="5"/>
  <c r="S30" i="5" s="1"/>
  <c r="Q30" i="5"/>
  <c r="P30" i="5"/>
  <c r="J30" i="5"/>
  <c r="W29" i="5"/>
  <c r="Q29" i="5"/>
  <c r="R29" i="5" s="1"/>
  <c r="S29" i="5" s="1"/>
  <c r="P29" i="5"/>
  <c r="J29" i="5"/>
  <c r="W28" i="5"/>
  <c r="Q28" i="5"/>
  <c r="R28" i="5" s="1"/>
  <c r="S28" i="5" s="1"/>
  <c r="P28" i="5"/>
  <c r="J28" i="5"/>
  <c r="W27" i="5"/>
  <c r="Q27" i="5"/>
  <c r="R27" i="5" s="1"/>
  <c r="S27" i="5" s="1"/>
  <c r="P27" i="5"/>
  <c r="J27" i="5"/>
  <c r="W26" i="5"/>
  <c r="Q26" i="5"/>
  <c r="R26" i="5" s="1"/>
  <c r="S26" i="5" s="1"/>
  <c r="P26" i="5"/>
  <c r="J26" i="5"/>
  <c r="W25" i="5"/>
  <c r="Q25" i="5"/>
  <c r="R25" i="5" s="1"/>
  <c r="S25" i="5" s="1"/>
  <c r="P25" i="5"/>
  <c r="J25" i="5"/>
  <c r="W24" i="5"/>
  <c r="Q24" i="5"/>
  <c r="R24" i="5" s="1"/>
  <c r="S24" i="5" s="1"/>
  <c r="P24" i="5"/>
  <c r="J24" i="5"/>
  <c r="W23" i="5"/>
  <c r="Q23" i="5"/>
  <c r="R23" i="5" s="1"/>
  <c r="S23" i="5" s="1"/>
  <c r="P23" i="5"/>
  <c r="J23" i="5"/>
  <c r="W22" i="5"/>
  <c r="R22" i="5"/>
  <c r="S22" i="5" s="1"/>
  <c r="Q22" i="5"/>
  <c r="P22" i="5"/>
  <c r="J22" i="5"/>
  <c r="W21" i="5"/>
  <c r="Q21" i="5"/>
  <c r="R21" i="5" s="1"/>
  <c r="S21" i="5" s="1"/>
  <c r="P21" i="5"/>
  <c r="J21" i="5"/>
  <c r="W20" i="5"/>
  <c r="Q20" i="5"/>
  <c r="R20" i="5" s="1"/>
  <c r="S20" i="5" s="1"/>
  <c r="P20" i="5"/>
  <c r="J20" i="5"/>
  <c r="W19" i="5"/>
  <c r="Q19" i="5"/>
  <c r="R19" i="5" s="1"/>
  <c r="S19" i="5" s="1"/>
  <c r="P19" i="5"/>
  <c r="J19" i="5"/>
  <c r="W18" i="5"/>
  <c r="Q18" i="5"/>
  <c r="R18" i="5" s="1"/>
  <c r="S18" i="5" s="1"/>
  <c r="P18" i="5"/>
  <c r="J18" i="5"/>
  <c r="W17" i="5"/>
  <c r="Q17" i="5"/>
  <c r="R17" i="5" s="1"/>
  <c r="S17" i="5" s="1"/>
  <c r="P17" i="5"/>
  <c r="J17" i="5"/>
  <c r="W16" i="5"/>
  <c r="Q16" i="5"/>
  <c r="R16" i="5" s="1"/>
  <c r="S16" i="5" s="1"/>
  <c r="P16" i="5"/>
  <c r="J16" i="5"/>
  <c r="W15" i="5"/>
  <c r="Q15" i="5"/>
  <c r="R15" i="5" s="1"/>
  <c r="S15" i="5" s="1"/>
  <c r="P15" i="5"/>
  <c r="J15" i="5"/>
  <c r="W14" i="5"/>
  <c r="R14" i="5"/>
  <c r="S14" i="5" s="1"/>
  <c r="Q14" i="5"/>
  <c r="P14" i="5"/>
  <c r="J14" i="5"/>
  <c r="W13" i="5"/>
  <c r="Q13" i="5"/>
  <c r="R13" i="5" s="1"/>
  <c r="S13" i="5" s="1"/>
  <c r="P13" i="5"/>
  <c r="J13" i="5"/>
  <c r="W12" i="5"/>
  <c r="Q12" i="5"/>
  <c r="R12" i="5" s="1"/>
  <c r="S12" i="5" s="1"/>
  <c r="P12" i="5"/>
  <c r="J12" i="5"/>
  <c r="W11" i="5"/>
  <c r="Q11" i="5"/>
  <c r="R11" i="5" s="1"/>
  <c r="S11" i="5" s="1"/>
  <c r="P11" i="5"/>
  <c r="J11" i="5"/>
  <c r="W10" i="5"/>
  <c r="Q10" i="5"/>
  <c r="R10" i="5" s="1"/>
  <c r="S10" i="5" s="1"/>
  <c r="P10" i="5"/>
  <c r="J10" i="5"/>
  <c r="W9" i="5"/>
  <c r="Q9" i="5"/>
  <c r="R9" i="5" s="1"/>
  <c r="S9" i="5" s="1"/>
  <c r="P9" i="5"/>
  <c r="J9" i="5"/>
  <c r="W8" i="5"/>
  <c r="Q8" i="5"/>
  <c r="R8" i="5" s="1"/>
  <c r="S8" i="5" s="1"/>
  <c r="P8" i="5"/>
  <c r="J8" i="5"/>
  <c r="W7" i="5"/>
  <c r="Q7" i="5"/>
  <c r="R7" i="5" s="1"/>
  <c r="S7" i="5" s="1"/>
  <c r="P7" i="5"/>
  <c r="J7" i="5"/>
  <c r="W6" i="5"/>
  <c r="R6" i="5"/>
  <c r="S6" i="5" s="1"/>
  <c r="Q6" i="5"/>
  <c r="P6" i="5"/>
  <c r="J6" i="5"/>
  <c r="W5" i="5"/>
  <c r="Q5" i="5"/>
  <c r="R5" i="5" s="1"/>
  <c r="S5" i="5" s="1"/>
  <c r="P5" i="5"/>
  <c r="J5" i="5"/>
  <c r="W4" i="5"/>
  <c r="Q4" i="5"/>
  <c r="R4" i="5" s="1"/>
  <c r="S4" i="5" s="1"/>
  <c r="P4" i="5"/>
  <c r="J4" i="5"/>
  <c r="W3" i="5"/>
  <c r="Q3" i="5"/>
  <c r="R3" i="5" s="1"/>
  <c r="S3" i="5" s="1"/>
  <c r="P3" i="5"/>
  <c r="J3" i="5"/>
  <c r="W2" i="5"/>
  <c r="Q2" i="5"/>
  <c r="R2" i="5" s="1"/>
  <c r="S2" i="5" s="1"/>
  <c r="P2" i="5"/>
  <c r="J2" i="5"/>
  <c r="P1472" i="2"/>
  <c r="P1359" i="2"/>
  <c r="P1411" i="2"/>
  <c r="P1412" i="2"/>
  <c r="P1413" i="2"/>
  <c r="P1473" i="2"/>
  <c r="P1474" i="2"/>
  <c r="P1475" i="2"/>
  <c r="P1435" i="2"/>
  <c r="P1436" i="2"/>
  <c r="P1437" i="2"/>
  <c r="P1476" i="2"/>
  <c r="P1477" i="2"/>
  <c r="P1414" i="2"/>
  <c r="P1592" i="2"/>
  <c r="P1438" i="2"/>
  <c r="P1439" i="2"/>
  <c r="P1593" i="2"/>
  <c r="P1440" i="2"/>
  <c r="P1441" i="2"/>
  <c r="P1415" i="2"/>
  <c r="P1404" i="2"/>
  <c r="P1405" i="2"/>
  <c r="P1416" i="2"/>
  <c r="P1417" i="2"/>
  <c r="P1418" i="2"/>
  <c r="P1406" i="2"/>
  <c r="P1594" i="2"/>
  <c r="P1595" i="2"/>
  <c r="P1596" i="2"/>
  <c r="P1597" i="2"/>
  <c r="P1539" i="2"/>
  <c r="P1540" i="2"/>
  <c r="P1478" i="2"/>
  <c r="P1479" i="2"/>
  <c r="P1442" i="2"/>
  <c r="P1580" i="2"/>
  <c r="P1443" i="2"/>
  <c r="P1407" i="2"/>
  <c r="P1419" i="2"/>
  <c r="P1444" i="2"/>
  <c r="P1536" i="2"/>
  <c r="P1537" i="2"/>
  <c r="P1445" i="2"/>
  <c r="P1446" i="2"/>
  <c r="P1447" i="2"/>
  <c r="P1408" i="2"/>
  <c r="P1409" i="2"/>
  <c r="P1394" i="2"/>
  <c r="P1395" i="2"/>
  <c r="P1396" i="2"/>
  <c r="P1448" i="2"/>
  <c r="P1449" i="2"/>
  <c r="P1556" i="2"/>
  <c r="P1410" i="2"/>
  <c r="P1450" i="2"/>
  <c r="P1481" i="2"/>
  <c r="P1557" i="2"/>
  <c r="P1545" i="2"/>
  <c r="P1420" i="2"/>
  <c r="P1421" i="2"/>
  <c r="P1542" i="2"/>
  <c r="P1286" i="2"/>
  <c r="P1451" i="2"/>
  <c r="P1546" i="2"/>
  <c r="P1482" i="2"/>
  <c r="P1581" i="2"/>
  <c r="P1422" i="2"/>
  <c r="P1377" i="2"/>
  <c r="P1347" i="2"/>
  <c r="P1348" i="2"/>
  <c r="P1349" i="2"/>
  <c r="P1370" i="2"/>
  <c r="P1371" i="2"/>
  <c r="P1372" i="2"/>
  <c r="P1350" i="2"/>
  <c r="P1373" i="2"/>
  <c r="P1598" i="2"/>
  <c r="P1374" i="2"/>
  <c r="P1391" i="2"/>
  <c r="P1287" i="2"/>
  <c r="P1260" i="2"/>
  <c r="P1518" i="2"/>
  <c r="P1519" i="2"/>
  <c r="P1351" i="2"/>
  <c r="P1352" i="2"/>
  <c r="P1378" i="2"/>
  <c r="P1314" i="2"/>
  <c r="P1315" i="2"/>
  <c r="P1368" i="2"/>
  <c r="P1353" i="2"/>
  <c r="P1336" i="2"/>
  <c r="P1397" i="2"/>
  <c r="P1379" i="2"/>
  <c r="P1337" i="2"/>
  <c r="P1423" i="2"/>
  <c r="P1468" i="2"/>
  <c r="P1547" i="2"/>
  <c r="P1548" i="2"/>
  <c r="P1424" i="2"/>
  <c r="P1425" i="2"/>
  <c r="P1380" i="2"/>
  <c r="P1426" i="2"/>
  <c r="P1427" i="2"/>
  <c r="P1543" i="2"/>
  <c r="P1338" i="2"/>
  <c r="P1339" i="2"/>
  <c r="P1544" i="2"/>
  <c r="P1480" i="2"/>
  <c r="P1340" i="2"/>
  <c r="P1341" i="2"/>
  <c r="P1568" i="2"/>
  <c r="P1569" i="2"/>
  <c r="P1499" i="2"/>
  <c r="P1360" i="2"/>
  <c r="P1361" i="2"/>
  <c r="P1570" i="2"/>
  <c r="P1571" i="2"/>
  <c r="P1588" i="2"/>
  <c r="P1572" i="2"/>
  <c r="P1342" i="2"/>
  <c r="P1498" i="2"/>
  <c r="P1343" i="2"/>
  <c r="P1362" i="2"/>
  <c r="P1363" i="2"/>
  <c r="P1364" i="2"/>
  <c r="P1344" i="2"/>
  <c r="P1500" i="2"/>
  <c r="P1573" i="2"/>
  <c r="P1282" i="2"/>
  <c r="P1574" i="2"/>
  <c r="P1382" i="2"/>
  <c r="P1383" i="2"/>
  <c r="P1575" i="2"/>
  <c r="P1384" i="2"/>
  <c r="P1589" i="2"/>
  <c r="P1501" i="2"/>
  <c r="P1576" i="2"/>
  <c r="P1354" i="2"/>
  <c r="P1355" i="2"/>
  <c r="P1365" i="2"/>
  <c r="P1398" i="2"/>
  <c r="P1399" i="2"/>
  <c r="P1316" i="2"/>
  <c r="P1278" i="2"/>
  <c r="P1330" i="2"/>
  <c r="P1331" i="2"/>
  <c r="P1558" i="2"/>
  <c r="P1453" i="2"/>
  <c r="P1590" i="2"/>
  <c r="P1502" i="2"/>
  <c r="P1332" i="2"/>
  <c r="P1268" i="2"/>
  <c r="P1269" i="2"/>
  <c r="P1270" i="2"/>
  <c r="P1271" i="2"/>
  <c r="P1272" i="2"/>
  <c r="P1273" i="2"/>
  <c r="P1274" i="2"/>
  <c r="P1503" i="2"/>
  <c r="P1504" i="2"/>
  <c r="P1333" i="2"/>
  <c r="P1483" i="2"/>
  <c r="P1283" i="2"/>
  <c r="P1577" i="2"/>
  <c r="P1275" i="2"/>
  <c r="P1276" i="2"/>
  <c r="P1559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277" i="2"/>
  <c r="P1505" i="2"/>
  <c r="P1317" i="2"/>
  <c r="P1262" i="2"/>
  <c r="P1279" i="2"/>
  <c r="P1392" i="2"/>
  <c r="P1284" i="2"/>
  <c r="P1494" i="2"/>
  <c r="P1535" i="2"/>
  <c r="P1495" i="2"/>
  <c r="P1263" i="2"/>
  <c r="P1457" i="2"/>
  <c r="P1496" i="2"/>
  <c r="P1458" i="2"/>
  <c r="P1345" i="2"/>
  <c r="P1306" i="2"/>
  <c r="P1307" i="2"/>
  <c r="P1308" i="2"/>
  <c r="P1309" i="2"/>
  <c r="P1310" i="2"/>
  <c r="P1311" i="2"/>
  <c r="P1312" i="2"/>
  <c r="P1428" i="2"/>
  <c r="P1497" i="2"/>
  <c r="P1393" i="2"/>
  <c r="P1429" i="2"/>
  <c r="P1586" i="2"/>
  <c r="P1587" i="2"/>
  <c r="P1516" i="2"/>
  <c r="P1334" i="2"/>
  <c r="P1459" i="2"/>
  <c r="P1460" i="2"/>
  <c r="P1461" i="2"/>
  <c r="P1484" i="2"/>
  <c r="P1264" i="2"/>
  <c r="P1281" i="2"/>
  <c r="P1327" i="2"/>
  <c r="P1265" i="2"/>
  <c r="P1266" i="2"/>
  <c r="P1328" i="2"/>
  <c r="P1591" i="2"/>
  <c r="P1462" i="2"/>
  <c r="P1463" i="2"/>
  <c r="P1346" i="2"/>
  <c r="P1280" i="2"/>
  <c r="P1454" i="2"/>
  <c r="P1584" i="2"/>
  <c r="P1585" i="2"/>
  <c r="P1506" i="2"/>
  <c r="P1578" i="2"/>
  <c r="P1517" i="2"/>
  <c r="P1261" i="2"/>
  <c r="P1318" i="2"/>
  <c r="P1467" i="2"/>
  <c r="P1563" i="2"/>
  <c r="P1485" i="2"/>
  <c r="P1560" i="2"/>
  <c r="P1431" i="2"/>
  <c r="P1464" i="2"/>
  <c r="P1579" i="2"/>
  <c r="P1507" i="2"/>
  <c r="P1486" i="2"/>
  <c r="P1267" i="2"/>
  <c r="P1432" i="2"/>
  <c r="P1534" i="2"/>
  <c r="P1541" i="2"/>
  <c r="P1313" i="2"/>
  <c r="P1512" i="2"/>
  <c r="P1582" i="2"/>
  <c r="P1400" i="2"/>
  <c r="P1523" i="2"/>
  <c r="P1524" i="2"/>
  <c r="P1525" i="2"/>
  <c r="P1508" i="2"/>
  <c r="P1465" i="2"/>
  <c r="P1583" i="2"/>
  <c r="P1509" i="2"/>
  <c r="P1455" i="2"/>
  <c r="P1561" i="2"/>
  <c r="P1456" i="2"/>
  <c r="P1520" i="2"/>
  <c r="P1521" i="2"/>
  <c r="P1564" i="2"/>
  <c r="P1565" i="2"/>
  <c r="P1466" i="2"/>
  <c r="P1526" i="2"/>
  <c r="P1401" i="2"/>
  <c r="P1452" i="2"/>
  <c r="P1538" i="2"/>
  <c r="P1402" i="2"/>
  <c r="P1403" i="2"/>
  <c r="P1335" i="2"/>
  <c r="P1513" i="2"/>
  <c r="P1527" i="2"/>
  <c r="P1487" i="2"/>
  <c r="P1488" i="2"/>
  <c r="P1555" i="2"/>
  <c r="P1430" i="2"/>
  <c r="P1356" i="2"/>
  <c r="P1357" i="2"/>
  <c r="P1285" i="2"/>
  <c r="P1366" i="2"/>
  <c r="P1367" i="2"/>
  <c r="P1469" i="2"/>
  <c r="P1358" i="2"/>
  <c r="P1493" i="2"/>
  <c r="P1319" i="2"/>
  <c r="P1320" i="2"/>
  <c r="P1321" i="2"/>
  <c r="P1322" i="2"/>
  <c r="P1323" i="2"/>
  <c r="P1324" i="2"/>
  <c r="P1325" i="2"/>
  <c r="P1326" i="2"/>
  <c r="P1381" i="2"/>
  <c r="P1528" i="2"/>
  <c r="P1489" i="2"/>
  <c r="P1490" i="2"/>
  <c r="P1514" i="2"/>
  <c r="P1470" i="2"/>
  <c r="P1471" i="2"/>
  <c r="P1522" i="2"/>
  <c r="P1529" i="2"/>
  <c r="P1530" i="2"/>
  <c r="P1566" i="2"/>
  <c r="P1567" i="2"/>
  <c r="P1515" i="2"/>
  <c r="P1554" i="2"/>
  <c r="P1531" i="2"/>
  <c r="P1433" i="2"/>
  <c r="P1434" i="2"/>
  <c r="P1510" i="2"/>
  <c r="P1329" i="2"/>
  <c r="P1511" i="2"/>
  <c r="P1491" i="2"/>
  <c r="P1492" i="2"/>
  <c r="P1532" i="2"/>
  <c r="P1369" i="2"/>
  <c r="P1562" i="2"/>
  <c r="P1385" i="2"/>
  <c r="P1386" i="2"/>
  <c r="P1533" i="2"/>
  <c r="P1375" i="2"/>
  <c r="P1387" i="2"/>
  <c r="P1388" i="2"/>
  <c r="P1389" i="2"/>
  <c r="P1390" i="2"/>
  <c r="P1549" i="2"/>
  <c r="P1550" i="2"/>
  <c r="P1551" i="2"/>
  <c r="P1552" i="2"/>
  <c r="P1553" i="2"/>
  <c r="P1376" i="2"/>
  <c r="Q1472" i="2"/>
  <c r="R1472" i="2" s="1"/>
  <c r="S1472" i="2" s="1"/>
  <c r="Q1359" i="2"/>
  <c r="R1359" i="2" s="1"/>
  <c r="S1359" i="2" s="1"/>
  <c r="Q1411" i="2"/>
  <c r="R1411" i="2" s="1"/>
  <c r="S1411" i="2" s="1"/>
  <c r="Q1412" i="2"/>
  <c r="R1412" i="2" s="1"/>
  <c r="S1412" i="2" s="1"/>
  <c r="Q1413" i="2"/>
  <c r="R1413" i="2" s="1"/>
  <c r="S1413" i="2" s="1"/>
  <c r="Q1473" i="2"/>
  <c r="R1473" i="2" s="1"/>
  <c r="S1473" i="2" s="1"/>
  <c r="Q1474" i="2"/>
  <c r="R1474" i="2" s="1"/>
  <c r="S1474" i="2" s="1"/>
  <c r="Q1475" i="2"/>
  <c r="R1475" i="2" s="1"/>
  <c r="S1475" i="2" s="1"/>
  <c r="Q1435" i="2"/>
  <c r="R1435" i="2" s="1"/>
  <c r="S1435" i="2" s="1"/>
  <c r="Q1436" i="2"/>
  <c r="R1436" i="2" s="1"/>
  <c r="S1436" i="2" s="1"/>
  <c r="Q1437" i="2"/>
  <c r="R1437" i="2" s="1"/>
  <c r="S1437" i="2" s="1"/>
  <c r="Q1476" i="2"/>
  <c r="R1476" i="2" s="1"/>
  <c r="S1476" i="2" s="1"/>
  <c r="Q1477" i="2"/>
  <c r="R1477" i="2" s="1"/>
  <c r="S1477" i="2" s="1"/>
  <c r="Q1414" i="2"/>
  <c r="R1414" i="2" s="1"/>
  <c r="S1414" i="2" s="1"/>
  <c r="Q1592" i="2"/>
  <c r="R1592" i="2" s="1"/>
  <c r="S1592" i="2" s="1"/>
  <c r="Q1438" i="2"/>
  <c r="R1438" i="2" s="1"/>
  <c r="S1438" i="2" s="1"/>
  <c r="Q1439" i="2"/>
  <c r="R1439" i="2" s="1"/>
  <c r="S1439" i="2" s="1"/>
  <c r="Q1593" i="2"/>
  <c r="R1593" i="2" s="1"/>
  <c r="S1593" i="2" s="1"/>
  <c r="Q1440" i="2"/>
  <c r="R1440" i="2" s="1"/>
  <c r="S1440" i="2" s="1"/>
  <c r="Q1441" i="2"/>
  <c r="R1441" i="2" s="1"/>
  <c r="S1441" i="2" s="1"/>
  <c r="Q1415" i="2"/>
  <c r="R1415" i="2" s="1"/>
  <c r="S1415" i="2" s="1"/>
  <c r="Q1404" i="2"/>
  <c r="R1404" i="2" s="1"/>
  <c r="S1404" i="2" s="1"/>
  <c r="Q1405" i="2"/>
  <c r="R1405" i="2" s="1"/>
  <c r="S1405" i="2" s="1"/>
  <c r="Q1416" i="2"/>
  <c r="R1416" i="2" s="1"/>
  <c r="S1416" i="2" s="1"/>
  <c r="Q1417" i="2"/>
  <c r="R1417" i="2" s="1"/>
  <c r="S1417" i="2" s="1"/>
  <c r="Q1418" i="2"/>
  <c r="R1418" i="2" s="1"/>
  <c r="S1418" i="2" s="1"/>
  <c r="Q1406" i="2"/>
  <c r="R1406" i="2" s="1"/>
  <c r="S1406" i="2" s="1"/>
  <c r="Q1594" i="2"/>
  <c r="R1594" i="2" s="1"/>
  <c r="S1594" i="2" s="1"/>
  <c r="Q1595" i="2"/>
  <c r="R1595" i="2" s="1"/>
  <c r="S1595" i="2" s="1"/>
  <c r="Q1596" i="2"/>
  <c r="R1596" i="2" s="1"/>
  <c r="S1596" i="2" s="1"/>
  <c r="Q1597" i="2"/>
  <c r="R1597" i="2" s="1"/>
  <c r="S1597" i="2" s="1"/>
  <c r="Q1539" i="2"/>
  <c r="R1539" i="2" s="1"/>
  <c r="S1539" i="2" s="1"/>
  <c r="Q1540" i="2"/>
  <c r="R1540" i="2" s="1"/>
  <c r="S1540" i="2" s="1"/>
  <c r="Q1478" i="2"/>
  <c r="R1478" i="2" s="1"/>
  <c r="S1478" i="2" s="1"/>
  <c r="Q1479" i="2"/>
  <c r="R1479" i="2" s="1"/>
  <c r="S1479" i="2" s="1"/>
  <c r="Q1442" i="2"/>
  <c r="R1442" i="2" s="1"/>
  <c r="S1442" i="2" s="1"/>
  <c r="Q1580" i="2"/>
  <c r="R1580" i="2" s="1"/>
  <c r="S1580" i="2" s="1"/>
  <c r="Q1443" i="2"/>
  <c r="R1443" i="2" s="1"/>
  <c r="S1443" i="2" s="1"/>
  <c r="Q1407" i="2"/>
  <c r="R1407" i="2" s="1"/>
  <c r="S1407" i="2" s="1"/>
  <c r="Q1419" i="2"/>
  <c r="R1419" i="2" s="1"/>
  <c r="S1419" i="2" s="1"/>
  <c r="Q1444" i="2"/>
  <c r="R1444" i="2" s="1"/>
  <c r="S1444" i="2" s="1"/>
  <c r="Q1536" i="2"/>
  <c r="R1536" i="2" s="1"/>
  <c r="S1536" i="2" s="1"/>
  <c r="Q1537" i="2"/>
  <c r="R1537" i="2" s="1"/>
  <c r="S1537" i="2" s="1"/>
  <c r="Q1445" i="2"/>
  <c r="R1445" i="2" s="1"/>
  <c r="S1445" i="2" s="1"/>
  <c r="Q1446" i="2"/>
  <c r="R1446" i="2" s="1"/>
  <c r="S1446" i="2" s="1"/>
  <c r="Q1447" i="2"/>
  <c r="R1447" i="2" s="1"/>
  <c r="S1447" i="2" s="1"/>
  <c r="Q1408" i="2"/>
  <c r="R1408" i="2" s="1"/>
  <c r="S1408" i="2" s="1"/>
  <c r="Q1409" i="2"/>
  <c r="R1409" i="2" s="1"/>
  <c r="S1409" i="2" s="1"/>
  <c r="Q1394" i="2"/>
  <c r="R1394" i="2" s="1"/>
  <c r="S1394" i="2" s="1"/>
  <c r="Q1395" i="2"/>
  <c r="R1395" i="2" s="1"/>
  <c r="S1395" i="2" s="1"/>
  <c r="Q1396" i="2"/>
  <c r="R1396" i="2" s="1"/>
  <c r="S1396" i="2" s="1"/>
  <c r="Q1448" i="2"/>
  <c r="R1448" i="2" s="1"/>
  <c r="S1448" i="2" s="1"/>
  <c r="Q1449" i="2"/>
  <c r="R1449" i="2" s="1"/>
  <c r="S1449" i="2" s="1"/>
  <c r="Q1556" i="2"/>
  <c r="R1556" i="2" s="1"/>
  <c r="S1556" i="2" s="1"/>
  <c r="Q1410" i="2"/>
  <c r="R1410" i="2" s="1"/>
  <c r="S1410" i="2" s="1"/>
  <c r="Q1450" i="2"/>
  <c r="R1450" i="2" s="1"/>
  <c r="S1450" i="2" s="1"/>
  <c r="Q1481" i="2"/>
  <c r="R1481" i="2" s="1"/>
  <c r="S1481" i="2" s="1"/>
  <c r="Q1557" i="2"/>
  <c r="R1557" i="2" s="1"/>
  <c r="S1557" i="2" s="1"/>
  <c r="Q1545" i="2"/>
  <c r="R1545" i="2" s="1"/>
  <c r="S1545" i="2" s="1"/>
  <c r="Q1420" i="2"/>
  <c r="R1420" i="2" s="1"/>
  <c r="S1420" i="2" s="1"/>
  <c r="Q1421" i="2"/>
  <c r="R1421" i="2" s="1"/>
  <c r="S1421" i="2" s="1"/>
  <c r="Q1542" i="2"/>
  <c r="R1542" i="2" s="1"/>
  <c r="S1542" i="2" s="1"/>
  <c r="Q1286" i="2"/>
  <c r="R1286" i="2" s="1"/>
  <c r="S1286" i="2" s="1"/>
  <c r="Q1451" i="2"/>
  <c r="R1451" i="2" s="1"/>
  <c r="S1451" i="2" s="1"/>
  <c r="Q1546" i="2"/>
  <c r="R1546" i="2" s="1"/>
  <c r="S1546" i="2" s="1"/>
  <c r="Q1482" i="2"/>
  <c r="R1482" i="2" s="1"/>
  <c r="S1482" i="2" s="1"/>
  <c r="Q1581" i="2"/>
  <c r="R1581" i="2" s="1"/>
  <c r="S1581" i="2" s="1"/>
  <c r="Q1422" i="2"/>
  <c r="R1422" i="2" s="1"/>
  <c r="S1422" i="2" s="1"/>
  <c r="Q1377" i="2"/>
  <c r="R1377" i="2" s="1"/>
  <c r="S1377" i="2" s="1"/>
  <c r="Q1347" i="2"/>
  <c r="R1347" i="2" s="1"/>
  <c r="S1347" i="2" s="1"/>
  <c r="Q1348" i="2"/>
  <c r="R1348" i="2" s="1"/>
  <c r="S1348" i="2" s="1"/>
  <c r="Q1349" i="2"/>
  <c r="R1349" i="2" s="1"/>
  <c r="S1349" i="2" s="1"/>
  <c r="Q1370" i="2"/>
  <c r="R1370" i="2" s="1"/>
  <c r="S1370" i="2" s="1"/>
  <c r="Q1371" i="2"/>
  <c r="R1371" i="2" s="1"/>
  <c r="S1371" i="2" s="1"/>
  <c r="Q1372" i="2"/>
  <c r="R1372" i="2" s="1"/>
  <c r="S1372" i="2" s="1"/>
  <c r="Q1350" i="2"/>
  <c r="R1350" i="2" s="1"/>
  <c r="S1350" i="2" s="1"/>
  <c r="Q1373" i="2"/>
  <c r="R1373" i="2" s="1"/>
  <c r="S1373" i="2" s="1"/>
  <c r="Q1598" i="2"/>
  <c r="R1598" i="2" s="1"/>
  <c r="S1598" i="2" s="1"/>
  <c r="Q1374" i="2"/>
  <c r="R1374" i="2" s="1"/>
  <c r="S1374" i="2" s="1"/>
  <c r="Q1391" i="2"/>
  <c r="R1391" i="2" s="1"/>
  <c r="S1391" i="2" s="1"/>
  <c r="Q1287" i="2"/>
  <c r="R1287" i="2" s="1"/>
  <c r="S1287" i="2" s="1"/>
  <c r="Q1260" i="2"/>
  <c r="R1260" i="2" s="1"/>
  <c r="S1260" i="2" s="1"/>
  <c r="Q1518" i="2"/>
  <c r="R1518" i="2" s="1"/>
  <c r="S1518" i="2" s="1"/>
  <c r="Q1519" i="2"/>
  <c r="R1519" i="2" s="1"/>
  <c r="S1519" i="2" s="1"/>
  <c r="Q1351" i="2"/>
  <c r="R1351" i="2" s="1"/>
  <c r="S1351" i="2" s="1"/>
  <c r="Q1352" i="2"/>
  <c r="R1352" i="2" s="1"/>
  <c r="S1352" i="2" s="1"/>
  <c r="Q1378" i="2"/>
  <c r="R1378" i="2" s="1"/>
  <c r="S1378" i="2" s="1"/>
  <c r="Q1314" i="2"/>
  <c r="R1314" i="2" s="1"/>
  <c r="S1314" i="2" s="1"/>
  <c r="Q1315" i="2"/>
  <c r="R1315" i="2" s="1"/>
  <c r="S1315" i="2" s="1"/>
  <c r="Q1368" i="2"/>
  <c r="R1368" i="2" s="1"/>
  <c r="S1368" i="2" s="1"/>
  <c r="Q1353" i="2"/>
  <c r="R1353" i="2" s="1"/>
  <c r="S1353" i="2" s="1"/>
  <c r="Q1336" i="2"/>
  <c r="R1336" i="2" s="1"/>
  <c r="S1336" i="2" s="1"/>
  <c r="Q1397" i="2"/>
  <c r="R1397" i="2" s="1"/>
  <c r="S1397" i="2" s="1"/>
  <c r="Q1379" i="2"/>
  <c r="R1379" i="2" s="1"/>
  <c r="S1379" i="2" s="1"/>
  <c r="Q1337" i="2"/>
  <c r="R1337" i="2" s="1"/>
  <c r="S1337" i="2" s="1"/>
  <c r="Q1423" i="2"/>
  <c r="R1423" i="2" s="1"/>
  <c r="S1423" i="2" s="1"/>
  <c r="Q1468" i="2"/>
  <c r="R1468" i="2" s="1"/>
  <c r="S1468" i="2" s="1"/>
  <c r="Q1547" i="2"/>
  <c r="R1547" i="2" s="1"/>
  <c r="S1547" i="2" s="1"/>
  <c r="Q1548" i="2"/>
  <c r="R1548" i="2" s="1"/>
  <c r="S1548" i="2" s="1"/>
  <c r="Q1424" i="2"/>
  <c r="R1424" i="2" s="1"/>
  <c r="S1424" i="2" s="1"/>
  <c r="Q1425" i="2"/>
  <c r="R1425" i="2" s="1"/>
  <c r="S1425" i="2" s="1"/>
  <c r="Q1380" i="2"/>
  <c r="R1380" i="2" s="1"/>
  <c r="S1380" i="2" s="1"/>
  <c r="Q1426" i="2"/>
  <c r="R1426" i="2" s="1"/>
  <c r="S1426" i="2" s="1"/>
  <c r="Q1427" i="2"/>
  <c r="R1427" i="2" s="1"/>
  <c r="S1427" i="2" s="1"/>
  <c r="Q1543" i="2"/>
  <c r="R1543" i="2" s="1"/>
  <c r="S1543" i="2" s="1"/>
  <c r="Q1338" i="2"/>
  <c r="R1338" i="2" s="1"/>
  <c r="S1338" i="2" s="1"/>
  <c r="Q1339" i="2"/>
  <c r="R1339" i="2" s="1"/>
  <c r="S1339" i="2" s="1"/>
  <c r="Q1544" i="2"/>
  <c r="R1544" i="2" s="1"/>
  <c r="S1544" i="2" s="1"/>
  <c r="Q1480" i="2"/>
  <c r="R1480" i="2" s="1"/>
  <c r="S1480" i="2" s="1"/>
  <c r="Q1340" i="2"/>
  <c r="R1340" i="2" s="1"/>
  <c r="S1340" i="2" s="1"/>
  <c r="Q1341" i="2"/>
  <c r="R1341" i="2" s="1"/>
  <c r="S1341" i="2" s="1"/>
  <c r="Q1568" i="2"/>
  <c r="R1568" i="2" s="1"/>
  <c r="S1568" i="2" s="1"/>
  <c r="Q1569" i="2"/>
  <c r="R1569" i="2" s="1"/>
  <c r="S1569" i="2" s="1"/>
  <c r="Q1499" i="2"/>
  <c r="R1499" i="2" s="1"/>
  <c r="S1499" i="2" s="1"/>
  <c r="Q1360" i="2"/>
  <c r="R1360" i="2" s="1"/>
  <c r="S1360" i="2" s="1"/>
  <c r="Q1361" i="2"/>
  <c r="R1361" i="2" s="1"/>
  <c r="S1361" i="2" s="1"/>
  <c r="Q1570" i="2"/>
  <c r="R1570" i="2" s="1"/>
  <c r="S1570" i="2" s="1"/>
  <c r="Q1571" i="2"/>
  <c r="R1571" i="2" s="1"/>
  <c r="S1571" i="2" s="1"/>
  <c r="Q1588" i="2"/>
  <c r="R1588" i="2" s="1"/>
  <c r="S1588" i="2" s="1"/>
  <c r="Q1572" i="2"/>
  <c r="R1572" i="2" s="1"/>
  <c r="S1572" i="2" s="1"/>
  <c r="Q1342" i="2"/>
  <c r="R1342" i="2" s="1"/>
  <c r="S1342" i="2" s="1"/>
  <c r="Q1498" i="2"/>
  <c r="R1498" i="2" s="1"/>
  <c r="S1498" i="2" s="1"/>
  <c r="Q1343" i="2"/>
  <c r="R1343" i="2" s="1"/>
  <c r="S1343" i="2" s="1"/>
  <c r="Q1362" i="2"/>
  <c r="R1362" i="2" s="1"/>
  <c r="S1362" i="2" s="1"/>
  <c r="Q1363" i="2"/>
  <c r="R1363" i="2" s="1"/>
  <c r="S1363" i="2" s="1"/>
  <c r="Q1364" i="2"/>
  <c r="R1364" i="2" s="1"/>
  <c r="S1364" i="2" s="1"/>
  <c r="Q1344" i="2"/>
  <c r="R1344" i="2" s="1"/>
  <c r="S1344" i="2" s="1"/>
  <c r="Q1500" i="2"/>
  <c r="R1500" i="2" s="1"/>
  <c r="S1500" i="2" s="1"/>
  <c r="Q1573" i="2"/>
  <c r="R1573" i="2" s="1"/>
  <c r="S1573" i="2" s="1"/>
  <c r="Q1282" i="2"/>
  <c r="R1282" i="2" s="1"/>
  <c r="S1282" i="2" s="1"/>
  <c r="Q1574" i="2"/>
  <c r="R1574" i="2" s="1"/>
  <c r="S1574" i="2" s="1"/>
  <c r="Q1382" i="2"/>
  <c r="R1382" i="2" s="1"/>
  <c r="S1382" i="2" s="1"/>
  <c r="Q1383" i="2"/>
  <c r="R1383" i="2" s="1"/>
  <c r="S1383" i="2" s="1"/>
  <c r="Q1575" i="2"/>
  <c r="R1575" i="2" s="1"/>
  <c r="S1575" i="2" s="1"/>
  <c r="Q1384" i="2"/>
  <c r="R1384" i="2" s="1"/>
  <c r="S1384" i="2" s="1"/>
  <c r="Q1589" i="2"/>
  <c r="R1589" i="2" s="1"/>
  <c r="S1589" i="2" s="1"/>
  <c r="Q1501" i="2"/>
  <c r="R1501" i="2" s="1"/>
  <c r="S1501" i="2" s="1"/>
  <c r="Q1576" i="2"/>
  <c r="R1576" i="2" s="1"/>
  <c r="S1576" i="2" s="1"/>
  <c r="Q1354" i="2"/>
  <c r="R1354" i="2" s="1"/>
  <c r="S1354" i="2" s="1"/>
  <c r="Q1355" i="2"/>
  <c r="R1355" i="2" s="1"/>
  <c r="S1355" i="2" s="1"/>
  <c r="Q1365" i="2"/>
  <c r="R1365" i="2" s="1"/>
  <c r="S1365" i="2" s="1"/>
  <c r="Q1398" i="2"/>
  <c r="R1398" i="2" s="1"/>
  <c r="S1398" i="2" s="1"/>
  <c r="Q1399" i="2"/>
  <c r="R1399" i="2" s="1"/>
  <c r="S1399" i="2" s="1"/>
  <c r="Q1316" i="2"/>
  <c r="R1316" i="2" s="1"/>
  <c r="S1316" i="2" s="1"/>
  <c r="Q1278" i="2"/>
  <c r="R1278" i="2" s="1"/>
  <c r="S1278" i="2" s="1"/>
  <c r="Q1330" i="2"/>
  <c r="R1330" i="2" s="1"/>
  <c r="S1330" i="2" s="1"/>
  <c r="Q1331" i="2"/>
  <c r="R1331" i="2" s="1"/>
  <c r="S1331" i="2" s="1"/>
  <c r="Q1558" i="2"/>
  <c r="R1558" i="2" s="1"/>
  <c r="S1558" i="2" s="1"/>
  <c r="Q1453" i="2"/>
  <c r="R1453" i="2" s="1"/>
  <c r="S1453" i="2" s="1"/>
  <c r="Q1590" i="2"/>
  <c r="R1590" i="2" s="1"/>
  <c r="S1590" i="2" s="1"/>
  <c r="Q1502" i="2"/>
  <c r="R1502" i="2" s="1"/>
  <c r="S1502" i="2" s="1"/>
  <c r="Q1332" i="2"/>
  <c r="R1332" i="2" s="1"/>
  <c r="S1332" i="2" s="1"/>
  <c r="Q1268" i="2"/>
  <c r="R1268" i="2" s="1"/>
  <c r="S1268" i="2" s="1"/>
  <c r="Q1269" i="2"/>
  <c r="R1269" i="2" s="1"/>
  <c r="S1269" i="2" s="1"/>
  <c r="Q1270" i="2"/>
  <c r="R1270" i="2" s="1"/>
  <c r="S1270" i="2" s="1"/>
  <c r="Q1271" i="2"/>
  <c r="R1271" i="2" s="1"/>
  <c r="S1271" i="2" s="1"/>
  <c r="Q1272" i="2"/>
  <c r="R1272" i="2" s="1"/>
  <c r="S1272" i="2" s="1"/>
  <c r="Q1273" i="2"/>
  <c r="R1273" i="2" s="1"/>
  <c r="S1273" i="2" s="1"/>
  <c r="Q1274" i="2"/>
  <c r="R1274" i="2" s="1"/>
  <c r="S1274" i="2" s="1"/>
  <c r="Q1503" i="2"/>
  <c r="R1503" i="2" s="1"/>
  <c r="S1503" i="2" s="1"/>
  <c r="Q1504" i="2"/>
  <c r="R1504" i="2" s="1"/>
  <c r="S1504" i="2" s="1"/>
  <c r="Q1333" i="2"/>
  <c r="R1333" i="2" s="1"/>
  <c r="S1333" i="2" s="1"/>
  <c r="Q1483" i="2"/>
  <c r="R1483" i="2" s="1"/>
  <c r="S1483" i="2" s="1"/>
  <c r="Q1283" i="2"/>
  <c r="R1283" i="2" s="1"/>
  <c r="S1283" i="2" s="1"/>
  <c r="Q1577" i="2"/>
  <c r="R1577" i="2" s="1"/>
  <c r="S1577" i="2" s="1"/>
  <c r="Q1275" i="2"/>
  <c r="R1275" i="2" s="1"/>
  <c r="S1275" i="2" s="1"/>
  <c r="Q1276" i="2"/>
  <c r="R1276" i="2" s="1"/>
  <c r="S1276" i="2" s="1"/>
  <c r="Q1559" i="2"/>
  <c r="R1559" i="2" s="1"/>
  <c r="S1559" i="2" s="1"/>
  <c r="Q1288" i="2"/>
  <c r="R1288" i="2" s="1"/>
  <c r="S1288" i="2" s="1"/>
  <c r="Q1289" i="2"/>
  <c r="R1289" i="2" s="1"/>
  <c r="S1289" i="2" s="1"/>
  <c r="Q1290" i="2"/>
  <c r="R1290" i="2" s="1"/>
  <c r="S1290" i="2" s="1"/>
  <c r="Q1291" i="2"/>
  <c r="R1291" i="2" s="1"/>
  <c r="S1291" i="2" s="1"/>
  <c r="Q1292" i="2"/>
  <c r="R1292" i="2" s="1"/>
  <c r="S1292" i="2" s="1"/>
  <c r="Q1293" i="2"/>
  <c r="R1293" i="2" s="1"/>
  <c r="S1293" i="2" s="1"/>
  <c r="Q1294" i="2"/>
  <c r="R1294" i="2" s="1"/>
  <c r="S1294" i="2" s="1"/>
  <c r="Q1295" i="2"/>
  <c r="R1295" i="2" s="1"/>
  <c r="S1295" i="2" s="1"/>
  <c r="Q1296" i="2"/>
  <c r="R1296" i="2" s="1"/>
  <c r="S1296" i="2" s="1"/>
  <c r="Q1297" i="2"/>
  <c r="R1297" i="2" s="1"/>
  <c r="S1297" i="2" s="1"/>
  <c r="Q1298" i="2"/>
  <c r="R1298" i="2" s="1"/>
  <c r="S1298" i="2" s="1"/>
  <c r="Q1299" i="2"/>
  <c r="R1299" i="2" s="1"/>
  <c r="S1299" i="2" s="1"/>
  <c r="Q1300" i="2"/>
  <c r="R1300" i="2" s="1"/>
  <c r="S1300" i="2" s="1"/>
  <c r="Q1301" i="2"/>
  <c r="R1301" i="2" s="1"/>
  <c r="S1301" i="2" s="1"/>
  <c r="Q1302" i="2"/>
  <c r="R1302" i="2" s="1"/>
  <c r="S1302" i="2" s="1"/>
  <c r="Q1303" i="2"/>
  <c r="R1303" i="2" s="1"/>
  <c r="S1303" i="2" s="1"/>
  <c r="Q1304" i="2"/>
  <c r="R1304" i="2" s="1"/>
  <c r="S1304" i="2" s="1"/>
  <c r="Q1305" i="2"/>
  <c r="R1305" i="2" s="1"/>
  <c r="S1305" i="2" s="1"/>
  <c r="Q1277" i="2"/>
  <c r="R1277" i="2" s="1"/>
  <c r="S1277" i="2" s="1"/>
  <c r="Q1505" i="2"/>
  <c r="R1505" i="2" s="1"/>
  <c r="S1505" i="2" s="1"/>
  <c r="Q1317" i="2"/>
  <c r="R1317" i="2" s="1"/>
  <c r="S1317" i="2" s="1"/>
  <c r="Q1262" i="2"/>
  <c r="R1262" i="2" s="1"/>
  <c r="S1262" i="2" s="1"/>
  <c r="Q1279" i="2"/>
  <c r="R1279" i="2" s="1"/>
  <c r="S1279" i="2" s="1"/>
  <c r="Q1392" i="2"/>
  <c r="R1392" i="2" s="1"/>
  <c r="S1392" i="2" s="1"/>
  <c r="Q1284" i="2"/>
  <c r="R1284" i="2" s="1"/>
  <c r="S1284" i="2" s="1"/>
  <c r="Q1494" i="2"/>
  <c r="R1494" i="2" s="1"/>
  <c r="S1494" i="2" s="1"/>
  <c r="Q1535" i="2"/>
  <c r="R1535" i="2" s="1"/>
  <c r="S1535" i="2" s="1"/>
  <c r="Q1495" i="2"/>
  <c r="R1495" i="2" s="1"/>
  <c r="S1495" i="2" s="1"/>
  <c r="Q1263" i="2"/>
  <c r="R1263" i="2" s="1"/>
  <c r="S1263" i="2" s="1"/>
  <c r="Q1457" i="2"/>
  <c r="R1457" i="2" s="1"/>
  <c r="S1457" i="2" s="1"/>
  <c r="Q1496" i="2"/>
  <c r="R1496" i="2" s="1"/>
  <c r="S1496" i="2" s="1"/>
  <c r="Q1458" i="2"/>
  <c r="R1458" i="2" s="1"/>
  <c r="S1458" i="2" s="1"/>
  <c r="Q1345" i="2"/>
  <c r="R1345" i="2" s="1"/>
  <c r="S1345" i="2" s="1"/>
  <c r="Q1306" i="2"/>
  <c r="R1306" i="2" s="1"/>
  <c r="S1306" i="2" s="1"/>
  <c r="Q1307" i="2"/>
  <c r="R1307" i="2" s="1"/>
  <c r="S1307" i="2" s="1"/>
  <c r="Q1308" i="2"/>
  <c r="R1308" i="2" s="1"/>
  <c r="S1308" i="2" s="1"/>
  <c r="Q1309" i="2"/>
  <c r="R1309" i="2" s="1"/>
  <c r="S1309" i="2" s="1"/>
  <c r="Q1310" i="2"/>
  <c r="R1310" i="2" s="1"/>
  <c r="S1310" i="2" s="1"/>
  <c r="Q1311" i="2"/>
  <c r="R1311" i="2" s="1"/>
  <c r="S1311" i="2" s="1"/>
  <c r="Q1312" i="2"/>
  <c r="R1312" i="2" s="1"/>
  <c r="S1312" i="2" s="1"/>
  <c r="Q1428" i="2"/>
  <c r="R1428" i="2" s="1"/>
  <c r="S1428" i="2" s="1"/>
  <c r="Q1497" i="2"/>
  <c r="R1497" i="2" s="1"/>
  <c r="S1497" i="2" s="1"/>
  <c r="Q1393" i="2"/>
  <c r="R1393" i="2" s="1"/>
  <c r="S1393" i="2" s="1"/>
  <c r="Q1429" i="2"/>
  <c r="R1429" i="2" s="1"/>
  <c r="S1429" i="2" s="1"/>
  <c r="Q1586" i="2"/>
  <c r="R1586" i="2" s="1"/>
  <c r="S1586" i="2" s="1"/>
  <c r="Q1587" i="2"/>
  <c r="R1587" i="2" s="1"/>
  <c r="S1587" i="2" s="1"/>
  <c r="Q1516" i="2"/>
  <c r="R1516" i="2" s="1"/>
  <c r="S1516" i="2" s="1"/>
  <c r="Q1334" i="2"/>
  <c r="R1334" i="2" s="1"/>
  <c r="S1334" i="2" s="1"/>
  <c r="Q1459" i="2"/>
  <c r="R1459" i="2" s="1"/>
  <c r="S1459" i="2" s="1"/>
  <c r="Q1460" i="2"/>
  <c r="R1460" i="2" s="1"/>
  <c r="S1460" i="2" s="1"/>
  <c r="Q1461" i="2"/>
  <c r="R1461" i="2" s="1"/>
  <c r="S1461" i="2" s="1"/>
  <c r="Q1484" i="2"/>
  <c r="R1484" i="2" s="1"/>
  <c r="S1484" i="2" s="1"/>
  <c r="Q1264" i="2"/>
  <c r="R1264" i="2" s="1"/>
  <c r="S1264" i="2" s="1"/>
  <c r="Q1281" i="2"/>
  <c r="R1281" i="2" s="1"/>
  <c r="S1281" i="2" s="1"/>
  <c r="Q1327" i="2"/>
  <c r="R1327" i="2" s="1"/>
  <c r="S1327" i="2" s="1"/>
  <c r="Q1265" i="2"/>
  <c r="R1265" i="2" s="1"/>
  <c r="S1265" i="2" s="1"/>
  <c r="Q1266" i="2"/>
  <c r="R1266" i="2" s="1"/>
  <c r="S1266" i="2" s="1"/>
  <c r="Q1328" i="2"/>
  <c r="R1328" i="2" s="1"/>
  <c r="S1328" i="2" s="1"/>
  <c r="Q1591" i="2"/>
  <c r="R1591" i="2" s="1"/>
  <c r="S1591" i="2" s="1"/>
  <c r="Q1462" i="2"/>
  <c r="R1462" i="2" s="1"/>
  <c r="S1462" i="2" s="1"/>
  <c r="Q1463" i="2"/>
  <c r="R1463" i="2" s="1"/>
  <c r="S1463" i="2" s="1"/>
  <c r="Q1346" i="2"/>
  <c r="R1346" i="2" s="1"/>
  <c r="S1346" i="2" s="1"/>
  <c r="Q1280" i="2"/>
  <c r="R1280" i="2" s="1"/>
  <c r="S1280" i="2" s="1"/>
  <c r="Q1454" i="2"/>
  <c r="R1454" i="2" s="1"/>
  <c r="S1454" i="2" s="1"/>
  <c r="Q1584" i="2"/>
  <c r="R1584" i="2" s="1"/>
  <c r="S1584" i="2" s="1"/>
  <c r="Q1585" i="2"/>
  <c r="R1585" i="2" s="1"/>
  <c r="S1585" i="2" s="1"/>
  <c r="Q1506" i="2"/>
  <c r="R1506" i="2" s="1"/>
  <c r="S1506" i="2" s="1"/>
  <c r="Q1578" i="2"/>
  <c r="R1578" i="2" s="1"/>
  <c r="S1578" i="2" s="1"/>
  <c r="Q1517" i="2"/>
  <c r="R1517" i="2" s="1"/>
  <c r="S1517" i="2" s="1"/>
  <c r="Q1261" i="2"/>
  <c r="R1261" i="2" s="1"/>
  <c r="S1261" i="2" s="1"/>
  <c r="Q1318" i="2"/>
  <c r="R1318" i="2" s="1"/>
  <c r="S1318" i="2" s="1"/>
  <c r="Q1467" i="2"/>
  <c r="R1467" i="2" s="1"/>
  <c r="S1467" i="2" s="1"/>
  <c r="Q1563" i="2"/>
  <c r="R1563" i="2" s="1"/>
  <c r="S1563" i="2" s="1"/>
  <c r="Q1485" i="2"/>
  <c r="R1485" i="2" s="1"/>
  <c r="S1485" i="2" s="1"/>
  <c r="Q1560" i="2"/>
  <c r="R1560" i="2" s="1"/>
  <c r="S1560" i="2" s="1"/>
  <c r="Q1431" i="2"/>
  <c r="R1431" i="2" s="1"/>
  <c r="S1431" i="2" s="1"/>
  <c r="Q1464" i="2"/>
  <c r="R1464" i="2" s="1"/>
  <c r="S1464" i="2" s="1"/>
  <c r="Q1579" i="2"/>
  <c r="R1579" i="2" s="1"/>
  <c r="S1579" i="2" s="1"/>
  <c r="Q1507" i="2"/>
  <c r="R1507" i="2" s="1"/>
  <c r="S1507" i="2" s="1"/>
  <c r="Q1486" i="2"/>
  <c r="R1486" i="2" s="1"/>
  <c r="S1486" i="2" s="1"/>
  <c r="Q1267" i="2"/>
  <c r="R1267" i="2" s="1"/>
  <c r="S1267" i="2" s="1"/>
  <c r="Q1432" i="2"/>
  <c r="R1432" i="2" s="1"/>
  <c r="S1432" i="2" s="1"/>
  <c r="Q1534" i="2"/>
  <c r="R1534" i="2" s="1"/>
  <c r="S1534" i="2" s="1"/>
  <c r="Q1541" i="2"/>
  <c r="R1541" i="2" s="1"/>
  <c r="S1541" i="2" s="1"/>
  <c r="Q1313" i="2"/>
  <c r="R1313" i="2" s="1"/>
  <c r="S1313" i="2" s="1"/>
  <c r="Q1512" i="2"/>
  <c r="R1512" i="2" s="1"/>
  <c r="S1512" i="2" s="1"/>
  <c r="Q1582" i="2"/>
  <c r="R1582" i="2" s="1"/>
  <c r="S1582" i="2" s="1"/>
  <c r="Q1400" i="2"/>
  <c r="R1400" i="2" s="1"/>
  <c r="S1400" i="2" s="1"/>
  <c r="Q1523" i="2"/>
  <c r="R1523" i="2" s="1"/>
  <c r="S1523" i="2" s="1"/>
  <c r="Q1524" i="2"/>
  <c r="R1524" i="2" s="1"/>
  <c r="S1524" i="2" s="1"/>
  <c r="Q1525" i="2"/>
  <c r="R1525" i="2" s="1"/>
  <c r="S1525" i="2" s="1"/>
  <c r="Q1508" i="2"/>
  <c r="R1508" i="2" s="1"/>
  <c r="S1508" i="2" s="1"/>
  <c r="Q1465" i="2"/>
  <c r="R1465" i="2" s="1"/>
  <c r="S1465" i="2" s="1"/>
  <c r="Q1583" i="2"/>
  <c r="R1583" i="2" s="1"/>
  <c r="S1583" i="2" s="1"/>
  <c r="Q1509" i="2"/>
  <c r="R1509" i="2" s="1"/>
  <c r="S1509" i="2" s="1"/>
  <c r="Q1455" i="2"/>
  <c r="R1455" i="2" s="1"/>
  <c r="S1455" i="2" s="1"/>
  <c r="Q1561" i="2"/>
  <c r="R1561" i="2" s="1"/>
  <c r="S1561" i="2" s="1"/>
  <c r="Q1456" i="2"/>
  <c r="R1456" i="2" s="1"/>
  <c r="S1456" i="2" s="1"/>
  <c r="Q1520" i="2"/>
  <c r="R1520" i="2" s="1"/>
  <c r="S1520" i="2" s="1"/>
  <c r="Q1521" i="2"/>
  <c r="R1521" i="2" s="1"/>
  <c r="S1521" i="2" s="1"/>
  <c r="Q1564" i="2"/>
  <c r="R1564" i="2" s="1"/>
  <c r="S1564" i="2" s="1"/>
  <c r="Q1565" i="2"/>
  <c r="R1565" i="2" s="1"/>
  <c r="S1565" i="2" s="1"/>
  <c r="Q1466" i="2"/>
  <c r="R1466" i="2" s="1"/>
  <c r="S1466" i="2" s="1"/>
  <c r="Q1526" i="2"/>
  <c r="R1526" i="2" s="1"/>
  <c r="S1526" i="2" s="1"/>
  <c r="Q1401" i="2"/>
  <c r="R1401" i="2" s="1"/>
  <c r="S1401" i="2" s="1"/>
  <c r="Q1452" i="2"/>
  <c r="R1452" i="2" s="1"/>
  <c r="S1452" i="2" s="1"/>
  <c r="Q1538" i="2"/>
  <c r="R1538" i="2" s="1"/>
  <c r="S1538" i="2" s="1"/>
  <c r="Q1402" i="2"/>
  <c r="R1402" i="2" s="1"/>
  <c r="S1402" i="2" s="1"/>
  <c r="Q1403" i="2"/>
  <c r="R1403" i="2" s="1"/>
  <c r="S1403" i="2" s="1"/>
  <c r="Q1335" i="2"/>
  <c r="R1335" i="2" s="1"/>
  <c r="S1335" i="2" s="1"/>
  <c r="Q1513" i="2"/>
  <c r="R1513" i="2" s="1"/>
  <c r="S1513" i="2" s="1"/>
  <c r="Q1527" i="2"/>
  <c r="R1527" i="2" s="1"/>
  <c r="S1527" i="2" s="1"/>
  <c r="Q1487" i="2"/>
  <c r="R1487" i="2" s="1"/>
  <c r="S1487" i="2" s="1"/>
  <c r="Q1488" i="2"/>
  <c r="R1488" i="2" s="1"/>
  <c r="S1488" i="2" s="1"/>
  <c r="Q1555" i="2"/>
  <c r="R1555" i="2" s="1"/>
  <c r="S1555" i="2" s="1"/>
  <c r="Q1430" i="2"/>
  <c r="R1430" i="2" s="1"/>
  <c r="S1430" i="2" s="1"/>
  <c r="Q1356" i="2"/>
  <c r="R1356" i="2" s="1"/>
  <c r="S1356" i="2" s="1"/>
  <c r="Q1357" i="2"/>
  <c r="R1357" i="2" s="1"/>
  <c r="S1357" i="2" s="1"/>
  <c r="Q1285" i="2"/>
  <c r="R1285" i="2" s="1"/>
  <c r="S1285" i="2" s="1"/>
  <c r="Q1366" i="2"/>
  <c r="R1366" i="2" s="1"/>
  <c r="S1366" i="2" s="1"/>
  <c r="Q1367" i="2"/>
  <c r="R1367" i="2" s="1"/>
  <c r="S1367" i="2" s="1"/>
  <c r="Q1469" i="2"/>
  <c r="R1469" i="2" s="1"/>
  <c r="S1469" i="2" s="1"/>
  <c r="Q1358" i="2"/>
  <c r="R1358" i="2" s="1"/>
  <c r="S1358" i="2" s="1"/>
  <c r="Q1493" i="2"/>
  <c r="R1493" i="2" s="1"/>
  <c r="S1493" i="2" s="1"/>
  <c r="Q1319" i="2"/>
  <c r="R1319" i="2" s="1"/>
  <c r="S1319" i="2" s="1"/>
  <c r="Q1320" i="2"/>
  <c r="R1320" i="2" s="1"/>
  <c r="S1320" i="2" s="1"/>
  <c r="Q1321" i="2"/>
  <c r="R1321" i="2" s="1"/>
  <c r="S1321" i="2" s="1"/>
  <c r="Q1322" i="2"/>
  <c r="R1322" i="2" s="1"/>
  <c r="S1322" i="2" s="1"/>
  <c r="Q1323" i="2"/>
  <c r="R1323" i="2" s="1"/>
  <c r="S1323" i="2" s="1"/>
  <c r="Q1324" i="2"/>
  <c r="R1324" i="2" s="1"/>
  <c r="S1324" i="2" s="1"/>
  <c r="Q1325" i="2"/>
  <c r="R1325" i="2" s="1"/>
  <c r="S1325" i="2" s="1"/>
  <c r="Q1326" i="2"/>
  <c r="R1326" i="2" s="1"/>
  <c r="S1326" i="2" s="1"/>
  <c r="Q1381" i="2"/>
  <c r="R1381" i="2" s="1"/>
  <c r="S1381" i="2" s="1"/>
  <c r="Q1528" i="2"/>
  <c r="R1528" i="2" s="1"/>
  <c r="S1528" i="2" s="1"/>
  <c r="Q1489" i="2"/>
  <c r="R1489" i="2" s="1"/>
  <c r="S1489" i="2" s="1"/>
  <c r="Q1490" i="2"/>
  <c r="R1490" i="2" s="1"/>
  <c r="S1490" i="2" s="1"/>
  <c r="Q1514" i="2"/>
  <c r="R1514" i="2" s="1"/>
  <c r="S1514" i="2" s="1"/>
  <c r="Q1470" i="2"/>
  <c r="R1470" i="2" s="1"/>
  <c r="S1470" i="2" s="1"/>
  <c r="Q1471" i="2"/>
  <c r="R1471" i="2" s="1"/>
  <c r="S1471" i="2" s="1"/>
  <c r="Q1522" i="2"/>
  <c r="R1522" i="2" s="1"/>
  <c r="S1522" i="2" s="1"/>
  <c r="Q1529" i="2"/>
  <c r="R1529" i="2" s="1"/>
  <c r="S1529" i="2" s="1"/>
  <c r="Q1530" i="2"/>
  <c r="R1530" i="2" s="1"/>
  <c r="S1530" i="2" s="1"/>
  <c r="Q1566" i="2"/>
  <c r="R1566" i="2" s="1"/>
  <c r="S1566" i="2" s="1"/>
  <c r="Q1567" i="2"/>
  <c r="R1567" i="2" s="1"/>
  <c r="S1567" i="2" s="1"/>
  <c r="Q1515" i="2"/>
  <c r="R1515" i="2" s="1"/>
  <c r="S1515" i="2" s="1"/>
  <c r="Q1554" i="2"/>
  <c r="R1554" i="2" s="1"/>
  <c r="S1554" i="2" s="1"/>
  <c r="Q1531" i="2"/>
  <c r="R1531" i="2" s="1"/>
  <c r="S1531" i="2" s="1"/>
  <c r="Q1433" i="2"/>
  <c r="R1433" i="2" s="1"/>
  <c r="S1433" i="2" s="1"/>
  <c r="Q1434" i="2"/>
  <c r="R1434" i="2" s="1"/>
  <c r="S1434" i="2" s="1"/>
  <c r="Q1510" i="2"/>
  <c r="R1510" i="2" s="1"/>
  <c r="S1510" i="2" s="1"/>
  <c r="Q1329" i="2"/>
  <c r="R1329" i="2" s="1"/>
  <c r="S1329" i="2" s="1"/>
  <c r="Q1511" i="2"/>
  <c r="R1511" i="2" s="1"/>
  <c r="S1511" i="2" s="1"/>
  <c r="Q1491" i="2"/>
  <c r="R1491" i="2" s="1"/>
  <c r="S1491" i="2" s="1"/>
  <c r="Q1492" i="2"/>
  <c r="R1492" i="2" s="1"/>
  <c r="S1492" i="2" s="1"/>
  <c r="Q1532" i="2"/>
  <c r="R1532" i="2" s="1"/>
  <c r="S1532" i="2" s="1"/>
  <c r="Q1369" i="2"/>
  <c r="R1369" i="2" s="1"/>
  <c r="S1369" i="2" s="1"/>
  <c r="Q1562" i="2"/>
  <c r="R1562" i="2" s="1"/>
  <c r="S1562" i="2" s="1"/>
  <c r="Q1385" i="2"/>
  <c r="R1385" i="2" s="1"/>
  <c r="S1385" i="2" s="1"/>
  <c r="Q1386" i="2"/>
  <c r="R1386" i="2" s="1"/>
  <c r="S1386" i="2" s="1"/>
  <c r="Q1533" i="2"/>
  <c r="R1533" i="2" s="1"/>
  <c r="S1533" i="2" s="1"/>
  <c r="Q1375" i="2"/>
  <c r="R1375" i="2" s="1"/>
  <c r="S1375" i="2" s="1"/>
  <c r="Q1387" i="2"/>
  <c r="R1387" i="2" s="1"/>
  <c r="S1387" i="2" s="1"/>
  <c r="Q1388" i="2"/>
  <c r="R1388" i="2" s="1"/>
  <c r="S1388" i="2" s="1"/>
  <c r="Q1389" i="2"/>
  <c r="R1389" i="2" s="1"/>
  <c r="S1389" i="2" s="1"/>
  <c r="Q1390" i="2"/>
  <c r="R1390" i="2" s="1"/>
  <c r="S1390" i="2" s="1"/>
  <c r="Q1549" i="2"/>
  <c r="R1549" i="2" s="1"/>
  <c r="S1549" i="2" s="1"/>
  <c r="Q1550" i="2"/>
  <c r="R1550" i="2" s="1"/>
  <c r="S1550" i="2" s="1"/>
  <c r="Q1551" i="2"/>
  <c r="R1551" i="2" s="1"/>
  <c r="S1551" i="2" s="1"/>
  <c r="Q1552" i="2"/>
  <c r="R1552" i="2" s="1"/>
  <c r="S1552" i="2" s="1"/>
  <c r="Q1553" i="2"/>
  <c r="R1553" i="2" s="1"/>
  <c r="S1553" i="2" s="1"/>
  <c r="Q1376" i="2"/>
  <c r="R1376" i="2" s="1"/>
  <c r="S1376" i="2" s="1"/>
  <c r="J1472" i="2"/>
  <c r="J1359" i="2"/>
  <c r="J1411" i="2"/>
  <c r="J1412" i="2"/>
  <c r="J1413" i="2"/>
  <c r="J1473" i="2"/>
  <c r="J1474" i="2"/>
  <c r="J1475" i="2"/>
  <c r="J1435" i="2"/>
  <c r="J1436" i="2"/>
  <c r="J1437" i="2"/>
  <c r="J1476" i="2"/>
  <c r="J1477" i="2"/>
  <c r="J1414" i="2"/>
  <c r="J1592" i="2"/>
  <c r="J1438" i="2"/>
  <c r="J1439" i="2"/>
  <c r="J1593" i="2"/>
  <c r="J1440" i="2"/>
  <c r="J1441" i="2"/>
  <c r="J1415" i="2"/>
  <c r="J1404" i="2"/>
  <c r="J1405" i="2"/>
  <c r="J1416" i="2"/>
  <c r="J1417" i="2"/>
  <c r="J1418" i="2"/>
  <c r="J1406" i="2"/>
  <c r="J1594" i="2"/>
  <c r="J1595" i="2"/>
  <c r="J1596" i="2"/>
  <c r="J1597" i="2"/>
  <c r="J1539" i="2"/>
  <c r="J1540" i="2"/>
  <c r="J1478" i="2"/>
  <c r="J1479" i="2"/>
  <c r="J1442" i="2"/>
  <c r="J1580" i="2"/>
  <c r="J1443" i="2"/>
  <c r="J1407" i="2"/>
  <c r="J1419" i="2"/>
  <c r="J1444" i="2"/>
  <c r="J1536" i="2"/>
  <c r="J1537" i="2"/>
  <c r="J1445" i="2"/>
  <c r="J1446" i="2"/>
  <c r="J1447" i="2"/>
  <c r="J1408" i="2"/>
  <c r="J1409" i="2"/>
  <c r="J1394" i="2"/>
  <c r="J1395" i="2"/>
  <c r="J1396" i="2"/>
  <c r="J1448" i="2"/>
  <c r="J1449" i="2"/>
  <c r="J1556" i="2"/>
  <c r="J1410" i="2"/>
  <c r="J1450" i="2"/>
  <c r="J1481" i="2"/>
  <c r="J1557" i="2"/>
  <c r="J1545" i="2"/>
  <c r="J1420" i="2"/>
  <c r="J1421" i="2"/>
  <c r="J1542" i="2"/>
  <c r="J1286" i="2"/>
  <c r="J1451" i="2"/>
  <c r="J1546" i="2"/>
  <c r="J1482" i="2"/>
  <c r="J1581" i="2"/>
  <c r="J1422" i="2"/>
  <c r="J1377" i="2"/>
  <c r="J1347" i="2"/>
  <c r="J1348" i="2"/>
  <c r="J1349" i="2"/>
  <c r="J1370" i="2"/>
  <c r="J1371" i="2"/>
  <c r="J1372" i="2"/>
  <c r="J1350" i="2"/>
  <c r="J1373" i="2"/>
  <c r="J1598" i="2"/>
  <c r="J1374" i="2"/>
  <c r="J1391" i="2"/>
  <c r="J1287" i="2"/>
  <c r="J1260" i="2"/>
  <c r="J1351" i="2"/>
  <c r="J1352" i="2"/>
  <c r="J1378" i="2"/>
  <c r="J1314" i="2"/>
  <c r="J1315" i="2"/>
  <c r="J1368" i="2"/>
  <c r="J1353" i="2"/>
  <c r="J1336" i="2"/>
  <c r="J1397" i="2"/>
  <c r="J1379" i="2"/>
  <c r="J1337" i="2"/>
  <c r="J1468" i="2"/>
  <c r="J1547" i="2"/>
  <c r="J1548" i="2"/>
  <c r="J1380" i="2"/>
  <c r="J1543" i="2"/>
  <c r="J1338" i="2"/>
  <c r="J1339" i="2"/>
  <c r="J1544" i="2"/>
  <c r="J1480" i="2"/>
  <c r="J1340" i="2"/>
  <c r="J1341" i="2"/>
  <c r="J1568" i="2"/>
  <c r="J1569" i="2"/>
  <c r="J1499" i="2"/>
  <c r="J1360" i="2"/>
  <c r="J1361" i="2"/>
  <c r="J1570" i="2"/>
  <c r="J1571" i="2"/>
  <c r="J1588" i="2"/>
  <c r="J1572" i="2"/>
  <c r="J1342" i="2"/>
  <c r="J1498" i="2"/>
  <c r="J1343" i="2"/>
  <c r="J1362" i="2"/>
  <c r="J1363" i="2"/>
  <c r="J1364" i="2"/>
  <c r="J1344" i="2"/>
  <c r="J1500" i="2"/>
  <c r="J1573" i="2"/>
  <c r="J1282" i="2"/>
  <c r="J1574" i="2"/>
  <c r="J1382" i="2"/>
  <c r="J1383" i="2"/>
  <c r="J1575" i="2"/>
  <c r="J1384" i="2"/>
  <c r="J1589" i="2"/>
  <c r="J1501" i="2"/>
  <c r="J1576" i="2"/>
  <c r="J1354" i="2"/>
  <c r="J1355" i="2"/>
  <c r="J1365" i="2"/>
  <c r="J1398" i="2"/>
  <c r="J1399" i="2"/>
  <c r="J1316" i="2"/>
  <c r="J1278" i="2"/>
  <c r="J1330" i="2"/>
  <c r="J1331" i="2"/>
  <c r="J1590" i="2"/>
  <c r="J1502" i="2"/>
  <c r="J1332" i="2"/>
  <c r="J1268" i="2"/>
  <c r="J1269" i="2"/>
  <c r="J1270" i="2"/>
  <c r="J1271" i="2"/>
  <c r="J1272" i="2"/>
  <c r="J1273" i="2"/>
  <c r="J1274" i="2"/>
  <c r="J1503" i="2"/>
  <c r="J1504" i="2"/>
  <c r="J1333" i="2"/>
  <c r="J1483" i="2"/>
  <c r="J1283" i="2"/>
  <c r="J1577" i="2"/>
  <c r="J1275" i="2"/>
  <c r="J1276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277" i="2"/>
  <c r="J1505" i="2"/>
  <c r="J1317" i="2"/>
  <c r="J1262" i="2"/>
  <c r="J1279" i="2"/>
  <c r="J1392" i="2"/>
  <c r="J1284" i="2"/>
  <c r="J1494" i="2"/>
  <c r="J1535" i="2"/>
  <c r="J1495" i="2"/>
  <c r="J1263" i="2"/>
  <c r="J1457" i="2"/>
  <c r="J1496" i="2"/>
  <c r="J1458" i="2"/>
  <c r="J1345" i="2"/>
  <c r="J1306" i="2"/>
  <c r="J1307" i="2"/>
  <c r="J1308" i="2"/>
  <c r="J1309" i="2"/>
  <c r="J1310" i="2"/>
  <c r="J1311" i="2"/>
  <c r="J1312" i="2"/>
  <c r="J1428" i="2"/>
  <c r="J1497" i="2"/>
  <c r="J1393" i="2"/>
  <c r="J1429" i="2"/>
  <c r="J1586" i="2"/>
  <c r="J1587" i="2"/>
  <c r="J1516" i="2"/>
  <c r="J1334" i="2"/>
  <c r="J1484" i="2"/>
  <c r="J1264" i="2"/>
  <c r="J1281" i="2"/>
  <c r="J1327" i="2"/>
  <c r="J1265" i="2"/>
  <c r="J1266" i="2"/>
  <c r="J1328" i="2"/>
  <c r="J1591" i="2"/>
  <c r="J1346" i="2"/>
  <c r="J1280" i="2"/>
  <c r="J1584" i="2"/>
  <c r="J1585" i="2"/>
  <c r="J1506" i="2"/>
  <c r="J1578" i="2"/>
  <c r="J1517" i="2"/>
  <c r="J1261" i="2"/>
  <c r="J1318" i="2"/>
  <c r="J1467" i="2"/>
  <c r="J1563" i="2"/>
  <c r="J1485" i="2"/>
  <c r="J1431" i="2"/>
  <c r="J1579" i="2"/>
  <c r="J1507" i="2"/>
  <c r="J1486" i="2"/>
  <c r="J1267" i="2"/>
  <c r="J1432" i="2"/>
  <c r="J1534" i="2"/>
  <c r="J1541" i="2"/>
  <c r="J1313" i="2"/>
  <c r="J1512" i="2"/>
  <c r="J1582" i="2"/>
  <c r="J1400" i="2"/>
  <c r="J1508" i="2"/>
  <c r="J1583" i="2"/>
  <c r="J1509" i="2"/>
  <c r="J1520" i="2"/>
  <c r="J1521" i="2"/>
  <c r="J1564" i="2"/>
  <c r="J1565" i="2"/>
  <c r="J1401" i="2"/>
  <c r="J1452" i="2"/>
  <c r="J1538" i="2"/>
  <c r="J1402" i="2"/>
  <c r="J1403" i="2"/>
  <c r="J1335" i="2"/>
  <c r="J1513" i="2"/>
  <c r="J1487" i="2"/>
  <c r="J1488" i="2"/>
  <c r="J1555" i="2"/>
  <c r="J1430" i="2"/>
  <c r="J1356" i="2"/>
  <c r="J1357" i="2"/>
  <c r="J1285" i="2"/>
  <c r="J1366" i="2"/>
  <c r="J1367" i="2"/>
  <c r="J1469" i="2"/>
  <c r="J1358" i="2"/>
  <c r="J1493" i="2"/>
  <c r="J1319" i="2"/>
  <c r="J1320" i="2"/>
  <c r="J1321" i="2"/>
  <c r="J1322" i="2"/>
  <c r="J1323" i="2"/>
  <c r="J1324" i="2"/>
  <c r="J1325" i="2"/>
  <c r="J1326" i="2"/>
  <c r="J1489" i="2"/>
  <c r="J1490" i="2"/>
  <c r="J1514" i="2"/>
  <c r="J1470" i="2"/>
  <c r="J1471" i="2"/>
  <c r="J1522" i="2"/>
  <c r="J1566" i="2"/>
  <c r="J1567" i="2"/>
  <c r="J1515" i="2"/>
  <c r="J1554" i="2"/>
  <c r="J1433" i="2"/>
  <c r="J1434" i="2"/>
  <c r="J1510" i="2"/>
  <c r="J1329" i="2"/>
  <c r="J1511" i="2"/>
  <c r="J1491" i="2"/>
  <c r="J1492" i="2"/>
  <c r="J1369" i="2"/>
  <c r="J1562" i="2"/>
  <c r="J1385" i="2"/>
  <c r="J1386" i="2"/>
  <c r="J1533" i="2"/>
  <c r="J1375" i="2"/>
  <c r="J1387" i="2"/>
  <c r="J1388" i="2"/>
  <c r="J1389" i="2"/>
  <c r="J1390" i="2"/>
  <c r="J1549" i="2"/>
  <c r="J1550" i="2"/>
  <c r="J1551" i="2"/>
  <c r="J1552" i="2"/>
  <c r="J1553" i="2"/>
  <c r="J1376" i="2"/>
  <c r="Q1999" i="2" l="1"/>
  <c r="Q1602" i="2"/>
  <c r="R1602" i="2" s="1"/>
  <c r="S1602" i="2" s="1"/>
  <c r="Q1774" i="2"/>
  <c r="R1774" i="2" s="1"/>
  <c r="S1774" i="2" s="1"/>
  <c r="Q2004" i="2"/>
  <c r="R2004" i="2" s="1"/>
  <c r="S2004" i="2" s="1"/>
  <c r="Q1775" i="2"/>
  <c r="R1775" i="2" s="1"/>
  <c r="S1775" i="2" s="1"/>
  <c r="Q2005" i="2"/>
  <c r="R2005" i="2" s="1"/>
  <c r="S2005" i="2" s="1"/>
  <c r="Q1784" i="2"/>
  <c r="R1784" i="2" s="1"/>
  <c r="S1784" i="2" s="1"/>
  <c r="Q1785" i="2"/>
  <c r="R1785" i="2" s="1"/>
  <c r="S1785" i="2" s="1"/>
  <c r="Q1786" i="2"/>
  <c r="R1786" i="2" s="1"/>
  <c r="S1786" i="2" s="1"/>
  <c r="Q1787" i="2"/>
  <c r="R1787" i="2" s="1"/>
  <c r="S1787" i="2" s="1"/>
  <c r="Q1788" i="2"/>
  <c r="R1788" i="2" s="1"/>
  <c r="S1788" i="2" s="1"/>
  <c r="Q2041" i="2"/>
  <c r="R2041" i="2" s="1"/>
  <c r="S2041" i="2" s="1"/>
  <c r="Q2042" i="2"/>
  <c r="R2042" i="2" s="1"/>
  <c r="S2042" i="2" s="1"/>
  <c r="Q2043" i="2"/>
  <c r="R2043" i="2" s="1"/>
  <c r="S2043" i="2" s="1"/>
  <c r="Q1649" i="2"/>
  <c r="R1649" i="2" s="1"/>
  <c r="S1649" i="2" s="1"/>
  <c r="Q1739" i="2"/>
  <c r="R1739" i="2" s="1"/>
  <c r="S1739" i="2" s="1"/>
  <c r="Q1740" i="2"/>
  <c r="R1740" i="2" s="1"/>
  <c r="S1740" i="2" s="1"/>
  <c r="Q1776" i="2"/>
  <c r="R1776" i="2" s="1"/>
  <c r="S1776" i="2" s="1"/>
  <c r="Q1777" i="2"/>
  <c r="R1777" i="2" s="1"/>
  <c r="S1777" i="2" s="1"/>
  <c r="Q1778" i="2"/>
  <c r="R1778" i="2" s="1"/>
  <c r="S1778" i="2" s="1"/>
  <c r="Q1741" i="2"/>
  <c r="R1741" i="2" s="1"/>
  <c r="S1741" i="2" s="1"/>
  <c r="Q1789" i="2"/>
  <c r="R1789" i="2" s="1"/>
  <c r="S1789" i="2" s="1"/>
  <c r="Q1907" i="2"/>
  <c r="R1907" i="2" s="1"/>
  <c r="S1907" i="2" s="1"/>
  <c r="Q1908" i="2"/>
  <c r="R1908" i="2" s="1"/>
  <c r="S1908" i="2" s="1"/>
  <c r="Q2068" i="2"/>
  <c r="R2068" i="2" s="1"/>
  <c r="S2068" i="2" s="1"/>
  <c r="Q1616" i="2"/>
  <c r="R1616" i="2" s="1"/>
  <c r="S1616" i="2" s="1"/>
  <c r="Q1617" i="2"/>
  <c r="R1617" i="2" s="1"/>
  <c r="S1617" i="2" s="1"/>
  <c r="Q1618" i="2"/>
  <c r="R1618" i="2" s="1"/>
  <c r="S1618" i="2" s="1"/>
  <c r="Q2006" i="2"/>
  <c r="R2006" i="2" s="1"/>
  <c r="S2006" i="2" s="1"/>
  <c r="Q2007" i="2"/>
  <c r="R2007" i="2" s="1"/>
  <c r="S2007" i="2" s="1"/>
  <c r="Q2008" i="2"/>
  <c r="R2008" i="2" s="1"/>
  <c r="S2008" i="2" s="1"/>
  <c r="Q2009" i="2"/>
  <c r="R2009" i="2" s="1"/>
  <c r="S2009" i="2" s="1"/>
  <c r="Q2010" i="2"/>
  <c r="R2010" i="2" s="1"/>
  <c r="S2010" i="2" s="1"/>
  <c r="Q2011" i="2"/>
  <c r="R2011" i="2" s="1"/>
  <c r="S2011" i="2" s="1"/>
  <c r="Q1652" i="2"/>
  <c r="R1652" i="2" s="1"/>
  <c r="S1652" i="2" s="1"/>
  <c r="Q2012" i="2"/>
  <c r="R2012" i="2" s="1"/>
  <c r="S2012" i="2" s="1"/>
  <c r="Q2013" i="2"/>
  <c r="R2013" i="2" s="1"/>
  <c r="S2013" i="2" s="1"/>
  <c r="Q1612" i="2"/>
  <c r="R1612" i="2" s="1"/>
  <c r="S1612" i="2" s="1"/>
  <c r="Q2102" i="2"/>
  <c r="R2102" i="2" s="1"/>
  <c r="S2102" i="2" s="1"/>
  <c r="Q2103" i="2"/>
  <c r="R2103" i="2" s="1"/>
  <c r="S2103" i="2" s="1"/>
  <c r="Q1913" i="2"/>
  <c r="R1913" i="2" s="1"/>
  <c r="S1913" i="2" s="1"/>
  <c r="Q2104" i="2"/>
  <c r="R2104" i="2" s="1"/>
  <c r="S2104" i="2" s="1"/>
  <c r="Q1914" i="2"/>
  <c r="R1914" i="2" s="1"/>
  <c r="S1914" i="2" s="1"/>
  <c r="Q1782" i="2"/>
  <c r="R1782" i="2" s="1"/>
  <c r="S1782" i="2" s="1"/>
  <c r="Q1742" i="2"/>
  <c r="R1742" i="2" s="1"/>
  <c r="S1742" i="2" s="1"/>
  <c r="Q1743" i="2"/>
  <c r="R1743" i="2" s="1"/>
  <c r="S1743" i="2" s="1"/>
  <c r="Q1744" i="2"/>
  <c r="R1744" i="2" s="1"/>
  <c r="S1744" i="2" s="1"/>
  <c r="Q1745" i="2"/>
  <c r="R1745" i="2" s="1"/>
  <c r="S1745" i="2" s="1"/>
  <c r="Q1746" i="2"/>
  <c r="R1746" i="2" s="1"/>
  <c r="S1746" i="2" s="1"/>
  <c r="Q1747" i="2"/>
  <c r="R1747" i="2" s="1"/>
  <c r="S1747" i="2" s="1"/>
  <c r="Q1748" i="2"/>
  <c r="R1748" i="2" s="1"/>
  <c r="S1748" i="2" s="1"/>
  <c r="Q2093" i="2"/>
  <c r="R2093" i="2" s="1"/>
  <c r="S2093" i="2" s="1"/>
  <c r="Q2094" i="2"/>
  <c r="R2094" i="2" s="1"/>
  <c r="S2094" i="2" s="1"/>
  <c r="Q2095" i="2"/>
  <c r="R2095" i="2" s="1"/>
  <c r="S2095" i="2" s="1"/>
  <c r="Q2096" i="2"/>
  <c r="R2096" i="2" s="1"/>
  <c r="S2096" i="2" s="1"/>
  <c r="Q1909" i="2"/>
  <c r="R1909" i="2" s="1"/>
  <c r="S1909" i="2" s="1"/>
  <c r="Q2069" i="2"/>
  <c r="R2069" i="2" s="1"/>
  <c r="S2069" i="2" s="1"/>
  <c r="Q2070" i="2"/>
  <c r="R2070" i="2" s="1"/>
  <c r="S2070" i="2" s="1"/>
  <c r="Q2071" i="2"/>
  <c r="R2071" i="2" s="1"/>
  <c r="S2071" i="2" s="1"/>
  <c r="Q1823" i="2"/>
  <c r="R1823" i="2" s="1"/>
  <c r="S1823" i="2" s="1"/>
  <c r="Q1790" i="2"/>
  <c r="R1790" i="2" s="1"/>
  <c r="S1790" i="2" s="1"/>
  <c r="Q1791" i="2"/>
  <c r="R1791" i="2" s="1"/>
  <c r="S1791" i="2" s="1"/>
  <c r="Q1824" i="2"/>
  <c r="R1824" i="2" s="1"/>
  <c r="S1824" i="2" s="1"/>
  <c r="Q1621" i="2"/>
  <c r="R1621" i="2" s="1"/>
  <c r="S1621" i="2" s="1"/>
  <c r="Q2105" i="2"/>
  <c r="R2105" i="2" s="1"/>
  <c r="S2105" i="2" s="1"/>
  <c r="Q2106" i="2"/>
  <c r="R2106" i="2" s="1"/>
  <c r="S2106" i="2" s="1"/>
  <c r="Q1749" i="2"/>
  <c r="R1749" i="2" s="1"/>
  <c r="S1749" i="2" s="1"/>
  <c r="Q1750" i="2"/>
  <c r="R1750" i="2" s="1"/>
  <c r="S1750" i="2" s="1"/>
  <c r="Q1751" i="2"/>
  <c r="R1751" i="2" s="1"/>
  <c r="S1751" i="2" s="1"/>
  <c r="Q1752" i="2"/>
  <c r="R1752" i="2" s="1"/>
  <c r="S1752" i="2" s="1"/>
  <c r="Q1753" i="2"/>
  <c r="R1753" i="2" s="1"/>
  <c r="S1753" i="2" s="1"/>
  <c r="Q1992" i="2"/>
  <c r="R1992" i="2" s="1"/>
  <c r="S1992" i="2" s="1"/>
  <c r="Q1910" i="2"/>
  <c r="R1910" i="2" s="1"/>
  <c r="S1910" i="2" s="1"/>
  <c r="Q2097" i="2"/>
  <c r="R2097" i="2" s="1"/>
  <c r="S2097" i="2" s="1"/>
  <c r="Q1911" i="2"/>
  <c r="R1911" i="2" s="1"/>
  <c r="S1911" i="2" s="1"/>
  <c r="Q2044" i="2"/>
  <c r="R2044" i="2" s="1"/>
  <c r="S2044" i="2" s="1"/>
  <c r="Q2045" i="2"/>
  <c r="R2045" i="2" s="1"/>
  <c r="S2045" i="2" s="1"/>
  <c r="Q2098" i="2"/>
  <c r="R2098" i="2" s="1"/>
  <c r="S2098" i="2" s="1"/>
  <c r="Q2099" i="2"/>
  <c r="R2099" i="2" s="1"/>
  <c r="S2099" i="2" s="1"/>
  <c r="Q2107" i="2"/>
  <c r="R2107" i="2" s="1"/>
  <c r="S2107" i="2" s="1"/>
  <c r="Q1654" i="2"/>
  <c r="R1654" i="2" s="1"/>
  <c r="S1654" i="2" s="1"/>
  <c r="Q1619" i="2"/>
  <c r="R1619" i="2" s="1"/>
  <c r="S1619" i="2" s="1"/>
  <c r="Q1731" i="2"/>
  <c r="R1731" i="2" s="1"/>
  <c r="S1731" i="2" s="1"/>
  <c r="Q1732" i="2"/>
  <c r="R1732" i="2" s="1"/>
  <c r="S1732" i="2" s="1"/>
  <c r="Q1733" i="2"/>
  <c r="R1733" i="2" s="1"/>
  <c r="S1733" i="2" s="1"/>
  <c r="Q1754" i="2"/>
  <c r="R1754" i="2" s="1"/>
  <c r="S1754" i="2" s="1"/>
  <c r="Q1755" i="2"/>
  <c r="R1755" i="2" s="1"/>
  <c r="S1755" i="2" s="1"/>
  <c r="Q2108" i="2"/>
  <c r="R2108" i="2" s="1"/>
  <c r="S2108" i="2" s="1"/>
  <c r="Q1779" i="2"/>
  <c r="R1779" i="2" s="1"/>
  <c r="S1779" i="2" s="1"/>
  <c r="Q2060" i="2"/>
  <c r="R2060" i="2" s="1"/>
  <c r="S2060" i="2" s="1"/>
  <c r="Q2046" i="2"/>
  <c r="R2046" i="2" s="1"/>
  <c r="S2046" i="2" s="1"/>
  <c r="Q2047" i="2"/>
  <c r="R2047" i="2" s="1"/>
  <c r="S2047" i="2" s="1"/>
  <c r="Q2048" i="2"/>
  <c r="R2048" i="2" s="1"/>
  <c r="S2048" i="2" s="1"/>
  <c r="Q2109" i="2"/>
  <c r="R2109" i="2" s="1"/>
  <c r="S2109" i="2" s="1"/>
  <c r="Q1756" i="2"/>
  <c r="R1756" i="2" s="1"/>
  <c r="S1756" i="2" s="1"/>
  <c r="Q1628" i="2"/>
  <c r="R1628" i="2" s="1"/>
  <c r="S1628" i="2" s="1"/>
  <c r="Q1825" i="2"/>
  <c r="R1825" i="2" s="1"/>
  <c r="S1825" i="2" s="1"/>
  <c r="Q1757" i="2"/>
  <c r="R1757" i="2" s="1"/>
  <c r="S1757" i="2" s="1"/>
  <c r="Q1758" i="2"/>
  <c r="R1758" i="2" s="1"/>
  <c r="S1758" i="2" s="1"/>
  <c r="Q2049" i="2"/>
  <c r="R2049" i="2" s="1"/>
  <c r="S2049" i="2" s="1"/>
  <c r="Q2050" i="2"/>
  <c r="R2050" i="2" s="1"/>
  <c r="S2050" i="2" s="1"/>
  <c r="Q2051" i="2"/>
  <c r="R2051" i="2" s="1"/>
  <c r="S2051" i="2" s="1"/>
  <c r="Q2052" i="2"/>
  <c r="R2052" i="2" s="1"/>
  <c r="S2052" i="2" s="1"/>
  <c r="Q1650" i="2"/>
  <c r="R1650" i="2" s="1"/>
  <c r="S1650" i="2" s="1"/>
  <c r="Q2053" i="2"/>
  <c r="R2053" i="2" s="1"/>
  <c r="S2053" i="2" s="1"/>
  <c r="Q1826" i="2"/>
  <c r="R1826" i="2" s="1"/>
  <c r="S1826" i="2" s="1"/>
  <c r="Q2054" i="2"/>
  <c r="R2054" i="2" s="1"/>
  <c r="S2054" i="2" s="1"/>
  <c r="Q2055" i="2"/>
  <c r="R2055" i="2" s="1"/>
  <c r="S2055" i="2" s="1"/>
  <c r="Q1986" i="2"/>
  <c r="R1986" i="2" s="1"/>
  <c r="S1986" i="2" s="1"/>
  <c r="Q1987" i="2"/>
  <c r="R1987" i="2" s="1"/>
  <c r="S1987" i="2" s="1"/>
  <c r="Q1651" i="2"/>
  <c r="R1651" i="2" s="1"/>
  <c r="S1651" i="2" s="1"/>
  <c r="Q2056" i="2"/>
  <c r="R2056" i="2" s="1"/>
  <c r="S2056" i="2" s="1"/>
  <c r="Q2057" i="2"/>
  <c r="R2057" i="2" s="1"/>
  <c r="S2057" i="2" s="1"/>
  <c r="Q2058" i="2"/>
  <c r="R2058" i="2" s="1"/>
  <c r="S2058" i="2" s="1"/>
  <c r="Q2059" i="2"/>
  <c r="R2059" i="2" s="1"/>
  <c r="S2059" i="2" s="1"/>
  <c r="Q1993" i="2"/>
  <c r="R1993" i="2" s="1"/>
  <c r="S1993" i="2" s="1"/>
  <c r="Q1734" i="2"/>
  <c r="R1734" i="2" s="1"/>
  <c r="S1734" i="2" s="1"/>
  <c r="Q1601" i="2"/>
  <c r="R1601" i="2" s="1"/>
  <c r="S1601" i="2" s="1"/>
  <c r="Q2014" i="2"/>
  <c r="R2014" i="2" s="1"/>
  <c r="S2014" i="2" s="1"/>
  <c r="Q2015" i="2"/>
  <c r="R2015" i="2" s="1"/>
  <c r="S2015" i="2" s="1"/>
  <c r="Q2016" i="2"/>
  <c r="R2016" i="2" s="1"/>
  <c r="S2016" i="2" s="1"/>
  <c r="Q2024" i="2"/>
  <c r="R2024" i="2" s="1"/>
  <c r="S2024" i="2" s="1"/>
  <c r="Q1653" i="2"/>
  <c r="R1653" i="2" s="1"/>
  <c r="S1653" i="2" s="1"/>
  <c r="Q1780" i="2"/>
  <c r="R1780" i="2" s="1"/>
  <c r="S1780" i="2" s="1"/>
  <c r="Q1781" i="2"/>
  <c r="R1781" i="2" s="1"/>
  <c r="S1781" i="2" s="1"/>
  <c r="Q2017" i="2"/>
  <c r="R2017" i="2" s="1"/>
  <c r="S2017" i="2" s="1"/>
  <c r="Q2061" i="2"/>
  <c r="R2061" i="2" s="1"/>
  <c r="S2061" i="2" s="1"/>
  <c r="Q1994" i="2"/>
  <c r="R1994" i="2" s="1"/>
  <c r="S1994" i="2" s="1"/>
  <c r="Q1879" i="2"/>
  <c r="R1879" i="2" s="1"/>
  <c r="S1879" i="2" s="1"/>
  <c r="Q1735" i="2"/>
  <c r="R1735" i="2" s="1"/>
  <c r="S1735" i="2" s="1"/>
  <c r="Q1905" i="2"/>
  <c r="R1905" i="2" s="1"/>
  <c r="S1905" i="2" s="1"/>
  <c r="Q1783" i="2"/>
  <c r="R1783" i="2" s="1"/>
  <c r="S1783" i="2" s="1"/>
  <c r="Q2039" i="2"/>
  <c r="R2039" i="2" s="1"/>
  <c r="S2039" i="2" s="1"/>
  <c r="Q1812" i="2"/>
  <c r="R1812" i="2" s="1"/>
  <c r="S1812" i="2" s="1"/>
  <c r="Q1736" i="2"/>
  <c r="R1736" i="2" s="1"/>
  <c r="S1736" i="2" s="1"/>
  <c r="Q1906" i="2"/>
  <c r="R1906" i="2" s="1"/>
  <c r="S1906" i="2" s="1"/>
  <c r="Q1878" i="2"/>
  <c r="R1878" i="2" s="1"/>
  <c r="S1878" i="2" s="1"/>
  <c r="Q2110" i="2"/>
  <c r="R2110" i="2" s="1"/>
  <c r="S2110" i="2" s="1"/>
  <c r="Q2062" i="2"/>
  <c r="R2062" i="2" s="1"/>
  <c r="S2062" i="2" s="1"/>
  <c r="Q1995" i="2"/>
  <c r="R1995" i="2" s="1"/>
  <c r="S1995" i="2" s="1"/>
  <c r="Q1737" i="2"/>
  <c r="R1737" i="2" s="1"/>
  <c r="S1737" i="2" s="1"/>
  <c r="Q1722" i="2"/>
  <c r="R1722" i="2" s="1"/>
  <c r="S1722" i="2" s="1"/>
  <c r="Q1813" i="2"/>
  <c r="R1813" i="2" s="1"/>
  <c r="S1813" i="2" s="1"/>
  <c r="Q2072" i="2"/>
  <c r="R2072" i="2" s="1"/>
  <c r="S2072" i="2" s="1"/>
  <c r="Q1827" i="2"/>
  <c r="R1827" i="2" s="1"/>
  <c r="S1827" i="2" s="1"/>
  <c r="Q1942" i="2"/>
  <c r="R1942" i="2" s="1"/>
  <c r="S1942" i="2" s="1"/>
  <c r="Q2073" i="2"/>
  <c r="R2073" i="2" s="1"/>
  <c r="S2073" i="2" s="1"/>
  <c r="Q1943" i="2"/>
  <c r="R1943" i="2" s="1"/>
  <c r="S1943" i="2" s="1"/>
  <c r="Q1944" i="2"/>
  <c r="R1944" i="2" s="1"/>
  <c r="S1944" i="2" s="1"/>
  <c r="Q1945" i="2"/>
  <c r="R1945" i="2" s="1"/>
  <c r="S1945" i="2" s="1"/>
  <c r="Q2074" i="2"/>
  <c r="R2074" i="2" s="1"/>
  <c r="S2074" i="2" s="1"/>
  <c r="Q2075" i="2"/>
  <c r="R2075" i="2" s="1"/>
  <c r="S2075" i="2" s="1"/>
  <c r="Q1828" i="2"/>
  <c r="R1828" i="2" s="1"/>
  <c r="S1828" i="2" s="1"/>
  <c r="Q1829" i="2"/>
  <c r="R1829" i="2" s="1"/>
  <c r="S1829" i="2" s="1"/>
  <c r="Q1946" i="2"/>
  <c r="R1946" i="2" s="1"/>
  <c r="S1946" i="2" s="1"/>
  <c r="Q2076" i="2"/>
  <c r="R2076" i="2" s="1"/>
  <c r="S2076" i="2" s="1"/>
  <c r="Q1831" i="2"/>
  <c r="R1831" i="2" s="1"/>
  <c r="S1831" i="2" s="1"/>
  <c r="Q1832" i="2"/>
  <c r="R1832" i="2" s="1"/>
  <c r="S1832" i="2" s="1"/>
  <c r="Q1814" i="2"/>
  <c r="R1814" i="2" s="1"/>
  <c r="S1814" i="2" s="1"/>
  <c r="Q1981" i="2"/>
  <c r="R1981" i="2" s="1"/>
  <c r="S1981" i="2" s="1"/>
  <c r="Q1947" i="2"/>
  <c r="R1947" i="2" s="1"/>
  <c r="S1947" i="2" s="1"/>
  <c r="Q2077" i="2"/>
  <c r="R2077" i="2" s="1"/>
  <c r="S2077" i="2" s="1"/>
  <c r="Q1982" i="2"/>
  <c r="R1982" i="2" s="1"/>
  <c r="S1982" i="2" s="1"/>
  <c r="Q2078" i="2"/>
  <c r="R2078" i="2" s="1"/>
  <c r="S2078" i="2" s="1"/>
  <c r="Q1833" i="2"/>
  <c r="R1833" i="2" s="1"/>
  <c r="S1833" i="2" s="1"/>
  <c r="Q2079" i="2"/>
  <c r="R2079" i="2" s="1"/>
  <c r="S2079" i="2" s="1"/>
  <c r="Q2080" i="2"/>
  <c r="R2080" i="2" s="1"/>
  <c r="S2080" i="2" s="1"/>
  <c r="Q1830" i="2"/>
  <c r="R1830" i="2" s="1"/>
  <c r="S1830" i="2" s="1"/>
  <c r="Q2063" i="2"/>
  <c r="R2063" i="2" s="1"/>
  <c r="S2063" i="2" s="1"/>
  <c r="Q1951" i="2"/>
  <c r="R1951" i="2" s="1"/>
  <c r="S1951" i="2" s="1"/>
  <c r="Q1730" i="2"/>
  <c r="R1730" i="2" s="1"/>
  <c r="S1730" i="2" s="1"/>
  <c r="Q2018" i="2"/>
  <c r="R2018" i="2" s="1"/>
  <c r="S2018" i="2" s="1"/>
  <c r="Q2019" i="2"/>
  <c r="R2019" i="2" s="1"/>
  <c r="S2019" i="2" s="1"/>
  <c r="Q1984" i="2"/>
  <c r="R1984" i="2" s="1"/>
  <c r="S1984" i="2" s="1"/>
  <c r="Q1985" i="2"/>
  <c r="R1985" i="2" s="1"/>
  <c r="S1985" i="2" s="1"/>
  <c r="Q2035" i="2"/>
  <c r="R2035" i="2" s="1"/>
  <c r="S2035" i="2" s="1"/>
  <c r="Q1996" i="2"/>
  <c r="R1996" i="2" s="1"/>
  <c r="S1996" i="2" s="1"/>
  <c r="Q1738" i="2"/>
  <c r="R1738" i="2" s="1"/>
  <c r="S1738" i="2" s="1"/>
  <c r="Q1815" i="2"/>
  <c r="R1815" i="2" s="1"/>
  <c r="S1815" i="2" s="1"/>
  <c r="Q1811" i="2"/>
  <c r="R1811" i="2" s="1"/>
  <c r="S1811" i="2" s="1"/>
  <c r="Q1979" i="2"/>
  <c r="R1979" i="2" s="1"/>
  <c r="S1979" i="2" s="1"/>
  <c r="Q1980" i="2"/>
  <c r="R1980" i="2" s="1"/>
  <c r="S1980" i="2" s="1"/>
  <c r="Q1875" i="2"/>
  <c r="R1875" i="2" s="1"/>
  <c r="S1875" i="2" s="1"/>
  <c r="Q1952" i="2"/>
  <c r="R1952" i="2" s="1"/>
  <c r="S1952" i="2" s="1"/>
  <c r="Q1953" i="2"/>
  <c r="R1953" i="2" s="1"/>
  <c r="S1953" i="2" s="1"/>
  <c r="Q1954" i="2"/>
  <c r="R1954" i="2" s="1"/>
  <c r="S1954" i="2" s="1"/>
  <c r="Q2081" i="2"/>
  <c r="R2081" i="2" s="1"/>
  <c r="S2081" i="2" s="1"/>
  <c r="Q1723" i="2"/>
  <c r="R1723" i="2" s="1"/>
  <c r="S1723" i="2" s="1"/>
  <c r="Q1680" i="2"/>
  <c r="R1680" i="2" s="1"/>
  <c r="S1680" i="2" s="1"/>
  <c r="Q1816" i="2"/>
  <c r="R1816" i="2" s="1"/>
  <c r="S1816" i="2" s="1"/>
  <c r="Q1876" i="2"/>
  <c r="R1876" i="2" s="1"/>
  <c r="S1876" i="2" s="1"/>
  <c r="Q1681" i="2"/>
  <c r="R1681" i="2" s="1"/>
  <c r="S1681" i="2" s="1"/>
  <c r="Q1682" i="2"/>
  <c r="R1682" i="2" s="1"/>
  <c r="S1682" i="2" s="1"/>
  <c r="Q1683" i="2"/>
  <c r="R1683" i="2" s="1"/>
  <c r="S1683" i="2" s="1"/>
  <c r="Q2020" i="2"/>
  <c r="R2020" i="2" s="1"/>
  <c r="S2020" i="2" s="1"/>
  <c r="Q1877" i="2"/>
  <c r="R1877" i="2" s="1"/>
  <c r="S1877" i="2" s="1"/>
  <c r="Q1969" i="2"/>
  <c r="R1969" i="2" s="1"/>
  <c r="S1969" i="2" s="1"/>
  <c r="Q1970" i="2"/>
  <c r="R1970" i="2" s="1"/>
  <c r="S1970" i="2" s="1"/>
  <c r="Q1971" i="2"/>
  <c r="R1971" i="2" s="1"/>
  <c r="S1971" i="2" s="1"/>
  <c r="Q1972" i="2"/>
  <c r="R1972" i="2" s="1"/>
  <c r="S1972" i="2" s="1"/>
  <c r="Q1973" i="2"/>
  <c r="R1973" i="2" s="1"/>
  <c r="S1973" i="2" s="1"/>
  <c r="Q1643" i="2"/>
  <c r="R1643" i="2" s="1"/>
  <c r="S1643" i="2" s="1"/>
  <c r="Q1955" i="2"/>
  <c r="R1955" i="2" s="1"/>
  <c r="S1955" i="2" s="1"/>
  <c r="Q1974" i="2"/>
  <c r="R1974" i="2" s="1"/>
  <c r="S1974" i="2" s="1"/>
  <c r="Q1975" i="2"/>
  <c r="R1975" i="2" s="1"/>
  <c r="S1975" i="2" s="1"/>
  <c r="Q1976" i="2"/>
  <c r="R1976" i="2" s="1"/>
  <c r="S1976" i="2" s="1"/>
  <c r="Q2021" i="2"/>
  <c r="R2021" i="2" s="1"/>
  <c r="S2021" i="2" s="1"/>
  <c r="Q2022" i="2"/>
  <c r="R2022" i="2" s="1"/>
  <c r="S2022" i="2" s="1"/>
  <c r="Q1759" i="2"/>
  <c r="R1759" i="2" s="1"/>
  <c r="S1759" i="2" s="1"/>
  <c r="Q1610" i="2"/>
  <c r="R1610" i="2" s="1"/>
  <c r="S1610" i="2" s="1"/>
  <c r="Q1978" i="2"/>
  <c r="R1978" i="2" s="1"/>
  <c r="S1978" i="2" s="1"/>
  <c r="Q1808" i="2"/>
  <c r="R1808" i="2" s="1"/>
  <c r="S1808" i="2" s="1"/>
  <c r="Q1809" i="2"/>
  <c r="R1809" i="2" s="1"/>
  <c r="S1809" i="2" s="1"/>
  <c r="Q1810" i="2"/>
  <c r="R1810" i="2" s="1"/>
  <c r="S1810" i="2" s="1"/>
  <c r="Q1956" i="2"/>
  <c r="R1956" i="2" s="1"/>
  <c r="S1956" i="2" s="1"/>
  <c r="Q1957" i="2"/>
  <c r="R1957" i="2" s="1"/>
  <c r="S1957" i="2" s="1"/>
  <c r="Q1958" i="2"/>
  <c r="R1958" i="2" s="1"/>
  <c r="S1958" i="2" s="1"/>
  <c r="Q1959" i="2"/>
  <c r="R1959" i="2" s="1"/>
  <c r="S1959" i="2" s="1"/>
  <c r="Q1642" i="2"/>
  <c r="R1642" i="2" s="1"/>
  <c r="S1642" i="2" s="1"/>
  <c r="Q1686" i="2"/>
  <c r="R1686" i="2" s="1"/>
  <c r="S1686" i="2" s="1"/>
  <c r="Q1725" i="2"/>
  <c r="R1725" i="2" s="1"/>
  <c r="S1725" i="2" s="1"/>
  <c r="Q1648" i="2"/>
  <c r="R1648" i="2" s="1"/>
  <c r="S1648" i="2" s="1"/>
  <c r="Q1794" i="2"/>
  <c r="R1794" i="2" s="1"/>
  <c r="S1794" i="2" s="1"/>
  <c r="Q1820" i="2"/>
  <c r="R1820" i="2" s="1"/>
  <c r="S1820" i="2" s="1"/>
  <c r="Q1760" i="2"/>
  <c r="R1760" i="2" s="1"/>
  <c r="S1760" i="2" s="1"/>
  <c r="Q1997" i="2"/>
  <c r="R1997" i="2" s="1"/>
  <c r="S1997" i="2" s="1"/>
  <c r="Q1761" i="2"/>
  <c r="R1761" i="2" s="1"/>
  <c r="S1761" i="2" s="1"/>
  <c r="Q1795" i="2"/>
  <c r="R1795" i="2" s="1"/>
  <c r="S1795" i="2" s="1"/>
  <c r="Q1821" i="2"/>
  <c r="R1821" i="2" s="1"/>
  <c r="S1821" i="2" s="1"/>
  <c r="Q1693" i="2"/>
  <c r="R1693" i="2" s="1"/>
  <c r="S1693" i="2" s="1"/>
  <c r="Q1899" i="2"/>
  <c r="R1899" i="2" s="1"/>
  <c r="S1899" i="2" s="1"/>
  <c r="Q1694" i="2"/>
  <c r="R1694" i="2" s="1"/>
  <c r="S1694" i="2" s="1"/>
  <c r="Q1762" i="2"/>
  <c r="R1762" i="2" s="1"/>
  <c r="S1762" i="2" s="1"/>
  <c r="Q1600" i="2"/>
  <c r="R1600" i="2" s="1"/>
  <c r="S1600" i="2" s="1"/>
  <c r="Q1763" i="2"/>
  <c r="R1763" i="2" s="1"/>
  <c r="S1763" i="2" s="1"/>
  <c r="Q1764" i="2"/>
  <c r="R1764" i="2" s="1"/>
  <c r="S1764" i="2" s="1"/>
  <c r="Q1729" i="2"/>
  <c r="R1729" i="2" s="1"/>
  <c r="S1729" i="2" s="1"/>
  <c r="Q1765" i="2"/>
  <c r="R1765" i="2" s="1"/>
  <c r="S1765" i="2" s="1"/>
  <c r="Q1695" i="2"/>
  <c r="R1695" i="2" s="1"/>
  <c r="S1695" i="2" s="1"/>
  <c r="Q1696" i="2"/>
  <c r="R1696" i="2" s="1"/>
  <c r="S1696" i="2" s="1"/>
  <c r="Q1960" i="2"/>
  <c r="R1960" i="2" s="1"/>
  <c r="S1960" i="2" s="1"/>
  <c r="Q1766" i="2"/>
  <c r="R1766" i="2" s="1"/>
  <c r="S1766" i="2" s="1"/>
  <c r="Q1697" i="2"/>
  <c r="R1697" i="2" s="1"/>
  <c r="S1697" i="2" s="1"/>
  <c r="Q1796" i="2"/>
  <c r="R1796" i="2" s="1"/>
  <c r="S1796" i="2" s="1"/>
  <c r="Q1836" i="2"/>
  <c r="R1836" i="2" s="1"/>
  <c r="S1836" i="2" s="1"/>
  <c r="Q1837" i="2"/>
  <c r="R1837" i="2" s="1"/>
  <c r="S1837" i="2" s="1"/>
  <c r="Q2084" i="2"/>
  <c r="R2084" i="2" s="1"/>
  <c r="S2084" i="2" s="1"/>
  <c r="Q1698" i="2"/>
  <c r="R1698" i="2" s="1"/>
  <c r="S1698" i="2" s="1"/>
  <c r="Q1641" i="2"/>
  <c r="R1641" i="2" s="1"/>
  <c r="S1641" i="2" s="1"/>
  <c r="Q1767" i="2"/>
  <c r="R1767" i="2" s="1"/>
  <c r="S1767" i="2" s="1"/>
  <c r="Q1768" i="2"/>
  <c r="R1768" i="2" s="1"/>
  <c r="S1768" i="2" s="1"/>
  <c r="Q1915" i="2"/>
  <c r="R1915" i="2" s="1"/>
  <c r="S1915" i="2" s="1"/>
  <c r="Q1916" i="2"/>
  <c r="R1916" i="2" s="1"/>
  <c r="S1916" i="2" s="1"/>
  <c r="Q1917" i="2"/>
  <c r="R1917" i="2" s="1"/>
  <c r="S1917" i="2" s="1"/>
  <c r="Q1599" i="2"/>
  <c r="R1599" i="2" s="1"/>
  <c r="S1599" i="2" s="1"/>
  <c r="Q1691" i="2"/>
  <c r="R1691" i="2" s="1"/>
  <c r="S1691" i="2" s="1"/>
  <c r="Q1624" i="2"/>
  <c r="R1624" i="2" s="1"/>
  <c r="S1624" i="2" s="1"/>
  <c r="Q1699" i="2"/>
  <c r="R1699" i="2" s="1"/>
  <c r="S1699" i="2" s="1"/>
  <c r="Q2025" i="2"/>
  <c r="R2025" i="2" s="1"/>
  <c r="S2025" i="2" s="1"/>
  <c r="Q1700" i="2"/>
  <c r="R1700" i="2" s="1"/>
  <c r="S1700" i="2" s="1"/>
  <c r="Q1918" i="2"/>
  <c r="R1918" i="2" s="1"/>
  <c r="S1918" i="2" s="1"/>
  <c r="Q1919" i="2"/>
  <c r="R1919" i="2" s="1"/>
  <c r="S1919" i="2" s="1"/>
  <c r="Q2085" i="2"/>
  <c r="R2085" i="2" s="1"/>
  <c r="S2085" i="2" s="1"/>
  <c r="Q1838" i="2"/>
  <c r="R1838" i="2" s="1"/>
  <c r="S1838" i="2" s="1"/>
  <c r="Q1839" i="2"/>
  <c r="R1839" i="2" s="1"/>
  <c r="S1839" i="2" s="1"/>
  <c r="Q1920" i="2"/>
  <c r="R1920" i="2" s="1"/>
  <c r="S1920" i="2" s="1"/>
  <c r="Q1921" i="2"/>
  <c r="R1921" i="2" s="1"/>
  <c r="S1921" i="2" s="1"/>
  <c r="Q1922" i="2"/>
  <c r="R1922" i="2" s="1"/>
  <c r="S1922" i="2" s="1"/>
  <c r="Q1923" i="2"/>
  <c r="R1923" i="2" s="1"/>
  <c r="S1923" i="2" s="1"/>
  <c r="Q1924" i="2"/>
  <c r="R1924" i="2" s="1"/>
  <c r="S1924" i="2" s="1"/>
  <c r="Q1925" i="2"/>
  <c r="R1925" i="2" s="1"/>
  <c r="S1925" i="2" s="1"/>
  <c r="Q1926" i="2"/>
  <c r="R1926" i="2" s="1"/>
  <c r="S1926" i="2" s="1"/>
  <c r="Q1927" i="2"/>
  <c r="R1927" i="2" s="1"/>
  <c r="S1927" i="2" s="1"/>
  <c r="Q1928" i="2"/>
  <c r="R1928" i="2" s="1"/>
  <c r="S1928" i="2" s="1"/>
  <c r="Q1929" i="2"/>
  <c r="R1929" i="2" s="1"/>
  <c r="S1929" i="2" s="1"/>
  <c r="Q1930" i="2"/>
  <c r="R1930" i="2" s="1"/>
  <c r="S1930" i="2" s="1"/>
  <c r="Q1931" i="2"/>
  <c r="R1931" i="2" s="1"/>
  <c r="S1931" i="2" s="1"/>
  <c r="Q1932" i="2"/>
  <c r="R1932" i="2" s="1"/>
  <c r="S1932" i="2" s="1"/>
  <c r="Q1933" i="2"/>
  <c r="R1933" i="2" s="1"/>
  <c r="S1933" i="2" s="1"/>
  <c r="Q1934" i="2"/>
  <c r="R1934" i="2" s="1"/>
  <c r="S1934" i="2" s="1"/>
  <c r="Q1935" i="2"/>
  <c r="R1935" i="2" s="1"/>
  <c r="S1935" i="2" s="1"/>
  <c r="Q1936" i="2"/>
  <c r="R1936" i="2" s="1"/>
  <c r="S1936" i="2" s="1"/>
  <c r="Q1630" i="2"/>
  <c r="R1630" i="2" s="1"/>
  <c r="S1630" i="2" s="1"/>
  <c r="Q1631" i="2"/>
  <c r="R1631" i="2" s="1"/>
  <c r="S1631" i="2" s="1"/>
  <c r="Q1632" i="2"/>
  <c r="R1632" i="2" s="1"/>
  <c r="S1632" i="2" s="1"/>
  <c r="Q1633" i="2"/>
  <c r="R1633" i="2" s="1"/>
  <c r="S1633" i="2" s="1"/>
  <c r="Q1634" i="2"/>
  <c r="R1634" i="2" s="1"/>
  <c r="S1634" i="2" s="1"/>
  <c r="Q1635" i="2"/>
  <c r="R1635" i="2" s="1"/>
  <c r="S1635" i="2" s="1"/>
  <c r="Q1636" i="2"/>
  <c r="R1636" i="2" s="1"/>
  <c r="S1636" i="2" s="1"/>
  <c r="Q1637" i="2"/>
  <c r="R1637" i="2" s="1"/>
  <c r="S1637" i="2" s="1"/>
  <c r="Q1638" i="2"/>
  <c r="R1638" i="2" s="1"/>
  <c r="S1638" i="2" s="1"/>
  <c r="Q1961" i="2"/>
  <c r="R1961" i="2" s="1"/>
  <c r="S1961" i="2" s="1"/>
  <c r="Q1962" i="2"/>
  <c r="R1962" i="2" s="1"/>
  <c r="S1962" i="2" s="1"/>
  <c r="Q1655" i="2"/>
  <c r="R1655" i="2" s="1"/>
  <c r="S1655" i="2" s="1"/>
  <c r="Q1613" i="2"/>
  <c r="R1613" i="2" s="1"/>
  <c r="S1613" i="2" s="1"/>
  <c r="Q1701" i="2"/>
  <c r="R1701" i="2" s="1"/>
  <c r="S1701" i="2" s="1"/>
  <c r="Q1900" i="2"/>
  <c r="R1900" i="2" s="1"/>
  <c r="S1900" i="2" s="1"/>
  <c r="Q2038" i="2"/>
  <c r="R2038" i="2" s="1"/>
  <c r="S2038" i="2" s="1"/>
  <c r="Q1690" i="2"/>
  <c r="R1690" i="2" s="1"/>
  <c r="S1690" i="2" s="1"/>
  <c r="Q1769" i="2"/>
  <c r="R1769" i="2" s="1"/>
  <c r="S1769" i="2" s="1"/>
  <c r="Q1625" i="2"/>
  <c r="R1625" i="2" s="1"/>
  <c r="S1625" i="2" s="1"/>
  <c r="Q1983" i="2"/>
  <c r="R1983" i="2" s="1"/>
  <c r="S1983" i="2" s="1"/>
  <c r="Q1903" i="2"/>
  <c r="R1903" i="2" s="1"/>
  <c r="S1903" i="2" s="1"/>
  <c r="Q1770" i="2"/>
  <c r="R1770" i="2" s="1"/>
  <c r="S1770" i="2" s="1"/>
  <c r="Q1702" i="2"/>
  <c r="R1702" i="2" s="1"/>
  <c r="S1702" i="2" s="1"/>
  <c r="Q1861" i="2"/>
  <c r="R1861" i="2" s="1"/>
  <c r="S1861" i="2" s="1"/>
  <c r="Q1840" i="2"/>
  <c r="R1840" i="2" s="1"/>
  <c r="S1840" i="2" s="1"/>
  <c r="Q1687" i="2"/>
  <c r="R1687" i="2" s="1"/>
  <c r="S1687" i="2" s="1"/>
  <c r="Q1797" i="2"/>
  <c r="R1797" i="2" s="1"/>
  <c r="S1797" i="2" s="1"/>
  <c r="Q1822" i="2"/>
  <c r="R1822" i="2" s="1"/>
  <c r="S1822" i="2" s="1"/>
  <c r="Q1937" i="2"/>
  <c r="R1937" i="2" s="1"/>
  <c r="S1937" i="2" s="1"/>
  <c r="Q1938" i="2"/>
  <c r="R1938" i="2" s="1"/>
  <c r="S1938" i="2" s="1"/>
  <c r="Q1939" i="2"/>
  <c r="R1939" i="2" s="1"/>
  <c r="S1939" i="2" s="1"/>
  <c r="Q1940" i="2"/>
  <c r="R1940" i="2" s="1"/>
  <c r="S1940" i="2" s="1"/>
  <c r="Q1639" i="2"/>
  <c r="R1639" i="2" s="1"/>
  <c r="S1639" i="2" s="1"/>
  <c r="Q1941" i="2"/>
  <c r="R1941" i="2" s="1"/>
  <c r="S1941" i="2" s="1"/>
  <c r="Q1640" i="2"/>
  <c r="R1640" i="2" s="1"/>
  <c r="S1640" i="2" s="1"/>
  <c r="Q1904" i="2"/>
  <c r="R1904" i="2" s="1"/>
  <c r="S1904" i="2" s="1"/>
  <c r="Q1963" i="2"/>
  <c r="R1963" i="2" s="1"/>
  <c r="S1963" i="2" s="1"/>
  <c r="Q1603" i="2"/>
  <c r="R1603" i="2" s="1"/>
  <c r="S1603" i="2" s="1"/>
  <c r="Q1724" i="2"/>
  <c r="R1724" i="2" s="1"/>
  <c r="S1724" i="2" s="1"/>
  <c r="Q1703" i="2"/>
  <c r="R1703" i="2" s="1"/>
  <c r="S1703" i="2" s="1"/>
  <c r="Q1912" i="2"/>
  <c r="R1912" i="2" s="1"/>
  <c r="S1912" i="2" s="1"/>
  <c r="Q1688" i="2"/>
  <c r="R1688" i="2" s="1"/>
  <c r="S1688" i="2" s="1"/>
  <c r="Q1689" i="2"/>
  <c r="R1689" i="2" s="1"/>
  <c r="S1689" i="2" s="1"/>
  <c r="Q2086" i="2"/>
  <c r="R2086" i="2" s="1"/>
  <c r="S2086" i="2" s="1"/>
  <c r="Q1964" i="2"/>
  <c r="R1964" i="2" s="1"/>
  <c r="S1964" i="2" s="1"/>
  <c r="Q1965" i="2"/>
  <c r="R1965" i="2" s="1"/>
  <c r="S1965" i="2" s="1"/>
  <c r="Q1704" i="2"/>
  <c r="R1704" i="2" s="1"/>
  <c r="S1704" i="2" s="1"/>
  <c r="Q1604" i="2"/>
  <c r="R1604" i="2" s="1"/>
  <c r="S1604" i="2" s="1"/>
  <c r="Q1605" i="2"/>
  <c r="R1605" i="2" s="1"/>
  <c r="S1605" i="2" s="1"/>
  <c r="Q1606" i="2"/>
  <c r="R1606" i="2" s="1"/>
  <c r="S1606" i="2" s="1"/>
  <c r="Q1998" i="2"/>
  <c r="R1998" i="2" s="1"/>
  <c r="S1998" i="2" s="1"/>
  <c r="Q1771" i="2"/>
  <c r="R1771" i="2" s="1"/>
  <c r="S1771" i="2" s="1"/>
  <c r="Q1705" i="2"/>
  <c r="R1705" i="2" s="1"/>
  <c r="S1705" i="2" s="1"/>
  <c r="Q2026" i="2"/>
  <c r="R2026" i="2" s="1"/>
  <c r="S2026" i="2" s="1"/>
  <c r="Q2087" i="2"/>
  <c r="R2087" i="2" s="1"/>
  <c r="S2087" i="2" s="1"/>
  <c r="Q2088" i="2"/>
  <c r="R2088" i="2" s="1"/>
  <c r="S2088" i="2" s="1"/>
  <c r="Q1862" i="2"/>
  <c r="R1862" i="2" s="1"/>
  <c r="S1862" i="2" s="1"/>
  <c r="Q2089" i="2"/>
  <c r="R2089" i="2" s="1"/>
  <c r="S2089" i="2" s="1"/>
  <c r="Q1863" i="2"/>
  <c r="R1863" i="2" s="1"/>
  <c r="S1863" i="2" s="1"/>
  <c r="Q2000" i="2"/>
  <c r="R2000" i="2" s="1"/>
  <c r="S2000" i="2" s="1"/>
  <c r="Q2064" i="2"/>
  <c r="R2064" i="2" s="1"/>
  <c r="S2064" i="2" s="1"/>
  <c r="Q2101" i="2"/>
  <c r="R2101" i="2" s="1"/>
  <c r="S2101" i="2" s="1"/>
  <c r="Q1870" i="2"/>
  <c r="R1870" i="2" s="1"/>
  <c r="S1870" i="2" s="1"/>
  <c r="Q1726" i="2"/>
  <c r="R1726" i="2" s="1"/>
  <c r="S1726" i="2" s="1"/>
  <c r="Q1727" i="2"/>
  <c r="R1727" i="2" s="1"/>
  <c r="S1727" i="2" s="1"/>
  <c r="Q1728" i="2"/>
  <c r="R1728" i="2" s="1"/>
  <c r="S1728" i="2" s="1"/>
  <c r="Q1772" i="2"/>
  <c r="R1772" i="2" s="1"/>
  <c r="S1772" i="2" s="1"/>
  <c r="Q1706" i="2"/>
  <c r="R1706" i="2" s="1"/>
  <c r="S1706" i="2" s="1"/>
  <c r="Q1656" i="2"/>
  <c r="R1656" i="2" s="1"/>
  <c r="S1656" i="2" s="1"/>
  <c r="Q1865" i="2"/>
  <c r="R1865" i="2" s="1"/>
  <c r="S1865" i="2" s="1"/>
  <c r="Q1871" i="2"/>
  <c r="R1871" i="2" s="1"/>
  <c r="S1871" i="2" s="1"/>
  <c r="Q1644" i="2"/>
  <c r="R1644" i="2" s="1"/>
  <c r="S1644" i="2" s="1"/>
  <c r="Q1817" i="2"/>
  <c r="R1817" i="2" s="1"/>
  <c r="S1817" i="2" s="1"/>
  <c r="Q2036" i="2"/>
  <c r="R2036" i="2" s="1"/>
  <c r="S2036" i="2" s="1"/>
  <c r="Q2037" i="2"/>
  <c r="R2037" i="2" s="1"/>
  <c r="S2037" i="2" s="1"/>
  <c r="Q1626" i="2"/>
  <c r="R1626" i="2" s="1"/>
  <c r="S1626" i="2" s="1"/>
  <c r="Q1645" i="2"/>
  <c r="R1645" i="2" s="1"/>
  <c r="S1645" i="2" s="1"/>
  <c r="Q1646" i="2"/>
  <c r="R1646" i="2" s="1"/>
  <c r="S1646" i="2" s="1"/>
  <c r="Q1647" i="2"/>
  <c r="R1647" i="2" s="1"/>
  <c r="S1647" i="2" s="1"/>
  <c r="Q1841" i="2"/>
  <c r="R1841" i="2" s="1"/>
  <c r="S1841" i="2" s="1"/>
  <c r="Q1966" i="2"/>
  <c r="R1966" i="2" s="1"/>
  <c r="S1966" i="2" s="1"/>
  <c r="Q1607" i="2"/>
  <c r="R1607" i="2" s="1"/>
  <c r="S1607" i="2" s="1"/>
  <c r="Q1988" i="2"/>
  <c r="R1988" i="2" s="1"/>
  <c r="S1988" i="2" s="1"/>
  <c r="Q1989" i="2"/>
  <c r="R1989" i="2" s="1"/>
  <c r="S1989" i="2" s="1"/>
  <c r="Q1990" i="2"/>
  <c r="R1990" i="2" s="1"/>
  <c r="S1990" i="2" s="1"/>
  <c r="Q1611" i="2"/>
  <c r="R1611" i="2" s="1"/>
  <c r="S1611" i="2" s="1"/>
  <c r="Q1884" i="2"/>
  <c r="R1884" i="2" s="1"/>
  <c r="S1884" i="2" s="1"/>
  <c r="Q1885" i="2"/>
  <c r="R1885" i="2" s="1"/>
  <c r="S1885" i="2" s="1"/>
  <c r="Q1608" i="2"/>
  <c r="R1608" i="2" s="1"/>
  <c r="S1608" i="2" s="1"/>
  <c r="Q1609" i="2"/>
  <c r="R1609" i="2" s="1"/>
  <c r="S1609" i="2" s="1"/>
  <c r="Q1707" i="2"/>
  <c r="R1707" i="2" s="1"/>
  <c r="S1707" i="2" s="1"/>
  <c r="Q1818" i="2"/>
  <c r="R1818" i="2" s="1"/>
  <c r="S1818" i="2" s="1"/>
  <c r="Q1866" i="2"/>
  <c r="R1866" i="2" s="1"/>
  <c r="S1866" i="2" s="1"/>
  <c r="Q2023" i="2"/>
  <c r="R2023" i="2" s="1"/>
  <c r="S2023" i="2" s="1"/>
  <c r="Q1867" i="2"/>
  <c r="R1867" i="2" s="1"/>
  <c r="S1867" i="2" s="1"/>
  <c r="Q1708" i="2"/>
  <c r="R1708" i="2" s="1"/>
  <c r="S1708" i="2" s="1"/>
  <c r="Q1709" i="2"/>
  <c r="R1709" i="2" s="1"/>
  <c r="S1709" i="2" s="1"/>
  <c r="Q2090" i="2"/>
  <c r="R2090" i="2" s="1"/>
  <c r="S2090" i="2" s="1"/>
  <c r="Q1864" i="2"/>
  <c r="R1864" i="2" s="1"/>
  <c r="S1864" i="2" s="1"/>
  <c r="Q2091" i="2"/>
  <c r="R2091" i="2" s="1"/>
  <c r="S2091" i="2" s="1"/>
  <c r="Q2092" i="2"/>
  <c r="R2092" i="2" s="1"/>
  <c r="S2092" i="2" s="1"/>
  <c r="Q1665" i="2"/>
  <c r="R1665" i="2" s="1"/>
  <c r="S1665" i="2" s="1"/>
  <c r="Q1684" i="2"/>
  <c r="R1684" i="2" s="1"/>
  <c r="S1684" i="2" s="1"/>
  <c r="Q1666" i="2"/>
  <c r="R1666" i="2" s="1"/>
  <c r="S1666" i="2" s="1"/>
  <c r="Q1692" i="2"/>
  <c r="R1692" i="2" s="1"/>
  <c r="S1692" i="2" s="1"/>
  <c r="Q1773" i="2"/>
  <c r="R1773" i="2" s="1"/>
  <c r="S1773" i="2" s="1"/>
  <c r="Q1886" i="2"/>
  <c r="R1886" i="2" s="1"/>
  <c r="S1886" i="2" s="1"/>
  <c r="Q1819" i="2"/>
  <c r="R1819" i="2" s="1"/>
  <c r="S1819" i="2" s="1"/>
  <c r="Q1868" i="2"/>
  <c r="R1868" i="2" s="1"/>
  <c r="S1868" i="2" s="1"/>
  <c r="Q1869" i="2"/>
  <c r="R1869" i="2" s="1"/>
  <c r="S1869" i="2" s="1"/>
  <c r="Q1854" i="2"/>
  <c r="R1854" i="2" s="1"/>
  <c r="S1854" i="2" s="1"/>
  <c r="Q2027" i="2"/>
  <c r="R2027" i="2" s="1"/>
  <c r="S2027" i="2" s="1"/>
  <c r="Q1710" i="2"/>
  <c r="R1710" i="2" s="1"/>
  <c r="S1710" i="2" s="1"/>
  <c r="Q1614" i="2"/>
  <c r="R1614" i="2" s="1"/>
  <c r="S1614" i="2" s="1"/>
  <c r="Q1622" i="2"/>
  <c r="R1622" i="2" s="1"/>
  <c r="S1622" i="2" s="1"/>
  <c r="Q1623" i="2"/>
  <c r="R1623" i="2" s="1"/>
  <c r="S1623" i="2" s="1"/>
  <c r="Q1657" i="2"/>
  <c r="R1657" i="2" s="1"/>
  <c r="S1657" i="2" s="1"/>
  <c r="Q1792" i="2"/>
  <c r="R1792" i="2" s="1"/>
  <c r="S1792" i="2" s="1"/>
  <c r="Q1834" i="2"/>
  <c r="R1834" i="2" s="1"/>
  <c r="S1834" i="2" s="1"/>
  <c r="Q1663" i="2"/>
  <c r="R1663" i="2" s="1"/>
  <c r="S1663" i="2" s="1"/>
  <c r="Q1627" i="2"/>
  <c r="R1627" i="2" s="1"/>
  <c r="S1627" i="2" s="1"/>
  <c r="Q1892" i="2"/>
  <c r="R1892" i="2" s="1"/>
  <c r="S1892" i="2" s="1"/>
  <c r="Q2034" i="2"/>
  <c r="R2034" i="2" s="1"/>
  <c r="S2034" i="2" s="1"/>
  <c r="Q1887" i="2"/>
  <c r="R1887" i="2" s="1"/>
  <c r="S1887" i="2" s="1"/>
  <c r="Q1658" i="2"/>
  <c r="R1658" i="2" s="1"/>
  <c r="S1658" i="2" s="1"/>
  <c r="Q2028" i="2"/>
  <c r="R2028" i="2" s="1"/>
  <c r="S2028" i="2" s="1"/>
  <c r="Q1991" i="2"/>
  <c r="R1991" i="2" s="1"/>
  <c r="S1991" i="2" s="1"/>
  <c r="Q1855" i="2"/>
  <c r="R1855" i="2" s="1"/>
  <c r="S1855" i="2" s="1"/>
  <c r="Q1711" i="2"/>
  <c r="R1711" i="2" s="1"/>
  <c r="S1711" i="2" s="1"/>
  <c r="Q2100" i="2"/>
  <c r="R2100" i="2" s="1"/>
  <c r="S2100" i="2" s="1"/>
  <c r="Q1842" i="2"/>
  <c r="R1842" i="2" s="1"/>
  <c r="S1842" i="2" s="1"/>
  <c r="Q2029" i="2"/>
  <c r="R2029" i="2" s="1"/>
  <c r="S2029" i="2" s="1"/>
  <c r="Q1843" i="2"/>
  <c r="R1843" i="2" s="1"/>
  <c r="S1843" i="2" s="1"/>
  <c r="Q1872" i="2"/>
  <c r="R1872" i="2" s="1"/>
  <c r="S1872" i="2" s="1"/>
  <c r="Q2001" i="2"/>
  <c r="R2001" i="2" s="1"/>
  <c r="S2001" i="2" s="1"/>
  <c r="Q1685" i="2"/>
  <c r="R1685" i="2" s="1"/>
  <c r="S1685" i="2" s="1"/>
  <c r="Q1873" i="2"/>
  <c r="R1873" i="2" s="1"/>
  <c r="S1873" i="2" s="1"/>
  <c r="Q1874" i="2"/>
  <c r="R1874" i="2" s="1"/>
  <c r="S1874" i="2" s="1"/>
  <c r="Q1793" i="2"/>
  <c r="R1793" i="2" s="1"/>
  <c r="S1793" i="2" s="1"/>
  <c r="Q1835" i="2"/>
  <c r="R1835" i="2" s="1"/>
  <c r="S1835" i="2" s="1"/>
  <c r="Q1880" i="2"/>
  <c r="R1880" i="2" s="1"/>
  <c r="S1880" i="2" s="1"/>
  <c r="Q1881" i="2"/>
  <c r="R1881" i="2" s="1"/>
  <c r="S1881" i="2" s="1"/>
  <c r="Q1620" i="2"/>
  <c r="R1620" i="2" s="1"/>
  <c r="S1620" i="2" s="1"/>
  <c r="Q1712" i="2"/>
  <c r="R1712" i="2" s="1"/>
  <c r="S1712" i="2" s="1"/>
  <c r="Q1893" i="2"/>
  <c r="R1893" i="2" s="1"/>
  <c r="S1893" i="2" s="1"/>
  <c r="Q1713" i="2"/>
  <c r="R1713" i="2" s="1"/>
  <c r="S1713" i="2" s="1"/>
  <c r="Q1888" i="2"/>
  <c r="R1888" i="2" s="1"/>
  <c r="S1888" i="2" s="1"/>
  <c r="Q1889" i="2"/>
  <c r="R1889" i="2" s="1"/>
  <c r="S1889" i="2" s="1"/>
  <c r="Q1714" i="2"/>
  <c r="R1714" i="2" s="1"/>
  <c r="S1714" i="2" s="1"/>
  <c r="Q1715" i="2"/>
  <c r="R1715" i="2" s="1"/>
  <c r="S1715" i="2" s="1"/>
  <c r="Q1844" i="2"/>
  <c r="R1844" i="2" s="1"/>
  <c r="S1844" i="2" s="1"/>
  <c r="Q1890" i="2"/>
  <c r="R1890" i="2" s="1"/>
  <c r="S1890" i="2" s="1"/>
  <c r="Q1845" i="2"/>
  <c r="R1845" i="2" s="1"/>
  <c r="S1845" i="2" s="1"/>
  <c r="Q1967" i="2"/>
  <c r="R1967" i="2" s="1"/>
  <c r="S1967" i="2" s="1"/>
  <c r="Q1856" i="2"/>
  <c r="R1856" i="2" s="1"/>
  <c r="S1856" i="2" s="1"/>
  <c r="Q1716" i="2"/>
  <c r="R1716" i="2" s="1"/>
  <c r="S1716" i="2" s="1"/>
  <c r="Q1659" i="2"/>
  <c r="R1659" i="2" s="1"/>
  <c r="S1659" i="2" s="1"/>
  <c r="Q1846" i="2"/>
  <c r="R1846" i="2" s="1"/>
  <c r="S1846" i="2" s="1"/>
  <c r="Q1847" i="2"/>
  <c r="R1847" i="2" s="1"/>
  <c r="S1847" i="2" s="1"/>
  <c r="Q2030" i="2"/>
  <c r="R2030" i="2" s="1"/>
  <c r="S2030" i="2" s="1"/>
  <c r="Q2002" i="2"/>
  <c r="R2002" i="2" s="1"/>
  <c r="S2002" i="2" s="1"/>
  <c r="Q2065" i="2"/>
  <c r="R2065" i="2" s="1"/>
  <c r="S2065" i="2" s="1"/>
  <c r="Q2066" i="2"/>
  <c r="R2066" i="2" s="1"/>
  <c r="S2066" i="2" s="1"/>
  <c r="Q2067" i="2"/>
  <c r="R2067" i="2" s="1"/>
  <c r="S2067" i="2" s="1"/>
  <c r="Q1629" i="2"/>
  <c r="R1629" i="2" s="1"/>
  <c r="S1629" i="2" s="1"/>
  <c r="Q1667" i="2"/>
  <c r="R1667" i="2" s="1"/>
  <c r="S1667" i="2" s="1"/>
  <c r="Q2082" i="2"/>
  <c r="R2082" i="2" s="1"/>
  <c r="S2082" i="2" s="1"/>
  <c r="Q1660" i="2"/>
  <c r="R1660" i="2" s="1"/>
  <c r="S1660" i="2" s="1"/>
  <c r="Q1673" i="2"/>
  <c r="R1673" i="2" s="1"/>
  <c r="S1673" i="2" s="1"/>
  <c r="Q1857" i="2"/>
  <c r="R1857" i="2" s="1"/>
  <c r="S1857" i="2" s="1"/>
  <c r="Q1717" i="2"/>
  <c r="R1717" i="2" s="1"/>
  <c r="S1717" i="2" s="1"/>
  <c r="Q1859" i="2"/>
  <c r="R1859" i="2" s="1"/>
  <c r="S1859" i="2" s="1"/>
  <c r="Q1848" i="2"/>
  <c r="R1848" i="2" s="1"/>
  <c r="S1848" i="2" s="1"/>
  <c r="Q1882" i="2"/>
  <c r="R1882" i="2" s="1"/>
  <c r="S1882" i="2" s="1"/>
  <c r="Q1891" i="2"/>
  <c r="R1891" i="2" s="1"/>
  <c r="S1891" i="2" s="1"/>
  <c r="Q1968" i="2"/>
  <c r="R1968" i="2" s="1"/>
  <c r="S1968" i="2" s="1"/>
  <c r="Q1849" i="2"/>
  <c r="R1849" i="2" s="1"/>
  <c r="S1849" i="2" s="1"/>
  <c r="Q1883" i="2"/>
  <c r="R1883" i="2" s="1"/>
  <c r="S1883" i="2" s="1"/>
  <c r="Q2031" i="2"/>
  <c r="R2031" i="2" s="1"/>
  <c r="S2031" i="2" s="1"/>
  <c r="Q1718" i="2"/>
  <c r="R1718" i="2" s="1"/>
  <c r="S1718" i="2" s="1"/>
  <c r="Q1860" i="2"/>
  <c r="R1860" i="2" s="1"/>
  <c r="S1860" i="2" s="1"/>
  <c r="Q1719" i="2"/>
  <c r="R1719" i="2" s="1"/>
  <c r="S1719" i="2" s="1"/>
  <c r="Q1901" i="2"/>
  <c r="R1901" i="2" s="1"/>
  <c r="S1901" i="2" s="1"/>
  <c r="Q1902" i="2"/>
  <c r="R1902" i="2" s="1"/>
  <c r="S1902" i="2" s="1"/>
  <c r="Q2032" i="2"/>
  <c r="R2032" i="2" s="1"/>
  <c r="S2032" i="2" s="1"/>
  <c r="Q1661" i="2"/>
  <c r="R1661" i="2" s="1"/>
  <c r="S1661" i="2" s="1"/>
  <c r="Q1850" i="2"/>
  <c r="R1850" i="2" s="1"/>
  <c r="S1850" i="2" s="1"/>
  <c r="Q1662" i="2"/>
  <c r="R1662" i="2" s="1"/>
  <c r="S1662" i="2" s="1"/>
  <c r="Q1674" i="2"/>
  <c r="R1674" i="2" s="1"/>
  <c r="S1674" i="2" s="1"/>
  <c r="Q1858" i="2"/>
  <c r="R1858" i="2" s="1"/>
  <c r="S1858" i="2" s="1"/>
  <c r="Q1720" i="2"/>
  <c r="R1720" i="2" s="1"/>
  <c r="S1720" i="2" s="1"/>
  <c r="Q1894" i="2"/>
  <c r="R1894" i="2" s="1"/>
  <c r="S1894" i="2" s="1"/>
  <c r="Q1895" i="2"/>
  <c r="R1895" i="2" s="1"/>
  <c r="S1895" i="2" s="1"/>
  <c r="Q1896" i="2"/>
  <c r="R1896" i="2" s="1"/>
  <c r="S1896" i="2" s="1"/>
  <c r="Q2033" i="2"/>
  <c r="R2033" i="2" s="1"/>
  <c r="S2033" i="2" s="1"/>
  <c r="Q1851" i="2"/>
  <c r="R1851" i="2" s="1"/>
  <c r="S1851" i="2" s="1"/>
  <c r="Q2083" i="2"/>
  <c r="R2083" i="2" s="1"/>
  <c r="S2083" i="2" s="1"/>
  <c r="Q1897" i="2"/>
  <c r="R1897" i="2" s="1"/>
  <c r="S1897" i="2" s="1"/>
  <c r="Q1852" i="2"/>
  <c r="R1852" i="2" s="1"/>
  <c r="S1852" i="2" s="1"/>
  <c r="Q1898" i="2"/>
  <c r="R1898" i="2" s="1"/>
  <c r="S1898" i="2" s="1"/>
  <c r="Q1721" i="2"/>
  <c r="R1721" i="2" s="1"/>
  <c r="S1721" i="2" s="1"/>
  <c r="Q1853" i="2"/>
  <c r="R1853" i="2" s="1"/>
  <c r="S1853" i="2" s="1"/>
  <c r="Q1664" i="2"/>
  <c r="R1664" i="2" s="1"/>
  <c r="S1664" i="2" s="1"/>
  <c r="Q1798" i="2"/>
  <c r="R1798" i="2" s="1"/>
  <c r="S1798" i="2" s="1"/>
  <c r="Q1675" i="2"/>
  <c r="R1675" i="2" s="1"/>
  <c r="S1675" i="2" s="1"/>
  <c r="Q1676" i="2"/>
  <c r="R1676" i="2" s="1"/>
  <c r="S1676" i="2" s="1"/>
  <c r="Q1799" i="2"/>
  <c r="R1799" i="2" s="1"/>
  <c r="S1799" i="2" s="1"/>
  <c r="Q1800" i="2"/>
  <c r="R1800" i="2" s="1"/>
  <c r="S1800" i="2" s="1"/>
  <c r="Q1677" i="2"/>
  <c r="R1677" i="2" s="1"/>
  <c r="S1677" i="2" s="1"/>
  <c r="Q1678" i="2"/>
  <c r="R1678" i="2" s="1"/>
  <c r="S1678" i="2" s="1"/>
  <c r="Q1679" i="2"/>
  <c r="R1679" i="2" s="1"/>
  <c r="S1679" i="2" s="1"/>
  <c r="Q1668" i="2"/>
  <c r="R1668" i="2" s="1"/>
  <c r="S1668" i="2" s="1"/>
  <c r="Q1669" i="2"/>
  <c r="R1669" i="2" s="1"/>
  <c r="S1669" i="2" s="1"/>
  <c r="Q1948" i="2"/>
  <c r="R1948" i="2" s="1"/>
  <c r="S1948" i="2" s="1"/>
  <c r="Q1977" i="2"/>
  <c r="R1977" i="2" s="1"/>
  <c r="S1977" i="2" s="1"/>
  <c r="Q1801" i="2"/>
  <c r="R1801" i="2" s="1"/>
  <c r="S1801" i="2" s="1"/>
  <c r="Q1802" i="2"/>
  <c r="R1802" i="2" s="1"/>
  <c r="S1802" i="2" s="1"/>
  <c r="Q1670" i="2"/>
  <c r="R1670" i="2" s="1"/>
  <c r="S1670" i="2" s="1"/>
  <c r="Q1803" i="2"/>
  <c r="R1803" i="2" s="1"/>
  <c r="S1803" i="2" s="1"/>
  <c r="Q1804" i="2"/>
  <c r="R1804" i="2" s="1"/>
  <c r="S1804" i="2" s="1"/>
  <c r="Q1805" i="2"/>
  <c r="R1805" i="2" s="1"/>
  <c r="S1805" i="2" s="1"/>
  <c r="Q1671" i="2"/>
  <c r="R1671" i="2" s="1"/>
  <c r="S1671" i="2" s="1"/>
  <c r="Q1949" i="2"/>
  <c r="R1949" i="2" s="1"/>
  <c r="S1949" i="2" s="1"/>
  <c r="Q1672" i="2"/>
  <c r="R1672" i="2" s="1"/>
  <c r="S1672" i="2" s="1"/>
  <c r="Q1950" i="2"/>
  <c r="R1950" i="2" s="1"/>
  <c r="S1950" i="2" s="1"/>
  <c r="Q1806" i="2"/>
  <c r="R1806" i="2" s="1"/>
  <c r="S1806" i="2" s="1"/>
  <c r="Q1807" i="2"/>
  <c r="R1807" i="2" s="1"/>
  <c r="S1807" i="2" s="1"/>
  <c r="Q2040" i="2"/>
  <c r="R2040" i="2" s="1"/>
  <c r="S2040" i="2" s="1"/>
  <c r="Q1615" i="2"/>
  <c r="R1615" i="2" s="1"/>
  <c r="S1615" i="2" s="1"/>
  <c r="Q2003" i="2"/>
  <c r="R2003" i="2" s="1"/>
  <c r="S2003" i="2" s="1"/>
  <c r="P1602" i="2"/>
  <c r="P1774" i="2"/>
  <c r="P2004" i="2"/>
  <c r="P1775" i="2"/>
  <c r="P2005" i="2"/>
  <c r="P1784" i="2"/>
  <c r="P1785" i="2"/>
  <c r="P1786" i="2"/>
  <c r="P1787" i="2"/>
  <c r="P1788" i="2"/>
  <c r="P2041" i="2"/>
  <c r="P2042" i="2"/>
  <c r="P2043" i="2"/>
  <c r="P1649" i="2"/>
  <c r="P1739" i="2"/>
  <c r="P1740" i="2"/>
  <c r="P1776" i="2"/>
  <c r="P1777" i="2"/>
  <c r="P1778" i="2"/>
  <c r="P1741" i="2"/>
  <c r="P1789" i="2"/>
  <c r="P1907" i="2"/>
  <c r="P1908" i="2"/>
  <c r="P2068" i="2"/>
  <c r="P1616" i="2"/>
  <c r="P1617" i="2"/>
  <c r="P1618" i="2"/>
  <c r="P2006" i="2"/>
  <c r="P2007" i="2"/>
  <c r="P2008" i="2"/>
  <c r="P2009" i="2"/>
  <c r="P2010" i="2"/>
  <c r="P2011" i="2"/>
  <c r="P1652" i="2"/>
  <c r="P2012" i="2"/>
  <c r="P2013" i="2"/>
  <c r="P1612" i="2"/>
  <c r="P2102" i="2"/>
  <c r="P2103" i="2"/>
  <c r="P1913" i="2"/>
  <c r="P2104" i="2"/>
  <c r="P1914" i="2"/>
  <c r="P1782" i="2"/>
  <c r="P1742" i="2"/>
  <c r="P1743" i="2"/>
  <c r="P1744" i="2"/>
  <c r="P1745" i="2"/>
  <c r="P1746" i="2"/>
  <c r="P1747" i="2"/>
  <c r="P1748" i="2"/>
  <c r="P2093" i="2"/>
  <c r="P2094" i="2"/>
  <c r="P2095" i="2"/>
  <c r="P2096" i="2"/>
  <c r="P1909" i="2"/>
  <c r="P2069" i="2"/>
  <c r="P2070" i="2"/>
  <c r="P2071" i="2"/>
  <c r="P1823" i="2"/>
  <c r="P1790" i="2"/>
  <c r="P1791" i="2"/>
  <c r="P1824" i="2"/>
  <c r="P1621" i="2"/>
  <c r="P2105" i="2"/>
  <c r="P2106" i="2"/>
  <c r="P1749" i="2"/>
  <c r="P1750" i="2"/>
  <c r="P1751" i="2"/>
  <c r="P1752" i="2"/>
  <c r="P1753" i="2"/>
  <c r="P1992" i="2"/>
  <c r="P1910" i="2"/>
  <c r="P2097" i="2"/>
  <c r="P1911" i="2"/>
  <c r="P2044" i="2"/>
  <c r="P2045" i="2"/>
  <c r="P2098" i="2"/>
  <c r="P2099" i="2"/>
  <c r="P2107" i="2"/>
  <c r="P1654" i="2"/>
  <c r="P1619" i="2"/>
  <c r="P1731" i="2"/>
  <c r="P1732" i="2"/>
  <c r="P1733" i="2"/>
  <c r="P1754" i="2"/>
  <c r="P1755" i="2"/>
  <c r="P2108" i="2"/>
  <c r="P1779" i="2"/>
  <c r="P2060" i="2"/>
  <c r="P2046" i="2"/>
  <c r="P2047" i="2"/>
  <c r="P2048" i="2"/>
  <c r="P2109" i="2"/>
  <c r="P1756" i="2"/>
  <c r="P1628" i="2"/>
  <c r="P1825" i="2"/>
  <c r="P1757" i="2"/>
  <c r="P1758" i="2"/>
  <c r="P2049" i="2"/>
  <c r="P2050" i="2"/>
  <c r="P2051" i="2"/>
  <c r="P2052" i="2"/>
  <c r="P1650" i="2"/>
  <c r="P2053" i="2"/>
  <c r="P1826" i="2"/>
  <c r="P2054" i="2"/>
  <c r="P2055" i="2"/>
  <c r="P1986" i="2"/>
  <c r="P1987" i="2"/>
  <c r="P1651" i="2"/>
  <c r="P2056" i="2"/>
  <c r="P2057" i="2"/>
  <c r="P2058" i="2"/>
  <c r="P2059" i="2"/>
  <c r="P1993" i="2"/>
  <c r="P1734" i="2"/>
  <c r="P1601" i="2"/>
  <c r="P2014" i="2"/>
  <c r="P2015" i="2"/>
  <c r="P2016" i="2"/>
  <c r="P2024" i="2"/>
  <c r="P1653" i="2"/>
  <c r="P1780" i="2"/>
  <c r="P1781" i="2"/>
  <c r="P2017" i="2"/>
  <c r="P2061" i="2"/>
  <c r="P1994" i="2"/>
  <c r="P1879" i="2"/>
  <c r="P1735" i="2"/>
  <c r="P1905" i="2"/>
  <c r="P1783" i="2"/>
  <c r="P2039" i="2"/>
  <c r="P1812" i="2"/>
  <c r="P1736" i="2"/>
  <c r="P1906" i="2"/>
  <c r="P1878" i="2"/>
  <c r="P2110" i="2"/>
  <c r="P2062" i="2"/>
  <c r="P1995" i="2"/>
  <c r="P1737" i="2"/>
  <c r="P1722" i="2"/>
  <c r="P1813" i="2"/>
  <c r="P2072" i="2"/>
  <c r="P1827" i="2"/>
  <c r="P1942" i="2"/>
  <c r="P2073" i="2"/>
  <c r="P1943" i="2"/>
  <c r="P1944" i="2"/>
  <c r="P1945" i="2"/>
  <c r="P2074" i="2"/>
  <c r="P2075" i="2"/>
  <c r="P1828" i="2"/>
  <c r="P1829" i="2"/>
  <c r="P1946" i="2"/>
  <c r="P2076" i="2"/>
  <c r="P1831" i="2"/>
  <c r="P1832" i="2"/>
  <c r="P1814" i="2"/>
  <c r="P1981" i="2"/>
  <c r="P1947" i="2"/>
  <c r="P2077" i="2"/>
  <c r="P1982" i="2"/>
  <c r="P2078" i="2"/>
  <c r="P1833" i="2"/>
  <c r="P2079" i="2"/>
  <c r="P2080" i="2"/>
  <c r="P1830" i="2"/>
  <c r="P2063" i="2"/>
  <c r="P1951" i="2"/>
  <c r="P1730" i="2"/>
  <c r="P2018" i="2"/>
  <c r="P2019" i="2"/>
  <c r="P1984" i="2"/>
  <c r="P1985" i="2"/>
  <c r="P2035" i="2"/>
  <c r="P1996" i="2"/>
  <c r="P1738" i="2"/>
  <c r="P1815" i="2"/>
  <c r="P1811" i="2"/>
  <c r="P1979" i="2"/>
  <c r="P1980" i="2"/>
  <c r="P1875" i="2"/>
  <c r="P1952" i="2"/>
  <c r="P1953" i="2"/>
  <c r="P1954" i="2"/>
  <c r="P2081" i="2"/>
  <c r="P1723" i="2"/>
  <c r="P1680" i="2"/>
  <c r="P1816" i="2"/>
  <c r="P1876" i="2"/>
  <c r="P1681" i="2"/>
  <c r="P1682" i="2"/>
  <c r="P1683" i="2"/>
  <c r="P2020" i="2"/>
  <c r="P1877" i="2"/>
  <c r="P1969" i="2"/>
  <c r="P1970" i="2"/>
  <c r="P1971" i="2"/>
  <c r="P1972" i="2"/>
  <c r="P1973" i="2"/>
  <c r="P1643" i="2"/>
  <c r="P1955" i="2"/>
  <c r="P1974" i="2"/>
  <c r="P1975" i="2"/>
  <c r="P1976" i="2"/>
  <c r="P2021" i="2"/>
  <c r="P2022" i="2"/>
  <c r="P1759" i="2"/>
  <c r="P1610" i="2"/>
  <c r="P1978" i="2"/>
  <c r="P1808" i="2"/>
  <c r="P1809" i="2"/>
  <c r="P1810" i="2"/>
  <c r="P1956" i="2"/>
  <c r="P1957" i="2"/>
  <c r="P1958" i="2"/>
  <c r="P1959" i="2"/>
  <c r="P1642" i="2"/>
  <c r="P1686" i="2"/>
  <c r="P1725" i="2"/>
  <c r="P1648" i="2"/>
  <c r="P1794" i="2"/>
  <c r="P1820" i="2"/>
  <c r="P1760" i="2"/>
  <c r="P1997" i="2"/>
  <c r="P1761" i="2"/>
  <c r="P1795" i="2"/>
  <c r="P1821" i="2"/>
  <c r="P1693" i="2"/>
  <c r="P1899" i="2"/>
  <c r="P1694" i="2"/>
  <c r="P1762" i="2"/>
  <c r="P1600" i="2"/>
  <c r="P1763" i="2"/>
  <c r="P1764" i="2"/>
  <c r="P1729" i="2"/>
  <c r="P1765" i="2"/>
  <c r="P1695" i="2"/>
  <c r="P1696" i="2"/>
  <c r="P1960" i="2"/>
  <c r="P1766" i="2"/>
  <c r="P1697" i="2"/>
  <c r="P1796" i="2"/>
  <c r="P1836" i="2"/>
  <c r="P1837" i="2"/>
  <c r="P2084" i="2"/>
  <c r="P1698" i="2"/>
  <c r="P1641" i="2"/>
  <c r="P1767" i="2"/>
  <c r="P1768" i="2"/>
  <c r="P1915" i="2"/>
  <c r="P1916" i="2"/>
  <c r="P1917" i="2"/>
  <c r="P1599" i="2"/>
  <c r="P1691" i="2"/>
  <c r="P1624" i="2"/>
  <c r="P1699" i="2"/>
  <c r="P2025" i="2"/>
  <c r="P1700" i="2"/>
  <c r="P1918" i="2"/>
  <c r="P1919" i="2"/>
  <c r="P2085" i="2"/>
  <c r="P1838" i="2"/>
  <c r="P183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630" i="2"/>
  <c r="P1631" i="2"/>
  <c r="P1632" i="2"/>
  <c r="P1633" i="2"/>
  <c r="P1634" i="2"/>
  <c r="P1635" i="2"/>
  <c r="P1636" i="2"/>
  <c r="P1637" i="2"/>
  <c r="P1638" i="2"/>
  <c r="P1961" i="2"/>
  <c r="P1962" i="2"/>
  <c r="P1655" i="2"/>
  <c r="P1613" i="2"/>
  <c r="P1701" i="2"/>
  <c r="P1900" i="2"/>
  <c r="P2038" i="2"/>
  <c r="P1690" i="2"/>
  <c r="P1769" i="2"/>
  <c r="P1625" i="2"/>
  <c r="P1983" i="2"/>
  <c r="P1903" i="2"/>
  <c r="P1770" i="2"/>
  <c r="P1702" i="2"/>
  <c r="P1861" i="2"/>
  <c r="P1840" i="2"/>
  <c r="P1687" i="2"/>
  <c r="P1797" i="2"/>
  <c r="P1822" i="2"/>
  <c r="P1937" i="2"/>
  <c r="P1938" i="2"/>
  <c r="P1939" i="2"/>
  <c r="P1940" i="2"/>
  <c r="P1639" i="2"/>
  <c r="P1941" i="2"/>
  <c r="P1640" i="2"/>
  <c r="P1904" i="2"/>
  <c r="P1963" i="2"/>
  <c r="P1603" i="2"/>
  <c r="P1724" i="2"/>
  <c r="P1703" i="2"/>
  <c r="P1912" i="2"/>
  <c r="P1688" i="2"/>
  <c r="P1689" i="2"/>
  <c r="P2086" i="2"/>
  <c r="P1964" i="2"/>
  <c r="P1965" i="2"/>
  <c r="P1704" i="2"/>
  <c r="P1604" i="2"/>
  <c r="P1605" i="2"/>
  <c r="P1606" i="2"/>
  <c r="P1998" i="2"/>
  <c r="P1771" i="2"/>
  <c r="P1705" i="2"/>
  <c r="P2026" i="2"/>
  <c r="P2087" i="2"/>
  <c r="P2088" i="2"/>
  <c r="P1862" i="2"/>
  <c r="P2089" i="2"/>
  <c r="P1863" i="2"/>
  <c r="P2000" i="2"/>
  <c r="P2064" i="2"/>
  <c r="P2101" i="2"/>
  <c r="P1870" i="2"/>
  <c r="P1726" i="2"/>
  <c r="P1727" i="2"/>
  <c r="P1728" i="2"/>
  <c r="P1772" i="2"/>
  <c r="P1706" i="2"/>
  <c r="P1656" i="2"/>
  <c r="P1865" i="2"/>
  <c r="P1871" i="2"/>
  <c r="P1644" i="2"/>
  <c r="P1817" i="2"/>
  <c r="P2036" i="2"/>
  <c r="P2037" i="2"/>
  <c r="P1626" i="2"/>
  <c r="P1645" i="2"/>
  <c r="P1646" i="2"/>
  <c r="P1647" i="2"/>
  <c r="P1841" i="2"/>
  <c r="P1966" i="2"/>
  <c r="P1607" i="2"/>
  <c r="P1988" i="2"/>
  <c r="P1989" i="2"/>
  <c r="P1990" i="2"/>
  <c r="P1611" i="2"/>
  <c r="P1884" i="2"/>
  <c r="P1885" i="2"/>
  <c r="P1608" i="2"/>
  <c r="P1609" i="2"/>
  <c r="P1707" i="2"/>
  <c r="P1818" i="2"/>
  <c r="P1866" i="2"/>
  <c r="P2023" i="2"/>
  <c r="P1867" i="2"/>
  <c r="P1708" i="2"/>
  <c r="P1709" i="2"/>
  <c r="P2090" i="2"/>
  <c r="P1864" i="2"/>
  <c r="P2091" i="2"/>
  <c r="P2092" i="2"/>
  <c r="P1665" i="2"/>
  <c r="P1684" i="2"/>
  <c r="P1666" i="2"/>
  <c r="P1692" i="2"/>
  <c r="P1773" i="2"/>
  <c r="P1886" i="2"/>
  <c r="P1819" i="2"/>
  <c r="P1868" i="2"/>
  <c r="P1869" i="2"/>
  <c r="P1854" i="2"/>
  <c r="P2027" i="2"/>
  <c r="P1710" i="2"/>
  <c r="P1614" i="2"/>
  <c r="P1622" i="2"/>
  <c r="P1623" i="2"/>
  <c r="P1657" i="2"/>
  <c r="P1792" i="2"/>
  <c r="P1834" i="2"/>
  <c r="P1663" i="2"/>
  <c r="P1627" i="2"/>
  <c r="P1892" i="2"/>
  <c r="P2034" i="2"/>
  <c r="P1887" i="2"/>
  <c r="P1658" i="2"/>
  <c r="P2028" i="2"/>
  <c r="P1991" i="2"/>
  <c r="P1855" i="2"/>
  <c r="P1711" i="2"/>
  <c r="P2100" i="2"/>
  <c r="P1842" i="2"/>
  <c r="P2029" i="2"/>
  <c r="P1843" i="2"/>
  <c r="P1872" i="2"/>
  <c r="P2001" i="2"/>
  <c r="P1685" i="2"/>
  <c r="P1873" i="2"/>
  <c r="P1874" i="2"/>
  <c r="P1793" i="2"/>
  <c r="P1835" i="2"/>
  <c r="P1880" i="2"/>
  <c r="P1881" i="2"/>
  <c r="P1620" i="2"/>
  <c r="P1712" i="2"/>
  <c r="P1893" i="2"/>
  <c r="P1713" i="2"/>
  <c r="P1888" i="2"/>
  <c r="P1889" i="2"/>
  <c r="P1714" i="2"/>
  <c r="P1715" i="2"/>
  <c r="P1844" i="2"/>
  <c r="P1890" i="2"/>
  <c r="P1845" i="2"/>
  <c r="P1967" i="2"/>
  <c r="P1856" i="2"/>
  <c r="P1716" i="2"/>
  <c r="P1659" i="2"/>
  <c r="P1846" i="2"/>
  <c r="P1847" i="2"/>
  <c r="P2030" i="2"/>
  <c r="P2002" i="2"/>
  <c r="P2065" i="2"/>
  <c r="P2066" i="2"/>
  <c r="P2067" i="2"/>
  <c r="P1629" i="2"/>
  <c r="P1667" i="2"/>
  <c r="P2082" i="2"/>
  <c r="P1660" i="2"/>
  <c r="P1673" i="2"/>
  <c r="P1857" i="2"/>
  <c r="P1717" i="2"/>
  <c r="P1859" i="2"/>
  <c r="P1848" i="2"/>
  <c r="P1882" i="2"/>
  <c r="P1891" i="2"/>
  <c r="P1968" i="2"/>
  <c r="P1849" i="2"/>
  <c r="P1883" i="2"/>
  <c r="P2031" i="2"/>
  <c r="P1718" i="2"/>
  <c r="P1860" i="2"/>
  <c r="P1719" i="2"/>
  <c r="P1901" i="2"/>
  <c r="P1902" i="2"/>
  <c r="P2032" i="2"/>
  <c r="P1661" i="2"/>
  <c r="P1850" i="2"/>
  <c r="P1662" i="2"/>
  <c r="P1674" i="2"/>
  <c r="P1858" i="2"/>
  <c r="P1720" i="2"/>
  <c r="P1894" i="2"/>
  <c r="P1895" i="2"/>
  <c r="P1896" i="2"/>
  <c r="P2033" i="2"/>
  <c r="P1851" i="2"/>
  <c r="P2083" i="2"/>
  <c r="P1897" i="2"/>
  <c r="P1852" i="2"/>
  <c r="P1898" i="2"/>
  <c r="P1721" i="2"/>
  <c r="P1853" i="2"/>
  <c r="P1664" i="2"/>
  <c r="P1798" i="2"/>
  <c r="P1675" i="2"/>
  <c r="P1676" i="2"/>
  <c r="P1799" i="2"/>
  <c r="P1800" i="2"/>
  <c r="P1677" i="2"/>
  <c r="P1678" i="2"/>
  <c r="P1679" i="2"/>
  <c r="P1668" i="2"/>
  <c r="P1669" i="2"/>
  <c r="P1948" i="2"/>
  <c r="P1977" i="2"/>
  <c r="P1801" i="2"/>
  <c r="P1802" i="2"/>
  <c r="P1670" i="2"/>
  <c r="P1803" i="2"/>
  <c r="P1804" i="2"/>
  <c r="P1805" i="2"/>
  <c r="P1671" i="2"/>
  <c r="P1949" i="2"/>
  <c r="P1672" i="2"/>
  <c r="P1950" i="2"/>
  <c r="P1806" i="2"/>
  <c r="P1807" i="2"/>
  <c r="P2040" i="2"/>
  <c r="P1615" i="2"/>
  <c r="P2003" i="2"/>
  <c r="J1602" i="2"/>
  <c r="J1774" i="2"/>
  <c r="J2004" i="2"/>
  <c r="J1775" i="2"/>
  <c r="J2005" i="2"/>
  <c r="J1784" i="2"/>
  <c r="J1785" i="2"/>
  <c r="J1786" i="2"/>
  <c r="J1787" i="2"/>
  <c r="J1788" i="2"/>
  <c r="J2041" i="2"/>
  <c r="J2042" i="2"/>
  <c r="J2043" i="2"/>
  <c r="J1649" i="2"/>
  <c r="J1739" i="2"/>
  <c r="J1740" i="2"/>
  <c r="J1776" i="2"/>
  <c r="J1777" i="2"/>
  <c r="J1778" i="2"/>
  <c r="J1741" i="2"/>
  <c r="J1789" i="2"/>
  <c r="J1907" i="2"/>
  <c r="J1908" i="2"/>
  <c r="J2068" i="2"/>
  <c r="J1616" i="2"/>
  <c r="J1617" i="2"/>
  <c r="J1618" i="2"/>
  <c r="J2006" i="2"/>
  <c r="J2007" i="2"/>
  <c r="J2008" i="2"/>
  <c r="J2009" i="2"/>
  <c r="J2010" i="2"/>
  <c r="J2011" i="2"/>
  <c r="J1652" i="2"/>
  <c r="J2012" i="2"/>
  <c r="J2013" i="2"/>
  <c r="J1612" i="2"/>
  <c r="J2102" i="2"/>
  <c r="J2103" i="2"/>
  <c r="J1913" i="2"/>
  <c r="J2104" i="2"/>
  <c r="J1914" i="2"/>
  <c r="J1782" i="2"/>
  <c r="J1742" i="2"/>
  <c r="J1743" i="2"/>
  <c r="J1744" i="2"/>
  <c r="J1745" i="2"/>
  <c r="J1746" i="2"/>
  <c r="J1747" i="2"/>
  <c r="J1748" i="2"/>
  <c r="J2093" i="2"/>
  <c r="J2094" i="2"/>
  <c r="J2095" i="2"/>
  <c r="J2096" i="2"/>
  <c r="J1909" i="2"/>
  <c r="J2069" i="2"/>
  <c r="J2070" i="2"/>
  <c r="J2071" i="2"/>
  <c r="J1823" i="2"/>
  <c r="J1790" i="2"/>
  <c r="J1791" i="2"/>
  <c r="J1824" i="2"/>
  <c r="J1621" i="2"/>
  <c r="J2105" i="2"/>
  <c r="J2106" i="2"/>
  <c r="J1749" i="2"/>
  <c r="J1750" i="2"/>
  <c r="J1751" i="2"/>
  <c r="J1752" i="2"/>
  <c r="J1753" i="2"/>
  <c r="J1992" i="2"/>
  <c r="J1910" i="2"/>
  <c r="J2097" i="2"/>
  <c r="J1911" i="2"/>
  <c r="J2044" i="2"/>
  <c r="J2045" i="2"/>
  <c r="J2098" i="2"/>
  <c r="J2099" i="2"/>
  <c r="J2107" i="2"/>
  <c r="J1654" i="2"/>
  <c r="J1619" i="2"/>
  <c r="J1731" i="2"/>
  <c r="J1732" i="2"/>
  <c r="J1733" i="2"/>
  <c r="J1754" i="2"/>
  <c r="J1755" i="2"/>
  <c r="J2108" i="2"/>
  <c r="J1779" i="2"/>
  <c r="J2060" i="2"/>
  <c r="J2046" i="2"/>
  <c r="J2047" i="2"/>
  <c r="J2048" i="2"/>
  <c r="J2109" i="2"/>
  <c r="J1756" i="2"/>
  <c r="J1628" i="2"/>
  <c r="J1825" i="2"/>
  <c r="J1757" i="2"/>
  <c r="J1758" i="2"/>
  <c r="J2049" i="2"/>
  <c r="J2050" i="2"/>
  <c r="J2051" i="2"/>
  <c r="J2052" i="2"/>
  <c r="J1650" i="2"/>
  <c r="J2053" i="2"/>
  <c r="J1826" i="2"/>
  <c r="J2054" i="2"/>
  <c r="J2055" i="2"/>
  <c r="J1986" i="2"/>
  <c r="J1987" i="2"/>
  <c r="J1651" i="2"/>
  <c r="J2056" i="2"/>
  <c r="J2057" i="2"/>
  <c r="J2058" i="2"/>
  <c r="J2059" i="2"/>
  <c r="J1993" i="2"/>
  <c r="J1734" i="2"/>
  <c r="J1601" i="2"/>
  <c r="J2014" i="2"/>
  <c r="J2015" i="2"/>
  <c r="J2016" i="2"/>
  <c r="J2024" i="2"/>
  <c r="J1653" i="2"/>
  <c r="J1780" i="2"/>
  <c r="J1781" i="2"/>
  <c r="J2017" i="2"/>
  <c r="J2061" i="2"/>
  <c r="J1994" i="2"/>
  <c r="J1879" i="2"/>
  <c r="J1735" i="2"/>
  <c r="J1905" i="2"/>
  <c r="J1783" i="2"/>
  <c r="J2039" i="2"/>
  <c r="J1812" i="2"/>
  <c r="J1736" i="2"/>
  <c r="J1906" i="2"/>
  <c r="J1878" i="2"/>
  <c r="J2110" i="2"/>
  <c r="J2062" i="2"/>
  <c r="J1995" i="2"/>
  <c r="J1737" i="2"/>
  <c r="J1722" i="2"/>
  <c r="J1813" i="2"/>
  <c r="J2072" i="2"/>
  <c r="J1827" i="2"/>
  <c r="J1942" i="2"/>
  <c r="J2073" i="2"/>
  <c r="J1943" i="2"/>
  <c r="J1944" i="2"/>
  <c r="J1945" i="2"/>
  <c r="J2074" i="2"/>
  <c r="J2075" i="2"/>
  <c r="J1828" i="2"/>
  <c r="J1829" i="2"/>
  <c r="J1946" i="2"/>
  <c r="J2076" i="2"/>
  <c r="J1831" i="2"/>
  <c r="J1832" i="2"/>
  <c r="J1814" i="2"/>
  <c r="J1981" i="2"/>
  <c r="J1947" i="2"/>
  <c r="J2077" i="2"/>
  <c r="J1982" i="2"/>
  <c r="J2078" i="2"/>
  <c r="J1833" i="2"/>
  <c r="J2079" i="2"/>
  <c r="J2080" i="2"/>
  <c r="J1830" i="2"/>
  <c r="J2063" i="2"/>
  <c r="J1951" i="2"/>
  <c r="J1730" i="2"/>
  <c r="J2018" i="2"/>
  <c r="J2019" i="2"/>
  <c r="J1984" i="2"/>
  <c r="J1985" i="2"/>
  <c r="J1996" i="2"/>
  <c r="J1738" i="2"/>
  <c r="J1815" i="2"/>
  <c r="J1875" i="2"/>
  <c r="J1952" i="2"/>
  <c r="J1953" i="2"/>
  <c r="J1954" i="2"/>
  <c r="J2081" i="2"/>
  <c r="J1723" i="2"/>
  <c r="J1680" i="2"/>
  <c r="J1816" i="2"/>
  <c r="J1876" i="2"/>
  <c r="J1681" i="2"/>
  <c r="J1682" i="2"/>
  <c r="J1683" i="2"/>
  <c r="J2020" i="2"/>
  <c r="J1877" i="2"/>
  <c r="J1969" i="2"/>
  <c r="J1970" i="2"/>
  <c r="J1971" i="2"/>
  <c r="J1972" i="2"/>
  <c r="J1973" i="2"/>
  <c r="J1643" i="2"/>
  <c r="J1955" i="2"/>
  <c r="J1974" i="2"/>
  <c r="J1975" i="2"/>
  <c r="J1976" i="2"/>
  <c r="J2021" i="2"/>
  <c r="J2022" i="2"/>
  <c r="J1759" i="2"/>
  <c r="J1610" i="2"/>
  <c r="J1956" i="2"/>
  <c r="J1957" i="2"/>
  <c r="J1958" i="2"/>
  <c r="J1959" i="2"/>
  <c r="J1642" i="2"/>
  <c r="J1686" i="2"/>
  <c r="J1725" i="2"/>
  <c r="J1648" i="2"/>
  <c r="J1794" i="2"/>
  <c r="J1820" i="2"/>
  <c r="J1760" i="2"/>
  <c r="J1997" i="2"/>
  <c r="J1761" i="2"/>
  <c r="J1795" i="2"/>
  <c r="J1821" i="2"/>
  <c r="J1693" i="2"/>
  <c r="J1899" i="2"/>
  <c r="J1694" i="2"/>
  <c r="J1762" i="2"/>
  <c r="J1600" i="2"/>
  <c r="J1763" i="2"/>
  <c r="J1764" i="2"/>
  <c r="J1729" i="2"/>
  <c r="J1765" i="2"/>
  <c r="J1695" i="2"/>
  <c r="J1696" i="2"/>
  <c r="J1960" i="2"/>
  <c r="J1766" i="2"/>
  <c r="J1697" i="2"/>
  <c r="J1796" i="2"/>
  <c r="J1836" i="2"/>
  <c r="J1837" i="2"/>
  <c r="J1698" i="2"/>
  <c r="J1641" i="2"/>
  <c r="J1767" i="2"/>
  <c r="J1768" i="2"/>
  <c r="J1915" i="2"/>
  <c r="J1916" i="2"/>
  <c r="J1917" i="2"/>
  <c r="J1599" i="2"/>
  <c r="J1691" i="2"/>
  <c r="J1624" i="2"/>
  <c r="J1699" i="2"/>
  <c r="J2025" i="2"/>
  <c r="J1700" i="2"/>
  <c r="J1918" i="2"/>
  <c r="J1919" i="2"/>
  <c r="J1838" i="2"/>
  <c r="J183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630" i="2"/>
  <c r="J1631" i="2"/>
  <c r="J1632" i="2"/>
  <c r="J1633" i="2"/>
  <c r="J1634" i="2"/>
  <c r="J1635" i="2"/>
  <c r="J1636" i="2"/>
  <c r="J1637" i="2"/>
  <c r="J1638" i="2"/>
  <c r="J1961" i="2"/>
  <c r="J1962" i="2"/>
  <c r="J1655" i="2"/>
  <c r="J1613" i="2"/>
  <c r="J1701" i="2"/>
  <c r="J1900" i="2"/>
  <c r="J2038" i="2"/>
  <c r="J1690" i="2"/>
  <c r="J1769" i="2"/>
  <c r="J1625" i="2"/>
  <c r="J1983" i="2"/>
  <c r="J1903" i="2"/>
  <c r="J1770" i="2"/>
  <c r="J1702" i="2"/>
  <c r="J1840" i="2"/>
  <c r="J1687" i="2"/>
  <c r="J1797" i="2"/>
  <c r="J1822" i="2"/>
  <c r="J1937" i="2"/>
  <c r="J1938" i="2"/>
  <c r="J1939" i="2"/>
  <c r="J1940" i="2"/>
  <c r="J1639" i="2"/>
  <c r="J1941" i="2"/>
  <c r="J1640" i="2"/>
  <c r="J1904" i="2"/>
  <c r="J1963" i="2"/>
  <c r="J1603" i="2"/>
  <c r="J1703" i="2"/>
  <c r="J1912" i="2"/>
  <c r="J1688" i="2"/>
  <c r="J1689" i="2"/>
  <c r="J1964" i="2"/>
  <c r="J1965" i="2"/>
  <c r="J1704" i="2"/>
  <c r="J1604" i="2"/>
  <c r="J1605" i="2"/>
  <c r="J1606" i="2"/>
  <c r="J1998" i="2"/>
  <c r="J1771" i="2"/>
  <c r="J1705" i="2"/>
  <c r="J2026" i="2"/>
  <c r="J2000" i="2"/>
  <c r="J2064" i="2"/>
  <c r="J2101" i="2"/>
  <c r="J1870" i="2"/>
  <c r="J1726" i="2"/>
  <c r="J1727" i="2"/>
  <c r="J1728" i="2"/>
  <c r="J1772" i="2"/>
  <c r="J1706" i="2"/>
  <c r="J1656" i="2"/>
  <c r="J1871" i="2"/>
  <c r="J1644" i="2"/>
  <c r="J1817" i="2"/>
  <c r="J2036" i="2"/>
  <c r="J2037" i="2"/>
  <c r="J1626" i="2"/>
  <c r="J1645" i="2"/>
  <c r="J1646" i="2"/>
  <c r="J1647" i="2"/>
  <c r="J1841" i="2"/>
  <c r="J1966" i="2"/>
  <c r="J1607" i="2"/>
  <c r="J1988" i="2"/>
  <c r="J1989" i="2"/>
  <c r="J1990" i="2"/>
  <c r="J1611" i="2"/>
  <c r="J1608" i="2"/>
  <c r="J1609" i="2"/>
  <c r="J1707" i="2"/>
  <c r="J2023" i="2"/>
  <c r="J1708" i="2"/>
  <c r="J1709" i="2"/>
  <c r="J1665" i="2"/>
  <c r="J1684" i="2"/>
  <c r="J1666" i="2"/>
  <c r="J1692" i="2"/>
  <c r="J1773" i="2"/>
  <c r="J2027" i="2"/>
  <c r="J1710" i="2"/>
  <c r="J1614" i="2"/>
  <c r="J1622" i="2"/>
  <c r="J1623" i="2"/>
  <c r="J1663" i="2"/>
  <c r="J1627" i="2"/>
  <c r="J1892" i="2"/>
  <c r="J2034" i="2"/>
  <c r="J1658" i="2"/>
  <c r="J2028" i="2"/>
  <c r="J1991" i="2"/>
  <c r="J1711" i="2"/>
  <c r="J2100" i="2"/>
  <c r="J1842" i="2"/>
  <c r="J2029" i="2"/>
  <c r="J1843" i="2"/>
  <c r="J1872" i="2"/>
  <c r="J2001" i="2"/>
  <c r="J1685" i="2"/>
  <c r="J1873" i="2"/>
  <c r="J1874" i="2"/>
  <c r="J1620" i="2"/>
  <c r="J1712" i="2"/>
  <c r="J1893" i="2"/>
  <c r="J1713" i="2"/>
  <c r="J1888" i="2"/>
  <c r="J1889" i="2"/>
  <c r="J1714" i="2"/>
  <c r="J1715" i="2"/>
  <c r="J1844" i="2"/>
  <c r="J1890" i="2"/>
  <c r="J1845" i="2"/>
  <c r="J1967" i="2"/>
  <c r="J1716" i="2"/>
  <c r="J1659" i="2"/>
  <c r="J1846" i="2"/>
  <c r="J1847" i="2"/>
  <c r="J2030" i="2"/>
  <c r="J2002" i="2"/>
  <c r="J2065" i="2"/>
  <c r="J2066" i="2"/>
  <c r="J2067" i="2"/>
  <c r="J1629" i="2"/>
  <c r="J1667" i="2"/>
  <c r="J2082" i="2"/>
  <c r="J1660" i="2"/>
  <c r="J1673" i="2"/>
  <c r="J1717" i="2"/>
  <c r="J1848" i="2"/>
  <c r="J1882" i="2"/>
  <c r="J1891" i="2"/>
  <c r="J1968" i="2"/>
  <c r="J1849" i="2"/>
  <c r="J1883" i="2"/>
  <c r="J2031" i="2"/>
  <c r="J1718" i="2"/>
  <c r="J1719" i="2"/>
  <c r="J1901" i="2"/>
  <c r="J1902" i="2"/>
  <c r="J2032" i="2"/>
  <c r="J1661" i="2"/>
  <c r="J1850" i="2"/>
  <c r="J1662" i="2"/>
  <c r="J1674" i="2"/>
  <c r="J1720" i="2"/>
  <c r="J1894" i="2"/>
  <c r="J1895" i="2"/>
  <c r="J1896" i="2"/>
  <c r="J2033" i="2"/>
  <c r="J1851" i="2"/>
  <c r="J2083" i="2"/>
  <c r="J1897" i="2"/>
  <c r="J1852" i="2"/>
  <c r="J1898" i="2"/>
  <c r="J1721" i="2"/>
  <c r="J1853" i="2"/>
  <c r="J1664" i="2"/>
  <c r="J1798" i="2"/>
  <c r="J1675" i="2"/>
  <c r="J1676" i="2"/>
  <c r="J1799" i="2"/>
  <c r="J1800" i="2"/>
  <c r="J1677" i="2"/>
  <c r="J1678" i="2"/>
  <c r="J1679" i="2"/>
  <c r="J1668" i="2"/>
  <c r="J1669" i="2"/>
  <c r="J1948" i="2"/>
  <c r="J1977" i="2"/>
  <c r="J1801" i="2"/>
  <c r="J1802" i="2"/>
  <c r="J1670" i="2"/>
  <c r="J1803" i="2"/>
  <c r="J1804" i="2"/>
  <c r="J1805" i="2"/>
  <c r="J1671" i="2"/>
  <c r="J1949" i="2"/>
  <c r="J1672" i="2"/>
  <c r="J1950" i="2"/>
  <c r="J1806" i="2"/>
  <c r="J1807" i="2"/>
  <c r="J2040" i="2"/>
  <c r="J1615" i="2"/>
  <c r="J2003" i="2"/>
  <c r="R1999" i="2"/>
  <c r="S1999" i="2" s="1"/>
  <c r="P1999" i="2"/>
  <c r="J199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0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1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<sst xmlns="http://schemas.openxmlformats.org/spreadsheetml/2006/main" count="47558" uniqueCount="4561">
  <si>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</si>
  <si>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</si>
  <si>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</si>
  <si>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</si>
  <si>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</si>
  <si>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</si>
  <si>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</si>
  <si>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</si>
  <si>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</si>
  <si>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</si>
  <si>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</si>
  <si>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</si>
  <si>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</si>
  <si>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</si>
  <si>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</si>
  <si>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</si>
  <si>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</si>
  <si>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</si>
  <si>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</si>
  <si>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</si>
  <si>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</si>
  <si>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</si>
  <si>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</si>
  <si>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</si>
  <si>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</si>
  <si>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</si>
  <si>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</si>
  <si>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</si>
  <si>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</si>
  <si>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</si>
  <si>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</si>
  <si>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</si>
  <si>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</si>
  <si>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</si>
  <si>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</si>
  <si>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</si>
  <si>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</si>
  <si>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</si>
  <si>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</si>
  <si>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</si>
  <si>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</si>
  <si>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</si>
  <si>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</si>
  <si>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</si>
  <si>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</si>
  <si>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</si>
  <si>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</si>
  <si>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</si>
  <si>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</si>
  <si>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</si>
  <si>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</si>
  <si>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</si>
  <si>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</si>
  <si>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</si>
  <si>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</si>
  <si>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</si>
  <si>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</si>
  <si>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</si>
  <si>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</si>
  <si>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</si>
  <si>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</si>
  <si>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</si>
  <si>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</si>
  <si>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</si>
  <si>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</si>
  <si>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</si>
  <si>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</si>
  <si>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</si>
  <si>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</si>
  <si>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</si>
  <si>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</si>
  <si>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</si>
  <si>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</si>
  <si>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</si>
  <si>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</si>
  <si>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</si>
  <si>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</si>
  <si>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</si>
  <si>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</si>
  <si>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</si>
  <si>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</si>
  <si>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</si>
  <si>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</si>
  <si>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</si>
  <si>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</si>
  <si>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</si>
  <si>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</si>
  <si>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</si>
  <si>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</si>
  <si>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</si>
  <si>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</si>
  <si>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</si>
  <si>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</si>
  <si>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</si>
  <si>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</si>
  <si>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</si>
  <si>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</si>
  <si>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</si>
  <si>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</si>
  <si>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</si>
  <si>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</si>
  <si>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</si>
  <si>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</si>
  <si>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</si>
  <si>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</si>
  <si>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</si>
  <si>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</si>
  <si>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</si>
  <si>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</si>
  <si>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</si>
  <si>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</si>
  <si>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</si>
  <si>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</si>
  <si>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</si>
  <si>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</si>
  <si>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</si>
  <si>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</si>
  <si>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</si>
  <si>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</si>
  <si>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</si>
  <si>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</si>
  <si>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</si>
  <si>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</si>
  <si>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</si>
  <si>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</si>
  <si>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</si>
  <si>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</si>
  <si>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</si>
  <si>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</si>
  <si>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</si>
  <si>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</si>
  <si>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</si>
  <si>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</si>
  <si>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</si>
  <si>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</si>
  <si>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</si>
  <si>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</si>
  <si>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</si>
  <si>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</si>
  <si>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</si>
  <si>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</si>
  <si>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</si>
  <si>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</si>
  <si>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</si>
  <si>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</si>
  <si>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</si>
  <si>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</si>
  <si>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</si>
  <si>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</si>
  <si>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</si>
  <si>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</si>
  <si>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</si>
  <si>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</si>
  <si>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</si>
  <si>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</si>
  <si>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</si>
  <si>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</si>
  <si>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</si>
  <si>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</si>
  <si>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</si>
  <si>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</si>
  <si>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</si>
  <si>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</si>
  <si>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</si>
  <si>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</si>
  <si>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</si>
  <si>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</si>
  <si>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</si>
  <si>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</si>
  <si>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</si>
  <si>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</si>
  <si>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</si>
  <si>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</si>
  <si>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</si>
  <si>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</si>
  <si>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</si>
  <si>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</si>
  <si>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</si>
  <si>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</si>
  <si>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</si>
  <si>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</si>
  <si>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</si>
  <si>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</si>
  <si>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</si>
  <si>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</si>
  <si>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</si>
  <si>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</si>
  <si>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</si>
  <si>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</si>
  <si>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</si>
  <si>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</si>
  <si>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</si>
  <si>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</si>
  <si>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</si>
  <si>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</si>
  <si>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</si>
  <si>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</si>
  <si>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</si>
  <si>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</si>
  <si>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</si>
  <si>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</si>
  <si>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</si>
  <si>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</si>
  <si>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</si>
  <si>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</si>
  <si>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</si>
  <si>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</si>
  <si>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</si>
  <si>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</si>
  <si>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</si>
  <si>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</si>
  <si>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</si>
  <si>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</si>
  <si>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</si>
  <si>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</si>
  <si>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</si>
  <si>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</si>
  <si>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</si>
  <si>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</si>
  <si>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</si>
  <si>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</si>
  <si>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</si>
  <si>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</si>
  <si>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</si>
  <si>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</si>
  <si>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</si>
  <si>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</si>
  <si>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</si>
  <si>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</si>
  <si>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</si>
  <si>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</si>
  <si>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</si>
  <si>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</si>
  <si>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</si>
  <si>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</si>
  <si>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</si>
  <si>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</si>
  <si>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</si>
  <si>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</si>
  <si>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</si>
  <si>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</si>
  <si>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</si>
  <si>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</si>
  <si>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</si>
  <si>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</si>
  <si>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</si>
  <si>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</si>
  <si>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</si>
  <si>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</si>
  <si>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</si>
  <si>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</si>
  <si>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</si>
  <si>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</si>
  <si>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</si>
  <si>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</si>
  <si>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</si>
  <si>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</si>
  <si>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</si>
  <si>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</si>
  <si>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</si>
  <si>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</si>
  <si>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</si>
  <si>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</si>
  <si>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</si>
  <si>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</si>
  <si>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</si>
  <si>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</si>
  <si>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</si>
  <si>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</si>
  <si>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</si>
  <si>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</si>
  <si>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</si>
  <si>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</si>
  <si>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</si>
  <si>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</si>
  <si>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</si>
  <si>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</si>
  <si>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</si>
  <si>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</si>
  <si>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</si>
  <si>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</si>
  <si>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</si>
  <si>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</si>
  <si>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</si>
  <si>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</si>
  <si>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</si>
  <si>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</si>
  <si>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</si>
  <si>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</si>
  <si>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</si>
  <si>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</si>
  <si>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</si>
  <si>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</si>
  <si>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</si>
  <si>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</si>
  <si>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</si>
  <si>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</si>
  <si>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</si>
  <si>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</si>
  <si>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</si>
  <si>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</si>
  <si>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</si>
  <si>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</si>
  <si>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</si>
  <si>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</si>
  <si>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</si>
  <si>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</si>
  <si>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</si>
  <si>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</si>
  <si>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</si>
  <si>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</si>
  <si>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</si>
  <si>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</si>
  <si>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</si>
  <si>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</si>
  <si>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</si>
  <si>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</si>
  <si>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</si>
  <si>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</si>
  <si>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</si>
  <si>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</si>
  <si>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</si>
  <si>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</si>
  <si>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</si>
  <si>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</si>
  <si>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</si>
  <si>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</si>
  <si>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</si>
  <si>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</si>
  <si>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</si>
  <si>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</si>
  <si>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</si>
  <si>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</si>
  <si>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</si>
  <si>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</si>
  <si>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</si>
  <si>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</si>
  <si>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</si>
  <si>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</si>
  <si>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</si>
  <si>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</si>
  <si>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</si>
  <si>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</si>
  <si>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</si>
  <si>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</si>
  <si>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</si>
  <si>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</si>
  <si>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</si>
  <si>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</si>
  <si>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</si>
  <si>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</si>
  <si>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</si>
  <si>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</si>
  <si>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</si>
  <si>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</si>
  <si>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</si>
  <si>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</si>
  <si>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</si>
  <si>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</si>
  <si>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</si>
  <si>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</si>
  <si>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</si>
  <si>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</si>
  <si>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</si>
  <si>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</si>
  <si>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</si>
  <si>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</si>
  <si>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</si>
  <si>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</si>
  <si>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</si>
  <si>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</si>
  <si>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</si>
  <si>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</si>
  <si>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</si>
  <si>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</si>
  <si>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</si>
  <si>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</si>
  <si>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</si>
  <si>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</si>
  <si>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</si>
  <si>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</si>
  <si>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</si>
  <si>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</si>
  <si>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</si>
  <si>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</si>
  <si>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</si>
  <si>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</si>
  <si>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</si>
  <si>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</si>
  <si>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</si>
  <si>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</si>
  <si>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</si>
  <si>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</si>
  <si>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</si>
  <si>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</si>
  <si>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</si>
  <si>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</si>
  <si>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</si>
  <si>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</si>
  <si>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</si>
  <si>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</si>
  <si>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</si>
  <si>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</si>
  <si>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</si>
  <si>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</si>
  <si>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</si>
  <si>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</si>
  <si>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</si>
  <si>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</si>
  <si>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</si>
  <si>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</si>
  <si>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</si>
  <si>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</si>
  <si>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</si>
  <si>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</si>
  <si>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</si>
  <si>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</si>
  <si>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</si>
  <si>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</si>
  <si>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</si>
  <si>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</si>
  <si>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</si>
  <si>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</si>
  <si>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</si>
  <si>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</si>
  <si>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</si>
  <si>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</si>
  <si>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</si>
  <si>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</si>
  <si>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</si>
  <si>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</si>
  <si>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</si>
  <si>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</si>
  <si>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</si>
  <si>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</si>
  <si>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</si>
  <si>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</si>
  <si>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</si>
  <si>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</si>
  <si>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</si>
  <si>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</si>
  <si>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</si>
  <si>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</si>
  <si>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</si>
  <si>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</si>
  <si>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</si>
  <si>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</si>
  <si>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</si>
  <si>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</si>
  <si>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</si>
  <si>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</si>
  <si>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</si>
  <si>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</si>
  <si>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</si>
  <si>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</si>
  <si>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</si>
  <si>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</si>
  <si>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</si>
  <si>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</si>
  <si>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</si>
  <si>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</si>
  <si>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</si>
  <si>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</si>
  <si>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</si>
  <si>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</si>
  <si>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</si>
  <si>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</si>
  <si>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</si>
  <si>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</si>
  <si>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</si>
  <si>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</si>
  <si>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</si>
  <si>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</si>
  <si>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</si>
  <si>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</si>
  <si>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</si>
  <si>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</si>
  <si>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</si>
  <si>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</si>
  <si>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</si>
  <si>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</si>
  <si>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</si>
  <si>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</si>
  <si>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</si>
  <si>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</si>
  <si>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</si>
  <si>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</si>
  <si>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</si>
  <si>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</si>
  <si>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</si>
  <si>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</si>
  <si>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</si>
  <si>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</si>
  <si>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</si>
  <si>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</si>
  <si>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</si>
  <si>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</si>
  <si>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</si>
  <si>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</si>
  <si>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</si>
  <si>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</si>
  <si>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</si>
  <si>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</si>
  <si>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</si>
  <si>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</si>
  <si>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</si>
  <si>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</si>
  <si>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</si>
  <si>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</si>
  <si>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</si>
  <si>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</si>
  <si>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</si>
  <si>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</si>
  <si>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</si>
  <si>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</si>
  <si>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</si>
  <si>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</si>
  <si>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</si>
  <si>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</si>
  <si>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</si>
  <si>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</si>
  <si>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</si>
  <si>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</si>
  <si>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</si>
  <si>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</si>
  <si>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</si>
  <si>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</si>
  <si>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</si>
  <si>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</si>
  <si>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</si>
  <si>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</si>
  <si>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</si>
  <si>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</si>
  <si>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</si>
  <si>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</si>
  <si>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</si>
  <si>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</si>
  <si>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</si>
  <si>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</si>
  <si>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</si>
  <si>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</si>
  <si>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</si>
  <si>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</si>
  <si>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</si>
  <si>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</si>
  <si>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</si>
  <si>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</si>
  <si>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</si>
  <si>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</si>
  <si>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</si>
  <si>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</si>
  <si>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</si>
  <si>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</si>
  <si>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</si>
  <si>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</si>
  <si>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</si>
  <si>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</si>
  <si>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</si>
  <si>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</si>
  <si>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</si>
  <si>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</si>
  <si>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</si>
  <si>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</si>
  <si>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</si>
  <si>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</si>
  <si>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</si>
  <si>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</si>
  <si>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</si>
  <si>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</si>
  <si>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</si>
  <si>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</si>
  <si>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</si>
  <si>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</si>
  <si>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</si>
  <si>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</si>
  <si>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</si>
  <si>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</si>
  <si>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</si>
  <si>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</si>
  <si>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</si>
  <si>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</si>
  <si>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</si>
  <si>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</si>
  <si>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</si>
  <si>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</si>
  <si>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</si>
  <si>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</si>
  <si>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</si>
  <si>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</si>
  <si>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</si>
  <si>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</si>
  <si>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</si>
  <si>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</si>
  <si>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</si>
  <si>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</si>
  <si>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</si>
  <si>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</si>
  <si>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</si>
  <si>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</si>
  <si>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</si>
  <si>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</si>
  <si>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</si>
  <si>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</si>
  <si>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</si>
  <si>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</si>
  <si>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</si>
  <si>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</si>
  <si>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</si>
  <si>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</si>
  <si>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</si>
  <si>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</si>
  <si>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</si>
  <si>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</si>
  <si>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</si>
  <si>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</si>
  <si>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</si>
  <si>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</si>
  <si>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</si>
  <si>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</si>
  <si>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</si>
  <si>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</si>
  <si>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</si>
  <si>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</si>
  <si>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</si>
  <si>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</si>
  <si>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</si>
  <si>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</si>
  <si>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</si>
  <si>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</si>
  <si>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</si>
  <si>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</si>
  <si>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</si>
  <si>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</si>
  <si>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</si>
  <si>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</si>
  <si>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</si>
  <si>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</si>
  <si>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</si>
  <si>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</si>
  <si>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</si>
  <si>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</si>
  <si>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</si>
  <si>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</si>
  <si>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</si>
  <si>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</si>
  <si>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</si>
  <si>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</si>
  <si>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</si>
  <si>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</si>
  <si>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</si>
  <si>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</si>
  <si>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</si>
  <si>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</si>
  <si>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</si>
  <si>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</si>
  <si>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</si>
  <si>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</si>
  <si>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</si>
  <si>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</si>
  <si>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</si>
  <si>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</si>
  <si>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</si>
  <si>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</si>
  <si>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</si>
  <si>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</si>
  <si>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</si>
  <si>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</si>
  <si>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</si>
  <si>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</si>
  <si>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</si>
  <si>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</si>
  <si>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</si>
  <si>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</si>
  <si>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</si>
  <si>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</si>
  <si>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</si>
  <si>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</si>
  <si>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</si>
  <si>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</si>
  <si>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</si>
  <si>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</si>
  <si>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</si>
  <si>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</si>
  <si>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</si>
  <si>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</si>
  <si>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</si>
  <si>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</si>
  <si>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</si>
  <si>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</si>
  <si>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</si>
  <si>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</si>
  <si>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</si>
  <si>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</si>
  <si>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</si>
  <si>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</si>
  <si>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</si>
  <si>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</si>
  <si>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</si>
  <si>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</si>
  <si>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</si>
  <si>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</si>
  <si>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</si>
  <si>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</si>
  <si>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</si>
  <si>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</si>
  <si>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</si>
  <si>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</si>
  <si>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</si>
  <si>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</si>
  <si>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</si>
  <si>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</si>
  <si>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</si>
  <si>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</si>
  <si>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</si>
  <si>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</si>
  <si>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</si>
  <si>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</si>
  <si>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</si>
  <si>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</si>
  <si>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</si>
  <si>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</si>
  <si>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</si>
  <si>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</si>
  <si>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</si>
  <si>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</si>
  <si>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</si>
  <si>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</si>
  <si>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</si>
  <si>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</si>
  <si>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</si>
  <si>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</si>
  <si>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</si>
  <si>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</si>
  <si>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</si>
  <si>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</si>
  <si>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</si>
  <si>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</si>
  <si>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</si>
  <si>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</si>
  <si>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</si>
  <si>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</si>
  <si>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</si>
  <si>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</si>
  <si>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</si>
  <si>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</si>
  <si>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</si>
  <si>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</si>
  <si>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</si>
  <si>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</si>
  <si>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</si>
  <si>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</si>
  <si>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</si>
  <si>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</si>
  <si>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</si>
  <si>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</si>
  <si>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</si>
  <si>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</si>
  <si>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</si>
  <si>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</si>
  <si>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</si>
  <si>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</si>
  <si>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</si>
  <si>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</si>
  <si>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</si>
  <si>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</si>
  <si>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</si>
  <si>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</si>
  <si>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</si>
  <si>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</si>
  <si>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</si>
  <si>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</si>
  <si>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</si>
  <si>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</si>
  <si>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</si>
  <si>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</si>
  <si>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</si>
  <si>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</si>
  <si>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</si>
  <si>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</si>
  <si>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</si>
  <si>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</si>
  <si>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</si>
  <si>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</si>
  <si>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</si>
  <si>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</si>
  <si>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</si>
  <si>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</si>
  <si>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</si>
  <si>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</si>
  <si>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</si>
  <si>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</si>
  <si>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</si>
  <si>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</si>
  <si>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</si>
  <si>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</si>
  <si>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</si>
  <si>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</si>
  <si>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</si>
  <si>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</si>
  <si>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</si>
  <si>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</si>
  <si>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</si>
  <si>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</si>
  <si>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</si>
  <si>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</si>
  <si>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</si>
  <si>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</si>
  <si>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</si>
  <si>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</si>
  <si>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</si>
  <si>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</si>
  <si>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</si>
  <si>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</si>
  <si>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</si>
  <si>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</si>
  <si>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</si>
  <si>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</si>
  <si>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</si>
  <si>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</si>
  <si>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</si>
  <si>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</si>
  <si>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</si>
  <si>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</si>
  <si>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</si>
  <si>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</si>
  <si>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</si>
  <si>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</si>
  <si>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</si>
  <si>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</si>
  <si>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</si>
  <si>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</si>
  <si>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</si>
  <si>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</si>
  <si>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</si>
  <si>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</si>
  <si>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</si>
  <si>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</si>
  <si>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</si>
  <si>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</si>
  <si>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</si>
  <si>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</si>
  <si>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</si>
  <si>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</si>
  <si>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</si>
  <si>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</si>
  <si>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</si>
  <si>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</si>
  <si>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</si>
  <si>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</si>
  <si>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</si>
  <si>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</si>
  <si>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</si>
  <si>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</si>
  <si>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</si>
  <si>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</si>
  <si>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</si>
  <si>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</si>
  <si>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</si>
  <si>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</si>
  <si>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</si>
  <si>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</si>
  <si>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</si>
  <si>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</si>
  <si>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</si>
  <si>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</si>
  <si>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</si>
  <si>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</si>
  <si>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</si>
  <si>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</si>
  <si>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</si>
  <si>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</si>
  <si>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</si>
  <si>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</si>
  <si>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</si>
  <si>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</si>
  <si>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</si>
  <si>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</si>
  <si>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</si>
  <si>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</si>
  <si>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</si>
  <si>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</si>
  <si>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</si>
  <si>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</si>
  <si>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</si>
  <si>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</si>
  <si>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</si>
  <si>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</si>
  <si>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</si>
  <si>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</si>
  <si>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</si>
  <si>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</si>
  <si>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</si>
  <si>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</si>
  <si>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</si>
  <si>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</si>
  <si>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</si>
  <si>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</si>
  <si>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</si>
  <si>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</si>
  <si>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</si>
  <si>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</si>
  <si>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</si>
  <si>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</si>
  <si>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</si>
  <si>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</si>
  <si>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</si>
  <si>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</si>
  <si>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</si>
  <si>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</si>
  <si>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</si>
  <si>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</si>
  <si>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</si>
  <si>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</si>
  <si>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</si>
  <si>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</si>
  <si>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</si>
  <si>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</si>
  <si>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</si>
  <si>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</si>
  <si>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</si>
  <si>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</si>
  <si>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</si>
  <si>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</si>
  <si>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</si>
  <si>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</si>
  <si>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</si>
  <si>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</si>
  <si>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</si>
  <si>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</si>
  <si>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</si>
  <si>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</si>
  <si>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</si>
  <si>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</si>
  <si>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</si>
  <si>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</si>
  <si>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</si>
  <si>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</si>
  <si>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</si>
  <si>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</si>
  <si>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</si>
  <si>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</si>
  <si>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</si>
  <si>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</si>
  <si>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</si>
  <si>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</si>
  <si>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</si>
  <si>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</si>
  <si>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</si>
  <si>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</si>
  <si>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</si>
  <si>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</si>
  <si>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</si>
  <si>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</si>
  <si>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</si>
  <si>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</si>
  <si>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</si>
  <si>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</si>
  <si>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</si>
  <si>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</si>
  <si>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</si>
  <si>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</si>
  <si>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</si>
  <si>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</si>
  <si>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</si>
  <si>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</si>
  <si>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</si>
  <si>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</si>
  <si>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</si>
  <si>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</si>
  <si>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</si>
  <si>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</si>
  <si>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</si>
  <si>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</si>
  <si>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</si>
  <si>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</si>
  <si>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</si>
  <si>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</si>
  <si>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</si>
  <si>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</si>
  <si>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</si>
  <si>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</si>
  <si>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</si>
  <si>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</si>
  <si>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</si>
  <si>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</si>
  <si>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</si>
  <si>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</si>
  <si>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</si>
  <si>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</si>
  <si>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</si>
  <si>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</si>
  <si>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</si>
  <si>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</si>
  <si>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</si>
  <si>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</si>
  <si>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</si>
  <si>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</si>
  <si>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</si>
  <si>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</si>
  <si>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</si>
  <si>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</si>
  <si>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</si>
  <si>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</si>
  <si>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</si>
  <si>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</si>
  <si>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</si>
  <si>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</si>
  <si>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</si>
  <si>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</si>
  <si>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</si>
  <si>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</si>
  <si>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</si>
  <si>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</si>
  <si>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</si>
  <si>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</si>
  <si>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</si>
  <si>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</si>
  <si>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</si>
  <si>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</si>
  <si>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</si>
  <si>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</si>
  <si>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</si>
  <si>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</si>
  <si>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</si>
  <si>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</si>
  <si>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</si>
  <si>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</si>
  <si>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</si>
  <si>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</si>
  <si>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</si>
  <si>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</si>
  <si>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</si>
  <si>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</si>
  <si>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</si>
  <si>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</si>
  <si>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</si>
  <si>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</si>
  <si>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</si>
  <si>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</si>
  <si>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</si>
  <si>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</si>
  <si>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</si>
  <si>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</si>
  <si>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</si>
  <si>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</si>
  <si>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</si>
  <si>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</si>
  <si>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</si>
  <si>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</si>
  <si>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</si>
  <si>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</si>
  <si>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</si>
  <si>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</si>
  <si>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</si>
  <si>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</si>
  <si>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</si>
  <si>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</si>
  <si>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</si>
  <si>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</si>
  <si>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</si>
  <si>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</si>
  <si>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</si>
  <si>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</si>
  <si>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</si>
  <si>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</si>
  <si>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</si>
  <si>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</si>
  <si>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</si>
  <si>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</si>
  <si>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</si>
  <si>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</si>
  <si>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</si>
  <si>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</si>
  <si>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</si>
  <si>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</si>
  <si>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</si>
  <si>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</si>
  <si>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</si>
  <si>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</si>
  <si>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</si>
  <si>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</si>
  <si>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</si>
  <si>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</si>
  <si>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</si>
  <si>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</si>
  <si>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</si>
  <si>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</si>
  <si>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</si>
  <si>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</si>
  <si>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</si>
  <si>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</si>
  <si>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</si>
  <si>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</si>
  <si>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</si>
  <si>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</si>
  <si>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</si>
  <si>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</si>
  <si>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</si>
  <si>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</si>
  <si>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</si>
  <si>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</si>
  <si>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</si>
  <si>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</si>
  <si>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</si>
  <si>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</si>
  <si>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</si>
  <si>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</si>
  <si>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</si>
  <si>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</si>
  <si>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</si>
  <si>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</si>
  <si>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</si>
  <si>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</si>
  <si>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</si>
  <si>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</si>
  <si>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</si>
  <si>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</si>
  <si>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</si>
  <si>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</si>
  <si>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</si>
  <si>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</si>
  <si>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</si>
  <si>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</si>
  <si>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</si>
  <si>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</si>
  <si>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</si>
  <si>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</si>
  <si>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</si>
  <si>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</si>
  <si>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</si>
  <si>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</si>
  <si>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</si>
  <si>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</si>
  <si>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</si>
  <si>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</si>
  <si>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</si>
  <si>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</si>
  <si>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</si>
  <si>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</si>
  <si>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</si>
  <si>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</si>
  <si>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</si>
  <si>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</si>
  <si>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</si>
  <si>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</si>
  <si>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</si>
  <si>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</si>
  <si>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</si>
  <si>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</si>
  <si>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</si>
  <si>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</si>
  <si>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</si>
  <si>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</si>
  <si>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</si>
  <si>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</si>
  <si>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</si>
  <si>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</si>
  <si>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</si>
  <si>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</si>
  <si>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</si>
  <si>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</si>
  <si>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</si>
  <si>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</si>
  <si>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</si>
  <si>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</si>
  <si>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</si>
  <si>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</si>
  <si>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</si>
  <si>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</si>
  <si>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</si>
  <si>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</si>
  <si>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</si>
  <si>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</si>
  <si>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</si>
  <si>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</si>
  <si>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</si>
  <si>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</si>
  <si>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</si>
  <si>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</si>
  <si>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</si>
  <si>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</si>
  <si>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</si>
  <si>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</si>
  <si>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</si>
  <si>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</si>
  <si>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</si>
  <si>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</si>
  <si>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</si>
  <si>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</si>
  <si>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</si>
  <si>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</si>
  <si>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</si>
  <si>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</si>
  <si>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</si>
  <si>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</si>
  <si>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</si>
  <si>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</si>
  <si>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</si>
  <si>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</si>
  <si>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</si>
  <si>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</si>
  <si>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</si>
  <si>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</si>
  <si>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</si>
  <si>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</si>
  <si>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</si>
  <si>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</si>
  <si>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</si>
  <si>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</si>
  <si>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</si>
  <si>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</si>
  <si>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</si>
  <si>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</si>
  <si>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</si>
  <si>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</si>
  <si>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</si>
  <si>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</si>
  <si>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</si>
  <si>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</si>
  <si>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</si>
  <si>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</si>
  <si>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</si>
  <si>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</si>
  <si>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</si>
  <si>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</si>
  <si>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</si>
  <si>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</si>
  <si>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</si>
  <si>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</si>
  <si>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</si>
  <si>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</si>
  <si>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</si>
  <si>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</si>
  <si>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</si>
  <si>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</si>
  <si>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</si>
  <si>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</si>
  <si>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</si>
  <si>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</si>
  <si>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</si>
  <si>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</si>
  <si>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</si>
  <si>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</si>
  <si>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</si>
  <si>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</si>
  <si>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</si>
  <si>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</si>
  <si>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</si>
  <si>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</si>
  <si>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</si>
  <si>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</si>
  <si>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</si>
  <si>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</si>
  <si>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</si>
  <si>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</si>
  <si>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</si>
  <si>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</si>
  <si>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</si>
  <si>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</si>
  <si>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</si>
  <si>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</si>
  <si>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</si>
  <si>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</si>
  <si>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</si>
  <si>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</si>
  <si>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</si>
  <si>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</si>
  <si>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</si>
  <si>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</si>
  <si>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</si>
  <si>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</si>
  <si>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</si>
  <si>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</si>
  <si>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</si>
  <si>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</si>
  <si>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</si>
  <si>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</si>
  <si>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</si>
  <si>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</si>
  <si>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</si>
  <si>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</si>
  <si>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</si>
  <si>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</si>
  <si>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</si>
  <si>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</si>
  <si>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</si>
  <si>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</si>
  <si>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</si>
  <si>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</si>
  <si>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</si>
  <si>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</si>
  <si>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</si>
  <si>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</si>
  <si>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</si>
  <si>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</si>
  <si>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</si>
  <si>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</si>
  <si>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</si>
  <si>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</si>
  <si>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</si>
  <si>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</si>
  <si>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</si>
  <si>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</si>
  <si>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</si>
  <si>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</si>
  <si>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</si>
  <si>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</si>
  <si>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</si>
  <si>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</si>
  <si>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</si>
  <si>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</si>
  <si>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</si>
  <si>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</si>
  <si>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</si>
  <si>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</si>
  <si>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</si>
  <si>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</si>
  <si>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</si>
  <si>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</si>
  <si>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</si>
  <si>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</si>
  <si>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</si>
  <si>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</si>
  <si>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</si>
  <si>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</si>
  <si>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</si>
  <si>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</si>
  <si>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</si>
  <si>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</si>
  <si>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</si>
  <si>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</si>
  <si>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</si>
  <si>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</si>
  <si>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</si>
  <si>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</si>
  <si>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</si>
  <si>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</si>
  <si>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</si>
  <si>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</si>
  <si>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</si>
  <si>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</si>
  <si>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</si>
  <si>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</si>
  <si>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</si>
  <si>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</si>
  <si>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</si>
  <si>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</si>
  <si>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</si>
  <si>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</si>
  <si>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</si>
  <si>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</si>
  <si>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</si>
  <si>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</si>
  <si>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</si>
  <si>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</si>
  <si>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</si>
  <si>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</si>
  <si>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</si>
  <si>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</si>
  <si>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</si>
  <si>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</si>
  <si>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</si>
  <si>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</si>
  <si>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</si>
  <si>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</si>
  <si>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</si>
  <si>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</si>
  <si>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</si>
  <si>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</si>
  <si>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</si>
  <si>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</si>
  <si>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</si>
  <si>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</si>
  <si>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</si>
  <si>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</si>
  <si>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</si>
  <si>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</si>
  <si>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</si>
  <si>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</si>
  <si>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</si>
  <si>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</si>
  <si>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</si>
  <si>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</si>
  <si>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</si>
  <si>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</si>
  <si>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</si>
  <si>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</si>
  <si>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</si>
  <si>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</si>
  <si>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</si>
  <si>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</si>
  <si>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</si>
  <si>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</si>
  <si>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</si>
  <si>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</si>
  <si>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</si>
  <si>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</si>
  <si>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</si>
  <si>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</si>
  <si>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</si>
  <si>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</si>
  <si>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</si>
  <si>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</si>
  <si>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</si>
  <si>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</si>
  <si>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</si>
  <si>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</si>
  <si>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</si>
  <si>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</si>
  <si>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</si>
  <si>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</si>
  <si>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</si>
  <si>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</si>
  <si>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</si>
  <si>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</si>
  <si>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</si>
  <si>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</si>
  <si>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</si>
  <si>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</si>
  <si>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</si>
  <si>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</si>
  <si>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</si>
  <si>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</si>
  <si>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</si>
  <si>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</si>
  <si>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</si>
  <si>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</si>
  <si>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</si>
  <si>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</si>
  <si>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</si>
  <si>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</si>
  <si>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</si>
  <si>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</si>
  <si>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</si>
  <si>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</si>
  <si>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</si>
  <si>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</si>
  <si>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</si>
  <si>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</si>
  <si>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</si>
  <si>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</si>
  <si>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</si>
  <si>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</si>
  <si>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</si>
  <si>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</si>
  <si>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</si>
  <si>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</si>
  <si>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</si>
  <si>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</si>
  <si>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</si>
  <si>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</si>
  <si>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</si>
  <si>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</si>
  <si>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</si>
  <si>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</si>
  <si>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</si>
  <si>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</si>
  <si>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</si>
  <si>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</si>
  <si>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</si>
  <si>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</si>
  <si>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</si>
  <si>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</si>
  <si>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</si>
  <si>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</si>
  <si>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</si>
  <si>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</si>
  <si>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</si>
  <si>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</si>
  <si>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</si>
  <si>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</si>
  <si>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</si>
  <si>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</si>
  <si>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COMMODITY</t>
    <phoneticPr fontId="5" type="noConversion"/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</si>
  <si>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</si>
  <si>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</si>
  <si>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</si>
  <si>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</si>
  <si>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</si>
  <si>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</si>
  <si>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</si>
  <si>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</si>
  <si>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</si>
  <si>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</si>
  <si>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</si>
  <si>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</si>
  <si>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</si>
  <si>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</si>
  <si>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20CM GLASS BOWL ANYDAY FROSTED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</si>
  <si>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</si>
  <si>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</si>
  <si>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</si>
  <si>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</si>
  <si>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</si>
  <si>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</si>
  <si>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</si>
  <si>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</si>
  <si>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</si>
  <si>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</si>
  <si>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</si>
  <si>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</si>
  <si>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</si>
  <si>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</si>
  <si>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</si>
  <si>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</si>
  <si>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</si>
  <si>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</si>
  <si>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</si>
  <si>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</si>
  <si>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</si>
  <si>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</si>
  <si>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</si>
  <si>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</si>
  <si>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</si>
  <si>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</si>
  <si>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</si>
  <si>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</si>
  <si>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</si>
  <si>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</si>
  <si>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</si>
  <si>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</si>
  <si>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</si>
  <si>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</si>
  <si>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</si>
  <si>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</si>
  <si>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</si>
  <si>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</si>
  <si>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</si>
  <si>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</si>
  <si>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</si>
  <si>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</si>
  <si>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</si>
  <si>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</si>
  <si>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</si>
  <si>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</si>
  <si>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</si>
  <si>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</si>
  <si>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</si>
  <si>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</si>
  <si>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</si>
  <si>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</si>
  <si>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</si>
  <si>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</si>
  <si>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</si>
  <si>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</si>
  <si>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</si>
  <si>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</si>
  <si>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</si>
  <si>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</si>
  <si>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</si>
  <si>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</si>
  <si>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</si>
  <si>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</si>
  <si>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</si>
  <si>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</si>
  <si>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</si>
  <si>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</si>
  <si>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</si>
  <si>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</si>
  <si>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</si>
  <si>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</si>
  <si>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</si>
  <si>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</si>
  <si>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</si>
  <si>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</si>
  <si>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</si>
  <si>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</si>
  <si>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</si>
  <si>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</si>
  <si>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</si>
  <si>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</si>
  <si>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</si>
  <si>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</si>
  <si>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</si>
  <si>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</si>
  <si>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</si>
  <si>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</si>
  <si>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</si>
  <si>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</si>
  <si>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</si>
  <si>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</si>
  <si>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</si>
  <si>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</si>
  <si>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</si>
  <si>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</si>
  <si>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</si>
  <si>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</si>
  <si>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</si>
  <si>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</si>
  <si>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</si>
  <si>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</si>
  <si>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</si>
  <si>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</si>
  <si>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</si>
  <si>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</si>
  <si>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</si>
  <si>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</si>
  <si>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</si>
  <si>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</si>
  <si>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</si>
  <si>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</si>
  <si>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</si>
  <si>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</si>
  <si>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</si>
  <si>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</si>
  <si>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</si>
  <si>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</si>
  <si>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</si>
  <si>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</si>
  <si>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</si>
  <si>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</si>
  <si>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</si>
  <si>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</si>
  <si>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</si>
  <si>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</si>
  <si>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</si>
  <si>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</si>
  <si>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</si>
  <si>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</si>
  <si>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</si>
  <si>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</si>
  <si>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</si>
  <si>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</si>
  <si>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</si>
  <si>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</si>
  <si>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</si>
  <si>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</si>
  <si>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</si>
  <si>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</si>
  <si>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</si>
  <si>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</si>
  <si>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</si>
  <si>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</si>
  <si>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</si>
  <si>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</si>
  <si>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</si>
  <si>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</si>
  <si>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</si>
  <si>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</si>
  <si>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</si>
  <si>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</si>
  <si>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</si>
  <si>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</si>
  <si>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</si>
  <si>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</si>
  <si>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</si>
  <si>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</si>
  <si>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</si>
  <si>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</si>
  <si>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</si>
  <si>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</si>
  <si>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</si>
  <si>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</si>
  <si>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</si>
  <si>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</si>
  <si>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</si>
  <si>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</si>
  <si>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</si>
  <si>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</si>
  <si>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</si>
  <si>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</si>
  <si>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</si>
  <si>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</si>
  <si>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</si>
  <si>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</si>
  <si>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</si>
  <si>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</si>
  <si>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</si>
  <si>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</si>
  <si>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</si>
  <si>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</si>
  <si>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</si>
  <si>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</si>
  <si>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</si>
  <si>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</si>
  <si>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</si>
  <si>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</si>
  <si>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</si>
  <si>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</si>
  <si>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</si>
  <si>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</si>
  <si>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</si>
  <si>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</si>
  <si>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</si>
  <si>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</si>
  <si>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</si>
  <si>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</si>
  <si>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</si>
  <si>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</si>
  <si>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</si>
  <si>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</si>
  <si>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</si>
  <si>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</si>
  <si>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</si>
  <si>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</si>
  <si>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</si>
  <si>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</si>
  <si>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</si>
  <si>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</si>
  <si>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</si>
  <si>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</si>
  <si>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</si>
  <si>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</si>
  <si>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</si>
  <si>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</si>
  <si>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</si>
  <si>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</si>
  <si>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</si>
  <si>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</si>
  <si>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</si>
  <si>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</si>
  <si>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</si>
  <si>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</si>
  <si>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</si>
  <si>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</si>
  <si>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</si>
  <si>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</si>
  <si>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</si>
  <si>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</si>
  <si>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</si>
  <si>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</si>
  <si>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</si>
  <si>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</si>
  <si>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</si>
  <si>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</si>
  <si>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</si>
  <si>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</si>
  <si>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</si>
  <si>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</si>
  <si>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</si>
  <si>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</si>
  <si>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</si>
  <si>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</si>
  <si>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</si>
  <si>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</si>
  <si>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</si>
  <si>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</si>
  <si>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</si>
  <si>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</si>
  <si>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</si>
  <si>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</si>
  <si>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</si>
  <si>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</si>
  <si>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</si>
  <si>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</si>
  <si>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</si>
  <si>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</si>
  <si>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</si>
  <si>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</si>
  <si>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</si>
  <si>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</si>
  <si>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</si>
  <si>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</si>
  <si>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</si>
  <si>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</si>
  <si>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</si>
  <si>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</si>
  <si>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</si>
  <si>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</si>
  <si>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</si>
  <si>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</si>
  <si>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</si>
  <si>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</si>
  <si>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</si>
  <si>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</si>
  <si>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</si>
  <si>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</si>
  <si>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</si>
  <si>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</si>
  <si>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</si>
  <si>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</si>
  <si>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</si>
  <si>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</si>
  <si>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</si>
  <si>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</si>
  <si>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</si>
  <si>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</si>
  <si>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</si>
  <si>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</si>
  <si>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</si>
  <si>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</si>
  <si>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</si>
  <si>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</si>
  <si>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</si>
  <si>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</si>
  <si>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</si>
  <si>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</si>
  <si>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</si>
  <si>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</si>
  <si>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</si>
  <si>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</si>
  <si>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</si>
  <si>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</si>
  <si>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</si>
  <si>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</si>
  <si>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</si>
  <si>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</si>
  <si>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</si>
  <si>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</si>
  <si>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</si>
  <si>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</si>
  <si>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</si>
  <si>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</si>
  <si>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</si>
  <si>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</si>
  <si>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</si>
  <si>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</si>
  <si>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</si>
  <si>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</si>
  <si>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</si>
  <si>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</si>
  <si>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</si>
  <si>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</si>
  <si>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</si>
  <si>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</si>
  <si>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</si>
  <si>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</si>
  <si>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</si>
  <si>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</si>
  <si>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</si>
  <si>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</si>
  <si>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</si>
  <si>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</si>
  <si>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</si>
  <si>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</si>
  <si>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</si>
  <si>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</si>
  <si>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</si>
  <si>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</si>
  <si>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</si>
  <si>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</si>
  <si>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</si>
  <si>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</si>
  <si>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</si>
  <si>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</si>
  <si>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</si>
  <si>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</si>
  <si>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</si>
  <si>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</si>
  <si>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</si>
  <si>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</si>
  <si>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</si>
  <si>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</si>
  <si>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</si>
  <si>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</si>
  <si>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</si>
  <si>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</si>
  <si>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</si>
  <si>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</si>
  <si>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</si>
  <si>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</si>
  <si>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</si>
  <si>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</si>
  <si>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</si>
  <si>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</si>
  <si>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</si>
  <si>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</si>
  <si>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</si>
  <si>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</si>
  <si>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</si>
  <si>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</si>
  <si>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</si>
  <si>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</si>
  <si>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</si>
  <si>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</si>
  <si>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</si>
  <si>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</si>
  <si>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</si>
  <si>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</si>
  <si>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</si>
  <si>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</si>
  <si>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</si>
  <si>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</si>
  <si>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</si>
  <si>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</si>
  <si>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</si>
  <si>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</si>
  <si>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</si>
  <si>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</si>
  <si>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</si>
  <si>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</si>
  <si>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</si>
  <si>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</si>
  <si>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</si>
  <si>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</si>
  <si>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</si>
  <si>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</si>
  <si>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</si>
  <si>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</si>
  <si>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</si>
  <si>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</si>
  <si>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</si>
  <si>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</si>
  <si>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</si>
  <si>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</si>
  <si>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</si>
  <si>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</si>
  <si>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</si>
  <si>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</si>
  <si>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</si>
  <si>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</si>
  <si>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</si>
  <si>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</si>
  <si>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</si>
  <si>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</si>
  <si>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</si>
  <si>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</si>
  <si>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</si>
  <si>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</si>
  <si>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</si>
  <si>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</si>
  <si>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</si>
  <si>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</si>
  <si>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</si>
  <si>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</si>
  <si>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</si>
  <si>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</si>
  <si>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</si>
  <si>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</si>
  <si>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</si>
  <si>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</si>
  <si>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</si>
  <si>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</si>
  <si>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</si>
  <si>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</si>
  <si>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</si>
  <si>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</si>
  <si>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</si>
  <si>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</si>
  <si>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</si>
  <si>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</si>
  <si>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</si>
  <si>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</si>
  <si>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</si>
  <si>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</si>
  <si>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</si>
  <si>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</si>
  <si>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</si>
  <si>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</si>
  <si>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</si>
  <si>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</si>
  <si>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</si>
  <si>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</si>
  <si>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</si>
  <si>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</si>
  <si>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</si>
  <si>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</si>
  <si>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</si>
  <si>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</si>
  <si>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</si>
  <si>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</si>
  <si>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</si>
  <si>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</si>
  <si>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</si>
  <si>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</si>
  <si>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</si>
  <si>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</si>
  <si>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</si>
  <si>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</si>
  <si>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</si>
  <si>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</si>
  <si>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</si>
  <si>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</si>
  <si>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</si>
  <si>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</si>
  <si>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</si>
  <si>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</si>
  <si>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</si>
  <si>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</si>
  <si>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</si>
  <si>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</si>
  <si>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</si>
  <si>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</si>
  <si>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</si>
  <si>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</si>
  <si>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</si>
  <si>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</si>
  <si>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</si>
  <si>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</si>
  <si>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</si>
  <si>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</si>
  <si>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</si>
  <si>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</si>
  <si>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</si>
  <si>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</si>
  <si>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</si>
  <si>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</si>
  <si>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</si>
  <si>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</si>
  <si>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</si>
  <si>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</si>
  <si>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</si>
  <si>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</si>
  <si>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</si>
  <si>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</si>
  <si>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</si>
  <si>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</si>
  <si>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</si>
  <si>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</si>
  <si>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</si>
  <si>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</si>
  <si>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</si>
  <si>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</si>
  <si>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</si>
  <si>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</si>
  <si>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</si>
  <si>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</si>
  <si>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</si>
  <si>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</si>
  <si>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</si>
  <si>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</si>
  <si>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</si>
  <si>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</si>
  <si>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</si>
  <si>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</si>
  <si>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</si>
  <si>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</si>
  <si>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</si>
  <si>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</si>
  <si>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</si>
  <si>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</si>
  <si>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</si>
  <si>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</si>
  <si>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</si>
  <si>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</si>
  <si>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</si>
  <si>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</si>
  <si>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</si>
  <si>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</si>
  <si>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</si>
  <si>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</si>
  <si>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</si>
  <si>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</si>
  <si>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</si>
  <si>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</si>
  <si>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</si>
  <si>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</si>
  <si>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</si>
  <si>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</si>
  <si>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</si>
  <si>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</si>
  <si>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</si>
  <si>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</si>
  <si>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</si>
  <si>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</si>
  <si>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</si>
  <si>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</si>
  <si>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</si>
  <si>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</si>
  <si>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</si>
  <si>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</si>
  <si>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</si>
  <si>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</si>
  <si>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</si>
  <si>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</si>
  <si>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</si>
  <si>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</si>
  <si>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</si>
  <si>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</si>
  <si>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</si>
  <si>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</si>
  <si>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</si>
  <si>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</si>
  <si>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</si>
  <si>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</si>
  <si>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</si>
  <si>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</si>
  <si>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</si>
  <si>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</si>
  <si>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</si>
  <si>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</si>
  <si>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</si>
  <si>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</si>
  <si>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</si>
  <si>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</si>
  <si>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</si>
  <si>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</si>
  <si>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</si>
  <si>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</si>
  <si>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</si>
  <si>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</si>
  <si>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</si>
  <si>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</si>
  <si>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</si>
  <si>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</si>
  <si>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</si>
  <si>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</si>
  <si>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</si>
  <si>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</si>
  <si>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</si>
  <si>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</si>
  <si>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</si>
  <si>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</si>
  <si>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</si>
  <si>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</si>
  <si>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</si>
  <si>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</si>
  <si>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</si>
  <si>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</si>
  <si>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</si>
  <si>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</si>
  <si>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</si>
  <si>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</si>
  <si>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</si>
  <si>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</si>
  <si>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</si>
  <si>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</si>
  <si>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</si>
  <si>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</si>
  <si>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</si>
  <si>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</si>
  <si>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</si>
  <si>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</si>
  <si>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</si>
  <si>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</si>
  <si>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</si>
  <si>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</si>
  <si>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</si>
  <si>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</si>
  <si>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</si>
  <si>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</si>
  <si>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</si>
  <si>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</si>
  <si>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</si>
  <si>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</si>
  <si>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</si>
  <si>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</si>
  <si>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</si>
  <si>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</si>
  <si>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</si>
  <si>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</si>
  <si>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</si>
  <si>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</si>
  <si>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</si>
  <si>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</si>
  <si>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</si>
  <si>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</si>
  <si>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</si>
  <si>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</si>
  <si>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</si>
  <si>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</si>
  <si>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</si>
  <si>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</si>
  <si>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</si>
  <si>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</si>
  <si>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</si>
  <si>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</si>
  <si>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</si>
  <si>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</si>
  <si>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</si>
  <si>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</si>
  <si>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</si>
  <si>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</si>
  <si>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</si>
  <si>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</si>
  <si>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</si>
  <si>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</si>
  <si>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</si>
  <si>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</si>
  <si>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</si>
  <si>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</si>
  <si>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</si>
  <si>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</si>
  <si>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</si>
  <si>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</si>
  <si>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</si>
  <si>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</si>
  <si>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</si>
  <si>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</si>
  <si>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</si>
  <si>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</si>
  <si>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</si>
  <si>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</si>
  <si>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</si>
  <si>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</si>
  <si>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</si>
  <si>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</si>
  <si>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</si>
  <si>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</si>
  <si>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</si>
  <si>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</si>
  <si>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</si>
  <si>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</si>
  <si>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</si>
  <si>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</si>
  <si>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</si>
  <si>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</si>
  <si>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</si>
  <si>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</si>
  <si>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</si>
  <si>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</si>
  <si>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</si>
  <si>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</si>
  <si>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</si>
  <si>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</si>
  <si>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</si>
  <si>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</si>
  <si>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</si>
  <si>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</si>
  <si>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</si>
  <si>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</si>
  <si>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</si>
  <si>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</si>
  <si>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</si>
  <si>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</si>
  <si>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</si>
  <si>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</si>
  <si>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</si>
  <si>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</si>
  <si>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</si>
  <si>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</si>
  <si>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</si>
  <si>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</si>
  <si>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</si>
  <si>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</si>
  <si>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</si>
  <si>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</si>
  <si>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</si>
  <si>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</si>
  <si>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</si>
  <si>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</si>
  <si>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</si>
  <si>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</si>
  <si>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</si>
  <si>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</si>
  <si>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</si>
  <si>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</si>
  <si>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</si>
  <si>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</si>
  <si>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</si>
  <si>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</si>
  <si>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</si>
  <si>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</si>
  <si>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</si>
  <si>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</si>
  <si>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</si>
  <si>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</si>
  <si>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</si>
  <si>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</si>
  <si>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</si>
  <si>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</si>
  <si>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</si>
  <si>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</si>
  <si>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</si>
  <si>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</si>
  <si>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</si>
  <si>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</si>
  <si>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</si>
  <si>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</si>
  <si>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</si>
  <si>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</si>
  <si>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</si>
  <si>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</si>
  <si>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</si>
  <si>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</si>
  <si>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</si>
  <si>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</si>
  <si>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</si>
  <si>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</si>
  <si>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</si>
  <si>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</si>
  <si>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</si>
  <si>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</si>
  <si>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</si>
  <si>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</si>
  <si>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</si>
  <si>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</si>
  <si>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</si>
  <si>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</si>
  <si>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</si>
  <si>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</si>
  <si>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</si>
  <si>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</si>
  <si>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</si>
  <si>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</si>
  <si>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</si>
  <si>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</si>
  <si>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</si>
  <si>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</si>
  <si>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</si>
  <si>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</si>
  <si>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</si>
  <si>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</si>
  <si>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</si>
  <si>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</si>
  <si>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</si>
  <si>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</si>
  <si>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</si>
  <si>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</si>
  <si>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</si>
  <si>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</si>
  <si>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</si>
  <si>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</si>
  <si>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</si>
  <si>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</si>
  <si>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</si>
  <si>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</si>
  <si>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</si>
  <si>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</si>
  <si>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</si>
  <si>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</si>
  <si>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</si>
  <si>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</si>
  <si>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</si>
  <si>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</si>
  <si>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</si>
  <si>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</si>
  <si>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</si>
  <si>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</si>
  <si>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</si>
  <si>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</si>
  <si>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</si>
  <si>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</si>
  <si>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</si>
  <si>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</si>
  <si>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</si>
  <si>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</si>
  <si>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</si>
  <si>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</si>
  <si>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</si>
  <si>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</si>
  <si>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</si>
  <si>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</si>
  <si>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</si>
  <si>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</si>
  <si>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</si>
  <si>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</si>
  <si>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</si>
  <si>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</si>
  <si>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</si>
  <si>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</si>
  <si>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</si>
  <si>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</si>
  <si>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</si>
  <si>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</si>
  <si>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</si>
  <si>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</si>
  <si>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</si>
  <si>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</si>
  <si>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</si>
  <si>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</si>
  <si>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</si>
  <si>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</si>
  <si>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</si>
  <si>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</si>
  <si>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</si>
  <si>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</si>
  <si>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</si>
  <si>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</si>
  <si>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</si>
  <si>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</si>
  <si>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</si>
  <si>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</si>
  <si>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</si>
  <si>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</si>
  <si>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</si>
  <si>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</si>
  <si>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</si>
  <si>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</si>
  <si>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</si>
  <si>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</si>
  <si>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</si>
  <si>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</si>
  <si>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</si>
  <si>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</si>
  <si>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</si>
  <si>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</si>
  <si>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</si>
  <si>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</si>
  <si>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</si>
  <si>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</si>
  <si>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</si>
  <si>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</si>
  <si>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</si>
  <si>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</si>
  <si>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</si>
  <si>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</si>
  <si>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</si>
  <si>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</si>
  <si>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</si>
  <si>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</si>
  <si>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</si>
  <si>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</si>
  <si>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</si>
  <si>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</si>
  <si>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</si>
  <si>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</si>
  <si>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</si>
  <si>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</si>
  <si>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</si>
  <si>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</si>
  <si>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</si>
  <si>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</si>
  <si>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</si>
  <si>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</si>
  <si>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</si>
  <si>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</si>
  <si>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</si>
  <si>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</si>
  <si>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</si>
  <si>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</si>
  <si>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</si>
  <si>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</si>
  <si>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</si>
  <si>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</si>
  <si>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</si>
  <si>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</si>
  <si>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</si>
  <si>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</si>
  <si>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</si>
  <si>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</si>
  <si>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</si>
  <si>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</si>
  <si>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</si>
  <si>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</si>
  <si>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</si>
  <si>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</si>
  <si>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</si>
  <si>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</si>
  <si>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</si>
  <si>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</si>
  <si>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</si>
  <si>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</si>
  <si>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</si>
  <si>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</si>
  <si>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</si>
  <si>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</si>
  <si>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</si>
  <si>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</si>
  <si>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</si>
  <si>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</si>
  <si>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</si>
  <si>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</si>
  <si>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</si>
  <si>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</si>
  <si>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</si>
  <si>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</si>
  <si>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</si>
  <si>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</si>
  <si>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</si>
  <si>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</si>
  <si>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</si>
  <si>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</si>
  <si>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</si>
  <si>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</si>
  <si>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</si>
  <si>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</si>
  <si>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</si>
  <si>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</si>
  <si>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</si>
  <si>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</si>
  <si>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</si>
  <si>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</si>
  <si>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</si>
  <si>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</si>
  <si>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</si>
  <si>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</si>
  <si>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</si>
  <si>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</si>
  <si>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</si>
  <si>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</si>
  <si>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</si>
  <si>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</si>
  <si>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</si>
  <si>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</si>
  <si>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</si>
  <si>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</si>
  <si>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</si>
  <si>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</si>
  <si>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</si>
  <si>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</si>
  <si>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</si>
  <si>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</si>
  <si>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</si>
  <si>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</si>
  <si>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</si>
  <si>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</si>
  <si>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</si>
  <si>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</si>
  <si>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</si>
  <si>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</si>
  <si>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</si>
  <si>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</si>
  <si>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</si>
  <si>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</si>
  <si>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</si>
  <si>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</si>
  <si>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</si>
  <si>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</si>
  <si>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</si>
  <si>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</si>
  <si>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</si>
  <si>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</si>
  <si>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</si>
  <si>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</si>
  <si>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</si>
  <si>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</si>
  <si>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</si>
  <si>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</si>
  <si>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</si>
  <si>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</si>
  <si>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</si>
  <si>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</si>
  <si>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</si>
  <si>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</si>
  <si>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</si>
  <si>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</si>
  <si>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</si>
  <si>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</si>
  <si>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</si>
  <si>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</si>
  <si>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</si>
  <si>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</si>
  <si>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</si>
  <si>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</si>
  <si>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</si>
  <si>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</si>
  <si>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</si>
  <si>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</si>
  <si>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</si>
  <si>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</si>
  <si>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</si>
  <si>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</si>
  <si>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</si>
  <si>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</si>
  <si>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</si>
  <si>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</si>
  <si>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</si>
  <si>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</si>
  <si>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</si>
  <si>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</si>
  <si>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</si>
  <si>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</si>
  <si>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</si>
  <si>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</si>
  <si>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</si>
  <si>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</si>
  <si>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</si>
  <si>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</si>
  <si>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</si>
  <si>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</si>
  <si>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</si>
  <si>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</si>
  <si>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</si>
  <si>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</si>
  <si>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</si>
  <si>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</si>
  <si>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</si>
  <si>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</si>
  <si>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</si>
  <si>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</si>
  <si>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</si>
  <si>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</si>
  <si>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</si>
  <si>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</si>
  <si>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</si>
  <si>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</si>
  <si>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</si>
  <si>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</si>
  <si>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</si>
  <si>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</si>
  <si>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</si>
  <si>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</si>
  <si>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</si>
  <si>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</si>
  <si>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</si>
  <si>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</si>
  <si>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</si>
  <si>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</si>
  <si>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</si>
  <si>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</si>
  <si>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</si>
  <si>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</si>
  <si>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</si>
  <si>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</si>
  <si>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</si>
  <si>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</si>
  <si>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</si>
  <si>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</si>
  <si>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</si>
  <si>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</si>
  <si>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</si>
  <si>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</si>
  <si>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</si>
  <si>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</si>
  <si>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</si>
  <si>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</si>
  <si>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</si>
  <si>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</si>
  <si>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</si>
  <si>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</si>
  <si>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</si>
  <si>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</si>
  <si>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</si>
  <si>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</si>
  <si>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</si>
  <si>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</si>
  <si>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</si>
  <si>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</si>
  <si>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</si>
  <si>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</si>
  <si>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</si>
  <si>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</si>
  <si>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</si>
  <si>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</si>
  <si>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</si>
  <si>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</si>
  <si>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</si>
  <si>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</si>
  <si>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</si>
  <si>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</si>
  <si>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</si>
  <si>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</si>
  <si>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</si>
  <si>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</si>
  <si>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</si>
  <si>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</si>
  <si>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</si>
  <si>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</si>
  <si>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</si>
  <si>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</si>
  <si>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</si>
  <si>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</si>
  <si>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</si>
  <si>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</si>
  <si>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</si>
  <si>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</si>
  <si>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</si>
  <si>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</si>
  <si>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</si>
  <si>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</si>
  <si>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</si>
  <si>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</si>
  <si>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</si>
  <si>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</si>
  <si>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</si>
  <si>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</si>
  <si>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</si>
  <si>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</si>
  <si>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</si>
  <si>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</si>
  <si>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</si>
  <si>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</si>
  <si>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</si>
  <si>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</si>
  <si>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</si>
  <si>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</si>
  <si>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</si>
  <si>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</si>
  <si>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</si>
  <si>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</si>
  <si>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</si>
  <si>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</si>
  <si>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</si>
  <si>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</si>
  <si>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</si>
  <si>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</si>
  <si>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</si>
  <si>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</si>
  <si>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</si>
  <si>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</si>
  <si>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</si>
  <si>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</si>
  <si>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</si>
  <si>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</si>
  <si>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</si>
  <si>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</si>
  <si>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</si>
  <si>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</si>
  <si>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</si>
  <si>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</si>
  <si>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</si>
  <si>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</si>
  <si>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</si>
  <si>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</si>
  <si>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</si>
  <si>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</si>
  <si>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</si>
  <si>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</si>
  <si>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</si>
  <si>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</si>
  <si>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</si>
  <si>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</si>
  <si>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</si>
  <si>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</si>
  <si>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</si>
  <si>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</si>
  <si>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</si>
  <si>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</si>
  <si>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</si>
  <si>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</si>
  <si>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</si>
  <si>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</si>
  <si>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</si>
  <si>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</si>
  <si>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</si>
  <si>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</si>
  <si>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</si>
  <si>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</si>
  <si>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</si>
  <si>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</si>
  <si>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</si>
  <si>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</si>
  <si>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</si>
  <si>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</si>
  <si>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</si>
  <si>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</si>
  <si>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</si>
  <si>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</si>
  <si>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</si>
  <si>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</si>
  <si>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</si>
  <si>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</si>
  <si>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</si>
  <si>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</si>
  <si>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</si>
  <si>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</si>
  <si>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</si>
  <si>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</si>
  <si>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</si>
  <si>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</si>
  <si>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</si>
  <si>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</si>
  <si>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</si>
  <si>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</si>
  <si>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</si>
  <si>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</si>
  <si>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</si>
  <si>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</si>
  <si>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</si>
  <si>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</si>
  <si>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</si>
  <si>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</si>
  <si>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</si>
  <si>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</si>
  <si>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</si>
  <si>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</si>
  <si>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</si>
  <si>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</si>
  <si>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</si>
  <si>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</si>
  <si>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</si>
  <si>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</si>
  <si>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</si>
  <si>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</si>
  <si>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</si>
  <si>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</si>
  <si>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</si>
  <si>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</si>
  <si>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</si>
  <si>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</si>
  <si>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</si>
  <si>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</si>
  <si>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</si>
  <si>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</si>
  <si>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</si>
  <si>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</si>
  <si>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</si>
  <si>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</si>
  <si>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</si>
  <si>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</si>
  <si>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</si>
  <si>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</si>
  <si>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</si>
  <si>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</si>
  <si>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</si>
  <si>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</si>
  <si>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</si>
  <si>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</si>
  <si>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</si>
  <si>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</si>
  <si>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</si>
  <si>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</si>
  <si>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</si>
  <si>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</si>
  <si>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</si>
  <si>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</si>
  <si>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</si>
  <si>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</si>
  <si>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</si>
  <si>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</si>
  <si>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</si>
  <si>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</si>
  <si>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</si>
  <si>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</si>
  <si>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</si>
  <si>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</si>
  <si>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</si>
  <si>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</si>
  <si>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</si>
  <si>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</si>
  <si>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</si>
  <si>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</si>
  <si>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</si>
  <si>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</si>
  <si>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</si>
  <si>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</si>
  <si>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</si>
  <si>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</si>
  <si>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</si>
  <si>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</si>
  <si>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</si>
  <si>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</si>
  <si>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</si>
  <si>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</si>
  <si>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</si>
  <si>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</si>
  <si>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</si>
  <si>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</si>
  <si>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</si>
  <si>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</si>
  <si>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</si>
  <si>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</si>
  <si>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</si>
  <si>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</si>
  <si>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</si>
  <si>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</si>
  <si>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</si>
  <si>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</si>
  <si>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</si>
  <si>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</si>
  <si>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</si>
  <si>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</si>
  <si>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</si>
  <si>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</si>
  <si>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</si>
  <si>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</si>
  <si>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</si>
  <si>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</si>
  <si>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</si>
  <si>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</si>
  <si>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</si>
  <si>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</si>
  <si>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</si>
  <si>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</si>
  <si>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</si>
  <si>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</si>
  <si>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</si>
  <si>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</si>
  <si>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</si>
  <si>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</si>
  <si>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</si>
  <si>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</si>
  <si>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</si>
  <si>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</si>
  <si>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</si>
  <si>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</si>
  <si>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</si>
  <si>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</si>
  <si>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</si>
  <si>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</si>
  <si>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</si>
  <si>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</si>
  <si>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</si>
  <si>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</si>
  <si>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</si>
  <si>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</si>
  <si>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</si>
  <si>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</si>
  <si>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</si>
  <si>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</si>
  <si>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</si>
  <si>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</si>
  <si>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</si>
  <si>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</si>
  <si>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</si>
  <si>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</si>
  <si>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</si>
  <si>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</si>
  <si>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</si>
  <si>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</si>
  <si>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</si>
  <si>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</si>
  <si>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</si>
  <si>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</si>
  <si>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</si>
  <si>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</si>
  <si>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</si>
  <si>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</si>
  <si>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</si>
  <si>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</si>
  <si>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</si>
  <si>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</si>
  <si>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</si>
  <si>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</si>
  <si>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</si>
  <si>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</si>
  <si>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</si>
  <si>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</si>
  <si>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</si>
  <si>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</si>
  <si>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</si>
  <si>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</si>
  <si>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</si>
  <si>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</si>
  <si>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</si>
  <si>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</si>
  <si>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</si>
  <si>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</si>
  <si>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</si>
  <si>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</si>
  <si>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</si>
  <si>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</si>
  <si>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</si>
  <si>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</si>
  <si>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</si>
  <si>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</si>
  <si>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</si>
  <si>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</si>
  <si>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</si>
  <si>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</si>
  <si>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</si>
  <si>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</si>
  <si>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</si>
  <si>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</si>
  <si>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</si>
  <si>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</si>
  <si>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</si>
  <si>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</si>
  <si>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</si>
  <si>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</si>
  <si>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</si>
  <si>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</si>
  <si>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</si>
  <si>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</si>
  <si>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</si>
  <si>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</si>
  <si>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</si>
  <si>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</si>
  <si>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</si>
  <si>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</si>
  <si>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</si>
  <si>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</si>
  <si>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</si>
  <si>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</si>
  <si>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</si>
  <si>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</si>
  <si>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</si>
  <si>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</si>
  <si>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</si>
  <si>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</si>
  <si>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</si>
  <si>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</si>
  <si>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</si>
  <si>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</si>
  <si>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</si>
  <si>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</si>
  <si>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</si>
  <si>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</si>
  <si>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</si>
  <si>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</si>
  <si>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</si>
  <si>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</si>
  <si>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</si>
  <si>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</si>
  <si>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</si>
  <si>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</si>
  <si>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</si>
  <si>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</si>
  <si>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</si>
  <si>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</si>
  <si>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</si>
  <si>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</si>
  <si>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</si>
  <si>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</si>
  <si>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</si>
  <si>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</si>
  <si>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</si>
  <si>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</si>
  <si>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</si>
  <si>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</si>
  <si>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</si>
  <si>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</si>
  <si>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</si>
  <si>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</si>
  <si>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</si>
  <si>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</si>
  <si>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</si>
  <si>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</si>
  <si>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</si>
  <si>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</si>
  <si>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</si>
  <si>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</si>
  <si>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</si>
  <si>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</si>
  <si>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</si>
  <si>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</si>
  <si>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</si>
  <si>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</si>
  <si>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</si>
  <si>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</si>
  <si>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</si>
  <si>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</si>
  <si>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</si>
  <si>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</si>
  <si>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</si>
  <si>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</si>
  <si>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</si>
  <si>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</si>
  <si>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</si>
  <si>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</si>
  <si>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</si>
  <si>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</si>
  <si>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</si>
  <si>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</si>
  <si>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</si>
  <si>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</si>
  <si>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</si>
  <si>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</si>
  <si>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</si>
  <si>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</si>
  <si>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</si>
  <si>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</si>
  <si>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</si>
  <si>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</si>
  <si>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</si>
  <si>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</si>
  <si>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</si>
  <si>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</si>
  <si>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</si>
  <si>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</si>
  <si>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</si>
  <si>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</si>
  <si>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</si>
  <si>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</si>
  <si>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</si>
  <si>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</si>
  <si>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</si>
  <si>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</si>
  <si>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</si>
  <si>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</si>
  <si>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</si>
  <si>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</si>
  <si>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</si>
  <si>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</si>
  <si>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</si>
  <si>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</si>
  <si>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</si>
  <si>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</si>
  <si>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</si>
  <si>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</si>
  <si>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</si>
  <si>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</si>
  <si>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</si>
  <si>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</si>
  <si>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</si>
  <si>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</si>
  <si>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</si>
  <si>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</si>
  <si>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</si>
  <si>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</si>
  <si>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</si>
  <si>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</si>
  <si>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</si>
  <si>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</si>
  <si>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</si>
  <si>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</si>
  <si>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</si>
  <si>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</si>
  <si>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</si>
  <si>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</si>
  <si>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</si>
  <si>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</si>
  <si>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</si>
  <si>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</si>
  <si>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</si>
  <si>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</si>
  <si>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</si>
  <si>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</si>
  <si>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</si>
  <si>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</si>
  <si>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</si>
  <si>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</si>
  <si>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</si>
  <si>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</si>
  <si>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</si>
  <si>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</si>
  <si>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</si>
  <si>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</si>
  <si>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</si>
  <si>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</si>
  <si>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</si>
  <si>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</si>
  <si>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</si>
  <si>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</si>
  <si>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</si>
  <si>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</si>
  <si>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</si>
  <si>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</si>
  <si>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</si>
  <si>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</si>
  <si>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</si>
  <si>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</si>
  <si>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</si>
  <si>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</si>
  <si>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</si>
  <si>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</si>
  <si>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</si>
  <si>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</si>
  <si>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</si>
  <si>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</si>
  <si>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</si>
  <si>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</si>
  <si>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</si>
  <si>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</si>
  <si>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</si>
  <si>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</si>
  <si>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</si>
  <si>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</si>
  <si>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</si>
  <si>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</si>
  <si>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</si>
  <si>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</si>
  <si>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</si>
  <si>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</si>
  <si>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</si>
  <si>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</si>
  <si>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</si>
  <si>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</si>
  <si>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</si>
  <si>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</si>
  <si>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</si>
  <si>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</si>
  <si>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</si>
  <si>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</si>
  <si>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</si>
  <si>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</si>
  <si>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</si>
  <si>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</si>
  <si>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</si>
  <si>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</si>
  <si>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</si>
  <si>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</si>
  <si>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</si>
  <si>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</si>
  <si>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</si>
  <si>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</si>
  <si>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</si>
  <si>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</si>
  <si>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</si>
  <si>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</si>
  <si>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</si>
  <si>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</si>
  <si>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</si>
  <si>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</si>
  <si>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</si>
  <si>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</si>
  <si>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</si>
  <si>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</si>
  <si>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</si>
  <si>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</si>
  <si>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</si>
  <si>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</si>
  <si>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</si>
  <si>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</si>
  <si>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</si>
  <si>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</si>
  <si>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</si>
  <si>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</si>
  <si>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</si>
  <si>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</si>
  <si>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</si>
  <si>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</si>
  <si>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</si>
  <si>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</si>
  <si>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</si>
  <si>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</si>
  <si>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</si>
  <si>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</si>
  <si>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</si>
  <si>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</si>
  <si>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</si>
  <si>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</si>
  <si>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</si>
  <si>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</si>
  <si>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</si>
  <si>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</si>
  <si>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</si>
  <si>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</si>
  <si>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</si>
  <si>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</si>
  <si>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</si>
  <si>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</si>
  <si>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</si>
  <si>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</si>
  <si>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</si>
  <si>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</si>
  <si>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</si>
  <si>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</si>
  <si>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</si>
  <si>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</si>
  <si>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</si>
  <si>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</si>
  <si>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</si>
  <si>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</si>
  <si>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</si>
  <si>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</si>
  <si>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</si>
  <si>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</si>
  <si>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</si>
  <si>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</si>
  <si>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</si>
  <si>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</si>
  <si>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</si>
  <si>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</si>
  <si>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</si>
  <si>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</si>
  <si>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</si>
  <si>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</si>
  <si>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</si>
  <si>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</si>
  <si>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</si>
  <si>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</si>
  <si>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</si>
  <si>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</si>
  <si>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</si>
  <si>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</si>
  <si>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</si>
  <si>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</si>
  <si>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</si>
  <si>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</si>
  <si>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</si>
  <si>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</si>
  <si>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</si>
  <si>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</si>
  <si>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</si>
  <si>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</si>
  <si>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</si>
  <si>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</si>
  <si>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</si>
  <si>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</si>
  <si>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</si>
  <si>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</si>
  <si>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</si>
  <si>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</si>
  <si>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</si>
  <si>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</si>
  <si>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</si>
  <si>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</si>
  <si>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</si>
  <si>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</si>
  <si>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</si>
  <si>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</si>
  <si>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</si>
  <si>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</si>
  <si>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</si>
  <si>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</si>
  <si>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</si>
  <si>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</si>
  <si>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</si>
  <si>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</si>
  <si>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</si>
  <si>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</si>
  <si>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</si>
  <si>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</si>
  <si>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</si>
  <si>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</si>
  <si>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</si>
  <si>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</si>
  <si>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</si>
  <si>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</si>
  <si>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</si>
  <si>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</si>
  <si>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</si>
  <si>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</si>
  <si>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</si>
  <si>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</si>
  <si>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</si>
  <si>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</si>
  <si>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</si>
  <si>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</si>
  <si>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</si>
  <si>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</si>
  <si>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</si>
  <si>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</si>
  <si>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</si>
  <si>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</si>
  <si>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</si>
  <si>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</si>
  <si>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</si>
  <si>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</si>
  <si>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</si>
  <si>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</si>
  <si>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</si>
  <si>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</si>
  <si>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</si>
  <si>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</si>
  <si>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</si>
  <si>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</si>
  <si>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</si>
  <si>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</si>
  <si>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</si>
  <si>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</si>
  <si>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</si>
  <si>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</si>
  <si>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</si>
  <si>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</si>
  <si>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</si>
  <si>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</si>
  <si>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</si>
  <si>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</si>
  <si>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</si>
  <si>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</si>
  <si>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</si>
  <si>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</si>
  <si>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</si>
  <si>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</si>
  <si>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</si>
  <si>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</si>
  <si>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</si>
  <si>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</si>
  <si>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</si>
  <si>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</si>
  <si>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</si>
  <si>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</si>
  <si>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</si>
  <si>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</si>
  <si>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</si>
  <si>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</si>
  <si>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</si>
  <si>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</si>
  <si>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</si>
  <si>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</si>
  <si>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</si>
  <si>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</si>
  <si>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</si>
  <si>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</si>
  <si>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</si>
  <si>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</si>
  <si>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</si>
  <si>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</si>
  <si>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</si>
  <si>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</si>
  <si>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</si>
  <si>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</si>
  <si>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</si>
  <si>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</si>
  <si>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</si>
  <si>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</si>
  <si>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</si>
  <si>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</si>
  <si>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</si>
  <si>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</si>
  <si>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</si>
  <si>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</si>
  <si>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</si>
  <si>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</si>
  <si>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</si>
  <si>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</si>
  <si>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</si>
  <si>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</si>
  <si>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</si>
  <si>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</si>
  <si>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</si>
  <si>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</si>
  <si>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</si>
  <si>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</si>
  <si>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</si>
  <si>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</si>
  <si>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</si>
  <si>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</si>
  <si>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</si>
  <si>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</si>
  <si>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</si>
  <si>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</si>
  <si>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</si>
  <si>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</si>
  <si>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</si>
  <si>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</si>
  <si>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</si>
  <si>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</si>
  <si>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</si>
  <si>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</si>
  <si>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</si>
  <si>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</si>
  <si>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</si>
  <si>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</si>
  <si>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</si>
  <si>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</si>
  <si>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</si>
  <si>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</si>
  <si>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</si>
  <si>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</si>
  <si>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</si>
  <si>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</si>
  <si>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</si>
  <si>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</si>
  <si>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</si>
  <si>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</si>
  <si>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</si>
  <si>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</si>
  <si>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</si>
  <si>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</si>
  <si>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</si>
  <si>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</si>
  <si>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</si>
  <si>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</si>
  <si>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</si>
  <si>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</si>
  <si>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</si>
  <si>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</si>
  <si>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</si>
  <si>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</si>
  <si>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</si>
  <si>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</si>
  <si>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</si>
  <si>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</si>
  <si>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</si>
  <si>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</si>
  <si>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</si>
  <si>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</si>
  <si>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</si>
  <si>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</si>
  <si>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</si>
  <si>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</si>
  <si>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</si>
  <si>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</si>
  <si>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</si>
  <si>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</si>
  <si>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</si>
  <si>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</si>
  <si>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</si>
  <si>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</si>
  <si>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</si>
  <si>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</si>
  <si>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</si>
  <si>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</si>
  <si>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</si>
  <si>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</si>
  <si>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</si>
  <si>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</si>
  <si>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</si>
  <si>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</si>
  <si>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</si>
  <si>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</si>
  <si>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</si>
  <si>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</si>
  <si>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</si>
  <si>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</si>
  <si>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</si>
  <si>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</si>
  <si>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</si>
  <si>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</si>
  <si>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</si>
  <si>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</si>
  <si>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</si>
  <si>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</si>
  <si>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</si>
  <si>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</si>
  <si>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</si>
  <si>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</si>
  <si>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</si>
  <si>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</si>
  <si>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</si>
  <si>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</si>
  <si>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</si>
  <si>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</si>
  <si>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</si>
  <si>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</si>
  <si>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</si>
  <si>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</si>
  <si>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</si>
  <si>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</si>
  <si>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</si>
  <si>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</si>
  <si>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</si>
  <si>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</si>
  <si>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</si>
  <si>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</si>
  <si>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</si>
  <si>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</si>
  <si>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</si>
  <si>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</si>
  <si>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</si>
  <si>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</si>
  <si>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</si>
  <si>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</si>
  <si>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</si>
  <si>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</si>
  <si>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</si>
  <si>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</si>
  <si>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</si>
  <si>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</si>
  <si>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</si>
  <si>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</si>
  <si>
    <t>求和项:Total_PO_Price_PO CUR</t>
  </si>
  <si>
    <t>行标签</t>
  </si>
  <si>
    <t>总计</t>
  </si>
  <si>
    <t>SUPPLY</t>
  </si>
  <si>
    <t>VENDORNAME</t>
  </si>
  <si>
    <t>COMMODITY</t>
  </si>
  <si>
    <t>SKU-</t>
  </si>
  <si>
    <t>3-5-HPC243A-X</t>
  </si>
  <si>
    <t>SH-- 243 CIR M.BLK POL RING DBX20IA C/C34.8 H8.5</t>
  </si>
  <si>
    <t>6-8-PL0392-C</t>
  </si>
  <si>
    <t>MJP ADD+ITEM DESC STKR 62058-C015</t>
  </si>
  <si>
    <t>1-8-PL14921-C</t>
  </si>
  <si>
    <t>JAN+ADD STKR 4976667180118</t>
  </si>
  <si>
    <t>1-8-PL12775-C</t>
  </si>
  <si>
    <t>TCP STKR 18891-C MTL</t>
  </si>
  <si>
    <t>1-8-PL13587-C</t>
  </si>
  <si>
    <t>TCP STKR 11231-C</t>
  </si>
  <si>
    <t>7-9-ZSPL0377</t>
  </si>
  <si>
    <t>QC PASS &amp; BC STKR 6904399077039</t>
  </si>
  <si>
    <t>7-9-ZSPL0378</t>
  </si>
  <si>
    <t>QC PASS &amp; BC STKR 6904399077053</t>
  </si>
  <si>
    <t>7-9-ZSPL0379</t>
  </si>
  <si>
    <t>QC PASS &amp; BC STKR 6904399077060</t>
  </si>
  <si>
    <t>7-9-ZSPL0380</t>
  </si>
  <si>
    <t>QC PASS &amp; BC STKR 6904399077312</t>
  </si>
  <si>
    <t>7-9-ZSPL0381</t>
  </si>
  <si>
    <t>QC PASS &amp; BC STKR 6904399077336</t>
  </si>
  <si>
    <t>3-8-PL9456-C</t>
  </si>
  <si>
    <t>UPC+ADD+COO STKR 051153850646 (MCA)</t>
  </si>
  <si>
    <t>3-8-PL9458-C</t>
  </si>
  <si>
    <t>UPC+ADD+COO STKR 051153850660 (MCA)</t>
  </si>
  <si>
    <t>3-7-BW304KB</t>
  </si>
  <si>
    <t>WB .03mm(OPEN)x9x10" 10-LAN LDPE MIN.70% RM</t>
  </si>
  <si>
    <t>3-7-BW305KB</t>
  </si>
  <si>
    <t>WB .03mm(OPEN)x10x11" 10-LAN LDPE MIN.70% RM</t>
  </si>
  <si>
    <t>1-7-BN316</t>
  </si>
  <si>
    <t>PP BAG .03mmx9.6x10.4"</t>
  </si>
  <si>
    <t>3-7-BW304G</t>
  </si>
  <si>
    <t>BAG LDPE 0.03MMX&lt;O&gt;9"X10" WN 9-LAN MIN.70% RECYCLE</t>
  </si>
  <si>
    <t>3-7-BW306KB</t>
  </si>
  <si>
    <t>WB .03mm(OPEN)x11.5x12" 10-LAN LDPE MIN.70% RM</t>
  </si>
  <si>
    <t>2-6-S03</t>
  </si>
  <si>
    <t>SCR SS M5x22MM+WHR</t>
  </si>
  <si>
    <t>7-8-PL8711-C</t>
  </si>
  <si>
    <t>ITF+SM STKR 10051153701594</t>
  </si>
  <si>
    <t>3-7-BW310EA</t>
  </si>
  <si>
    <t>BAG LDPE 0.03MMX&lt;O&gt;14.5"X17.5" WN 3-LAN MIN.30% RECYCLE</t>
  </si>
  <si>
    <t>7-6-D62X</t>
  </si>
  <si>
    <t>RT SS 6x12mm D12 TUM</t>
  </si>
  <si>
    <t>1-8-PL15119-C</t>
  </si>
  <si>
    <t>JAP TEXT POS SEAL 18142-C</t>
  </si>
  <si>
    <t>1-8-PL15120-C</t>
  </si>
  <si>
    <t>JAP TEXT POS SEAL 18143-C</t>
  </si>
  <si>
    <t>1-8-PL15122-C</t>
  </si>
  <si>
    <t>JAP TEXT POS SEAL 18145-C</t>
  </si>
  <si>
    <t>1-8-PL15118-C</t>
  </si>
  <si>
    <t>JAP TEXT POS SEAL 18141-C</t>
  </si>
  <si>
    <t>1-8-PL15121-C</t>
  </si>
  <si>
    <t>JAP TEXT POS SEAL 18144-C</t>
  </si>
  <si>
    <t>7-8-PL11185</t>
  </si>
  <si>
    <t>RACO PAN STKR (NON REMOVABLE)</t>
  </si>
  <si>
    <t>3-7-BW312KB</t>
  </si>
  <si>
    <t>WB .03mm(OPEN)x19x19" 10-LAN LDPE MIN.70% RM</t>
  </si>
  <si>
    <t>7-8-P2AM0452222</t>
  </si>
  <si>
    <t>WHITE WRAP PAPER 45gsm 22x22"</t>
  </si>
  <si>
    <t>1-7-BB10</t>
  </si>
  <si>
    <t>BUBBLE BAG 14.5"x17.5"</t>
  </si>
  <si>
    <t>7-8-P2AM0452626</t>
  </si>
  <si>
    <t>WHITE WRAP PAPER 45gsm 26x26"</t>
  </si>
  <si>
    <t>3-7-BW313G</t>
  </si>
  <si>
    <t>BAG LDPE 0.03MMX&lt;O&gt;20"X22" WN 9-LAN MIN.70% RECYCLE</t>
  </si>
  <si>
    <t>3-7-BW313KB</t>
  </si>
  <si>
    <t>WB .03mm(OPEN)x20x22" 10-LAN LDPE MIN.70% RM</t>
  </si>
  <si>
    <t>7-8-P2AM0453030</t>
  </si>
  <si>
    <t>WHITE WRAP PAPER 45gsm 30x30"</t>
  </si>
  <si>
    <t>7-8-PU475B-C</t>
  </si>
  <si>
    <t>U&amp;C MEYER STAR CHEF</t>
  </si>
  <si>
    <t>3-7-BW314KB</t>
  </si>
  <si>
    <t>WB .03mm(OPEN)x22x22" 10-LAN LDPE MIN.70% RM</t>
  </si>
  <si>
    <t>7-8-PG96C</t>
  </si>
  <si>
    <t>WARR CARD ANOLON (MCA)</t>
  </si>
  <si>
    <t>1-8-PU571-C</t>
  </si>
  <si>
    <t>U&amp;C MEYER</t>
  </si>
  <si>
    <t>1-8-PU457D</t>
  </si>
  <si>
    <t>3-7-BW319KB</t>
  </si>
  <si>
    <t>WB .03mm(OPEN)x24x24" 10-LAN LDPE MIN.70% RM</t>
  </si>
  <si>
    <t>3-7-BW314EA</t>
  </si>
  <si>
    <t>BAG LDPE 0.03MMX&lt;O&gt;22"X22" WN 3-LAN MIN.30% RECYCLE</t>
  </si>
  <si>
    <t>3-8-PU494</t>
  </si>
  <si>
    <t>U&amp;C CIR SYMMETRY (MCN)</t>
  </si>
  <si>
    <t>3-7-BW319EA</t>
  </si>
  <si>
    <t>BAG LDPE 0.03MMX&lt;O&gt;24"X24" WN 3-LAN MIN.30% RECYCLE</t>
  </si>
  <si>
    <t>1-6-466</t>
  </si>
  <si>
    <t>SiRu PAD BK01A</t>
  </si>
  <si>
    <t>2-1-4090195-003</t>
  </si>
  <si>
    <t>1100-H 0.9x195mm EAJ&amp;IAD</t>
  </si>
  <si>
    <t>1-6-BK45</t>
  </si>
  <si>
    <t>BRKT SS 20CM FRYPAN</t>
  </si>
  <si>
    <t>1-6-BK33</t>
  </si>
  <si>
    <t>BRKT FOR -WE30</t>
  </si>
  <si>
    <t>3-6-BK07</t>
  </si>
  <si>
    <t>BRKT+NUT WAO34IA</t>
  </si>
  <si>
    <t>1-6-F120-Y</t>
  </si>
  <si>
    <t>FG SS -WE30 SUNRAYED</t>
  </si>
  <si>
    <t>1-I-IH050117-R05</t>
  </si>
  <si>
    <t>SS 430 0.5mm x DIA.117 with R05 pattern</t>
  </si>
  <si>
    <t>1-I-IH050125-R05</t>
  </si>
  <si>
    <t>SS 430 0.5mm x DIA.125 with R05 pattern</t>
  </si>
  <si>
    <t>7-5-KOE-3</t>
  </si>
  <si>
    <t>KNOB O M.BLK</t>
  </si>
  <si>
    <t>3-6-F27-Z</t>
  </si>
  <si>
    <t>FG SS WAO34IA TUM</t>
  </si>
  <si>
    <t>3-6-FHSS203-Y</t>
  </si>
  <si>
    <t>FG SS SS 203 BSH BAG20IA</t>
  </si>
  <si>
    <t>3-6-FHSS207-Y</t>
  </si>
  <si>
    <t>FG SS SS 207 BSH BAG28IA</t>
  </si>
  <si>
    <t>3-5-KHG01</t>
  </si>
  <si>
    <t>KNOB HG M.BLK</t>
  </si>
  <si>
    <t>1-I-IH050180-R05</t>
  </si>
  <si>
    <t>SS 430 0.5mm x DIA.180 with R05 pattern</t>
  </si>
  <si>
    <t>7-5-SDS01</t>
  </si>
  <si>
    <t>MATT+G.BLK</t>
  </si>
  <si>
    <t>1-I-IH050197-R05</t>
  </si>
  <si>
    <t>SS 430 0.5mm x DIA.197 with R05 pattern</t>
  </si>
  <si>
    <t>1-8-C11231</t>
  </si>
  <si>
    <t>COL SLV 11231</t>
  </si>
  <si>
    <t>1-8-C18141-C--J</t>
  </si>
  <si>
    <t>COL SLV 18141-C--J</t>
  </si>
  <si>
    <t>3-5-LEW105--X</t>
  </si>
  <si>
    <t>105 BK01A POL</t>
  </si>
  <si>
    <t>3-5-LEW102--X</t>
  </si>
  <si>
    <t>102 BK01A POL</t>
  </si>
  <si>
    <t>3-5-LEW103--X</t>
  </si>
  <si>
    <t>103 BK01A POL</t>
  </si>
  <si>
    <t>3-5-LEW104--X</t>
  </si>
  <si>
    <t>104 BK01A POL</t>
  </si>
  <si>
    <t>3-5-LEW107--X</t>
  </si>
  <si>
    <t>107 BK01A POL</t>
  </si>
  <si>
    <t>3-5-LEW106-DX</t>
  </si>
  <si>
    <t>STD- 106 GY04A POL R310 C/C113 H6.5</t>
  </si>
  <si>
    <t>3-5-LEW110-DX</t>
  </si>
  <si>
    <t>STD- 110 GY04A POL R360 C/C113 H6.5</t>
  </si>
  <si>
    <t>1-8-C18144-C--J</t>
  </si>
  <si>
    <t>COL SLV 18144-C--J</t>
  </si>
  <si>
    <t>7-8-C70286A-C</t>
  </si>
  <si>
    <t>COL SLV 70286-C</t>
  </si>
  <si>
    <t>7-8-F76784-C</t>
  </si>
  <si>
    <t>BROWN BOX 76784-C</t>
  </si>
  <si>
    <t>1-8-C18142-C--J</t>
  </si>
  <si>
    <t>COL SLV 18142-C--J</t>
  </si>
  <si>
    <t>3-5-SEW105--X</t>
  </si>
  <si>
    <t>7-8-C70287A-C</t>
  </si>
  <si>
    <t>COL SLV 70287-C</t>
  </si>
  <si>
    <t>3-5-HIR206--X</t>
  </si>
  <si>
    <t>LG 206 M.BLK TUM</t>
  </si>
  <si>
    <t>3-5-SEW229-DX</t>
  </si>
  <si>
    <t>STD- 229 GY04A POL BAG32MA C/C106 H8.5</t>
  </si>
  <si>
    <t>3-5-SEW110-DX</t>
  </si>
  <si>
    <t>STD- 110 GY04A POL R143 C/C106 H8.5</t>
  </si>
  <si>
    <t>1-8-C18891</t>
  </si>
  <si>
    <t>COL SLV 18891</t>
  </si>
  <si>
    <t>3-5-LOY111--X</t>
  </si>
  <si>
    <t>STD- 111 M.BLK TUM R380 C/C113 H6.5</t>
  </si>
  <si>
    <t>7-8-F76792-C</t>
  </si>
  <si>
    <t>BROWN BOX 76792-C</t>
  </si>
  <si>
    <t>1-8-C18143-C--J</t>
  </si>
  <si>
    <t>COL SLV 18143-C--J</t>
  </si>
  <si>
    <t>1-8-C12359-C</t>
  </si>
  <si>
    <t>CORR COL SLV 12359-C</t>
  </si>
  <si>
    <t>3-8-C88071-C</t>
  </si>
  <si>
    <t>COL SLV 88071-C</t>
  </si>
  <si>
    <t>1-8-C12358-C</t>
  </si>
  <si>
    <t>CORR COL SLV 12358-C</t>
  </si>
  <si>
    <t>1-8-C18145-C--J</t>
  </si>
  <si>
    <t>COL SLV 18145-C--J</t>
  </si>
  <si>
    <t>3-8-C83923-C</t>
  </si>
  <si>
    <t>COL SLV 83923</t>
  </si>
  <si>
    <t>1-8-C18893</t>
  </si>
  <si>
    <t>COL SLV 18893</t>
  </si>
  <si>
    <t>1-1-25290CJ333</t>
  </si>
  <si>
    <t>AL 3003-O 2.5x290 SG3 MG3</t>
  </si>
  <si>
    <t>1-1-30390CJ333</t>
  </si>
  <si>
    <t>AL 3003-O 3.0x390 SG3 MG3</t>
  </si>
  <si>
    <t>1-1-25350CJ333</t>
  </si>
  <si>
    <t>AL 3003-O 2.5x350 SG3 MG3</t>
  </si>
  <si>
    <t>1-1-25410CJ333</t>
  </si>
  <si>
    <t>AL 3003-O 2.5x410 SG3 MG3</t>
  </si>
  <si>
    <t>7-8-C70736B-C--E-F</t>
  </si>
  <si>
    <t>COL SLV 70736-C--E (FSC)</t>
  </si>
  <si>
    <t>3-8-C88072-CUVE</t>
  </si>
  <si>
    <t>COL SLV 88072-CUVE SPOT UV</t>
  </si>
  <si>
    <t>3-5-SC04</t>
  </si>
  <si>
    <t>R150 M.BLK TUM</t>
  </si>
  <si>
    <t>1-1-25235CJ333</t>
  </si>
  <si>
    <t>AL 3003-O 2.5x235 SG3 MG3</t>
  </si>
  <si>
    <t>7-8-C70732A-C--E-F</t>
  </si>
  <si>
    <t>COL SLV 70732-C--E (FSC)</t>
  </si>
  <si>
    <t>7-1-60160C435N</t>
  </si>
  <si>
    <t>AL CIR 6x160mm 1100-O</t>
  </si>
  <si>
    <t>7-1-70180C435N</t>
  </si>
  <si>
    <t>AL CIR 7.0x180mm 1100-O</t>
  </si>
  <si>
    <t>7-1-24130C435N</t>
  </si>
  <si>
    <t>AL CIR 2.4x130mm 1100-O</t>
  </si>
  <si>
    <t>7-1-25145C435N</t>
  </si>
  <si>
    <t>AL CIR 2.5x145mm 1100-O</t>
  </si>
  <si>
    <t>7-1-25195C435N</t>
  </si>
  <si>
    <t>AL CIR 2.5x195mm 1100-O</t>
  </si>
  <si>
    <t>7-1-60150C435N</t>
  </si>
  <si>
    <t>AL CIR 6.0x150mm 1100-O</t>
  </si>
  <si>
    <t>7-1-60165C435N</t>
  </si>
  <si>
    <t>AL CIR 6.0x165mm 1100-O</t>
  </si>
  <si>
    <t>1-8-C14435A-C</t>
  </si>
  <si>
    <t>CB COL SLV 14435-C</t>
  </si>
  <si>
    <t>3-5-SBP07--Z</t>
  </si>
  <si>
    <t>STD- 07 TUM R124 C/C 79 H8.5</t>
  </si>
  <si>
    <t>7-C-IEC16KKY-P</t>
  </si>
  <si>
    <t>16CM SS LID</t>
  </si>
  <si>
    <t>3-5-SOY505--X</t>
  </si>
  <si>
    <t>505 M.BLK TUM</t>
  </si>
  <si>
    <t>1-5-HAJ86-W</t>
  </si>
  <si>
    <t>LG 86 POL</t>
  </si>
  <si>
    <t>7-8-F76788-C</t>
  </si>
  <si>
    <t>BROWN BOX 76788-C</t>
  </si>
  <si>
    <t>6-8-F62120-C</t>
  </si>
  <si>
    <t>FP BOX 62120-C</t>
  </si>
  <si>
    <t>7-C-IEC20KKY-P</t>
  </si>
  <si>
    <t>20CM SS LID</t>
  </si>
  <si>
    <t>6-8-F62079-C</t>
  </si>
  <si>
    <t>FP BOX 62079-C</t>
  </si>
  <si>
    <t>1-8-C18333-C--J-F</t>
  </si>
  <si>
    <t>COL SLV 18333-C--J (FSC)</t>
  </si>
  <si>
    <t>1-6-GV22-ZA</t>
  </si>
  <si>
    <t>G-LD V 22CM POL</t>
  </si>
  <si>
    <t>7-1-10130C435N</t>
  </si>
  <si>
    <t>AL CIR 1.0x130mm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</si>
  <si>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</si>
  <si>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</si>
  <si>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</si>
  <si>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</si>
  <si>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</si>
  <si>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</si>
  <si>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1-8-F18011-C</t>
  </si>
  <si>
    <t>BROWN BOX 18011-C</t>
  </si>
  <si>
    <t>3-5-HPC104A-X</t>
  </si>
  <si>
    <t>SH 104 CIR M.BLK POL</t>
  </si>
  <si>
    <t>3-5-LPS107--Y</t>
  </si>
  <si>
    <t>STD- 107 BSH R275.61 C/C113 H6.5</t>
  </si>
  <si>
    <t>1-5-HAJ65-W</t>
  </si>
  <si>
    <t>LG-- 65 POL VDZ24MA C/C40 H8.5 SS430x0.8</t>
  </si>
  <si>
    <t>3-5-HPC503A-X</t>
  </si>
  <si>
    <t>LG-- 503 CIR M.BLK POL RING WBF26IA C/C34.8 H8.5</t>
  </si>
  <si>
    <t>1-6-GV24-ZA</t>
  </si>
  <si>
    <t>G-LD V 24CM POL</t>
  </si>
  <si>
    <t>7-C-REC26CK-002</t>
  </si>
  <si>
    <t>REC26CT----------Y-P-----</t>
  </si>
  <si>
    <t>3-5-HPC217A-X</t>
  </si>
  <si>
    <t>LG 217 CIR M.BLK POL</t>
  </si>
  <si>
    <t>3-5-HPC208A-X</t>
  </si>
  <si>
    <t>LG 208 CIR M.BLK POL</t>
  </si>
  <si>
    <t>7-C-REC30CK-002</t>
  </si>
  <si>
    <t>REC30CT----------Y-P-----</t>
  </si>
  <si>
    <t>7-C-IEC28KKY-P</t>
  </si>
  <si>
    <t>28CM SS LID IN=Y,EX=P</t>
  </si>
  <si>
    <t>7-8-F76789-C</t>
  </si>
  <si>
    <t>BROWN BOX 76789-C</t>
  </si>
  <si>
    <t>7-C-REC3008AS-002</t>
  </si>
  <si>
    <t>REC3008CT----------Y-Y-----</t>
  </si>
  <si>
    <t>1-6-GLE24-ZB</t>
  </si>
  <si>
    <t>G-LD LE 24CM BSH</t>
  </si>
  <si>
    <t>7-5-HL21AM</t>
  </si>
  <si>
    <t>LG PW-26 ANO POL</t>
  </si>
  <si>
    <t>7-8-F76790-C</t>
  </si>
  <si>
    <t>BROWN BOX 76790-C</t>
  </si>
  <si>
    <t>3-5-HL02AM</t>
  </si>
  <si>
    <t>HDL L SS XL -YK30 ANOLON</t>
  </si>
  <si>
    <t>1-6-GAL28-ZA</t>
  </si>
  <si>
    <t>G-LD AL 28CM POL</t>
  </si>
  <si>
    <t>7-8-F76791-C</t>
  </si>
  <si>
    <t>BROWN BOX 76791-C</t>
  </si>
  <si>
    <t>3-8-C85066</t>
  </si>
  <si>
    <t>COL SLV 85066</t>
  </si>
  <si>
    <t>3-8-C85064</t>
  </si>
  <si>
    <t>COL SLV 85064</t>
  </si>
  <si>
    <t>1-6-GLE28-ZB</t>
  </si>
  <si>
    <t>G-LD LE 28CM BSH</t>
  </si>
  <si>
    <t>3-5-LHZ108--X</t>
  </si>
  <si>
    <t>STD- 108 POL R296.34 C/C113 H6.5</t>
  </si>
  <si>
    <t>3-5-LHZ111--X</t>
  </si>
  <si>
    <t>STD- 111 POL R348.08 C/C113 H6.5</t>
  </si>
  <si>
    <t>1-6-GLE30-ZB</t>
  </si>
  <si>
    <t>G-LD LE 30CM BSH</t>
  </si>
  <si>
    <t>7-I-0501219L</t>
  </si>
  <si>
    <t>430# SS COIL 0.5x1219xCmm</t>
  </si>
  <si>
    <t>3-5-SPS107--Y</t>
  </si>
  <si>
    <t>STD- 107 BSH R123 C/C79 H6.5</t>
  </si>
  <si>
    <t>3-5-HOD305-DX</t>
  </si>
  <si>
    <t>LG-- 305 GY04A POL CAF24AK C/C34.8 H8.5</t>
  </si>
  <si>
    <t>3-8-C88070-C</t>
  </si>
  <si>
    <t>COL BOX 88070-C</t>
  </si>
  <si>
    <t>7-C-WKC38KK-020</t>
  </si>
  <si>
    <t>WKC38CV----------U-Y-----</t>
  </si>
  <si>
    <t>7-8-C77600C-C</t>
  </si>
  <si>
    <t>COL BOX 77600-C</t>
  </si>
  <si>
    <t>7-8-C70285-C</t>
  </si>
  <si>
    <t>COL BOX 70285-C</t>
  </si>
  <si>
    <t>3-8-C83953-C</t>
  </si>
  <si>
    <t>COL BOX 83953-C</t>
  </si>
  <si>
    <t>3-5-LOE108A-X</t>
  </si>
  <si>
    <t>108 WS POL</t>
  </si>
  <si>
    <t>7-8-C75655B-C--E</t>
  </si>
  <si>
    <t>COL BOX 75655-C--E (AB1200)</t>
  </si>
  <si>
    <t>7-8-C70159B-C</t>
  </si>
  <si>
    <t>4C BOX 70159-C</t>
  </si>
  <si>
    <t>3-5-SOE928--X</t>
  </si>
  <si>
    <t>928 POL</t>
  </si>
  <si>
    <t>7-8-C70284A-C</t>
  </si>
  <si>
    <t>COL BOX 70284-C</t>
  </si>
  <si>
    <t>3-5-HJC307CBX</t>
  </si>
  <si>
    <t>LG-- 307 NEW ANOLON GY04A POL YDD28IA C/C59.25 H8.5</t>
  </si>
  <si>
    <t>3-5-HPS102--Y</t>
  </si>
  <si>
    <t>SH-- 102 BSH R72.3 C/C59.25 H6.5</t>
  </si>
  <si>
    <t>7-8-C77688-C</t>
  </si>
  <si>
    <t>2C BOX 77688-C</t>
  </si>
  <si>
    <t>3-5-SOE908A-X</t>
  </si>
  <si>
    <t>908 WS POL</t>
  </si>
  <si>
    <t>7-8-C70079A-C</t>
  </si>
  <si>
    <t>5C BOX 70079-C</t>
  </si>
  <si>
    <t>7-A-5AD23455C</t>
  </si>
  <si>
    <t>5P 304-AL-430 2.3x455mm</t>
  </si>
  <si>
    <t>7-A-5AK27470S</t>
  </si>
  <si>
    <t>5P 304-AL-430 2.7X470x560mm</t>
  </si>
  <si>
    <t>1-4-P8888N20539-G05</t>
  </si>
  <si>
    <t>8088/N20539-G05 BLACK PRIMER</t>
  </si>
  <si>
    <t>1-4-T8089N20540-G05</t>
  </si>
  <si>
    <t>8089 N20540-G05 CLEAR TOPCOAT</t>
  </si>
  <si>
    <t>1-4-M456G62292</t>
  </si>
  <si>
    <t>MIDCOAT BLACK 456G-62292</t>
  </si>
  <si>
    <t>1-4-P459G62192</t>
  </si>
  <si>
    <t>PRIMER BLACK 459G-62192</t>
  </si>
  <si>
    <t>1-4-M456G73280</t>
  </si>
  <si>
    <t>MIDCOAT DARK PEWTER 456G-73280</t>
  </si>
  <si>
    <t>710330270201</t>
  </si>
  <si>
    <t>710331240201</t>
  </si>
  <si>
    <t>710331890101</t>
  </si>
  <si>
    <t>710332410101</t>
  </si>
  <si>
    <t>710332640301</t>
  </si>
  <si>
    <t>710331540301</t>
  </si>
  <si>
    <t>710331540401</t>
  </si>
  <si>
    <t>710333400201</t>
  </si>
  <si>
    <t>710333830101</t>
  </si>
  <si>
    <t>710333830201</t>
  </si>
  <si>
    <t>710333830901</t>
  </si>
  <si>
    <t>710332510101</t>
  </si>
  <si>
    <t>710334780101</t>
  </si>
  <si>
    <t>710333460101</t>
  </si>
  <si>
    <t>710334300101</t>
  </si>
  <si>
    <t>710334530101</t>
  </si>
  <si>
    <t>710334730201</t>
  </si>
  <si>
    <t>710333700101</t>
  </si>
  <si>
    <t>710333400301</t>
  </si>
  <si>
    <t>710333990101</t>
  </si>
  <si>
    <t>710333990201</t>
  </si>
  <si>
    <t>710334300201</t>
  </si>
  <si>
    <t>710334530201</t>
  </si>
  <si>
    <t>710333820101</t>
  </si>
  <si>
    <t>710333820201</t>
  </si>
  <si>
    <t>710334100101</t>
  </si>
  <si>
    <t>710334100201</t>
  </si>
  <si>
    <t>710334250101</t>
  </si>
  <si>
    <t>710334250201</t>
  </si>
  <si>
    <t>710334250301</t>
  </si>
  <si>
    <t>710334250401</t>
  </si>
  <si>
    <t>710334250501</t>
  </si>
  <si>
    <t>710333300301</t>
  </si>
  <si>
    <t>710333400501</t>
  </si>
  <si>
    <t>710333400601</t>
  </si>
  <si>
    <t>710333530101</t>
  </si>
  <si>
    <t>710334730101</t>
  </si>
  <si>
    <t>710333130301</t>
  </si>
  <si>
    <t>710333301101</t>
  </si>
  <si>
    <t>710333530201</t>
  </si>
  <si>
    <t>710330550301</t>
  </si>
  <si>
    <t>710333430101</t>
  </si>
  <si>
    <t>710334800101</t>
  </si>
  <si>
    <t>710333130501</t>
  </si>
  <si>
    <t>710333450101</t>
  </si>
  <si>
    <t>710333840101</t>
  </si>
  <si>
    <t>710333300401</t>
  </si>
  <si>
    <t>710333300501</t>
  </si>
  <si>
    <t>710333300201</t>
  </si>
  <si>
    <t>710333301901</t>
  </si>
  <si>
    <t>710333800501</t>
  </si>
  <si>
    <t>710334220201</t>
  </si>
  <si>
    <t>710331860201</t>
  </si>
  <si>
    <t>710332720101</t>
  </si>
  <si>
    <t>710332720201</t>
  </si>
  <si>
    <t>710333130401</t>
  </si>
  <si>
    <t>710333301201</t>
  </si>
  <si>
    <t>710334220101</t>
  </si>
  <si>
    <t>710333850101</t>
  </si>
  <si>
    <t>710334690101</t>
  </si>
  <si>
    <t>710333430301</t>
  </si>
  <si>
    <t>710332750201</t>
  </si>
  <si>
    <t>710333150101</t>
  </si>
  <si>
    <t>710333480101</t>
  </si>
  <si>
    <t>710333800101</t>
  </si>
  <si>
    <t>710333430201</t>
  </si>
  <si>
    <t>710333170101</t>
  </si>
  <si>
    <t>710333710101</t>
  </si>
  <si>
    <t>710333830501</t>
  </si>
  <si>
    <t>710333300101</t>
  </si>
  <si>
    <t>710333301801</t>
  </si>
  <si>
    <t>710334220301</t>
  </si>
  <si>
    <t>710332740101</t>
  </si>
  <si>
    <t>710333460301</t>
  </si>
  <si>
    <t>710333300601</t>
  </si>
  <si>
    <t>710333301301</t>
  </si>
  <si>
    <t>710333800601</t>
  </si>
  <si>
    <t>710333830601</t>
  </si>
  <si>
    <t>710332580301</t>
  </si>
  <si>
    <t>710332060601</t>
  </si>
  <si>
    <t>710332060701</t>
  </si>
  <si>
    <t>710332060801</t>
  </si>
  <si>
    <t>710332500101</t>
  </si>
  <si>
    <t>710332500201</t>
  </si>
  <si>
    <t>710331170201</t>
  </si>
  <si>
    <t>710332690101</t>
  </si>
  <si>
    <t>710333401501</t>
  </si>
  <si>
    <t>710332280101</t>
  </si>
  <si>
    <t>710333410301</t>
  </si>
  <si>
    <t>710332740201</t>
  </si>
  <si>
    <t>710334820301</t>
  </si>
  <si>
    <t>710333140101</t>
  </si>
  <si>
    <t>710333300701</t>
  </si>
  <si>
    <t>710333301401</t>
  </si>
  <si>
    <t>710333530401</t>
  </si>
  <si>
    <t>710332740301</t>
  </si>
  <si>
    <t>710333460201</t>
  </si>
  <si>
    <t>710333900301</t>
  </si>
  <si>
    <t>710333440401</t>
  </si>
  <si>
    <t>710333301501</t>
  </si>
  <si>
    <t>710333401201</t>
  </si>
  <si>
    <t>710333530301</t>
  </si>
  <si>
    <t>710333800201</t>
  </si>
  <si>
    <t>710333300801</t>
  </si>
  <si>
    <t>710332840301</t>
  </si>
  <si>
    <t>710333400801</t>
  </si>
  <si>
    <t>710333830701</t>
  </si>
  <si>
    <t>710333300901</t>
  </si>
  <si>
    <t>710333800301</t>
  </si>
  <si>
    <t>710333401301</t>
  </si>
  <si>
    <t>710332501701</t>
  </si>
  <si>
    <t>710332500501</t>
  </si>
  <si>
    <t>710333830401</t>
  </si>
  <si>
    <t>710333301601</t>
  </si>
  <si>
    <t>710333800701</t>
  </si>
  <si>
    <t>710333401401</t>
  </si>
  <si>
    <t>710333400401</t>
  </si>
  <si>
    <t>710332520201</t>
  </si>
  <si>
    <t>710333401601</t>
  </si>
  <si>
    <t>710332520101</t>
  </si>
  <si>
    <t>710333400901</t>
  </si>
  <si>
    <t>710333301701</t>
  </si>
  <si>
    <t>710333800401</t>
  </si>
  <si>
    <t>710333400701</t>
  </si>
  <si>
    <t>710332640101</t>
  </si>
  <si>
    <t>710333400101</t>
  </si>
  <si>
    <t>710333301001</t>
  </si>
  <si>
    <t>710334080101</t>
  </si>
  <si>
    <t>710333700301</t>
  </si>
  <si>
    <t>710331070101</t>
  </si>
  <si>
    <t>710332120201</t>
  </si>
  <si>
    <t>710332640901</t>
  </si>
  <si>
    <t>710333690101</t>
  </si>
  <si>
    <t>710333410201</t>
  </si>
  <si>
    <t>710332660101</t>
  </si>
  <si>
    <t>710333690201</t>
  </si>
  <si>
    <t>710332660201</t>
  </si>
  <si>
    <t>710333440201</t>
  </si>
  <si>
    <t>710332660401</t>
  </si>
  <si>
    <t>710333440101</t>
  </si>
  <si>
    <t>710332660301</t>
  </si>
  <si>
    <t>710333410101</t>
  </si>
  <si>
    <t>710333700201</t>
  </si>
  <si>
    <t>710334320101</t>
  </si>
  <si>
    <t>710333310101</t>
  </si>
  <si>
    <t>710333310201</t>
  </si>
  <si>
    <t>710333680301</t>
  </si>
  <si>
    <t>710333190101</t>
  </si>
  <si>
    <t>710333670201</t>
  </si>
  <si>
    <t>710333190201</t>
  </si>
  <si>
    <t>710331060101</t>
  </si>
  <si>
    <t>710331060201</t>
  </si>
  <si>
    <t>710333420301</t>
  </si>
  <si>
    <t>710333440301</t>
  </si>
  <si>
    <t>710333190301</t>
  </si>
  <si>
    <t>710332010401</t>
  </si>
  <si>
    <t>710332110301</t>
  </si>
  <si>
    <t>710332260501</t>
  </si>
  <si>
    <t>710332470101</t>
  </si>
  <si>
    <t>710332470201</t>
  </si>
  <si>
    <t>710333730101</t>
  </si>
  <si>
    <t>710332010501</t>
  </si>
  <si>
    <t>710332260401</t>
  </si>
  <si>
    <t>710333390101</t>
  </si>
  <si>
    <t>710333190401</t>
  </si>
  <si>
    <t>710333390201</t>
  </si>
  <si>
    <t>710333401001</t>
  </si>
  <si>
    <t>710334010101</t>
  </si>
  <si>
    <t>710334010301</t>
  </si>
  <si>
    <t>710334720101</t>
  </si>
  <si>
    <t>710330650301</t>
  </si>
  <si>
    <t>710331760101</t>
  </si>
  <si>
    <t>710331760201</t>
  </si>
  <si>
    <t>710332870201</t>
  </si>
  <si>
    <t>710333190501</t>
  </si>
  <si>
    <t>710330650601</t>
  </si>
  <si>
    <t>710333420401</t>
  </si>
  <si>
    <t>710333190601</t>
  </si>
  <si>
    <t>710333401101</t>
  </si>
  <si>
    <t>710332500801</t>
  </si>
  <si>
    <t>710333401701</t>
  </si>
  <si>
    <t>710333490101</t>
  </si>
  <si>
    <t>710334200101</t>
  </si>
  <si>
    <t>710333670101</t>
  </si>
  <si>
    <t>710334010201</t>
  </si>
  <si>
    <t>710333420201</t>
  </si>
  <si>
    <t>710334030101</t>
  </si>
  <si>
    <t>710333401801</t>
  </si>
  <si>
    <t>710332720401</t>
  </si>
  <si>
    <t>710332640801</t>
  </si>
  <si>
    <t>710334210301</t>
  </si>
  <si>
    <t>710333680201</t>
  </si>
  <si>
    <t>710333420101</t>
  </si>
  <si>
    <t>710333621801</t>
  </si>
  <si>
    <t>710332710101</t>
  </si>
  <si>
    <t>710332710201</t>
  </si>
  <si>
    <t>710332710301</t>
  </si>
  <si>
    <t>710332710401</t>
  </si>
  <si>
    <t>710333640101</t>
  </si>
  <si>
    <t>710333640201</t>
  </si>
  <si>
    <t>710333640301</t>
  </si>
  <si>
    <t>710333640401</t>
  </si>
  <si>
    <t>710333640501</t>
  </si>
  <si>
    <t>710330580101</t>
  </si>
  <si>
    <t>710333130101</t>
  </si>
  <si>
    <t>710333622101</t>
  </si>
  <si>
    <t>710333680101</t>
  </si>
  <si>
    <t>710333621001</t>
  </si>
  <si>
    <t>710333621201</t>
  </si>
  <si>
    <t>710333630101</t>
  </si>
  <si>
    <t>710332760101</t>
  </si>
  <si>
    <t>710332710501</t>
  </si>
  <si>
    <t>710333621101</t>
  </si>
  <si>
    <t>710334190101</t>
  </si>
  <si>
    <t>710332680201</t>
  </si>
  <si>
    <t>710330580201</t>
  </si>
  <si>
    <t>710333130201</t>
  </si>
  <si>
    <t>710333620501</t>
  </si>
  <si>
    <t>710332640501</t>
  </si>
  <si>
    <t>710332640601</t>
  </si>
  <si>
    <t>710333621701</t>
  </si>
  <si>
    <t>710333622001</t>
  </si>
  <si>
    <t>710334200401</t>
  </si>
  <si>
    <t>710332770101</t>
  </si>
  <si>
    <t>710334700501</t>
  </si>
  <si>
    <t>710330440101</t>
  </si>
  <si>
    <t>710334210401</t>
  </si>
  <si>
    <t>710334200201</t>
  </si>
  <si>
    <t>710333622201</t>
  </si>
  <si>
    <t>710334700101</t>
  </si>
  <si>
    <t>710333620601</t>
  </si>
  <si>
    <t>710333770101</t>
  </si>
  <si>
    <t>710333770401</t>
  </si>
  <si>
    <t>710333770501</t>
  </si>
  <si>
    <t>710333770701</t>
  </si>
  <si>
    <t>710333770801</t>
  </si>
  <si>
    <t>710333770901</t>
  </si>
  <si>
    <t>710334480301</t>
  </si>
  <si>
    <t>710334480401</t>
  </si>
  <si>
    <t>710334480501</t>
  </si>
  <si>
    <t>710334480601</t>
  </si>
  <si>
    <t>710334480701</t>
  </si>
  <si>
    <t>710334480801</t>
  </si>
  <si>
    <t>710334480901</t>
  </si>
  <si>
    <t>710334481101</t>
  </si>
  <si>
    <t>710334500201</t>
  </si>
  <si>
    <t>710334200701</t>
  </si>
  <si>
    <t>710333570101</t>
  </si>
  <si>
    <t>710334700701</t>
  </si>
  <si>
    <t>710332770201</t>
  </si>
  <si>
    <t>710334140101</t>
  </si>
  <si>
    <t>710331630401</t>
  </si>
  <si>
    <t>710333770201</t>
  </si>
  <si>
    <t>710333770301</t>
  </si>
  <si>
    <t>710333770601</t>
  </si>
  <si>
    <t>710334480101</t>
  </si>
  <si>
    <t>710334480201</t>
  </si>
  <si>
    <t>710333620101</t>
  </si>
  <si>
    <t>710334500101</t>
  </si>
  <si>
    <t>710333060101</t>
  </si>
  <si>
    <t>710333060201</t>
  </si>
  <si>
    <t>710333280101</t>
  </si>
  <si>
    <t>710333280201</t>
  </si>
  <si>
    <t>710333280301</t>
  </si>
  <si>
    <t>710333280401</t>
  </si>
  <si>
    <t>710333350101</t>
  </si>
  <si>
    <t>710333500101</t>
  </si>
  <si>
    <t>710333500201</t>
  </si>
  <si>
    <t>710333500301</t>
  </si>
  <si>
    <t>710333500401</t>
  </si>
  <si>
    <t>710333500601</t>
  </si>
  <si>
    <t>710333500701</t>
  </si>
  <si>
    <t>710333500801</t>
  </si>
  <si>
    <t>710333500901</t>
  </si>
  <si>
    <t>710334000201</t>
  </si>
  <si>
    <t>710334000301</t>
  </si>
  <si>
    <t>710334000401</t>
  </si>
  <si>
    <t>710334000501</t>
  </si>
  <si>
    <t>710334150101</t>
  </si>
  <si>
    <t>710334150201</t>
  </si>
  <si>
    <t>710334150301</t>
  </si>
  <si>
    <t>710334270101</t>
  </si>
  <si>
    <t>710334270201</t>
  </si>
  <si>
    <t>710334270301</t>
  </si>
  <si>
    <t>710334680201</t>
  </si>
  <si>
    <t>710334680301</t>
  </si>
  <si>
    <t>710334680401</t>
  </si>
  <si>
    <t>710334680501</t>
  </si>
  <si>
    <t>710334680601</t>
  </si>
  <si>
    <t>710333810101</t>
  </si>
  <si>
    <t>710333810301</t>
  </si>
  <si>
    <t>710333620201</t>
  </si>
  <si>
    <t>710331000301</t>
  </si>
  <si>
    <t>710330490101</t>
  </si>
  <si>
    <t>710332480201</t>
  </si>
  <si>
    <t>710332950201</t>
  </si>
  <si>
    <t>710332640701</t>
  </si>
  <si>
    <t>710332180101</t>
  </si>
  <si>
    <t>710332270101</t>
  </si>
  <si>
    <t>710332770301</t>
  </si>
  <si>
    <t>710333621301</t>
  </si>
  <si>
    <t>710330490201</t>
  </si>
  <si>
    <t>710331630301</t>
  </si>
  <si>
    <t>710332950301</t>
  </si>
  <si>
    <t>710334210201</t>
  </si>
  <si>
    <t>710330890801</t>
  </si>
  <si>
    <t>710330490301</t>
  </si>
  <si>
    <t>710332430101</t>
  </si>
  <si>
    <t>710332950401</t>
  </si>
  <si>
    <t>710333330401</t>
  </si>
  <si>
    <t>710334260101</t>
  </si>
  <si>
    <t>710330890901</t>
  </si>
  <si>
    <t>710335190101</t>
  </si>
  <si>
    <t>710334210101</t>
  </si>
  <si>
    <t>710334500301</t>
  </si>
  <si>
    <t>710334090101</t>
  </si>
  <si>
    <t>710333060301</t>
  </si>
  <si>
    <t>710333060401</t>
  </si>
  <si>
    <t>710333500501</t>
  </si>
  <si>
    <t>710333750101</t>
  </si>
  <si>
    <t>710333750201</t>
  </si>
  <si>
    <t>710333750301</t>
  </si>
  <si>
    <t>710333750401</t>
  </si>
  <si>
    <t>710334000101</t>
  </si>
  <si>
    <t>710334270401</t>
  </si>
  <si>
    <t>710334680101</t>
  </si>
  <si>
    <t>710334200801</t>
  </si>
  <si>
    <t>710330891001</t>
  </si>
  <si>
    <t>710335030101</t>
  </si>
  <si>
    <t>710330490401</t>
  </si>
  <si>
    <t>710329750701</t>
  </si>
  <si>
    <t>710330890601</t>
  </si>
  <si>
    <t>710330891101</t>
  </si>
  <si>
    <t>710333320601</t>
  </si>
  <si>
    <t>710333330301</t>
  </si>
  <si>
    <t>710334260201</t>
  </si>
  <si>
    <t>710332641101</t>
  </si>
  <si>
    <t>710330891201</t>
  </si>
  <si>
    <t>710331000201</t>
  </si>
  <si>
    <t>710332250201</t>
  </si>
  <si>
    <t>710332640401</t>
  </si>
  <si>
    <t>710334090201</t>
  </si>
  <si>
    <t>710332290101</t>
  </si>
  <si>
    <t>710332290201</t>
  </si>
  <si>
    <t>710333320101</t>
  </si>
  <si>
    <t>710332050101</t>
  </si>
  <si>
    <t>710332770401</t>
  </si>
  <si>
    <t>710332640201</t>
  </si>
  <si>
    <t>710332641001</t>
  </si>
  <si>
    <t>710332250301</t>
  </si>
  <si>
    <t>710331650401</t>
  </si>
  <si>
    <t>710331650501</t>
  </si>
  <si>
    <t>710334470101</t>
  </si>
  <si>
    <t>710331641201</t>
  </si>
  <si>
    <t>710331641301</t>
  </si>
  <si>
    <t>710331641401</t>
  </si>
  <si>
    <t>710333320201</t>
  </si>
  <si>
    <t>710331641801</t>
  </si>
  <si>
    <t>710331641901</t>
  </si>
  <si>
    <t>710333720101</t>
  </si>
  <si>
    <t>710332480101</t>
  </si>
  <si>
    <t>710330540401</t>
  </si>
  <si>
    <t>710333621401</t>
  </si>
  <si>
    <t>710333320301</t>
  </si>
  <si>
    <t>710331650901</t>
  </si>
  <si>
    <t>710331651001</t>
  </si>
  <si>
    <t>710334830101</t>
  </si>
  <si>
    <t>710332700501</t>
  </si>
  <si>
    <t>710333621501</t>
  </si>
  <si>
    <t>710330640701</t>
  </si>
  <si>
    <t>710333940101</t>
  </si>
  <si>
    <t>710331770101</t>
  </si>
  <si>
    <t>710330510101</t>
  </si>
  <si>
    <t>710332700101</t>
  </si>
  <si>
    <t>710333810201</t>
  </si>
  <si>
    <t>710333810401</t>
  </si>
  <si>
    <t>710333180101</t>
  </si>
  <si>
    <t>710330510201</t>
  </si>
  <si>
    <t>710330620401</t>
  </si>
  <si>
    <t>710331190101</t>
  </si>
  <si>
    <t>710331190201</t>
  </si>
  <si>
    <t>710332750101</t>
  </si>
  <si>
    <t>710333620401</t>
  </si>
  <si>
    <t>710333621601</t>
  </si>
  <si>
    <t>710334200901</t>
  </si>
  <si>
    <t>710330630101</t>
  </si>
  <si>
    <t>710330630201</t>
  </si>
  <si>
    <t>710331780101</t>
  </si>
  <si>
    <t>710331780201</t>
  </si>
  <si>
    <t>710334201301</t>
  </si>
  <si>
    <t>710332600101</t>
  </si>
  <si>
    <t>710332020101</t>
  </si>
  <si>
    <t>710330640801</t>
  </si>
  <si>
    <t>710330430901</t>
  </si>
  <si>
    <t>710332020201</t>
  </si>
  <si>
    <t>710332600201</t>
  </si>
  <si>
    <t>710330960101</t>
  </si>
  <si>
    <t>710334710101</t>
  </si>
  <si>
    <t>710333370101</t>
  </si>
  <si>
    <t>710331101501</t>
  </si>
  <si>
    <t>710331101601</t>
  </si>
  <si>
    <t>710331000401</t>
  </si>
  <si>
    <t>710330950201</t>
  </si>
  <si>
    <t>710330560401</t>
  </si>
  <si>
    <t>710330560501</t>
  </si>
  <si>
    <t>710330560601</t>
  </si>
  <si>
    <t>710332810401</t>
  </si>
  <si>
    <t>710332810501</t>
  </si>
  <si>
    <t>710333260101</t>
  </si>
  <si>
    <t>710330560701</t>
  </si>
  <si>
    <t>710332400101</t>
  </si>
  <si>
    <t>710332730101</t>
  </si>
  <si>
    <t>710332700201</t>
  </si>
  <si>
    <t>710332700301</t>
  </si>
  <si>
    <t>710331440701</t>
  </si>
  <si>
    <t>710331440801</t>
  </si>
  <si>
    <t>710331440901</t>
  </si>
  <si>
    <t>710331441001</t>
  </si>
  <si>
    <t>710331450901</t>
  </si>
  <si>
    <t>710331451001</t>
  </si>
  <si>
    <t>710331451101</t>
  </si>
  <si>
    <t>710331461201</t>
  </si>
  <si>
    <t>710331461301</t>
  </si>
  <si>
    <t>710331461401</t>
  </si>
  <si>
    <t>710331470501</t>
  </si>
  <si>
    <t>710331490501</t>
  </si>
  <si>
    <t>710331490701</t>
  </si>
  <si>
    <t>710331520101</t>
  </si>
  <si>
    <t>710330950101</t>
  </si>
  <si>
    <t>710333620801</t>
  </si>
  <si>
    <t>710331500101</t>
  </si>
  <si>
    <t>710331500201</t>
  </si>
  <si>
    <t>710331500301</t>
  </si>
  <si>
    <t>710332190101</t>
  </si>
  <si>
    <t>710332730201</t>
  </si>
  <si>
    <t>710332700401</t>
  </si>
  <si>
    <t>710332810301</t>
  </si>
  <si>
    <t>710333510101</t>
  </si>
  <si>
    <t>710333510201</t>
  </si>
  <si>
    <t>710334700601</t>
  </si>
  <si>
    <t>710331440201</t>
  </si>
  <si>
    <t>710331460301</t>
  </si>
  <si>
    <t>710332380101</t>
  </si>
  <si>
    <t>710332380201</t>
  </si>
  <si>
    <t>710332380301</t>
  </si>
  <si>
    <t>710331450201</t>
  </si>
  <si>
    <t>710332380401</t>
  </si>
  <si>
    <t>710332380501</t>
  </si>
  <si>
    <t>710331200201</t>
  </si>
  <si>
    <t>710329750201</t>
  </si>
  <si>
    <t>710334201201</t>
  </si>
  <si>
    <t>710333610101</t>
  </si>
  <si>
    <t>710334201101</t>
  </si>
  <si>
    <t>710334700401</t>
  </si>
  <si>
    <t>710334970101</t>
  </si>
  <si>
    <t>710331000101</t>
  </si>
  <si>
    <t>710334180101</t>
  </si>
  <si>
    <t>710332971101</t>
  </si>
  <si>
    <t>710334170101</t>
  </si>
  <si>
    <t>710334201001</t>
  </si>
  <si>
    <t>710331050301</t>
  </si>
  <si>
    <t>710333620901</t>
  </si>
  <si>
    <t>710331090101</t>
  </si>
  <si>
    <t>710331200301</t>
  </si>
  <si>
    <t>710331090201</t>
  </si>
  <si>
    <t>710331090301</t>
  </si>
  <si>
    <t>710331050101</t>
  </si>
  <si>
    <t>710334700201</t>
  </si>
  <si>
    <t>710334700301</t>
  </si>
  <si>
    <t>710331050201</t>
  </si>
  <si>
    <t>710334770101</t>
  </si>
  <si>
    <t>710333620701</t>
  </si>
  <si>
    <t>710333650201</t>
  </si>
  <si>
    <t>710333200401</t>
  </si>
  <si>
    <t>710333200201</t>
  </si>
  <si>
    <t>710333660201</t>
  </si>
  <si>
    <t>710333980101</t>
  </si>
  <si>
    <t>710333980201</t>
  </si>
  <si>
    <t>710333200501</t>
  </si>
  <si>
    <t>710333200301</t>
  </si>
  <si>
    <t>710333650101</t>
  </si>
  <si>
    <t>710333650301</t>
  </si>
  <si>
    <t>710333100101</t>
  </si>
  <si>
    <t>710333100201</t>
  </si>
  <si>
    <t>710332820101</t>
  </si>
  <si>
    <t>710333270101</t>
  </si>
  <si>
    <t>710334240101</t>
  </si>
  <si>
    <t>710333780101</t>
  </si>
  <si>
    <t>710333200101</t>
  </si>
  <si>
    <t>710333780301</t>
  </si>
  <si>
    <t>710334670101</t>
  </si>
  <si>
    <t>710332820301</t>
  </si>
  <si>
    <t>710332960201</t>
  </si>
  <si>
    <t>710332960101</t>
  </si>
  <si>
    <t>710333780201</t>
  </si>
  <si>
    <t>710334240201</t>
  </si>
  <si>
    <t>710333980301</t>
  </si>
  <si>
    <t>710333980401</t>
  </si>
  <si>
    <t>710332820201</t>
  </si>
  <si>
    <t>710333660101</t>
  </si>
  <si>
    <t>710334670201</t>
  </si>
  <si>
    <t>710332820401</t>
  </si>
  <si>
    <t>LS08</t>
  </si>
  <si>
    <t>LI SHUN DA</t>
  </si>
  <si>
    <t>LG06</t>
  </si>
  <si>
    <t>GUANG DONG LI GUANG DA S/S CO.,LTD</t>
  </si>
  <si>
    <t>TA84</t>
  </si>
  <si>
    <t>CHANG CHEN (FO SHAN) SPECIAL CO.,LTD</t>
  </si>
  <si>
    <t>M250424</t>
  </si>
  <si>
    <t>AQ-C04080</t>
  </si>
  <si>
    <t>C04080</t>
  </si>
  <si>
    <t>C04136</t>
  </si>
  <si>
    <t>RTV-0096</t>
  </si>
  <si>
    <t>C04101</t>
  </si>
  <si>
    <t>C04046</t>
  </si>
  <si>
    <t>X250420</t>
  </si>
  <si>
    <t>X250413</t>
  </si>
  <si>
    <t>X250425</t>
  </si>
  <si>
    <t>X250438</t>
  </si>
  <si>
    <t>C04109</t>
  </si>
  <si>
    <t>C04056</t>
  </si>
  <si>
    <t>X250419</t>
  </si>
  <si>
    <t>X250421</t>
  </si>
  <si>
    <t>X250422</t>
  </si>
  <si>
    <t>M250409</t>
  </si>
  <si>
    <t>M250418</t>
  </si>
  <si>
    <t>C04124</t>
  </si>
  <si>
    <t>M250417</t>
  </si>
  <si>
    <t>C04082</t>
  </si>
  <si>
    <t>C04012</t>
  </si>
  <si>
    <t>C04119</t>
  </si>
  <si>
    <t>C04064</t>
  </si>
  <si>
    <t>M250432</t>
  </si>
  <si>
    <t>M250419</t>
  </si>
  <si>
    <t>RTV-0095</t>
  </si>
  <si>
    <t>C04048</t>
  </si>
  <si>
    <t>M250414</t>
  </si>
  <si>
    <t>C04074</t>
  </si>
  <si>
    <t>C04006</t>
  </si>
  <si>
    <t>C04075</t>
  </si>
  <si>
    <t>X250423</t>
  </si>
  <si>
    <t>M250434</t>
  </si>
  <si>
    <t>C04017</t>
  </si>
  <si>
    <t>C04132</t>
  </si>
  <si>
    <t>C04113</t>
  </si>
  <si>
    <t>X250439</t>
  </si>
  <si>
    <t>C04016</t>
  </si>
  <si>
    <t>M250402</t>
  </si>
  <si>
    <t>C04089</t>
  </si>
  <si>
    <t>C04041</t>
  </si>
  <si>
    <t>M250405</t>
  </si>
  <si>
    <t>M250401</t>
  </si>
  <si>
    <t>X250410</t>
  </si>
  <si>
    <t>X250412</t>
  </si>
  <si>
    <t>M250407</t>
  </si>
  <si>
    <t>X250441</t>
  </si>
  <si>
    <t>X250411</t>
  </si>
  <si>
    <t>X250440</t>
  </si>
  <si>
    <t>X250409</t>
  </si>
  <si>
    <t>M250406</t>
  </si>
  <si>
    <t>C04131</t>
  </si>
  <si>
    <t>C04084</t>
  </si>
  <si>
    <t>B250411</t>
  </si>
  <si>
    <t>C04021</t>
  </si>
  <si>
    <t>M250411</t>
  </si>
  <si>
    <t>C04091</t>
  </si>
  <si>
    <t>C04052</t>
  </si>
  <si>
    <t>C04008</t>
  </si>
  <si>
    <t>C04123</t>
  </si>
  <si>
    <t>C04033</t>
  </si>
  <si>
    <t>C04050</t>
  </si>
  <si>
    <t>B250401</t>
  </si>
  <si>
    <t>C04069</t>
  </si>
  <si>
    <t>C04122</t>
  </si>
  <si>
    <t>C04015</t>
  </si>
  <si>
    <t>C04002</t>
  </si>
  <si>
    <t>C04128</t>
  </si>
  <si>
    <t>C04003</t>
  </si>
  <si>
    <t>C04110</t>
  </si>
  <si>
    <t>C04111</t>
  </si>
  <si>
    <t>M250404</t>
  </si>
  <si>
    <t>M250408</t>
  </si>
  <si>
    <t>X250424</t>
  </si>
  <si>
    <t>X250428</t>
  </si>
  <si>
    <t>C04049</t>
  </si>
  <si>
    <t>C04031</t>
  </si>
  <si>
    <t>X250427</t>
  </si>
  <si>
    <t>X250415</t>
  </si>
  <si>
    <t>C04058</t>
  </si>
  <si>
    <t>C04042</t>
  </si>
  <si>
    <t>X250418</t>
  </si>
  <si>
    <t>X250417</t>
  </si>
  <si>
    <t>C04106</t>
  </si>
  <si>
    <t>X250431</t>
  </si>
  <si>
    <t>C04020</t>
  </si>
  <si>
    <t>C04009</t>
  </si>
  <si>
    <t>C04098</t>
  </si>
  <si>
    <t>M250436</t>
  </si>
  <si>
    <t>C04032</t>
  </si>
  <si>
    <t>X250436</t>
  </si>
  <si>
    <t>B250403</t>
  </si>
  <si>
    <t>B250412</t>
  </si>
  <si>
    <t>X250434</t>
  </si>
  <si>
    <t>B250407</t>
  </si>
  <si>
    <t>B250402</t>
  </si>
  <si>
    <t>X250433</t>
  </si>
  <si>
    <t>C04105</t>
  </si>
  <si>
    <t>250402</t>
  </si>
  <si>
    <t>C04126</t>
  </si>
  <si>
    <t>C04065</t>
  </si>
  <si>
    <t>X250442</t>
  </si>
  <si>
    <t>C04127</t>
  </si>
  <si>
    <t>X250407</t>
  </si>
  <si>
    <t>C04034</t>
  </si>
  <si>
    <t>C04070</t>
  </si>
  <si>
    <t>C04063</t>
  </si>
  <si>
    <t>C04027</t>
  </si>
  <si>
    <t>250404</t>
  </si>
  <si>
    <t>C04030</t>
  </si>
  <si>
    <t>C04018</t>
  </si>
  <si>
    <t>C04061</t>
  </si>
  <si>
    <t>C04135</t>
  </si>
  <si>
    <t>C04133</t>
  </si>
  <si>
    <t>C04037</t>
  </si>
  <si>
    <t>C04073</t>
  </si>
  <si>
    <t>C04053</t>
  </si>
  <si>
    <t>C04067</t>
  </si>
  <si>
    <t>C04059</t>
  </si>
  <si>
    <t>C04116</t>
  </si>
  <si>
    <t>AQ-C04116</t>
  </si>
  <si>
    <t>C04100</t>
  </si>
  <si>
    <t>C04011</t>
  </si>
  <si>
    <t>C04117</t>
  </si>
  <si>
    <t>C04108</t>
  </si>
  <si>
    <t>C04092</t>
  </si>
  <si>
    <t>C04085</t>
  </si>
  <si>
    <t>C04081</t>
  </si>
  <si>
    <t>C04076</t>
  </si>
  <si>
    <t>C04062</t>
  </si>
  <si>
    <t>C04055</t>
  </si>
  <si>
    <t>C04043</t>
  </si>
  <si>
    <t>C04029</t>
  </si>
  <si>
    <t>C04023</t>
  </si>
  <si>
    <t>C04107</t>
  </si>
  <si>
    <t>C04104</t>
  </si>
  <si>
    <t>C04096</t>
  </si>
  <si>
    <t>C04086</t>
  </si>
  <si>
    <t>C04130</t>
  </si>
  <si>
    <t>C04120</t>
  </si>
  <si>
    <t>C04114</t>
  </si>
  <si>
    <t>RTV-607</t>
  </si>
  <si>
    <t>C04129</t>
  </si>
  <si>
    <t>C04044</t>
  </si>
  <si>
    <t>C04040</t>
  </si>
  <si>
    <t>C04038</t>
  </si>
  <si>
    <t>C04028</t>
  </si>
  <si>
    <t>C04019</t>
  </si>
  <si>
    <t>C04014</t>
  </si>
  <si>
    <t>C04054</t>
  </si>
  <si>
    <t>C04047</t>
  </si>
  <si>
    <t>C04094</t>
  </si>
  <si>
    <t>C04121</t>
  </si>
  <si>
    <t>C04078</t>
  </si>
  <si>
    <t>C04071</t>
  </si>
  <si>
    <t>C04007</t>
  </si>
  <si>
    <t>C04097</t>
  </si>
  <si>
    <t>C04118</t>
  </si>
  <si>
    <t>C04112</t>
  </si>
  <si>
    <t>C04079</t>
  </si>
  <si>
    <t>250401</t>
  </si>
  <si>
    <t>C04088</t>
  </si>
  <si>
    <t>250403</t>
  </si>
  <si>
    <t>250405</t>
  </si>
  <si>
    <t>C04099</t>
  </si>
  <si>
    <t>C04024</t>
  </si>
  <si>
    <t>C04036</t>
  </si>
  <si>
    <t>X250414</t>
  </si>
  <si>
    <t>M250420</t>
  </si>
  <si>
    <t>M250423</t>
  </si>
  <si>
    <t>M250422</t>
  </si>
  <si>
    <t>C04026</t>
  </si>
  <si>
    <t>C04010</t>
  </si>
  <si>
    <t>C04068</t>
  </si>
  <si>
    <t>C04093</t>
  </si>
  <si>
    <t>C04083</t>
  </si>
  <si>
    <t>C04102</t>
  </si>
  <si>
    <t>M250403</t>
  </si>
  <si>
    <t>C04001</t>
  </si>
  <si>
    <t>C04072</t>
  </si>
  <si>
    <t>C04035</t>
  </si>
  <si>
    <t>C04103</t>
  </si>
  <si>
    <t>C04051</t>
  </si>
  <si>
    <t>RTV-599</t>
  </si>
  <si>
    <t>C04039</t>
  </si>
  <si>
    <t>AQ-C04033</t>
  </si>
  <si>
    <t>C04045</t>
  </si>
  <si>
    <t>C04005</t>
  </si>
  <si>
    <t>C04022</t>
  </si>
  <si>
    <t>C04057</t>
  </si>
  <si>
    <t>C04066</t>
  </si>
  <si>
    <t>C04134</t>
  </si>
  <si>
    <t>C04095</t>
  </si>
  <si>
    <t>C04115</t>
  </si>
  <si>
    <t>C04090</t>
  </si>
  <si>
    <t>C04087</t>
  </si>
  <si>
    <t>C04004</t>
  </si>
  <si>
    <t>C04077</t>
  </si>
  <si>
    <t>X250435</t>
  </si>
  <si>
    <t>C04125</t>
  </si>
  <si>
    <t>C04060</t>
  </si>
  <si>
    <t>X250426</t>
  </si>
  <si>
    <t>M250421</t>
  </si>
  <si>
    <t>X250416</t>
  </si>
  <si>
    <t>D250401</t>
  </si>
  <si>
    <t>D250402</t>
  </si>
  <si>
    <t>C04025</t>
  </si>
  <si>
    <t>C04013</t>
  </si>
  <si>
    <t>B250406</t>
  </si>
  <si>
    <t>B240510</t>
  </si>
  <si>
    <t>M250427</t>
  </si>
  <si>
    <t>M250428</t>
  </si>
  <si>
    <t>M250431</t>
  </si>
  <si>
    <t>B250408</t>
  </si>
  <si>
    <t>M250415</t>
  </si>
  <si>
    <t>M250410</t>
  </si>
  <si>
    <t>M250433</t>
  </si>
  <si>
    <t>M250426</t>
  </si>
  <si>
    <t>M250416</t>
  </si>
  <si>
    <t>M250429</t>
  </si>
  <si>
    <t>M250437</t>
  </si>
  <si>
    <t>M250412</t>
  </si>
  <si>
    <t>M250435</t>
  </si>
  <si>
    <t>M250430</t>
  </si>
  <si>
    <t>M250425</t>
  </si>
  <si>
    <t>HDL-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</si>
</sst>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¥&quot;* #,##0.00_ ;_ &quot;¥&quot;* \-#,##0.00_ ;_ &quot;¥&quot;* &quot;-&quot;??_ ;_ @_ "/>
    <numFmt numFmtId="165" formatCode="_ * #,##0.00_ ;_ * \-#,##0.00_ ;_ * &quot;-&quot;??_ ;_ @_ "/>
    <numFmt numFmtId="166" formatCode="[$-13C09]d\ mmm\ yyyy;@"/>
    <numFmt numFmtId="167" formatCode="#,##0.0000_);[Red]\(#,##0.0000\)"/>
    <numFmt numFmtId="168" formatCode="#,##0.00_);[Red]\(#,##0.00\)"/>
    <numFmt numFmtId="169" formatCode="0.0000_);[Red]\(0.0000\)"/>
    <numFmt numFmtId="170" formatCode="0_);[Red]\(0\)"/>
  </numFmts>
  <fonts count="9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Calibri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1">
    <xf numFmtId="166" fontId="0" fillId="0" borderId="0"/>
    <xf numFmtId="165" fontId="1" fillId="0" borderId="0" applyNumberFormat="0" applyFill="0" applyBorder="0" applyAlignment="0" applyProtection="0"/>
    <xf numFmtId="166" fontId="3" fillId="0" borderId="0"/>
    <xf numFmtId="165" fontId="3" fillId="0" borderId="0" applyFont="0" applyFill="0" applyBorder="0" applyAlignment="0" applyProtection="0">
      <alignment vertical="center"/>
    </xf>
    <xf numFmtId="166" fontId="3" fillId="0" borderId="0"/>
    <xf numFmtId="166" fontId="1" fillId="0" borderId="0"/>
    <xf numFmtId="166" fontId="1" fillId="0" borderId="0"/>
    <xf numFmtId="165" fontId="1" fillId="0" borderId="0" applyFont="0" applyFill="0" applyBorder="0" applyAlignment="0" applyProtection="0">
      <alignment vertical="center"/>
    </xf>
    <xf numFmtId="165" fontId="1" fillId="0" borderId="0" applyNumberFormat="0" applyFill="0" applyBorder="0" applyAlignment="0" applyProtection="0"/>
    <xf numFmtId="164" fontId="1" fillId="0" borderId="0" applyNumberFormat="0" applyFill="0" applyBorder="0" applyAlignment="0" applyProtection="0"/>
    <xf numFmtId="166" fontId="1" fillId="0" borderId="0"/>
  </cellStyleXfs>
  <cellXfs count="59">
    <xf numFmtId="166" fontId="0" fillId="0" borderId="0" xfId="0"/>
    <xf numFmtId="1" fontId="4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67" fontId="4" fillId="0" borderId="0" xfId="2" quotePrefix="1" applyNumberFormat="1" applyFont="1" applyAlignment="1">
      <alignment horizontal="center" vertical="center" wrapText="1"/>
    </xf>
    <xf numFmtId="165" fontId="4" fillId="0" borderId="0" xfId="1" quotePrefix="1" applyFont="1" applyFill="1" applyAlignment="1">
      <alignment vertical="center" wrapText="1"/>
    </xf>
    <xf numFmtId="166" fontId="4" fillId="0" borderId="0" xfId="2" quotePrefix="1" applyFont="1" applyAlignment="1">
      <alignment horizontal="center" vertical="center" wrapText="1"/>
    </xf>
    <xf numFmtId="168" fontId="4" fillId="0" borderId="0" xfId="3" applyNumberFormat="1" applyFont="1" applyFill="1" applyAlignment="1">
      <alignment horizontal="center" vertical="center"/>
    </xf>
    <xf numFmtId="166" fontId="4" fillId="0" borderId="0" xfId="2" applyFont="1" applyAlignment="1">
      <alignment horizontal="center" vertical="center" wrapText="1"/>
    </xf>
    <xf numFmtId="166" fontId="3" fillId="0" borderId="0" xfId="2"/>
    <xf numFmtId="165" fontId="7" fillId="0" borderId="0" xfId="1" applyFont="1" applyFill="1" applyAlignment="1">
      <alignment horizontal="right"/>
    </xf>
    <xf numFmtId="167" fontId="3" fillId="0" borderId="0" xfId="2" applyNumberFormat="1"/>
    <xf numFmtId="168" fontId="3" fillId="0" borderId="0" xfId="3" applyNumberFormat="1" applyFont="1" applyFill="1" applyAlignment="1"/>
    <xf numFmtId="166" fontId="4" fillId="3" borderId="0" xfId="2" applyFont="1" applyFill="1" applyAlignment="1" applyProtection="1">
      <alignment horizontal="center" vertical="center" wrapText="1"/>
      <protection locked="0"/>
    </xf>
    <xf numFmtId="166" fontId="0" fillId="0" borderId="0" xfId="0" applyAlignment="1">
      <alignment vertical="center"/>
    </xf>
    <xf numFmtId="166" fontId="3" fillId="0" borderId="0" xfId="4"/>
    <xf numFmtId="166" fontId="3" fillId="0" borderId="0" xfId="0" applyFont="1"/>
    <xf numFmtId="14" fontId="3" fillId="0" borderId="0" xfId="0" applyNumberFormat="1" applyFont="1"/>
    <xf numFmtId="166" fontId="3" fillId="3" borderId="0" xfId="2" applyFill="1"/>
    <xf numFmtId="166" fontId="3" fillId="2" borderId="0" xfId="2" applyFill="1"/>
    <xf numFmtId="166" fontId="3" fillId="3" borderId="0" xfId="0" applyFont="1" applyFill="1"/>
    <xf numFmtId="14" fontId="0" fillId="0" borderId="0" xfId="0" applyNumberFormat="1"/>
    <xf numFmtId="1" fontId="4" fillId="0" borderId="0" xfId="6" applyNumberFormat="1" applyFont="1" applyAlignment="1">
      <alignment horizontal="center" vertical="center"/>
    </xf>
    <xf numFmtId="14" fontId="4" fillId="0" borderId="0" xfId="6" applyNumberFormat="1" applyFont="1" applyAlignment="1">
      <alignment horizontal="center" vertical="center"/>
    </xf>
    <xf numFmtId="166" fontId="4" fillId="3" borderId="0" xfId="6" applyFont="1" applyFill="1" applyAlignment="1" applyProtection="1">
      <alignment horizontal="center" vertical="center" wrapText="1"/>
      <protection locked="0"/>
    </xf>
    <xf numFmtId="167" fontId="4" fillId="0" borderId="0" xfId="6" quotePrefix="1" applyNumberFormat="1" applyFont="1" applyAlignment="1">
      <alignment horizontal="center" vertical="center" wrapText="1"/>
    </xf>
    <xf numFmtId="165" fontId="4" fillId="0" borderId="0" xfId="8" quotePrefix="1" applyFont="1" applyFill="1" applyAlignment="1">
      <alignment vertical="center" wrapText="1"/>
    </xf>
    <xf numFmtId="166" fontId="4" fillId="0" borderId="0" xfId="6" quotePrefix="1" applyFont="1" applyAlignment="1">
      <alignment horizontal="center" vertical="center" wrapText="1"/>
    </xf>
    <xf numFmtId="168" fontId="4" fillId="0" borderId="0" xfId="7" applyNumberFormat="1" applyFont="1" applyFill="1" applyAlignment="1">
      <alignment horizontal="center" vertical="center"/>
    </xf>
    <xf numFmtId="166" fontId="4" fillId="0" borderId="0" xfId="6" applyFont="1" applyAlignment="1">
      <alignment horizontal="center" vertical="center" wrapText="1"/>
    </xf>
    <xf numFmtId="169" fontId="1" fillId="4" borderId="0" xfId="9" applyNumberFormat="1" applyFill="1" applyBorder="1" applyAlignment="1">
      <alignment horizontal="center" vertical="center" wrapText="1"/>
    </xf>
    <xf numFmtId="167" fontId="1" fillId="0" borderId="0" xfId="9" applyNumberFormat="1" applyFill="1" applyBorder="1" applyAlignment="1">
      <alignment horizontal="center" vertical="center" wrapText="1"/>
    </xf>
    <xf numFmtId="166" fontId="1" fillId="0" borderId="0" xfId="10"/>
    <xf numFmtId="14" fontId="1" fillId="0" borderId="0" xfId="10" applyNumberFormat="1"/>
    <xf numFmtId="166" fontId="1" fillId="3" borderId="0" xfId="6" applyFill="1"/>
    <xf numFmtId="166" fontId="1" fillId="0" borderId="0" xfId="6"/>
    <xf numFmtId="165" fontId="7" fillId="0" borderId="0" xfId="8" applyFont="1" applyFill="1" applyAlignment="1">
      <alignment horizontal="right"/>
    </xf>
    <xf numFmtId="167" fontId="1" fillId="0" borderId="0" xfId="6" applyNumberFormat="1"/>
    <xf numFmtId="168" fontId="1" fillId="0" borderId="0" xfId="7" applyNumberFormat="1" applyFont="1" applyFill="1" applyAlignment="1"/>
    <xf numFmtId="169" fontId="1" fillId="4" borderId="0" xfId="6" applyNumberFormat="1" applyFill="1"/>
    <xf numFmtId="166" fontId="1" fillId="2" borderId="0" xfId="6" applyFill="1"/>
    <xf numFmtId="166" fontId="1" fillId="3" borderId="0" xfId="10" applyFill="1"/>
    <xf numFmtId="169" fontId="1" fillId="4" borderId="0" xfId="10" applyNumberFormat="1" applyFill="1"/>
    <xf numFmtId="166" fontId="0" fillId="0" borderId="0" xfId="0" pivotButton="1"/>
    <xf numFmtId="166" fontId="0" fillId="0" borderId="0" xfId="0" applyAlignment="1">
      <alignment horizontal="left"/>
    </xf>
    <xf numFmtId="168" fontId="1" fillId="0" borderId="0" xfId="0" applyNumberFormat="1" applyFont="1"/>
    <xf numFmtId="170" fontId="4" fillId="0" borderId="0" xfId="3" applyNumberFormat="1" applyFont="1" applyFill="1" applyAlignment="1">
      <alignment horizontal="center" vertical="center"/>
    </xf>
    <xf numFmtId="170" fontId="3" fillId="0" borderId="0" xfId="0" applyNumberFormat="1" applyFont="1"/>
    <xf numFmtId="170" fontId="0" fillId="0" borderId="0" xfId="0" applyNumberFormat="1"/>
    <xf numFmtId="167" fontId="4" fillId="0" borderId="0" xfId="3" quotePrefix="1" applyNumberFormat="1" applyFont="1" applyFill="1" applyAlignment="1">
      <alignment vertical="center" wrapText="1"/>
    </xf>
    <xf numFmtId="167" fontId="3" fillId="0" borderId="0" xfId="0" applyNumberFormat="1" applyFont="1"/>
    <xf numFmtId="167" fontId="0" fillId="0" borderId="0" xfId="0" applyNumberFormat="1"/>
    <xf numFmtId="168" fontId="4" fillId="4" borderId="0" xfId="7" applyNumberFormat="1" applyFont="1" applyFill="1" applyAlignment="1">
      <alignment horizontal="center" vertical="center"/>
    </xf>
    <xf numFmtId="168" fontId="1" fillId="4" borderId="0" xfId="10" applyNumberFormat="1" applyFill="1"/>
    <xf numFmtId="168" fontId="1" fillId="0" borderId="0" xfId="10" applyNumberFormat="1"/>
    <xf numFmtId="168" fontId="0" fillId="0" borderId="0" xfId="0" applyNumberFormat="1"/>
    <xf numFmtId="168" fontId="4" fillId="0" borderId="0" xfId="7" quotePrefix="1" applyNumberFormat="1" applyFont="1" applyFill="1" applyAlignment="1">
      <alignment vertical="center" wrapText="1"/>
    </xf>
    <xf numFmtId="167" fontId="4" fillId="0" borderId="0" xfId="6" applyNumberFormat="1" applyFont="1" applyAlignment="1">
      <alignment horizontal="center" vertical="center" wrapText="1"/>
    </xf>
    <xf numFmtId="167" fontId="1" fillId="4" borderId="0" xfId="9" applyNumberFormat="1" applyFill="1" applyBorder="1" applyAlignment="1">
      <alignment horizontal="center" vertical="center" wrapText="1"/>
    </xf>
    <xf numFmtId="167" fontId="1" fillId="0" borderId="0" xfId="10" applyNumberFormat="1"/>
  </cellXfs>
  <cellStyles count="11">
    <cellStyle name="Comma" xfId="1" builtinId="3"/>
    <cellStyle name="Normal" xfId="0" builtinId="0"/>
    <cellStyle name="千位分隔 2" xfId="3" xr:uid="{00000000-0005-0000-0000-000008000000}"/>
    <cellStyle name="千位分隔 2 2" xfId="7" xr:uid="{00000000-0005-0000-0000-000009000000}"/>
    <cellStyle name="千位分隔 3" xfId="8" xr:uid="{00000000-0005-0000-0000-00000A000000}"/>
    <cellStyle name="常规 10" xfId="4" xr:uid="{00000000-0005-0000-0000-000001000000}"/>
    <cellStyle name="常规 2" xfId="2" xr:uid="{00000000-0005-0000-0000-000002000000}"/>
    <cellStyle name="常规 2 2" xfId="6" xr:uid="{00000000-0005-0000-0000-000003000000}"/>
    <cellStyle name="常规 2 3" xfId="10" xr:uid="{00000000-0005-0000-0000-000004000000}"/>
    <cellStyle name="常规 3" xfId="5" xr:uid="{00000000-0005-0000-0000-000005000000}"/>
    <cellStyle name="货币 2" xfId="9" xr:uid="{00000000-0005-0000-0000-000006000000}"/>
  </cellStyles>
  <dxfs count="2">
    <dxf>
      <numFmt numFmtId="16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zheng" refreshedDate="45783.483345486115" createdVersion="4" refreshedVersion="4" minRefreshableVersion="3" recordCount="1502" xr:uid="{00000000-000A-0000-FFFF-FFFF00000000}">
  <cacheSource type="worksheet">
    <worksheetSource ref="D1:P1503" sheet="汇总MHK"/>
  </cacheSource>
  <cacheFields count="13">
    <cacheField name="SUPPLY" numFmtId="166">
      <sharedItems count="58">
        <s v="KS09"/>
        <s v="NA02"/>
        <s v="YC10"/>
        <s v="HQ01"/>
        <s v="GS06"/>
        <s v="GY09"/>
        <s v="WS01"/>
        <s v="MX03"/>
        <s v="TA27"/>
        <s v="WD01"/>
        <s v="JW05"/>
        <s v="WX03"/>
        <s v="XL10"/>
        <s v="MIL"/>
        <s v="TA26"/>
        <s v="JN03"/>
        <s v="E036"/>
        <s v="HD10"/>
        <s v="MY02S"/>
        <s v="QW02"/>
        <s v="LJ11"/>
        <s v="TA41"/>
        <s v="R017"/>
        <s v="YD11"/>
        <s v="NX01"/>
        <s v="HF06"/>
        <s v="YY04"/>
        <s v="FBM"/>
        <s v="Z010"/>
        <s v="XS06"/>
        <s v="HM04"/>
        <s v="YH03"/>
        <s v="TA73"/>
        <s v="XF09"/>
        <s v="QX02"/>
        <s v="LH10"/>
        <s v="TA25"/>
        <s v="J023"/>
        <s v="DY06"/>
        <s v="HY25"/>
        <s v="FM03"/>
        <s v="YP02"/>
        <s v="YY04S"/>
        <s v="HT02"/>
        <s v="LX10"/>
        <s v="ZL01"/>
        <s v="LJ06"/>
        <s v="KB04"/>
        <s v="YX01"/>
        <s v="QY02"/>
        <s v="TA30"/>
        <s v="JY14"/>
        <s v="BF05"/>
        <s v="YX17"/>
        <s v="TB01"/>
        <s v="EJ01"/>
        <s v="HR06"/>
        <s v="HZ08"/>
      </sharedItems>
    </cacheField>
    <cacheField name="VENDORNAME" numFmtId="166">
      <sharedItems count="58">
        <s v="YUN NAN KAI SHENG XIN KE JI CO.,LTD"/>
        <s v="XIN XING XIAN NAN AN METAL PRODUCTS CO.,LTD"/>
        <s v="GUANGZHOU YUANCHAO TAIYE TRADING CO.,LTD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WEI DA CAI YIN COM.LTD."/>
        <s v="ZHAO QING JIA WEI SHU LIAO CO.,LTD"/>
        <s v="WISION"/>
        <s v="JIANG MEN SHI XI LONG XIANG JIAO KE JI CO.,LTD."/>
        <s v="MEYER-MIL"/>
        <s v="ZHAO DE JIN SHU JI BIN CO.,LTD."/>
        <s v="Jia Neng Metals Products CO,.LTD"/>
        <s v="YI AN (HK)"/>
        <s v="GUANG DONG HENG DA METAL CO.,LTD"/>
        <s v="MEY LI YI CHA"/>
        <s v="Dongguan Quanwei Packaging Materials Co., Ltd."/>
        <s v="NING BO LIAN JIN WU JIN ZHI BIN CO.,LTD."/>
        <s v="HENG YU METAL PRODUCTS (GUANG DONG) CO.,LTD"/>
        <s v="RACO"/>
        <s v="YI DA FENG XIANG SHU WU JING"/>
        <s v="NAN XIA"/>
        <s v="Whitford Ltd"/>
        <s v="RONG YE"/>
        <s v="FBM"/>
        <s v="GlassLid Industries Ltd."/>
        <s v="FUJIAN XIAOSHIFU CHUYE CO.,LTD"/>
        <s v="GUANG DONG HAO MING SILICONE MATERIAL CO.,LTD"/>
        <s v="YUE HONG GLASS TECHNOLOGY CO"/>
        <s v="NAN JING LI SHANG GLASS PRODUCTS CO.,LTD"/>
        <s v="XIANG XIN FA GONG YI BO LI CO.,LTD."/>
        <s v="QUAN XING HUAGONG CO,"/>
        <s v="SHAN DONG LE HE JIA RI YONG PIN CO.,LTD."/>
        <s v="LU JIANG STAINLESS STEEL Mfg.Ltd."/>
        <s v=""/>
        <s v="DE YI BAO(JIANG MEN)"/>
        <s v="ZHAO QING SHI HENG YING WU JING HUA GONG CO.,LTD"/>
        <s v="KE MU (CHANG SHU) FU HUA WU KE JI COM.,LTD."/>
        <s v="DUAN ZHOU QU YI PIN JIN SHU JI PIN CHANG"/>
        <s v="YONG YE WU JIN CO"/>
        <s v="HENGTNGCO"/>
        <s v="SHEN ZHEN LI XIN DA PACKING PRODUCTS CO.,LTD"/>
        <s v="ZA LEI VENDER"/>
        <s v="LI JIU SHI YIE FA ZHANG CO."/>
        <s v="SHEN ZHEN KAIBO INDUSTRIAL CO.,LTD"/>
        <s v="YONG LIAN PAOMO CAILIAO CHANG"/>
        <s v="QING YUN"/>
        <s v="ZHAO JIAN BU XIU GANG CO.,LTD."/>
        <s v="FOSHAN NANHAI JING YANG METAL CO.,LTD"/>
        <s v="FO SHAN BANG FENG S/S CO.,LTD"/>
        <s v="GUAN ZHOU YUE XING WEI METAL CO.,LTD"/>
        <s v="FOSHAN TAIBOSI CANCHU YONGPIN FAZHAN CO.,LTD"/>
        <s v="DE ER JI CHUANG CHANG"/>
        <s v="SHEN ZHEN SHI HAO RI XING KE JI CO.,LTD"/>
        <s v="INNOTEK TECHNOLOGY (CHINA) LIMITED"/>
      </sharedItems>
    </cacheField>
    <cacheField name="Vendor_Invoice_No" numFmtId="166">
      <sharedItems containsNonDate="0" containsString="0" containsBlank="1"/>
    </cacheField>
    <cacheField name="REF_NO" numFmtId="166">
      <sharedItems/>
    </cacheField>
    <cacheField name="ITEM" numFmtId="166">
      <sharedItems/>
    </cacheField>
    <cacheField name="DESC" numFmtId="166">
      <sharedItems/>
    </cacheField>
    <cacheField name="COMMODITY" numFmtId="166">
      <sharedItems/>
    </cacheField>
    <cacheField name="DIV" numFmtId="166">
      <sharedItems/>
    </cacheField>
    <cacheField name="QNTY" numFmtId="166">
      <sharedItems containsSemiMixedTypes="0" containsString="0" containsNumber="1" minValue="-26000" maxValue="80000"/>
    </cacheField>
    <cacheField name="UNIT" numFmtId="166">
      <sharedItems/>
    </cacheField>
    <cacheField name="PO_Price_PO CUR" numFmtId="166">
      <sharedItems/>
    </cacheField>
    <cacheField name="PO UNIT PRICE OI_CUR" numFmtId="166">
      <sharedItems containsSemiMixedTypes="0" containsString="0" containsNumber="1" minValue="2.5000000000000001E-2" maxValue="276.60000000000002"/>
    </cacheField>
    <cacheField name="Total_PO_Price_PO CUR" numFmtId="165">
      <sharedItems containsSemiMixedTypes="0" containsString="0" containsNumber="1" minValue="-70751.23" maxValue="639470.43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2">
  <r>
    <x v="0"/>
    <x v="0"/>
    <m/>
    <s v="B250102"/>
    <s v="1-1-25345CJ333"/>
    <s v="AL 3003-O 2.5x345 SG3 MG3"/>
    <s v="ALM-"/>
    <s v="O"/>
    <n v="1698"/>
    <s v="KG"/>
    <s v="CNY"/>
    <n v="2.9203999999999999"/>
    <n v="4958.84"/>
  </r>
  <r>
    <x v="0"/>
    <x v="0"/>
    <m/>
    <s v="B250102"/>
    <s v="1-1-25265CJ333"/>
    <s v="AL 3003-O 2.5x265 SG3 MG3"/>
    <s v="ALM-"/>
    <s v="O"/>
    <n v="562"/>
    <s v="KG"/>
    <s v="CNY"/>
    <n v="2.9203999999999999"/>
    <n v="1641.26"/>
  </r>
  <r>
    <x v="0"/>
    <x v="0"/>
    <m/>
    <s v="B250102"/>
    <s v="1-1-25370CJ333"/>
    <s v="AL 3003-O 2.5x370 SG3 MG3"/>
    <s v="ALM-"/>
    <s v="O"/>
    <n v="550"/>
    <s v="KG"/>
    <s v="CNY"/>
    <n v="2.9203999999999999"/>
    <n v="1606.22"/>
  </r>
  <r>
    <x v="0"/>
    <x v="0"/>
    <m/>
    <s v="B250102"/>
    <s v="1-1-25250CJ333"/>
    <s v="AL 3003-O 2.5x250 SG3 MG3"/>
    <s v="ALM-"/>
    <s v="O"/>
    <n v="902"/>
    <s v="KG"/>
    <s v="CNY"/>
    <n v="3.0973000000000002"/>
    <n v="2793.76"/>
  </r>
  <r>
    <x v="0"/>
    <x v="0"/>
    <m/>
    <s v="B250102"/>
    <s v="1-1-25260CJ333"/>
    <s v="AL 3003-O 2.5x260 SG3 MG3"/>
    <s v="ALM-"/>
    <s v="O"/>
    <n v="555"/>
    <s v="KG"/>
    <s v="CNY"/>
    <n v="3.0973000000000002"/>
    <n v="1719"/>
  </r>
  <r>
    <x v="1"/>
    <x v="1"/>
    <m/>
    <s v="B250101"/>
    <s v="7-1-40130C435N"/>
    <s v="AL CIR 4.0x130mm 1100-O"/>
    <s v="ALM-"/>
    <s v="O"/>
    <n v="800"/>
    <s v="KG"/>
    <s v="CNY"/>
    <n v="3.1415999999999999"/>
    <n v="2513.2800000000002"/>
  </r>
  <r>
    <x v="1"/>
    <x v="1"/>
    <m/>
    <s v="B250101"/>
    <s v="7-1-40165C435N"/>
    <s v="AL CIR 4.0x165mm 1100-O"/>
    <s v="ALM-"/>
    <s v="O"/>
    <n v="1000"/>
    <s v="KG"/>
    <s v="CNY"/>
    <n v="3.1415999999999999"/>
    <n v="3141.6"/>
  </r>
  <r>
    <x v="1"/>
    <x v="1"/>
    <m/>
    <s v="B250101"/>
    <s v="7-1-50130C435N"/>
    <s v="AL CIR 5.0X130MM 1100-O"/>
    <s v="ALM-"/>
    <s v="O"/>
    <n v="550"/>
    <s v="KG"/>
    <s v="CNY"/>
    <n v="3.1415999999999999"/>
    <n v="1727.88"/>
  </r>
  <r>
    <x v="1"/>
    <x v="1"/>
    <m/>
    <s v="B250101"/>
    <s v="7-1-50150C435N"/>
    <s v="AL CIR 5.0x150mm 1100-O"/>
    <s v="ALM-"/>
    <s v="O"/>
    <n v="300"/>
    <s v="KG"/>
    <s v="CNY"/>
    <n v="3.1415999999999999"/>
    <n v="942.48"/>
  </r>
  <r>
    <x v="1"/>
    <x v="1"/>
    <m/>
    <s v="B250101"/>
    <s v="7-1-50180C435N"/>
    <s v="AL CIR 5.0x180mm 1100-O"/>
    <s v="ALM-"/>
    <s v="O"/>
    <n v="1900"/>
    <s v="KG"/>
    <s v="CNY"/>
    <n v="3.1415999999999999"/>
    <n v="5969.04"/>
  </r>
  <r>
    <x v="1"/>
    <x v="1"/>
    <m/>
    <s v="B250101"/>
    <s v="7-1-50110C435N"/>
    <s v="AL CIR 5.0x110mm 1100-O"/>
    <s v="ALM-"/>
    <s v="O"/>
    <n v="100"/>
    <s v="KG"/>
    <s v="CNY"/>
    <n v="3.1415999999999999"/>
    <n v="314.16000000000003"/>
  </r>
  <r>
    <x v="1"/>
    <x v="1"/>
    <m/>
    <s v="B250101"/>
    <s v="7-1-40130C435N"/>
    <s v="AL CIR 4.0x130mm 1100-O"/>
    <s v="ALM-"/>
    <s v="O"/>
    <n v="300"/>
    <s v="KG"/>
    <s v="CNY"/>
    <n v="3.1415999999999999"/>
    <n v="942.48"/>
  </r>
  <r>
    <x v="1"/>
    <x v="1"/>
    <m/>
    <s v="B250101"/>
    <s v="7-1-40165C435N"/>
    <s v="AL CIR 4.0x165mm 1100-O"/>
    <s v="ALM-"/>
    <s v="O"/>
    <n v="300"/>
    <s v="KG"/>
    <s v="CNY"/>
    <n v="3.1415999999999999"/>
    <n v="942.48"/>
  </r>
  <r>
    <x v="1"/>
    <x v="1"/>
    <m/>
    <s v="B250101"/>
    <s v="7-1-40110C435N"/>
    <s v="AL CIR 4.0x110mm 1100-O"/>
    <s v="ALM-"/>
    <s v="O"/>
    <n v="300"/>
    <s v="KG"/>
    <s v="CNY"/>
    <n v="3.1415999999999999"/>
    <n v="942.48"/>
  </r>
  <r>
    <x v="1"/>
    <x v="1"/>
    <m/>
    <s v="B250101"/>
    <s v="7-1-40130C435N"/>
    <s v="AL CIR 4.0x130mm 1100-O"/>
    <s v="ALM-"/>
    <s v="O"/>
    <n v="460"/>
    <s v="KG"/>
    <s v="CNY"/>
    <n v="3.1415999999999999"/>
    <n v="1445.14"/>
  </r>
  <r>
    <x v="1"/>
    <x v="1"/>
    <m/>
    <s v="B250101"/>
    <s v="7-1-50150C435N"/>
    <s v="AL CIR 5.0x150mm 1100-O"/>
    <s v="ALM-"/>
    <s v="O"/>
    <n v="310"/>
    <s v="KG"/>
    <s v="CNY"/>
    <n v="3.1415999999999999"/>
    <n v="973.9"/>
  </r>
  <r>
    <x v="1"/>
    <x v="1"/>
    <m/>
    <s v="B250101"/>
    <s v="7-1-65134NA35N"/>
    <s v="AL SHT 6.5x134x105.5mm 1100"/>
    <s v="ALM-"/>
    <s v="O"/>
    <n v="780"/>
    <s v="KG"/>
    <s v="CNY"/>
    <n v="3.1415999999999999"/>
    <n v="2450.4499999999998"/>
  </r>
  <r>
    <x v="1"/>
    <x v="1"/>
    <m/>
    <s v="B250101"/>
    <s v="7-1-40130C435N"/>
    <s v="AL CIR 4.0x130mm 1100-O"/>
    <s v="ALM-"/>
    <s v="O"/>
    <n v="900"/>
    <s v="KG"/>
    <s v="CNY"/>
    <n v="3.1415999999999999"/>
    <n v="2827.44"/>
  </r>
  <r>
    <x v="1"/>
    <x v="1"/>
    <m/>
    <s v="B250101"/>
    <s v="7-1-50120C435NZ"/>
    <s v="AL CIR 5.0x120mm 1100-O"/>
    <s v="ALM-"/>
    <s v="O"/>
    <n v="120"/>
    <s v="KG"/>
    <s v="CNY"/>
    <n v="3.1415999999999999"/>
    <n v="376.99"/>
  </r>
  <r>
    <x v="1"/>
    <x v="1"/>
    <m/>
    <s v="B250101"/>
    <s v="7-1-40130C435N"/>
    <s v="AL CIR 4.0x130mm 1100-O"/>
    <s v="ALM-"/>
    <s v="O"/>
    <n v="450"/>
    <s v="KG"/>
    <s v="CNY"/>
    <n v="3.1415999999999999"/>
    <n v="1413.72"/>
  </r>
  <r>
    <x v="1"/>
    <x v="1"/>
    <m/>
    <s v="B250101"/>
    <s v="7-1-60200C435N"/>
    <s v="AL CIR 6.0x200mm 1100-O"/>
    <s v="ALM-"/>
    <s v="O"/>
    <n v="205"/>
    <s v="KG"/>
    <s v="CNY"/>
    <n v="3.1415999999999999"/>
    <n v="644.03"/>
  </r>
  <r>
    <x v="1"/>
    <x v="1"/>
    <m/>
    <s v="B250101"/>
    <s v="7-1-50110C435N"/>
    <s v="AL CIR 5.0x110mm 1100-O"/>
    <s v="ALM-"/>
    <s v="O"/>
    <n v="160"/>
    <s v="KG"/>
    <s v="CNY"/>
    <n v="3.1415999999999999"/>
    <n v="502.66"/>
  </r>
  <r>
    <x v="1"/>
    <x v="1"/>
    <m/>
    <s v="B250101"/>
    <s v="7-1-10145C435N"/>
    <s v="AL CIR 1.0x145mm 1100-O"/>
    <s v="ALM-"/>
    <s v="O"/>
    <n v="50"/>
    <s v="KG"/>
    <s v="CNY"/>
    <n v="3.6282999999999999"/>
    <n v="181.42"/>
  </r>
  <r>
    <x v="1"/>
    <x v="1"/>
    <m/>
    <s v="B250101"/>
    <s v="7-1-10225C435N"/>
    <s v="AL CIR 1.0x225mm 1100-O"/>
    <s v="ALM-"/>
    <s v="O"/>
    <n v="220"/>
    <s v="KG"/>
    <s v="CNY"/>
    <n v="3.6282999999999999"/>
    <n v="798.23"/>
  </r>
  <r>
    <x v="1"/>
    <x v="1"/>
    <m/>
    <s v="B250101"/>
    <s v="7-1-10152C435N"/>
    <s v="AL CIR 1.0x152mm 1100-O"/>
    <s v="ALM-"/>
    <s v="O"/>
    <n v="85"/>
    <s v="KG"/>
    <s v="CNY"/>
    <n v="3.6282999999999999"/>
    <n v="308.41000000000003"/>
  </r>
  <r>
    <x v="1"/>
    <x v="1"/>
    <m/>
    <s v="B250101"/>
    <s v="7-1-10184C435N"/>
    <s v="AL CIR 1.0x184mm 1100-O"/>
    <s v="ALM-"/>
    <s v="O"/>
    <n v="70"/>
    <s v="KG"/>
    <s v="CNY"/>
    <n v="3.6282999999999999"/>
    <n v="253.98"/>
  </r>
  <r>
    <x v="1"/>
    <x v="1"/>
    <m/>
    <s v="B250101"/>
    <s v="7-1-10152C435N"/>
    <s v="AL CIR 1.0x152mm 1100-O"/>
    <s v="ALM-"/>
    <s v="O"/>
    <n v="50"/>
    <s v="KG"/>
    <s v="CNY"/>
    <n v="3.6282999999999999"/>
    <n v="181.42"/>
  </r>
  <r>
    <x v="1"/>
    <x v="1"/>
    <m/>
    <s v="B250104"/>
    <s v="7-1-40130C435N"/>
    <s v="AL CIR 4.0x130mm 1100-O"/>
    <s v="ALM-"/>
    <s v="O"/>
    <n v="400"/>
    <s v="KG"/>
    <s v="CNY"/>
    <n v="3.1415999999999999"/>
    <n v="1256.6400000000001"/>
  </r>
  <r>
    <x v="1"/>
    <x v="1"/>
    <m/>
    <s v="B250104"/>
    <s v="7-1-70162N435N"/>
    <s v="AL SHT 7x162.5x162.5mm"/>
    <s v="ALM-"/>
    <s v="O"/>
    <n v="100"/>
    <s v="KG"/>
    <s v="CNY"/>
    <n v="3.1415999999999999"/>
    <n v="314.16000000000003"/>
  </r>
  <r>
    <x v="1"/>
    <x v="1"/>
    <m/>
    <s v="B250104"/>
    <s v="7-1-40110C435N"/>
    <s v="AL CIR 4.0x110mm 1100-O"/>
    <s v="ALM-"/>
    <s v="O"/>
    <n v="350"/>
    <s v="KG"/>
    <s v="CNY"/>
    <n v="3.1415999999999999"/>
    <n v="1099.56"/>
  </r>
  <r>
    <x v="1"/>
    <x v="1"/>
    <m/>
    <s v="B250104"/>
    <s v="7-1-40130C435N"/>
    <s v="AL CIR 4.0x130mm 1100-O"/>
    <s v="ALM-"/>
    <s v="O"/>
    <n v="800"/>
    <s v="KG"/>
    <s v="CNY"/>
    <n v="3.1415999999999999"/>
    <n v="2513.2800000000002"/>
  </r>
  <r>
    <x v="1"/>
    <x v="1"/>
    <m/>
    <s v="B250104"/>
    <s v="7-1-40165C435N"/>
    <s v="AL CIR 4.0x165mm 1100-O"/>
    <s v="ALM-"/>
    <s v="O"/>
    <n v="550"/>
    <s v="KG"/>
    <s v="CNY"/>
    <n v="3.1415999999999999"/>
    <n v="1727.88"/>
  </r>
  <r>
    <x v="1"/>
    <x v="1"/>
    <m/>
    <s v="B250104"/>
    <s v="7-1-50130C435N"/>
    <s v="AL CIR 5.0X130MM 1100-O"/>
    <s v="ALM-"/>
    <s v="O"/>
    <n v="400"/>
    <s v="KG"/>
    <s v="CNY"/>
    <n v="3.1415999999999999"/>
    <n v="1256.6400000000001"/>
  </r>
  <r>
    <x v="1"/>
    <x v="1"/>
    <m/>
    <s v="B250104"/>
    <s v="7-1-50150C435N"/>
    <s v="AL CIR 5.0x150mm 1100-O"/>
    <s v="ALM-"/>
    <s v="O"/>
    <n v="500"/>
    <s v="KG"/>
    <s v="CNY"/>
    <n v="3.1415999999999999"/>
    <n v="1570.8"/>
  </r>
  <r>
    <x v="1"/>
    <x v="1"/>
    <m/>
    <s v="B250104"/>
    <s v="7-1-50180C435N"/>
    <s v="AL CIR 5.0x180mm 1100-O"/>
    <s v="ALM-"/>
    <s v="O"/>
    <n v="1200"/>
    <s v="KG"/>
    <s v="CNY"/>
    <n v="3.1415999999999999"/>
    <n v="3769.92"/>
  </r>
  <r>
    <x v="1"/>
    <x v="1"/>
    <m/>
    <s v="B250104"/>
    <s v="7-1-A4230C435N"/>
    <s v="AL CIR 14x230mm 1100-O"/>
    <s v="ALM-"/>
    <s v="O"/>
    <n v="2400"/>
    <s v="KG"/>
    <s v="CNY"/>
    <n v="3.1415999999999999"/>
    <n v="7539.84"/>
  </r>
  <r>
    <x v="1"/>
    <x v="1"/>
    <m/>
    <s v="B250105"/>
    <s v="7-1-10215C435N"/>
    <s v="AL CIR 1.0x215mm 1100-O"/>
    <s v="ALM-"/>
    <s v="O"/>
    <n v="100"/>
    <s v="KG"/>
    <s v="CNY"/>
    <n v="3.6282999999999999"/>
    <n v="362.83"/>
  </r>
  <r>
    <x v="1"/>
    <x v="1"/>
    <m/>
    <s v="B250104"/>
    <s v="7-1-10152C435N"/>
    <s v="AL CIR 1.0x152mm 1100-O"/>
    <s v="ALM-"/>
    <s v="O"/>
    <n v="50"/>
    <s v="KG"/>
    <s v="CNY"/>
    <n v="3.6282999999999999"/>
    <n v="181.42"/>
  </r>
  <r>
    <x v="2"/>
    <x v="2"/>
    <m/>
    <s v="B250201"/>
    <s v="1-1-002"/>
    <s v="AL INGOT 74x18x11CM"/>
    <s v="ALM-"/>
    <s v="B"/>
    <n v="34295"/>
    <s v="KG"/>
    <s v="CNY"/>
    <n v="18.380500000000001"/>
    <n v="630359.25"/>
  </r>
  <r>
    <x v="1"/>
    <x v="1"/>
    <m/>
    <s v="B250202"/>
    <s v="7-1-40130C435N"/>
    <s v="AL CIR 4.0x130mm 1100-O"/>
    <s v="ALM-"/>
    <s v="O"/>
    <n v="1200"/>
    <s v="KG"/>
    <s v="CNY"/>
    <n v="3.1415999999999999"/>
    <n v="3769.92"/>
  </r>
  <r>
    <x v="1"/>
    <x v="1"/>
    <m/>
    <s v="B250202"/>
    <s v="7-1-40110C435N"/>
    <s v="AL CIR 4.0x110mm 1100-O"/>
    <s v="ALM-"/>
    <s v="O"/>
    <n v="500"/>
    <s v="KG"/>
    <s v="CNY"/>
    <n v="3.1415999999999999"/>
    <n v="1570.8"/>
  </r>
  <r>
    <x v="1"/>
    <x v="1"/>
    <m/>
    <s v="B250202"/>
    <s v="7-1-50180C435N"/>
    <s v="AL CIR 5.0x180mm 1100-O"/>
    <s v="ALM-"/>
    <s v="O"/>
    <n v="1000"/>
    <s v="KG"/>
    <s v="CNY"/>
    <n v="3.1415999999999999"/>
    <n v="3141.6"/>
  </r>
  <r>
    <x v="1"/>
    <x v="1"/>
    <m/>
    <s v="B250202"/>
    <s v="7-1-40165C435N"/>
    <s v="AL CIR 4.0x165mm 1100-O"/>
    <s v="ALM-"/>
    <s v="O"/>
    <n v="500"/>
    <s v="KG"/>
    <s v="CNY"/>
    <n v="3.1415999999999999"/>
    <n v="1570.8"/>
  </r>
  <r>
    <x v="1"/>
    <x v="1"/>
    <m/>
    <s v="B250202"/>
    <s v="7-1-50150C435N"/>
    <s v="AL CIR 5.0x150mm 1100-O"/>
    <s v="ALM-"/>
    <s v="O"/>
    <n v="300"/>
    <s v="KG"/>
    <s v="CNY"/>
    <n v="3.1415999999999999"/>
    <n v="942.48"/>
  </r>
  <r>
    <x v="1"/>
    <x v="1"/>
    <m/>
    <s v="B250202"/>
    <s v="7-1-65134NA35N"/>
    <s v="AL SHT 6.5x134x105.5mm 1100"/>
    <s v="ALM-"/>
    <s v="O"/>
    <n v="250"/>
    <s v="KG"/>
    <s v="CNY"/>
    <n v="3.1415999999999999"/>
    <n v="785.4"/>
  </r>
  <r>
    <x v="1"/>
    <x v="1"/>
    <m/>
    <s v="CCRB250202"/>
    <s v="7-1-40110C435N"/>
    <s v="AL CIR 4.0x110mm 1100-O"/>
    <s v="ALM-"/>
    <s v="O"/>
    <n v="150"/>
    <s v="KG"/>
    <s v="CNY"/>
    <n v="3.1415999999999999"/>
    <n v="471.24"/>
  </r>
  <r>
    <x v="1"/>
    <x v="1"/>
    <m/>
    <s v="B250202"/>
    <s v="7-1-50130C435N"/>
    <s v="AL CIR 5.0X130MM 1100-O"/>
    <s v="ALM-"/>
    <s v="O"/>
    <n v="550"/>
    <s v="KG"/>
    <s v="CNY"/>
    <n v="3.1415999999999999"/>
    <n v="1727.88"/>
  </r>
  <r>
    <x v="1"/>
    <x v="1"/>
    <m/>
    <s v="B250202"/>
    <s v="7-1-40110C435N"/>
    <s v="AL CIR 4.0x110mm 1100-O"/>
    <s v="ALM-"/>
    <s v="O"/>
    <n v="300"/>
    <s v="KG"/>
    <s v="CNY"/>
    <n v="3.1415999999999999"/>
    <n v="942.48"/>
  </r>
  <r>
    <x v="1"/>
    <x v="1"/>
    <m/>
    <s v="B250202"/>
    <s v="7-1-40130C435N"/>
    <s v="AL CIR 4.0x130mm 1100-O"/>
    <s v="ALM-"/>
    <s v="O"/>
    <n v="1000"/>
    <s v="KG"/>
    <s v="CNY"/>
    <n v="3.1415999999999999"/>
    <n v="3141.6"/>
  </r>
  <r>
    <x v="1"/>
    <x v="1"/>
    <m/>
    <s v="B250202"/>
    <s v="7-1-50115C435N"/>
    <s v="AL CIR 5.0x115mm 1100-O"/>
    <s v="ALM-"/>
    <s v="O"/>
    <n v="100"/>
    <s v="KG"/>
    <s v="CNY"/>
    <n v="3.1415999999999999"/>
    <n v="314.16000000000003"/>
  </r>
  <r>
    <x v="1"/>
    <x v="1"/>
    <m/>
    <s v="B250202"/>
    <s v="7-1-50120C435N"/>
    <s v="AL CIR 5.0x120mm 1100-O"/>
    <s v="ALM-"/>
    <s v="O"/>
    <n v="50"/>
    <s v="KG"/>
    <s v="CNY"/>
    <n v="3.1415999999999999"/>
    <n v="157.08000000000001"/>
  </r>
  <r>
    <x v="1"/>
    <x v="1"/>
    <m/>
    <s v="B250202"/>
    <s v="7-1-50160C435N"/>
    <s v="AL CIR 5.0x160mm 1100-O"/>
    <s v="ALM-"/>
    <s v="O"/>
    <n v="300"/>
    <s v="KG"/>
    <s v="CNY"/>
    <n v="3.1415999999999999"/>
    <n v="942.48"/>
  </r>
  <r>
    <x v="1"/>
    <x v="1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x v="1"/>
    <m/>
    <s v="B250202"/>
    <s v="7-1-50190C435N"/>
    <s v="AL CIR 5.0x190mm 1100-O"/>
    <s v="ALM-"/>
    <s v="O"/>
    <n v="400"/>
    <s v="KG"/>
    <s v="CNY"/>
    <n v="3.1415999999999999"/>
    <n v="1256.6400000000001"/>
  </r>
  <r>
    <x v="1"/>
    <x v="1"/>
    <m/>
    <s v="B250202"/>
    <s v="7-1-50200C435N"/>
    <s v="AL CIR 5.0x200mm 1100-O"/>
    <s v="ALM-"/>
    <s v="O"/>
    <n v="350"/>
    <s v="KG"/>
    <s v="CNY"/>
    <n v="3.1415999999999999"/>
    <n v="1099.56"/>
  </r>
  <r>
    <x v="1"/>
    <x v="1"/>
    <m/>
    <s v="0B250202"/>
    <s v="7-1-50150C435N"/>
    <s v="AL CIR 5.0x150mm 1100-O"/>
    <s v="ALM-"/>
    <s v="O"/>
    <n v="500"/>
    <s v="KG"/>
    <s v="CNY"/>
    <n v="3.1415999999999999"/>
    <n v="1570.8"/>
  </r>
  <r>
    <x v="1"/>
    <x v="1"/>
    <m/>
    <s v="B250202"/>
    <s v="7-1-50130C435N"/>
    <s v="AL CIR 5.0X130MM 1100-O"/>
    <s v="ALM-"/>
    <s v="O"/>
    <n v="550"/>
    <s v="KG"/>
    <s v="CNY"/>
    <n v="3.1415999999999999"/>
    <n v="1727.88"/>
  </r>
  <r>
    <x v="1"/>
    <x v="1"/>
    <m/>
    <s v="B250202"/>
    <s v="7-1-10152C435N"/>
    <s v="AL CIR 1.0x152mm 1100-O"/>
    <s v="ALM-"/>
    <s v="O"/>
    <n v="50"/>
    <s v="KG"/>
    <s v="CNY"/>
    <n v="3.6282999999999999"/>
    <n v="181.42"/>
  </r>
  <r>
    <x v="1"/>
    <x v="1"/>
    <m/>
    <s v="B250202"/>
    <s v="7-1-10175C435N"/>
    <s v="AL CIR 1.0x175mm 1100-O"/>
    <s v="ALM-"/>
    <s v="O"/>
    <n v="50"/>
    <s v="KG"/>
    <s v="CNY"/>
    <n v="3.6282999999999999"/>
    <n v="181.42"/>
  </r>
  <r>
    <x v="1"/>
    <x v="1"/>
    <m/>
    <s v="B250202"/>
    <s v="7-1-10184C435N"/>
    <s v="AL CIR 1.0x184mm 1100-O"/>
    <s v="ALM-"/>
    <s v="O"/>
    <n v="80"/>
    <s v="KG"/>
    <s v="CNY"/>
    <n v="3.6282999999999999"/>
    <n v="290.26"/>
  </r>
  <r>
    <x v="1"/>
    <x v="1"/>
    <m/>
    <s v="B250202"/>
    <s v="7-1-10225C435N"/>
    <s v="AL CIR 1.0x225mm 1100-O"/>
    <s v="ALM-"/>
    <s v="O"/>
    <n v="170"/>
    <s v="KG"/>
    <s v="CNY"/>
    <n v="3.6282999999999999"/>
    <n v="616.80999999999995"/>
  </r>
  <r>
    <x v="1"/>
    <x v="1"/>
    <m/>
    <s v="B250202"/>
    <s v="7-1-10175C435N"/>
    <s v="AL CIR 1.0x175mm 1100-O"/>
    <s v="ALM-"/>
    <s v="O"/>
    <n v="50"/>
    <s v="KG"/>
    <s v="CNY"/>
    <n v="3.6282999999999999"/>
    <n v="181.42"/>
  </r>
  <r>
    <x v="1"/>
    <x v="1"/>
    <m/>
    <s v="B250202"/>
    <s v="7-1-10193C435N"/>
    <s v="AL CIR 1.0x193mm 1100-O"/>
    <s v="ALM-"/>
    <s v="O"/>
    <n v="100"/>
    <s v="KG"/>
    <s v="CNY"/>
    <n v="3.6282999999999999"/>
    <n v="362.83"/>
  </r>
  <r>
    <x v="1"/>
    <x v="1"/>
    <m/>
    <s v="B250202"/>
    <s v="7-1-10245C435N"/>
    <s v="AL CIR 1.0x245mm 1100-O"/>
    <s v="ALM-"/>
    <s v="O"/>
    <n v="150"/>
    <s v="KG"/>
    <s v="CNY"/>
    <n v="3.6282999999999999"/>
    <n v="544.25"/>
  </r>
  <r>
    <x v="0"/>
    <x v="0"/>
    <m/>
    <s v="B250203"/>
    <s v="1-1-35335CJ333"/>
    <s v="AL 3003-O 3.5x335 SG3 MG3"/>
    <s v="ALM-"/>
    <s v="O"/>
    <n v="672"/>
    <s v="KG"/>
    <s v="CNY"/>
    <n v="2.9203999999999999"/>
    <n v="1962.51"/>
  </r>
  <r>
    <x v="0"/>
    <x v="0"/>
    <m/>
    <s v="B250203"/>
    <s v="1-1-25345CJ333"/>
    <s v="AL 3003-O 2.5x345 SG3 MG3"/>
    <s v="ALM-"/>
    <s v="O"/>
    <n v="2032"/>
    <s v="KG"/>
    <s v="CNY"/>
    <n v="2.9203999999999999"/>
    <n v="5934.25"/>
  </r>
  <r>
    <x v="0"/>
    <x v="0"/>
    <m/>
    <s v="B250203"/>
    <s v="1-1-30380CJ333"/>
    <s v="AL 3003-O 3.0x380 SG3 MG3"/>
    <s v="ALM-"/>
    <s v="O"/>
    <n v="1564"/>
    <s v="KG"/>
    <s v="CNY"/>
    <n v="2.9203999999999999"/>
    <n v="4567.51"/>
  </r>
  <r>
    <x v="0"/>
    <x v="0"/>
    <m/>
    <s v="B250203"/>
    <s v="1-1-30410CJ333"/>
    <s v="AL 3003-O 3.0x410 SG3 MG3"/>
    <s v="ALM-"/>
    <s v="O"/>
    <n v="1254"/>
    <s v="KG"/>
    <s v="CNY"/>
    <n v="2.9203999999999999"/>
    <n v="3662.18"/>
  </r>
  <r>
    <x v="0"/>
    <x v="0"/>
    <m/>
    <s v="B250203"/>
    <s v="1-1-30365CJ333"/>
    <s v="AL 3003-O 3.0x365 SG3 MG3"/>
    <s v="ALM-"/>
    <s v="O"/>
    <n v="628"/>
    <s v="KG"/>
    <s v="CNY"/>
    <n v="2.9203999999999999"/>
    <n v="1834.01"/>
  </r>
  <r>
    <x v="0"/>
    <x v="0"/>
    <m/>
    <s v="B250203"/>
    <s v="1-1-30420CJ333"/>
    <s v="AL 3003-O 3.0x420 SG3 MG3"/>
    <s v="ALM-"/>
    <s v="O"/>
    <n v="1387"/>
    <s v="KG"/>
    <s v="CNY"/>
    <n v="2.9203999999999999"/>
    <n v="4050.59"/>
  </r>
  <r>
    <x v="0"/>
    <x v="0"/>
    <m/>
    <s v="B250203"/>
    <s v="1-1-30380CJ333"/>
    <s v="AL 3003-O 3.0x380 SG3 MG3"/>
    <s v="ALM-"/>
    <s v="O"/>
    <n v="756"/>
    <s v="KG"/>
    <s v="CNY"/>
    <n v="2.9203999999999999"/>
    <n v="2207.8200000000002"/>
  </r>
  <r>
    <x v="0"/>
    <x v="0"/>
    <m/>
    <s v="B250203"/>
    <s v="1-1-35250CJ333"/>
    <s v="AL 3003-O 3.5x250 SG3 MG3"/>
    <s v="ALM-"/>
    <s v="O"/>
    <n v="585"/>
    <s v="KG"/>
    <s v="CNY"/>
    <n v="3.0973000000000002"/>
    <n v="1811.92"/>
  </r>
  <r>
    <x v="0"/>
    <x v="0"/>
    <m/>
    <s v="B250203"/>
    <s v="1-1-25250CJ333"/>
    <s v="AL 3003-O 2.5x250 SG3 MG3"/>
    <s v="ALM-"/>
    <s v="O"/>
    <n v="484"/>
    <s v="KG"/>
    <s v="CNY"/>
    <n v="3.0973000000000002"/>
    <n v="1499.09"/>
  </r>
  <r>
    <x v="3"/>
    <x v="3"/>
    <m/>
    <s v="M250304"/>
    <s v="7-8-PL6555"/>
    <s v="TETRON RD WARNING STKR MJP"/>
    <s v="STKR"/>
    <s v="B"/>
    <n v="4000"/>
    <s v="PC"/>
    <s v="CNY"/>
    <n v="2.5899999999999999E-2"/>
    <n v="103.6"/>
  </r>
  <r>
    <x v="3"/>
    <x v="3"/>
    <m/>
    <s v="M250346"/>
    <s v="7-8-PL6555"/>
    <s v="TETRON RD WARNING STKR MJP"/>
    <s v="STKR"/>
    <s v="B"/>
    <n v="6500"/>
    <s v="PC"/>
    <s v="CNY"/>
    <n v="2.5899999999999999E-2"/>
    <n v="168.35"/>
  </r>
  <r>
    <x v="4"/>
    <x v="4"/>
    <m/>
    <s v="X250334"/>
    <s v="3-8-PL0544"/>
    <s v="BLANK STKR 4x2&quot;"/>
    <s v="STKR"/>
    <s v="B"/>
    <n v="60000"/>
    <s v="PC"/>
    <s v="CNY"/>
    <n v="2.8199999999999999E-2"/>
    <n v="1692"/>
  </r>
  <r>
    <x v="3"/>
    <x v="3"/>
    <m/>
    <s v="M250346"/>
    <s v="1-8-PL15317-C"/>
    <s v="UPC+ADD STKR 051153191459"/>
    <s v="STKR"/>
    <s v="B"/>
    <n v="3020"/>
    <s v="PC"/>
    <s v="CNY"/>
    <n v="0.03"/>
    <n v="90.6"/>
  </r>
  <r>
    <x v="3"/>
    <x v="3"/>
    <m/>
    <s v="M250346"/>
    <s v="1-8-PL15318-C"/>
    <s v="UPC+ADD STKR 051153191466"/>
    <s v="STKR"/>
    <s v="B"/>
    <n v="3020"/>
    <s v="PC"/>
    <s v="CNY"/>
    <n v="0.03"/>
    <n v="90.6"/>
  </r>
  <r>
    <x v="3"/>
    <x v="3"/>
    <m/>
    <s v="M250304"/>
    <s v="6-8-PL0056"/>
    <s v="MJP GLASS LID STKR FOR ANYDAY"/>
    <s v="STKR"/>
    <s v="B"/>
    <n v="3600"/>
    <s v="PC"/>
    <s v="CNY"/>
    <n v="3.5000000000000003E-2"/>
    <n v="126"/>
  </r>
  <r>
    <x v="3"/>
    <x v="3"/>
    <m/>
    <s v="M250309"/>
    <s v="7-8-PL6192B"/>
    <s v="GLASS LID STKR MJP"/>
    <s v="STKR"/>
    <s v="B"/>
    <n v="3000"/>
    <s v="PC"/>
    <s v="CNY"/>
    <n v="3.5000000000000003E-2"/>
    <n v="105"/>
  </r>
  <r>
    <x v="3"/>
    <x v="3"/>
    <m/>
    <s v="M250346"/>
    <s v="7-8-PL6192B"/>
    <s v="GLASS LID STKR MJP"/>
    <s v="STKR"/>
    <s v="B"/>
    <n v="4000"/>
    <s v="PC"/>
    <s v="CNY"/>
    <n v="3.5000000000000003E-2"/>
    <n v="140"/>
  </r>
  <r>
    <x v="3"/>
    <x v="3"/>
    <m/>
    <s v="M250346"/>
    <s v="6-8-PL0056"/>
    <s v="MJP GLASS LID STKR FOR ANYDAY"/>
    <s v="STKR"/>
    <s v="B"/>
    <n v="2020"/>
    <s v="PC"/>
    <s v="CNY"/>
    <n v="3.5000000000000003E-2"/>
    <n v="70.7"/>
  </r>
  <r>
    <x v="5"/>
    <x v="5"/>
    <m/>
    <s v="C03007"/>
    <s v="7-6-W03"/>
    <s v="SS WHR M6 DIA 17mm"/>
    <s v="WHR-"/>
    <s v="B"/>
    <n v="1000"/>
    <s v="PC"/>
    <s v="CNY"/>
    <n v="3.9800000000000002E-2"/>
    <n v="39.799999999999997"/>
  </r>
  <r>
    <x v="5"/>
    <x v="5"/>
    <m/>
    <s v="C03007"/>
    <s v="7-6-W03"/>
    <s v="SS WHR M6 DIA 17mm"/>
    <s v="WHR-"/>
    <s v="B"/>
    <n v="6000"/>
    <s v="PC"/>
    <s v="CNY"/>
    <n v="3.9800000000000002E-2"/>
    <n v="238.8"/>
  </r>
  <r>
    <x v="5"/>
    <x v="5"/>
    <m/>
    <s v="C03060"/>
    <s v="7-6-W03"/>
    <s v="SS WHR M6 DIA 17mm"/>
    <s v="WHR-"/>
    <s v="B"/>
    <n v="1000"/>
    <s v="PC"/>
    <s v="CNY"/>
    <n v="3.9800000000000002E-2"/>
    <n v="39.799999999999997"/>
  </r>
  <r>
    <x v="5"/>
    <x v="5"/>
    <m/>
    <s v="C03060"/>
    <s v="1-6-W22"/>
    <s v="WHR SS 25mm G-LD"/>
    <s v="WHR-"/>
    <s v="B"/>
    <n v="5000"/>
    <s v="PC"/>
    <s v="CNY"/>
    <n v="4.1000000000000002E-2"/>
    <n v="205"/>
  </r>
  <r>
    <x v="5"/>
    <x v="5"/>
    <m/>
    <s v="C03060"/>
    <s v="1-6-W22"/>
    <s v="WHR SS 25mm G-LD"/>
    <s v="WHR-"/>
    <s v="B"/>
    <n v="6500"/>
    <s v="PC"/>
    <s v="CNY"/>
    <n v="4.1000000000000002E-2"/>
    <n v="266.5"/>
  </r>
  <r>
    <x v="5"/>
    <x v="5"/>
    <m/>
    <s v="C03060"/>
    <s v="1-6-W22"/>
    <s v="WHR SS 25mm G-LD"/>
    <s v="WHR-"/>
    <s v="B"/>
    <n v="1150"/>
    <s v="PC"/>
    <s v="CNY"/>
    <n v="4.1000000000000002E-2"/>
    <n v="47.15"/>
  </r>
  <r>
    <x v="6"/>
    <x v="6"/>
    <m/>
    <s v="C03109"/>
    <s v="1-6-D38X"/>
    <s v="RT AL 5X10mm TUM"/>
    <s v="RIV-"/>
    <s v="B"/>
    <n v="6000"/>
    <s v="PC"/>
    <s v="CNY"/>
    <n v="4.1599999999999998E-2"/>
    <n v="249.6"/>
  </r>
  <r>
    <x v="7"/>
    <x v="7"/>
    <m/>
    <s v="C03081"/>
    <s v="3-6-S25"/>
    <s v="SCR SS M5x10MM WELD"/>
    <s v="SCR-"/>
    <s v="B"/>
    <n v="11000"/>
    <s v="PC"/>
    <s v="CNY"/>
    <n v="4.2000000000000003E-2"/>
    <n v="462"/>
  </r>
  <r>
    <x v="3"/>
    <x v="3"/>
    <m/>
    <s v="M250305"/>
    <s v="1-8-PL15346-C"/>
    <s v="UPC+ADD STKR 051153191466 (SC)"/>
    <s v="STKR"/>
    <s v="B"/>
    <n v="1600"/>
    <s v="PC"/>
    <s v="CNY"/>
    <n v="4.2000000000000003E-2"/>
    <n v="67.2"/>
  </r>
  <r>
    <x v="3"/>
    <x v="3"/>
    <m/>
    <s v="M250305"/>
    <s v="1-8-PL15346-C"/>
    <s v="UPC+ADD STKR 051153191466 (SC)"/>
    <s v="STKR"/>
    <s v="B"/>
    <n v="30"/>
    <s v="PC"/>
    <s v="CNY"/>
    <n v="4.2000000000000003E-2"/>
    <n v="1.26"/>
  </r>
  <r>
    <x v="3"/>
    <x v="3"/>
    <m/>
    <s v="M250304"/>
    <s v="7-8-PL10868-C"/>
    <s v="UPC+ADD STKR 051153703461"/>
    <s v="STKR"/>
    <s v="B"/>
    <n v="9100"/>
    <s v="PC"/>
    <s v="CNY"/>
    <n v="4.2000000000000003E-2"/>
    <n v="382.2"/>
  </r>
  <r>
    <x v="3"/>
    <x v="3"/>
    <m/>
    <s v="M250304"/>
    <s v="7-8-PL10868-C"/>
    <s v="UPC+ADD STKR 051153703461"/>
    <s v="STKR"/>
    <s v="B"/>
    <n v="50"/>
    <s v="PC"/>
    <s v="CNY"/>
    <n v="4.2000000000000003E-2"/>
    <n v="2.1"/>
  </r>
  <r>
    <x v="3"/>
    <x v="3"/>
    <m/>
    <s v="M250347"/>
    <s v="7-8-PL12085-C"/>
    <s v="JAN+ADD STKR 4976667767845"/>
    <s v="STKR"/>
    <s v="B"/>
    <n v="1010"/>
    <s v="PC"/>
    <s v="CNY"/>
    <n v="4.2000000000000003E-2"/>
    <n v="42.42"/>
  </r>
  <r>
    <x v="3"/>
    <x v="3"/>
    <m/>
    <s v="M250347"/>
    <s v="7-8-PL12089-C"/>
    <s v="JAN+ADD STKR 4976667767883"/>
    <s v="STKR"/>
    <s v="B"/>
    <n v="1010"/>
    <s v="PC"/>
    <s v="CNY"/>
    <n v="4.2000000000000003E-2"/>
    <n v="42.42"/>
  </r>
  <r>
    <x v="3"/>
    <x v="3"/>
    <m/>
    <s v="M250347"/>
    <s v="7-8-PL12091-C"/>
    <s v="JAN+ADD STKR 4976667767890"/>
    <s v="STKR"/>
    <s v="B"/>
    <n v="1010"/>
    <s v="PC"/>
    <s v="CNY"/>
    <n v="4.2000000000000003E-2"/>
    <n v="42.42"/>
  </r>
  <r>
    <x v="3"/>
    <x v="3"/>
    <m/>
    <s v="M250347"/>
    <s v="7-8-PL12093-C"/>
    <s v="JAN+ADD STKR 4976667767906"/>
    <s v="STKR"/>
    <s v="B"/>
    <n v="1010"/>
    <s v="PC"/>
    <s v="CNY"/>
    <n v="4.2000000000000003E-2"/>
    <n v="42.42"/>
  </r>
  <r>
    <x v="3"/>
    <x v="3"/>
    <m/>
    <s v="M250347"/>
    <s v="7-8-PL12095-C"/>
    <s v="JAN+ADD STKR 4976667767913"/>
    <s v="STKR"/>
    <s v="B"/>
    <n v="1010"/>
    <s v="PC"/>
    <s v="CNY"/>
    <n v="4.2000000000000003E-2"/>
    <n v="42.42"/>
  </r>
  <r>
    <x v="3"/>
    <x v="3"/>
    <m/>
    <s v="M250347"/>
    <s v="7-8-PL12098-C"/>
    <s v="JAN+ADD STKR 4976667767920"/>
    <s v="STKR"/>
    <s v="B"/>
    <n v="510"/>
    <s v="PC"/>
    <s v="CNY"/>
    <n v="4.2000000000000003E-2"/>
    <n v="21.42"/>
  </r>
  <r>
    <x v="3"/>
    <x v="3"/>
    <m/>
    <s v="M250346"/>
    <s v="6-8-PL0220-C"/>
    <s v="BC+MJP ADD STKR 62109-C008"/>
    <s v="STKR"/>
    <s v="B"/>
    <n v="200"/>
    <s v="PC"/>
    <s v="CNY"/>
    <n v="4.2000000000000003E-2"/>
    <n v="8.4"/>
  </r>
  <r>
    <x v="3"/>
    <x v="3"/>
    <m/>
    <s v="M250346"/>
    <s v="6-8-PL0220-C"/>
    <s v="BC+MJP ADD STKR 62109-C008"/>
    <s v="STKR"/>
    <s v="B"/>
    <n v="2020"/>
    <s v="PC"/>
    <s v="CNY"/>
    <n v="4.2000000000000003E-2"/>
    <n v="84.84"/>
  </r>
  <r>
    <x v="5"/>
    <x v="5"/>
    <m/>
    <s v="C03007"/>
    <s v="3-6-141"/>
    <s v="Ru GASKET FOR G-LD BK01A"/>
    <s v="WHR-"/>
    <s v="B"/>
    <n v="5000"/>
    <s v="PC"/>
    <s v="CNY"/>
    <n v="4.2999999999999997E-2"/>
    <n v="215"/>
  </r>
  <r>
    <x v="8"/>
    <x v="8"/>
    <m/>
    <s v="C03014"/>
    <s v="1-6-D84Z"/>
    <s v="RT AL 6x21mm CSK HD TUM"/>
    <s v="RIV-"/>
    <s v="B"/>
    <n v="4000"/>
    <s v="PC"/>
    <s v="CNY"/>
    <n v="4.8000000000000001E-2"/>
    <n v="192"/>
  </r>
  <r>
    <x v="9"/>
    <x v="9"/>
    <m/>
    <s v="M250341"/>
    <s v="7-8-PL1063-C"/>
    <s v="ITF14 STKR 40631899500005"/>
    <s v="STKR"/>
    <s v="B"/>
    <n v="1010"/>
    <s v="PC"/>
    <s v="CNY"/>
    <n v="0.05"/>
    <n v="50.5"/>
  </r>
  <r>
    <x v="9"/>
    <x v="9"/>
    <m/>
    <s v="M250350"/>
    <s v="1-8-PL15319"/>
    <s v="OC BC+CAT# STKR 19145"/>
    <s v="STKR"/>
    <s v="B"/>
    <n v="2270"/>
    <s v="PC"/>
    <s v="CNY"/>
    <n v="0.05"/>
    <n v="113.5"/>
  </r>
  <r>
    <x v="9"/>
    <x v="9"/>
    <m/>
    <s v="M250350"/>
    <s v="1-8-PL15320"/>
    <s v="OC BC+CAT# STKR 19146"/>
    <s v="STKR"/>
    <s v="B"/>
    <n v="2270"/>
    <s v="PC"/>
    <s v="CNY"/>
    <n v="0.05"/>
    <n v="113.5"/>
  </r>
  <r>
    <x v="9"/>
    <x v="9"/>
    <m/>
    <s v="M250350"/>
    <s v="1-8-PL12773-C"/>
    <s v="TCP STKR 18889-C MTL"/>
    <s v="STKR"/>
    <s v="B"/>
    <n v="510"/>
    <s v="PC"/>
    <s v="CNY"/>
    <n v="0.05"/>
    <n v="25.5"/>
  </r>
  <r>
    <x v="10"/>
    <x v="10"/>
    <m/>
    <s v="M250332"/>
    <s v="1-7-BN320"/>
    <s v="PP BAG .03mmx10.6x11.8&quot;"/>
    <s v="BAG-"/>
    <s v="B"/>
    <n v="2840"/>
    <s v="PC"/>
    <s v="CNY"/>
    <n v="0.06"/>
    <n v="170.4"/>
  </r>
  <r>
    <x v="3"/>
    <x v="3"/>
    <m/>
    <s v="M250321"/>
    <s v="1-8-PL14717"/>
    <s v="PRICE STKR (PMS 446C DIA.15mm f14)"/>
    <s v="STKR"/>
    <s v="B"/>
    <n v="1010"/>
    <s v="PC"/>
    <s v="CNY"/>
    <n v="0.06"/>
    <n v="60.6"/>
  </r>
  <r>
    <x v="3"/>
    <x v="3"/>
    <m/>
    <s v="M250321"/>
    <s v="1-8-PL14718"/>
    <s v="PRICE STKR (PMS 446C DIA.15mm f16)"/>
    <s v="STKR"/>
    <s v="B"/>
    <n v="1010"/>
    <s v="PC"/>
    <s v="CNY"/>
    <n v="0.06"/>
    <n v="60.6"/>
  </r>
  <r>
    <x v="3"/>
    <x v="3"/>
    <m/>
    <s v="M250321"/>
    <s v="1-8-PL14720"/>
    <s v="PRICE STKR (PMS 446C DIA.15mm f20)"/>
    <s v="STKR"/>
    <s v="B"/>
    <n v="1010"/>
    <s v="PC"/>
    <s v="CNY"/>
    <n v="0.06"/>
    <n v="60.6"/>
  </r>
  <r>
    <x v="9"/>
    <x v="9"/>
    <m/>
    <s v="M250350"/>
    <s v="7-8-PL12049-C"/>
    <s v="TCP STKR 71809-C (MTL)"/>
    <s v="STKR"/>
    <s v="B"/>
    <n v="1210"/>
    <s v="PC"/>
    <s v="CNY"/>
    <n v="0.06"/>
    <n v="72.599999999999994"/>
  </r>
  <r>
    <x v="8"/>
    <x v="8"/>
    <m/>
    <s v="C03023"/>
    <s v="3-6-D109X"/>
    <s v="RT AL 8x10mm TUM"/>
    <s v="RIV-"/>
    <s v="B"/>
    <n v="12000"/>
    <s v="PC"/>
    <s v="CNY"/>
    <n v="6.2199999999999998E-2"/>
    <n v="746.4"/>
  </r>
  <r>
    <x v="8"/>
    <x v="8"/>
    <m/>
    <s v="C03056"/>
    <s v="3-6-D109X"/>
    <s v="RT AL 8x10mm TUM"/>
    <s v="RIV-"/>
    <s v="B"/>
    <n v="16500"/>
    <s v="PC"/>
    <s v="CNY"/>
    <n v="6.2199999999999998E-2"/>
    <n v="1026.3"/>
  </r>
  <r>
    <x v="8"/>
    <x v="8"/>
    <m/>
    <s v="C03023"/>
    <s v="3-6-D61X"/>
    <s v="RT AL 8x12mm TUM"/>
    <s v="RIV-"/>
    <s v="B"/>
    <n v="20000"/>
    <s v="PC"/>
    <s v="CNY"/>
    <n v="6.8599999999999994E-2"/>
    <n v="1372"/>
  </r>
  <r>
    <x v="7"/>
    <x v="7"/>
    <m/>
    <s v="C03081"/>
    <s v="1-6-SS05"/>
    <s v="SCR SS M5x15mm"/>
    <s v="SCR-"/>
    <s v="B"/>
    <n v="3000"/>
    <s v="PC"/>
    <s v="CNY"/>
    <n v="6.9000000000000006E-2"/>
    <n v="207"/>
  </r>
  <r>
    <x v="7"/>
    <x v="7"/>
    <m/>
    <s v="C03081"/>
    <s v="7-6-S02"/>
    <s v="SS WELDING SCR M6x15mm"/>
    <s v="SCR-"/>
    <s v="B"/>
    <n v="3000"/>
    <s v="PC"/>
    <s v="CNY"/>
    <n v="7.0000000000000007E-2"/>
    <n v="210"/>
  </r>
  <r>
    <x v="3"/>
    <x v="3"/>
    <m/>
    <s v="M250346"/>
    <s v="7-8-PL12103"/>
    <s v="PRICE STKR (PMS 446C DIA.20mm f18)"/>
    <s v="STKR"/>
    <s v="B"/>
    <n v="1010"/>
    <s v="PC"/>
    <s v="CNY"/>
    <n v="7.0000000000000007E-2"/>
    <n v="70.7"/>
  </r>
  <r>
    <x v="3"/>
    <x v="3"/>
    <m/>
    <s v="M250346"/>
    <s v="7-8-PL12107"/>
    <s v="PRICE STKR (PMS 446C DIA.20mm f35)"/>
    <s v="STKR"/>
    <s v="B"/>
    <n v="1010"/>
    <s v="PC"/>
    <s v="CNY"/>
    <n v="7.0000000000000007E-2"/>
    <n v="70.7"/>
  </r>
  <r>
    <x v="8"/>
    <x v="8"/>
    <m/>
    <s v="C03095"/>
    <s v="3-6-D61X"/>
    <s v="RT AL 8x12mm TUM"/>
    <s v="RIV-"/>
    <s v="B"/>
    <n v="6100"/>
    <s v="PC"/>
    <s v="CNY"/>
    <n v="7.0099999999999996E-2"/>
    <n v="427.61"/>
  </r>
  <r>
    <x v="8"/>
    <x v="8"/>
    <m/>
    <s v="C03095"/>
    <s v="3-6-D61X"/>
    <s v="RT AL 8x12mm TUM"/>
    <s v="RIV-"/>
    <s v="B"/>
    <n v="3500"/>
    <s v="PC"/>
    <s v="CNY"/>
    <n v="7.0099999999999996E-2"/>
    <n v="245.35"/>
  </r>
  <r>
    <x v="8"/>
    <x v="8"/>
    <m/>
    <s v="C03095"/>
    <s v="3-6-D61X"/>
    <s v="RT AL 8x12mm TUM"/>
    <s v="RIV-"/>
    <s v="B"/>
    <n v="1000"/>
    <s v="PC"/>
    <s v="CNY"/>
    <n v="7.0099999999999996E-2"/>
    <n v="70.099999999999994"/>
  </r>
  <r>
    <x v="10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3"/>
    <x v="3"/>
    <m/>
    <s v="M250321"/>
    <s v="1-8-PL14714"/>
    <s v="PRICE STKR (PMS 446C DIA.25mm f32)"/>
    <s v="STKR"/>
    <s v="B"/>
    <n v="1010"/>
    <s v="PC"/>
    <s v="CNY"/>
    <n v="0.08"/>
    <n v="80.8"/>
  </r>
  <r>
    <x v="3"/>
    <x v="3"/>
    <m/>
    <s v="M250336"/>
    <s v="3-8-PL9434-C"/>
    <s v="UPC+ADD STKR 051153810879"/>
    <s v="STKR"/>
    <s v="B"/>
    <n v="1010"/>
    <s v="PC"/>
    <s v="CNY"/>
    <n v="0.08"/>
    <n v="80.8"/>
  </r>
  <r>
    <x v="3"/>
    <x v="3"/>
    <m/>
    <s v="M250336"/>
    <s v="1-8-PL14712"/>
    <s v="PRICE STKR (PMS 446C DIA.25mm f25)"/>
    <s v="STKR"/>
    <s v="B"/>
    <n v="1010"/>
    <s v="PC"/>
    <s v="CNY"/>
    <n v="0.08"/>
    <n v="80.8"/>
  </r>
  <r>
    <x v="3"/>
    <x v="3"/>
    <m/>
    <s v="M250334"/>
    <s v="3-8-PL9434-C"/>
    <s v="UPC+ADD STKR 051153810879"/>
    <s v="STKR"/>
    <s v="B"/>
    <n v="30"/>
    <s v="PC"/>
    <s v="CNY"/>
    <n v="0.08"/>
    <n v="2.4"/>
  </r>
  <r>
    <x v="10"/>
    <x v="10"/>
    <m/>
    <s v="M250349"/>
    <s v="1-7-BN322"/>
    <s v="PP BAG .03mmx11.8x15.7&quot;"/>
    <s v="BAG-"/>
    <s v="B"/>
    <n v="3000"/>
    <s v="PC"/>
    <s v="CNY"/>
    <n v="8.5000000000000006E-2"/>
    <n v="255"/>
  </r>
  <r>
    <x v="5"/>
    <x v="5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5"/>
    <x v="5"/>
    <m/>
    <s v="C03060"/>
    <s v="1-6-646"/>
    <s v="VOC-FREE HIGH TEAR STRENGTH CLEAR SI RU GROMMET 500F"/>
    <s v="WHR-"/>
    <s v="B"/>
    <n v="4000"/>
    <s v="PC"/>
    <s v="CNY"/>
    <n v="8.5000000000000006E-2"/>
    <n v="340"/>
  </r>
  <r>
    <x v="10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10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10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8"/>
    <x v="8"/>
    <m/>
    <s v="C03076"/>
    <s v="3-6-D51-0001"/>
    <s v="RT AL CAPPED 6x14mm"/>
    <s v="RIV-"/>
    <s v="B"/>
    <n v="1000"/>
    <s v="PC"/>
    <s v="CNY"/>
    <n v="9.1499999999999998E-2"/>
    <n v="91.5"/>
  </r>
  <r>
    <x v="10"/>
    <x v="10"/>
    <m/>
    <s v="M250359"/>
    <s v="1-7-BB07"/>
    <s v="BUBBLE BAG 9.5&quot;X10&quot;"/>
    <s v="BAG-"/>
    <s v="B"/>
    <n v="10000"/>
    <s v="PC"/>
    <s v="CNY"/>
    <n v="9.6000000000000002E-2"/>
    <n v="960"/>
  </r>
  <r>
    <x v="8"/>
    <x v="8"/>
    <m/>
    <s v="C03046"/>
    <s v="3-6-D52-0001"/>
    <s v="CAPPED RIVET 6x16mm"/>
    <s v="RIV-"/>
    <s v="B"/>
    <n v="3100"/>
    <s v="PC"/>
    <s v="CNY"/>
    <n v="9.6100000000000005E-2"/>
    <n v="297.91000000000003"/>
  </r>
  <r>
    <x v="7"/>
    <x v="7"/>
    <m/>
    <s v="C03081"/>
    <s v="7-6-SS02B"/>
    <s v="SCR SS M5x19mm+WHR"/>
    <s v="SCR-"/>
    <s v="B"/>
    <n v="4000"/>
    <s v="PC"/>
    <s v="CNY"/>
    <n v="9.8000000000000004E-2"/>
    <n v="392"/>
  </r>
  <r>
    <x v="10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10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3"/>
    <x v="3"/>
    <m/>
    <s v="M250344"/>
    <s v="6-8-W001"/>
    <s v="WHITE WRAP PAPER 12x12&quot;38GSM"/>
    <s v="PAP-"/>
    <s v="B"/>
    <n v="8500"/>
    <s v="PC"/>
    <s v="CNY"/>
    <n v="0.1"/>
    <n v="850"/>
  </r>
  <r>
    <x v="6"/>
    <x v="6"/>
    <m/>
    <s v="C03108"/>
    <s v="3-6-D107X"/>
    <s v="LOCK RT SS 4x11mm POL"/>
    <s v="RIV-"/>
    <s v="B"/>
    <n v="2000"/>
    <s v="PC"/>
    <s v="CNY"/>
    <n v="0.10059999999999999"/>
    <n v="201.2"/>
  </r>
  <r>
    <x v="8"/>
    <x v="8"/>
    <m/>
    <s v="C03076"/>
    <s v="3-6-D53-0001"/>
    <s v="CAPPED RIVET 6x18mm POL"/>
    <s v="RIV-"/>
    <s v="B"/>
    <n v="9000"/>
    <s v="PC"/>
    <s v="CNY"/>
    <n v="0.1016"/>
    <n v="914.4"/>
  </r>
  <r>
    <x v="11"/>
    <x v="11"/>
    <m/>
    <s v="C03096"/>
    <s v="1-6-576A"/>
    <s v="POSTCURED SILICONE GROMMET CLEAR 500F"/>
    <s v="WHR-"/>
    <s v="B"/>
    <n v="17000"/>
    <s v="PC"/>
    <s v="CNY"/>
    <n v="0.1096"/>
    <n v="1863.2"/>
  </r>
  <r>
    <x v="9"/>
    <x v="9"/>
    <m/>
    <s v="M250341"/>
    <s v="7-8-PL1042-C"/>
    <s v="ITF+SM STKR10631899500493"/>
    <s v="STKR"/>
    <s v="B"/>
    <n v="1010"/>
    <s v="PC"/>
    <s v="CNY"/>
    <n v="0.11"/>
    <n v="111.1"/>
  </r>
  <r>
    <x v="9"/>
    <x v="9"/>
    <m/>
    <s v="M250341"/>
    <s v="7-8-PL1042-C"/>
    <s v="ITF+SM STKR10631899500493"/>
    <s v="STKR"/>
    <s v="B"/>
    <n v="1010"/>
    <s v="PC"/>
    <s v="CNY"/>
    <n v="0.11"/>
    <n v="111.1"/>
  </r>
  <r>
    <x v="9"/>
    <x v="9"/>
    <m/>
    <s v="M250341"/>
    <s v="7-8-PL1042-C"/>
    <s v="ITF+SM STKR10631899500493"/>
    <s v="STKR"/>
    <s v="B"/>
    <n v="1010"/>
    <s v="PC"/>
    <s v="CNY"/>
    <n v="0.11"/>
    <n v="111.1"/>
  </r>
  <r>
    <x v="9"/>
    <x v="9"/>
    <m/>
    <s v="M250350"/>
    <s v="7-8-PL6130-C"/>
    <s v="ITF+SM STKR 10631899756555"/>
    <s v="STKR"/>
    <s v="B"/>
    <n v="1010"/>
    <s v="PC"/>
    <s v="CNY"/>
    <n v="0.11"/>
    <n v="111.1"/>
  </r>
  <r>
    <x v="9"/>
    <x v="9"/>
    <m/>
    <s v="M250350"/>
    <s v="7-8-PL8712-C"/>
    <s v="ITF+SM STKR 10051153700795"/>
    <s v="STKR"/>
    <s v="B"/>
    <n v="1010"/>
    <s v="PC"/>
    <s v="CNY"/>
    <n v="0.11"/>
    <n v="111.1"/>
  </r>
  <r>
    <x v="10"/>
    <x v="10"/>
    <m/>
    <s v="M250359"/>
    <s v="1-7-BB08"/>
    <s v="BUBBLE BAG 11.5&quot;X12&quot;"/>
    <s v="BAG-"/>
    <s v="B"/>
    <n v="4000"/>
    <s v="PC"/>
    <s v="CNY"/>
    <n v="0.113"/>
    <n v="452"/>
  </r>
  <r>
    <x v="10"/>
    <x v="10"/>
    <m/>
    <s v="M250313"/>
    <s v="1-7-BN323"/>
    <s v="PP BAG .03mmx13.4x17.7&quot;"/>
    <s v="BAG-"/>
    <s v="B"/>
    <n v="10000"/>
    <s v="PC"/>
    <s v="CNY"/>
    <n v="0.115"/>
    <n v="1150"/>
  </r>
  <r>
    <x v="5"/>
    <x v="5"/>
    <m/>
    <s v="C03060"/>
    <s v="7-6-556"/>
    <s v="PASSED LFGB SILICONE BUSHING BK01A"/>
    <s v="MISC"/>
    <s v="B"/>
    <n v="5000"/>
    <s v="PC"/>
    <s v="CNY"/>
    <n v="0.115"/>
    <n v="575"/>
  </r>
  <r>
    <x v="5"/>
    <x v="5"/>
    <m/>
    <s v="C03060"/>
    <s v="7-6-556"/>
    <s v="PASSED LFGB SILICONE BUSHING BK01A"/>
    <s v="MISC"/>
    <s v="B"/>
    <n v="6500"/>
    <s v="PC"/>
    <s v="CNY"/>
    <n v="0.115"/>
    <n v="747.5"/>
  </r>
  <r>
    <x v="5"/>
    <x v="5"/>
    <m/>
    <s v="C03060"/>
    <s v="7-6-556"/>
    <s v="PASSED LFGB SILICONE BUSHING BK01A"/>
    <s v="MISC"/>
    <s v="B"/>
    <n v="1150"/>
    <s v="PC"/>
    <s v="CNY"/>
    <n v="0.115"/>
    <n v="132.25"/>
  </r>
  <r>
    <x v="7"/>
    <x v="7"/>
    <m/>
    <s v="C03082"/>
    <s v="7-6-SS03A"/>
    <s v="SCR SS M5x25 W/WHR"/>
    <s v="SCR-"/>
    <s v="B"/>
    <n v="5000"/>
    <s v="PC"/>
    <s v="CNY"/>
    <n v="0.11700000000000001"/>
    <n v="585"/>
  </r>
  <r>
    <x v="7"/>
    <x v="7"/>
    <m/>
    <s v="C03082"/>
    <s v="7-6-SS03A"/>
    <s v="SCR SS M5x25 W/WHR"/>
    <s v="SCR-"/>
    <s v="B"/>
    <n v="930"/>
    <s v="PC"/>
    <s v="CNY"/>
    <n v="0.11700000000000001"/>
    <n v="108.81"/>
  </r>
  <r>
    <x v="12"/>
    <x v="12"/>
    <m/>
    <s v="C03073"/>
    <s v="1-6-585"/>
    <s v="SILICONE GASKET"/>
    <s v="WHR-"/>
    <s v="B"/>
    <n v="4000"/>
    <s v="PC"/>
    <s v="CNY"/>
    <n v="0.1176"/>
    <n v="470.4"/>
  </r>
  <r>
    <x v="10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10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3"/>
    <x v="3"/>
    <m/>
    <s v="M250307"/>
    <s v="7-8-P2AM0451818"/>
    <s v="WHITE WRAP PAPER 45gsm 18x18&quot;"/>
    <s v="PAP-"/>
    <s v="B"/>
    <n v="2000"/>
    <s v="PC"/>
    <s v="CNY"/>
    <n v="0.12"/>
    <n v="240"/>
  </r>
  <r>
    <x v="10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10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10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10"/>
    <x v="10"/>
    <m/>
    <s v="M250349"/>
    <s v="1-7-BN319"/>
    <s v="PP BAG .03mmx15x18.5&quot;"/>
    <s v="BAG-"/>
    <s v="B"/>
    <n v="7000"/>
    <s v="PC"/>
    <s v="CNY"/>
    <n v="0.13"/>
    <n v="910"/>
  </r>
  <r>
    <x v="6"/>
    <x v="6"/>
    <m/>
    <s v="C03028"/>
    <s v="7-6-D61X"/>
    <s v="RT SS+Cu 6x10 D12 TUM"/>
    <s v="RIV-"/>
    <s v="B"/>
    <n v="80000"/>
    <s v="PC"/>
    <s v="CNY"/>
    <n v="0.13150000000000001"/>
    <n v="10520"/>
  </r>
  <r>
    <x v="6"/>
    <x v="6"/>
    <m/>
    <s v="C03055"/>
    <s v="7-6-D61X"/>
    <s v="RT SS+Cu 6x10 D12 TUM"/>
    <s v="RIV-"/>
    <s v="B"/>
    <n v="80000"/>
    <s v="PC"/>
    <s v="CNY"/>
    <n v="0.13150000000000001"/>
    <n v="10520"/>
  </r>
  <r>
    <x v="10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6"/>
    <x v="6"/>
    <m/>
    <s v="C03109"/>
    <s v="7-6-D61X"/>
    <s v="RT SS+Cu 6x10 D12 TUM"/>
    <s v="RIV-"/>
    <s v="B"/>
    <n v="30000"/>
    <s v="PC"/>
    <s v="CNY"/>
    <n v="0.1328"/>
    <n v="3984"/>
  </r>
  <r>
    <x v="10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10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3"/>
    <x v="3"/>
    <m/>
    <s v="M250344"/>
    <s v="7-8-P2AM0451822"/>
    <s v="WHITE WRAP PAPER 45gsm 18x22&quot;"/>
    <s v="PAP-"/>
    <s v="B"/>
    <n v="18000"/>
    <s v="PC"/>
    <s v="CNY"/>
    <n v="0.14000000000000001"/>
    <n v="2520"/>
  </r>
  <r>
    <x v="7"/>
    <x v="7"/>
    <m/>
    <s v="C03081"/>
    <s v="3-6-S07"/>
    <s v="SCR SS M5x35+WHR"/>
    <s v="SCR-"/>
    <s v="B"/>
    <n v="15000"/>
    <s v="PC"/>
    <s v="CNY"/>
    <n v="0.14199999999999999"/>
    <n v="2130"/>
  </r>
  <r>
    <x v="10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10"/>
    <x v="10"/>
    <m/>
    <s v="M250359"/>
    <s v="1-7-BB11"/>
    <s v="BUBBEL BAG 13&quot;X13&quot;"/>
    <s v="BAG-"/>
    <s v="B"/>
    <n v="7000"/>
    <s v="PC"/>
    <s v="CNY"/>
    <n v="0.152"/>
    <n v="1064"/>
  </r>
  <r>
    <x v="7"/>
    <x v="7"/>
    <m/>
    <s v="C03081"/>
    <s v="7-6-S67"/>
    <s v="SCR SS M6x25mm"/>
    <s v="SCR-"/>
    <s v="B"/>
    <n v="5000"/>
    <s v="PC"/>
    <s v="CNY"/>
    <n v="0.153"/>
    <n v="765"/>
  </r>
  <r>
    <x v="10"/>
    <x v="10"/>
    <m/>
    <s v="RTV-0086"/>
    <s v="1-7-BN317"/>
    <s v="PP BAG .03mmx15.4x21.7&quot;"/>
    <s v="BAG-"/>
    <s v="B"/>
    <n v="-10000"/>
    <s v="PC"/>
    <s v="CNY"/>
    <n v="0.158"/>
    <n v="-1580"/>
  </r>
  <r>
    <x v="10"/>
    <x v="10"/>
    <m/>
    <s v="M250325"/>
    <s v="1-7-BN317"/>
    <s v="PP BAG .03mmx15.4x21.7&quot;"/>
    <s v="BAG-"/>
    <s v="B"/>
    <n v="10000"/>
    <s v="PC"/>
    <s v="CNY"/>
    <n v="0.158"/>
    <n v="1580"/>
  </r>
  <r>
    <x v="6"/>
    <x v="6"/>
    <m/>
    <s v="C03107"/>
    <s v="7-6-D80X"/>
    <s v="RT SS 8x8 D15 An TUM"/>
    <s v="RIV-"/>
    <s v="B"/>
    <n v="17200"/>
    <s v="PC"/>
    <s v="CNY"/>
    <n v="0.16120000000000001"/>
    <n v="2772.64"/>
  </r>
  <r>
    <x v="7"/>
    <x v="7"/>
    <m/>
    <s v="C03081"/>
    <s v="1-6-SS01A"/>
    <s v="SCR SS M6x20mm+WHR"/>
    <s v="SCR-"/>
    <s v="B"/>
    <n v="1030"/>
    <s v="PC"/>
    <s v="CNY"/>
    <n v="0.16500000000000001"/>
    <n v="169.95"/>
  </r>
  <r>
    <x v="10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10"/>
    <x v="10"/>
    <m/>
    <s v="M250349"/>
    <s v="1-7-BN312"/>
    <s v="P.BAG .03mmx19x19&quot;"/>
    <s v="BAG-"/>
    <s v="B"/>
    <n v="30000"/>
    <s v="PC"/>
    <s v="CNY"/>
    <n v="0.17299999999999999"/>
    <n v="5190"/>
  </r>
  <r>
    <x v="6"/>
    <x v="6"/>
    <m/>
    <s v="C03028"/>
    <s v="7-6-D81X"/>
    <s v="RT SS 8x10 D15 An TUM"/>
    <s v="RIV-"/>
    <s v="B"/>
    <n v="10000"/>
    <s v="PC"/>
    <s v="CNY"/>
    <n v="0.17649999999999999"/>
    <n v="1765"/>
  </r>
  <r>
    <x v="6"/>
    <x v="6"/>
    <m/>
    <s v="C03107"/>
    <s v="7-6-D81X"/>
    <s v="RT SS 8x10 D15 An TUM"/>
    <s v="RIV-"/>
    <s v="B"/>
    <n v="10000"/>
    <s v="PC"/>
    <s v="CNY"/>
    <n v="0.17649999999999999"/>
    <n v="1765"/>
  </r>
  <r>
    <x v="13"/>
    <x v="13"/>
    <m/>
    <s v="M250315"/>
    <s v="2-6-T0003A-R-BK01"/>
    <s v="9 DOTS SOLID SPOON PRESTIGE RCY BK01E"/>
    <s v="T&amp;G-"/>
    <s v="B"/>
    <n v="3500"/>
    <s v="PC"/>
    <s v="USD"/>
    <n v="0.18"/>
    <n v="630"/>
  </r>
  <r>
    <x v="13"/>
    <x v="13"/>
    <m/>
    <s v="M250317"/>
    <s v="2-6-T0003A-R-BK01"/>
    <s v="9 DOTS SOLID SPOON PRESTIGE RCY BK01E"/>
    <s v="T&amp;G-"/>
    <s v="B"/>
    <n v="1000"/>
    <s v="PC"/>
    <s v="USD"/>
    <n v="0.18"/>
    <n v="180"/>
  </r>
  <r>
    <x v="14"/>
    <x v="14"/>
    <m/>
    <s v="C03058"/>
    <s v="5-6-002"/>
    <s v="HANG RING SS TUM"/>
    <s v="MISC"/>
    <s v="B"/>
    <n v="4320"/>
    <s v="PC"/>
    <s v="CNY"/>
    <n v="0.18160000000000001"/>
    <n v="784.51"/>
  </r>
  <r>
    <x v="10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14"/>
    <x v="14"/>
    <m/>
    <s v="C03088"/>
    <s v="5-6-002"/>
    <s v="HANG RING SS TUM"/>
    <s v="MISC"/>
    <s v="B"/>
    <n v="1700"/>
    <s v="PC"/>
    <s v="CNY"/>
    <n v="0.18720000000000001"/>
    <n v="318.24"/>
  </r>
  <r>
    <x v="13"/>
    <x v="13"/>
    <m/>
    <s v="M250315"/>
    <s v="2-6-T0002A-R-BK01"/>
    <s v="9 DOTS SLOTTED SPOON PRESTIGE RCY BK01E"/>
    <s v="T&amp;G-"/>
    <s v="B"/>
    <n v="3500"/>
    <s v="PC"/>
    <s v="USD"/>
    <n v="0.2"/>
    <n v="700"/>
  </r>
  <r>
    <x v="13"/>
    <x v="13"/>
    <m/>
    <s v="M250317"/>
    <s v="2-6-T0002A-R-BK01"/>
    <s v="9 DOTS SLOTTED SPOON PRESTIGE RCY BK01E"/>
    <s v="T&amp;G-"/>
    <s v="B"/>
    <n v="1000"/>
    <s v="PC"/>
    <s v="USD"/>
    <n v="0.2"/>
    <n v="200"/>
  </r>
  <r>
    <x v="10"/>
    <x v="10"/>
    <m/>
    <s v="M250359"/>
    <s v="1-7-BB22"/>
    <s v="BUBBLE BAG 18&quot;x14&quot;"/>
    <s v="BAG-"/>
    <s v="B"/>
    <n v="1000"/>
    <s v="PC"/>
    <s v="CNY"/>
    <n v="0.215"/>
    <n v="215"/>
  </r>
  <r>
    <x v="9"/>
    <x v="9"/>
    <m/>
    <s v="M250350"/>
    <s v="1-8-PL12780-C"/>
    <s v="TCP STKR 18896-C MTL"/>
    <s v="STKR"/>
    <s v="B"/>
    <n v="102"/>
    <s v="PC"/>
    <s v="CNY"/>
    <n v="0.217"/>
    <n v="22.13"/>
  </r>
  <r>
    <x v="3"/>
    <x v="3"/>
    <m/>
    <s v="M250306"/>
    <s v="1-8-PU280"/>
    <s v="U&amp;C COOK'N LOOK INDUCTION (MXL)"/>
    <s v="U&amp;C-"/>
    <s v="B"/>
    <n v="3000"/>
    <s v="PC"/>
    <s v="CNY"/>
    <n v="0.21929999999999999"/>
    <n v="657.9"/>
  </r>
  <r>
    <x v="3"/>
    <x v="3"/>
    <m/>
    <s v="M250302"/>
    <s v="1-8-PU422"/>
    <s v="GENERIC U&amp;C+GUARANTEE E&amp;T (MTL)"/>
    <s v="U&amp;C-"/>
    <s v="B"/>
    <n v="5000"/>
    <s v="PC"/>
    <s v="CNY"/>
    <n v="0.222"/>
    <n v="1110"/>
  </r>
  <r>
    <x v="3"/>
    <x v="3"/>
    <m/>
    <s v="M250306"/>
    <s v="3-8-PU561-C"/>
    <s v="U&amp;C MEYER MIDNIGHT HA IH JAPANESE"/>
    <s v="U&amp;C-"/>
    <s v="B"/>
    <n v="1010"/>
    <s v="PC"/>
    <s v="CNY"/>
    <n v="0.22839999999999999"/>
    <n v="230.68"/>
  </r>
  <r>
    <x v="3"/>
    <x v="3"/>
    <m/>
    <s v="M250320"/>
    <s v="6-8-W002"/>
    <s v="WHITE WRAP PAPER 18x18&quot;38GSM"/>
    <s v="PAP-"/>
    <s v="B"/>
    <n v="10000"/>
    <s v="PC"/>
    <s v="CNY"/>
    <n v="0.23"/>
    <n v="2300"/>
  </r>
  <r>
    <x v="13"/>
    <x v="13"/>
    <m/>
    <s v="M250315"/>
    <s v="2-6-T0001A-R-BK01"/>
    <s v="9 DOTS SLOTTED TURNER PRESTIGE RCY BK01E"/>
    <s v="T&amp;G-"/>
    <s v="B"/>
    <n v="3500"/>
    <s v="PC"/>
    <s v="USD"/>
    <n v="0.23"/>
    <n v="805"/>
  </r>
  <r>
    <x v="13"/>
    <x v="13"/>
    <m/>
    <s v="M250317"/>
    <s v="2-6-T0001A-R-BK01"/>
    <s v="9 DOTS SLOTTED TURNER PRESTIGE RCY BK01E"/>
    <s v="T&amp;G-"/>
    <s v="B"/>
    <n v="1000"/>
    <s v="PC"/>
    <s v="USD"/>
    <n v="0.23"/>
    <n v="230"/>
  </r>
  <r>
    <x v="3"/>
    <x v="3"/>
    <m/>
    <s v="M250302"/>
    <s v="7-8-PU800A-C"/>
    <s v="U&amp;C 70346-C"/>
    <s v="U&amp;C-"/>
    <s v="B"/>
    <n v="9100"/>
    <s v="PC"/>
    <s v="CNY"/>
    <n v="0.23799999999999999"/>
    <n v="2165.8000000000002"/>
  </r>
  <r>
    <x v="15"/>
    <x v="15"/>
    <m/>
    <s v="C03110"/>
    <s v="7-6-083"/>
    <s v="SS RING WOK LID"/>
    <s v="MISC"/>
    <s v="B"/>
    <n v="2100"/>
    <s v="PC"/>
    <s v="CNY"/>
    <n v="0.24679999999999999"/>
    <n v="518.28"/>
  </r>
  <r>
    <x v="3"/>
    <x v="3"/>
    <m/>
    <s v="M250306"/>
    <s v="1-8-PU582A-C"/>
    <s v="U&amp;C MEYER X DISNEY EARTHEN (MJP)"/>
    <s v="U&amp;C-"/>
    <s v="B"/>
    <n v="5530"/>
    <s v="PC"/>
    <s v="CNY"/>
    <n v="0.252"/>
    <n v="1393.56"/>
  </r>
  <r>
    <x v="3"/>
    <x v="3"/>
    <m/>
    <s v="M250337"/>
    <s v="6-8-PG01"/>
    <s v="WARR CARD ANYDAY MCA"/>
    <s v="WACD"/>
    <s v="B"/>
    <n v="1000"/>
    <s v="PC"/>
    <s v="CNY"/>
    <n v="0.26800000000000002"/>
    <n v="268"/>
  </r>
  <r>
    <x v="10"/>
    <x v="10"/>
    <m/>
    <s v="M250119"/>
    <s v="1-7-BN321"/>
    <s v="PP BAG .03mmx11.8x14.6&quot;"/>
    <s v="BAG-"/>
    <s v="B"/>
    <n v="5000"/>
    <s v="PC"/>
    <s v="CNY"/>
    <n v="0.08"/>
    <n v="400"/>
  </r>
  <r>
    <x v="10"/>
    <x v="10"/>
    <m/>
    <s v="M250119"/>
    <s v="1-7-BN322"/>
    <s v="PP BAG .03mmx11.8x15.7&quot;"/>
    <s v="BAG-"/>
    <s v="B"/>
    <n v="5000"/>
    <s v="PC"/>
    <s v="CNY"/>
    <n v="8.5000000000000006E-2"/>
    <n v="425"/>
  </r>
  <r>
    <x v="10"/>
    <x v="10"/>
    <m/>
    <s v="M250119"/>
    <s v="1-7-BB11"/>
    <s v="BUBBEL BAG 13&quot;X13&quot;"/>
    <s v="BAG-"/>
    <s v="B"/>
    <n v="7000"/>
    <s v="PC"/>
    <s v="CNY"/>
    <n v="0.152"/>
    <n v="1064"/>
  </r>
  <r>
    <x v="10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0"/>
    <x v="10"/>
    <m/>
    <s v="M250222"/>
    <s v="1-7-BN320"/>
    <s v="PP BAG .03mmx10.6x11.8&quot;"/>
    <s v="BAG-"/>
    <s v="B"/>
    <n v="7160"/>
    <s v="PC"/>
    <s v="CNY"/>
    <n v="0.06"/>
    <n v="429.6"/>
  </r>
  <r>
    <x v="10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0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0"/>
    <x v="10"/>
    <m/>
    <s v="M250222"/>
    <s v="1-7-BN321"/>
    <s v="PP BAG .03mmx11.8x14.6&quot;"/>
    <s v="BAG-"/>
    <s v="B"/>
    <n v="3000"/>
    <s v="PC"/>
    <s v="CNY"/>
    <n v="0.08"/>
    <n v="240"/>
  </r>
  <r>
    <x v="10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0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0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0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0"/>
    <x v="10"/>
    <m/>
    <s v="M250222"/>
    <s v="1-7-BN317"/>
    <s v="PP BAG .03mmx15.4x21.7&quot;"/>
    <s v="BAG-"/>
    <s v="B"/>
    <n v="10000"/>
    <s v="PC"/>
    <s v="CNY"/>
    <n v="0.158"/>
    <n v="1580"/>
  </r>
  <r>
    <x v="10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0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0"/>
    <x v="10"/>
    <m/>
    <s v="M250222"/>
    <s v="1-7-BN312"/>
    <s v="P.BAG .03mmx19x19&quot;"/>
    <s v="BAG-"/>
    <s v="B"/>
    <n v="20000"/>
    <s v="PC"/>
    <s v="CNY"/>
    <n v="0.17299999999999999"/>
    <n v="3460"/>
  </r>
  <r>
    <x v="10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0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0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0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3"/>
    <x v="3"/>
    <m/>
    <s v="M250308"/>
    <s v="7-8-PU656"/>
    <s v="U&amp;C RACO"/>
    <s v="U&amp;C-"/>
    <s v="B"/>
    <n v="200"/>
    <s v="PC"/>
    <s v="CNY"/>
    <n v="0.27500000000000002"/>
    <n v="55"/>
  </r>
  <r>
    <x v="3"/>
    <x v="3"/>
    <m/>
    <s v="M250302"/>
    <s v="7-8-PU656"/>
    <s v="U&amp;C RACO"/>
    <s v="U&amp;C-"/>
    <s v="B"/>
    <n v="1000"/>
    <s v="PC"/>
    <s v="CNY"/>
    <n v="0.27500000000000002"/>
    <n v="275"/>
  </r>
  <r>
    <x v="3"/>
    <x v="3"/>
    <m/>
    <s v="M250337"/>
    <s v="7-9-ZAPU0043"/>
    <s v="U&amp;C CE NS"/>
    <s v="U&amp;C-"/>
    <s v="B"/>
    <n v="2000"/>
    <s v="PC"/>
    <s v="CNY"/>
    <n v="0.28000000000000003"/>
    <n v="560"/>
  </r>
  <r>
    <x v="3"/>
    <x v="3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3"/>
    <x v="3"/>
    <m/>
    <s v="M250320"/>
    <s v="6-8-W003"/>
    <s v="WHITE WRAP PAPER 22x22&quot;38GSM"/>
    <s v="PAP-"/>
    <s v="B"/>
    <n v="30000"/>
    <s v="PC"/>
    <s v="CNY"/>
    <n v="0.28999999999999998"/>
    <n v="8700"/>
  </r>
  <r>
    <x v="3"/>
    <x v="3"/>
    <m/>
    <s v="M250306"/>
    <s v="1-8-PU584-C"/>
    <s v="U&amp;C FOR MJP SHOP CHANNEL"/>
    <s v="U&amp;C-"/>
    <s v="B"/>
    <n v="1600"/>
    <s v="PC"/>
    <s v="CNY"/>
    <n v="0.29499999999999998"/>
    <n v="472"/>
  </r>
  <r>
    <x v="3"/>
    <x v="3"/>
    <m/>
    <s v="M250302"/>
    <s v="7-8-PU535"/>
    <s v="U&amp;C MEYER CENTENNIAL (MXL)"/>
    <s v="U&amp;C-"/>
    <s v="B"/>
    <n v="3100"/>
    <s v="PC"/>
    <s v="CNY"/>
    <n v="0.30759999999999998"/>
    <n v="953.56"/>
  </r>
  <r>
    <x v="3"/>
    <x v="3"/>
    <m/>
    <s v="M250335"/>
    <s v="6-8-W005"/>
    <s v="WHITE WRAP PAPER 24x24&quot; 38GSM"/>
    <s v="PAP-"/>
    <s v="B"/>
    <n v="3000"/>
    <s v="PC"/>
    <s v="CNY"/>
    <n v="0.36"/>
    <n v="1080"/>
  </r>
  <r>
    <x v="3"/>
    <x v="3"/>
    <m/>
    <s v="M250318"/>
    <s v="1-8-PG61E"/>
    <s v="WARR CARD RACO (MCA)"/>
    <s v="WACD"/>
    <s v="B"/>
    <n v="1000"/>
    <s v="PC"/>
    <s v="CNY"/>
    <n v="0.39200000000000002"/>
    <n v="392"/>
  </r>
  <r>
    <x v="3"/>
    <x v="3"/>
    <m/>
    <s v="M250335"/>
    <s v="6-8-W006"/>
    <s v="WHITE WRAP PAPER 26x26&quot; 38GSM"/>
    <s v="PAP-"/>
    <s v="B"/>
    <n v="7000"/>
    <s v="PC"/>
    <s v="CNY"/>
    <n v="0.42"/>
    <n v="2940"/>
  </r>
  <r>
    <x v="6"/>
    <x v="6"/>
    <m/>
    <s v="C03107"/>
    <s v="7-6-SS13"/>
    <s v="SCR S/S M5X130 W/S-WHR"/>
    <s v="SCR-"/>
    <s v="B"/>
    <n v="3050"/>
    <s v="PC"/>
    <s v="CNY"/>
    <n v="0.47449999999999998"/>
    <n v="1447.23"/>
  </r>
  <r>
    <x v="6"/>
    <x v="6"/>
    <m/>
    <s v="C03109"/>
    <s v="7-6-SS13"/>
    <s v="SCR S/S M5X130 W/S-WHR"/>
    <s v="SCR-"/>
    <s v="B"/>
    <n v="3600"/>
    <s v="PC"/>
    <s v="CNY"/>
    <n v="0.47449999999999998"/>
    <n v="1708.2"/>
  </r>
  <r>
    <x v="3"/>
    <x v="3"/>
    <m/>
    <s v="M250312"/>
    <s v="6-8-W004"/>
    <s v="WHITE WRAP PAPER 30x30&quot;38GSM"/>
    <s v="PAP-"/>
    <s v="B"/>
    <n v="15000"/>
    <s v="PC"/>
    <s v="CNY"/>
    <n v="0.47789999999999999"/>
    <n v="7168.5"/>
  </r>
  <r>
    <x v="14"/>
    <x v="14"/>
    <m/>
    <s v="C03088"/>
    <s v="1-6-141-Z"/>
    <s v="SS RING FOR KNOB N TUM"/>
    <s v="FG--"/>
    <s v="B"/>
    <n v="500"/>
    <s v="PC"/>
    <s v="CNY"/>
    <n v="0.4859"/>
    <n v="242.95"/>
  </r>
  <r>
    <x v="16"/>
    <x v="16"/>
    <m/>
    <s v="C03086"/>
    <s v="5-5-KAN01"/>
    <s v="KNOB AN G.BLK"/>
    <s v="KNOB"/>
    <s v="B"/>
    <n v="1120"/>
    <s v="PC"/>
    <s v="CNY"/>
    <n v="0.54969999999999997"/>
    <n v="615.66"/>
  </r>
  <r>
    <x v="14"/>
    <x v="14"/>
    <m/>
    <s v="C03088"/>
    <s v="1-6-BK193"/>
    <s v="BRKT FOR CAF30AK RT"/>
    <s v="BRKT"/>
    <s v="B"/>
    <n v="3100"/>
    <s v="PC"/>
    <s v="CNY"/>
    <n v="0.57750000000000001"/>
    <n v="1790.25"/>
  </r>
  <r>
    <x v="14"/>
    <x v="14"/>
    <m/>
    <s v="C03088"/>
    <s v="1-6-BK195"/>
    <s v="BRKT+NUT M5 QH TCK24AK C/C21 H5.5"/>
    <s v="BRKT"/>
    <s v="B"/>
    <n v="3100"/>
    <s v="PC"/>
    <s v="CNY"/>
    <n v="0.59809999999999997"/>
    <n v="1854.11"/>
  </r>
  <r>
    <x v="15"/>
    <x v="15"/>
    <m/>
    <s v="C03111"/>
    <s v="1-6-BK32"/>
    <s v="BRKT FOR BAF30FA"/>
    <s v="BRKT"/>
    <s v="B"/>
    <n v="1050"/>
    <s v="PC"/>
    <s v="CNY"/>
    <n v="0.60340000000000005"/>
    <n v="633.57000000000005"/>
  </r>
  <r>
    <x v="15"/>
    <x v="15"/>
    <m/>
    <s v="C03110"/>
    <s v="1-6-BK16"/>
    <s v="BRKT+NUT M5 DS R93 C/C25 H8.3"/>
    <s v="BRKT"/>
    <s v="B"/>
    <n v="1020"/>
    <s v="PC"/>
    <s v="CNY"/>
    <n v="0.60570000000000002"/>
    <n v="617.80999999999995"/>
  </r>
  <r>
    <x v="16"/>
    <x v="16"/>
    <m/>
    <s v="M250324"/>
    <s v="7-5-KZI-4"/>
    <s v="KNOB INS M.BLK MEYER"/>
    <s v="KNOB"/>
    <s v="B"/>
    <n v="850"/>
    <s v="PC"/>
    <s v="CNY"/>
    <n v="0.61839999999999995"/>
    <n v="525.64"/>
  </r>
  <r>
    <x v="15"/>
    <x v="15"/>
    <m/>
    <s v="C03110"/>
    <s v="1-6-F98-Y"/>
    <s v="FG SS FOR -LO-8 SUNRAYED"/>
    <s v="FG--"/>
    <s v="B"/>
    <n v="1010"/>
    <s v="PC"/>
    <s v="CNY"/>
    <n v="0.62919999999999998"/>
    <n v="635.49"/>
  </r>
  <r>
    <x v="17"/>
    <x v="17"/>
    <m/>
    <s v="C03039"/>
    <s v="1-5-KRA01-E"/>
    <s v="STD- KNOB RA BK01G"/>
    <s v="KNOB"/>
    <s v="O"/>
    <n v="4000"/>
    <s v="PC"/>
    <s v="CNY"/>
    <n v="0.6411"/>
    <n v="2564.4"/>
  </r>
  <r>
    <x v="15"/>
    <x v="15"/>
    <m/>
    <s v="C03110"/>
    <s v="1-6-F93-Y"/>
    <s v="FG SS BAF26FA SUNRAYED"/>
    <s v="FG--"/>
    <s v="B"/>
    <n v="1000"/>
    <s v="PC"/>
    <s v="CNY"/>
    <n v="0.64870000000000005"/>
    <n v="648.70000000000005"/>
  </r>
  <r>
    <x v="3"/>
    <x v="3"/>
    <m/>
    <s v="M250306"/>
    <s v="1-8-PU551D"/>
    <s v="GENERIC U&amp;C+WARR BOOKLET FOR MEYER"/>
    <s v="U&amp;C-"/>
    <s v="B"/>
    <n v="1010"/>
    <s v="PC"/>
    <s v="CNY"/>
    <n v="0.65"/>
    <n v="656.5"/>
  </r>
  <r>
    <x v="14"/>
    <x v="14"/>
    <m/>
    <s v="C03087"/>
    <s v="1-6-BK76"/>
    <s v="BRKT SS FOR SQ GRIDDLE"/>
    <s v="BRKT"/>
    <s v="B"/>
    <n v="1530"/>
    <s v="PC"/>
    <s v="CNY"/>
    <n v="0.6522"/>
    <n v="997.87"/>
  </r>
  <r>
    <x v="15"/>
    <x v="15"/>
    <m/>
    <s v="C03008"/>
    <s v="1-6-F92-Y"/>
    <s v="FG SS BAF20FA SUNRAYED"/>
    <s v="FG--"/>
    <s v="B"/>
    <n v="1040"/>
    <s v="PC"/>
    <s v="CNY"/>
    <n v="0.65390000000000004"/>
    <n v="680.06"/>
  </r>
  <r>
    <x v="15"/>
    <x v="15"/>
    <m/>
    <s v="C03110"/>
    <s v="1-6-F119-Y"/>
    <s v="FG SS BAF30FA SUNRAYED"/>
    <s v="FG--"/>
    <s v="B"/>
    <n v="1050"/>
    <s v="PC"/>
    <s v="CNY"/>
    <n v="0.65839999999999999"/>
    <n v="691.32"/>
  </r>
  <r>
    <x v="6"/>
    <x v="6"/>
    <m/>
    <s v="C03055"/>
    <s v="1-6-S96"/>
    <s v="SCR S/S M5x153mm W/WHR"/>
    <s v="SCR-"/>
    <s v="B"/>
    <n v="2000"/>
    <s v="PC"/>
    <s v="CNY"/>
    <n v="0.67030000000000001"/>
    <n v="1340.6"/>
  </r>
  <r>
    <x v="3"/>
    <x v="3"/>
    <m/>
    <s v="M250137"/>
    <s v="6-8-PW32A"/>
    <s v="RECIPES MICROWAVE COOKING 101"/>
    <s v="BHRE"/>
    <s v="B"/>
    <n v="2850"/>
    <s v="PC"/>
    <s v="CNY"/>
    <n v="2.79"/>
    <n v="7951.5"/>
  </r>
  <r>
    <x v="6"/>
    <x v="6"/>
    <m/>
    <s v="C03108"/>
    <s v="1-6-S96"/>
    <s v="SCR S/S M5x153mm W/WHR"/>
    <s v="SCR-"/>
    <s v="B"/>
    <n v="1600"/>
    <s v="PC"/>
    <s v="CNY"/>
    <n v="0.67030000000000001"/>
    <n v="1072.48"/>
  </r>
  <r>
    <x v="6"/>
    <x v="6"/>
    <m/>
    <s v="C03107"/>
    <s v="1-6-S96"/>
    <s v="SCR S/S M5x153mm W/WHR"/>
    <s v="SCR-"/>
    <s v="B"/>
    <n v="1500"/>
    <s v="PC"/>
    <s v="CNY"/>
    <n v="0.67030000000000001"/>
    <n v="1005.45"/>
  </r>
  <r>
    <x v="6"/>
    <x v="6"/>
    <m/>
    <s v="C03109"/>
    <s v="1-6-S96"/>
    <s v="SCR S/S M5x153mm W/WHR"/>
    <s v="SCR-"/>
    <s v="B"/>
    <n v="3000"/>
    <s v="PC"/>
    <s v="CNY"/>
    <n v="0.67030000000000001"/>
    <n v="2010.9"/>
  </r>
  <r>
    <x v="18"/>
    <x v="18"/>
    <m/>
    <s v="X250102"/>
    <s v="7-8-C70298-C"/>
    <s v="COL BOX 70298-C"/>
    <s v="BOX-"/>
    <s v="B"/>
    <n v="2000"/>
    <s v="PC"/>
    <s v="CNY"/>
    <n v="3.08"/>
    <n v="6160"/>
  </r>
  <r>
    <x v="18"/>
    <x v="18"/>
    <m/>
    <s v="X250102"/>
    <s v="7-8-C70040-C"/>
    <s v="COL BOX 70040-C"/>
    <s v="BOX-"/>
    <s v="B"/>
    <n v="1090"/>
    <s v="PC"/>
    <s v="CNY"/>
    <n v="4.8499999999999996"/>
    <n v="5286.5"/>
  </r>
  <r>
    <x v="18"/>
    <x v="18"/>
    <m/>
    <s v="X250121"/>
    <s v="6-8-F62070-C"/>
    <s v="FP BROWN BOX 62070-C"/>
    <s v="BOX-"/>
    <s v="B"/>
    <n v="2020"/>
    <s v="PC"/>
    <s v="CNY"/>
    <n v="1.94"/>
    <n v="3918.8"/>
  </r>
  <r>
    <x v="18"/>
    <x v="18"/>
    <m/>
    <s v="X250121"/>
    <s v="6-8-F62071-C"/>
    <s v="FP BROWN BOX 62071-C"/>
    <s v="BOX-"/>
    <s v="B"/>
    <n v="2020"/>
    <s v="PC"/>
    <s v="CNY"/>
    <n v="2.0299999999999998"/>
    <n v="4100.6000000000004"/>
  </r>
  <r>
    <x v="18"/>
    <x v="18"/>
    <m/>
    <s v="X250122"/>
    <s v="3-8-C84772-C--E-F"/>
    <s v="COL SLV 84772-C--E (FSC)"/>
    <s v="BOX-"/>
    <s v="B"/>
    <n v="1010"/>
    <s v="PC"/>
    <s v="CNY"/>
    <n v="2.5"/>
    <n v="2525"/>
  </r>
  <r>
    <x v="18"/>
    <x v="18"/>
    <m/>
    <s v="X250121"/>
    <s v="6-8-F62073-C"/>
    <s v="FP BROWN BOX 62073-C"/>
    <s v="BOX-"/>
    <s v="B"/>
    <n v="2020"/>
    <s v="PC"/>
    <s v="CNY"/>
    <n v="2.52"/>
    <n v="5090.3999999999996"/>
  </r>
  <r>
    <x v="18"/>
    <x v="18"/>
    <m/>
    <s v="X250121"/>
    <s v="6-8-F62072-C"/>
    <s v="FP BROWN BOX 62072-C"/>
    <s v="BOX-"/>
    <s v="B"/>
    <n v="2020"/>
    <s v="PC"/>
    <s v="CNY"/>
    <n v="2.6"/>
    <n v="5252"/>
  </r>
  <r>
    <x v="18"/>
    <x v="18"/>
    <m/>
    <s v="X250121"/>
    <s v="6-8-F62074-C"/>
    <s v="FP BROWN BOX 62074-C"/>
    <s v="BOX-"/>
    <s v="B"/>
    <n v="2020"/>
    <s v="PC"/>
    <s v="CNY"/>
    <n v="2.76"/>
    <n v="5575.2"/>
  </r>
  <r>
    <x v="18"/>
    <x v="18"/>
    <m/>
    <s v="X250117"/>
    <s v="7-8-C70042-C"/>
    <s v="COL BOX 70042-C"/>
    <s v="BOX-"/>
    <s v="B"/>
    <n v="2020"/>
    <s v="PC"/>
    <s v="CNY"/>
    <n v="3.05"/>
    <n v="6161"/>
  </r>
  <r>
    <x v="18"/>
    <x v="18"/>
    <m/>
    <s v="X250122"/>
    <s v="7-8-C71809A-C--E-F"/>
    <s v="COL SLV 71809-C--E (FSC)"/>
    <s v="BOX-"/>
    <s v="B"/>
    <n v="1010"/>
    <s v="PC"/>
    <s v="CNY"/>
    <n v="3.08"/>
    <n v="3110.8"/>
  </r>
  <r>
    <x v="18"/>
    <x v="18"/>
    <m/>
    <s v="X250121"/>
    <s v="6-8-F62075-C"/>
    <s v="FP BROWN BOX 62075-C"/>
    <s v="BOX-"/>
    <s v="B"/>
    <n v="2020"/>
    <s v="PC"/>
    <s v="CNY"/>
    <n v="3.23"/>
    <n v="6524.6"/>
  </r>
  <r>
    <x v="18"/>
    <x v="18"/>
    <m/>
    <s v="X250115"/>
    <s v="7-8-F76793-C"/>
    <s v="BROWN BOX 76793-C"/>
    <s v="BOX-"/>
    <s v="B"/>
    <n v="505"/>
    <s v="PC"/>
    <s v="CNY"/>
    <n v="3.49"/>
    <n v="1762.45"/>
  </r>
  <r>
    <x v="18"/>
    <x v="18"/>
    <m/>
    <s v="X250121"/>
    <s v="6-8-F62076-C"/>
    <s v="FP BROWN BOX 62076-C"/>
    <s v="BOX-"/>
    <s v="B"/>
    <n v="2020"/>
    <s v="PC"/>
    <s v="CNY"/>
    <n v="3.94"/>
    <n v="7958.8"/>
  </r>
  <r>
    <x v="18"/>
    <x v="18"/>
    <m/>
    <s v="X250121"/>
    <s v="6-8-F62061-C"/>
    <s v="FP BOX 62061-C"/>
    <s v="BOX-"/>
    <s v="B"/>
    <n v="2200"/>
    <s v="PC"/>
    <s v="CNY"/>
    <n v="4.45"/>
    <n v="9790"/>
  </r>
  <r>
    <x v="18"/>
    <x v="18"/>
    <m/>
    <s v="X250121"/>
    <s v="6-8-F62018-C"/>
    <s v="FP BOX 62018-C"/>
    <s v="BOX-"/>
    <s v="B"/>
    <n v="1150"/>
    <s v="PC"/>
    <s v="CNY"/>
    <n v="4.7699999999999996"/>
    <n v="5485.5"/>
  </r>
  <r>
    <x v="18"/>
    <x v="18"/>
    <m/>
    <s v="X250117"/>
    <s v="7-8-C72042"/>
    <s v="COL BOX 72042"/>
    <s v="BOX-"/>
    <s v="B"/>
    <n v="1010"/>
    <s v="PC"/>
    <s v="CNY"/>
    <n v="4.9800000000000004"/>
    <n v="5029.8"/>
  </r>
  <r>
    <x v="18"/>
    <x v="18"/>
    <m/>
    <s v="X250117"/>
    <s v="7-8-C72043"/>
    <s v="COL BOX 72043"/>
    <s v="BOX-"/>
    <s v="B"/>
    <n v="1010"/>
    <s v="PC"/>
    <s v="CNY"/>
    <n v="5.46"/>
    <n v="5514.6"/>
  </r>
  <r>
    <x v="18"/>
    <x v="18"/>
    <m/>
    <s v="X250121"/>
    <s v="6-8-F62077-C"/>
    <s v="FP BROWN BOX 62077-C"/>
    <s v="BOX-"/>
    <s v="B"/>
    <n v="2020"/>
    <s v="PC"/>
    <s v="CNY"/>
    <n v="5.64"/>
    <n v="11392.8"/>
  </r>
  <r>
    <x v="18"/>
    <x v="18"/>
    <m/>
    <s v="X250121"/>
    <s v="6-8-F62078-C"/>
    <s v="FP BROWN BOX 62078-C"/>
    <s v="BOX-"/>
    <s v="B"/>
    <n v="2020"/>
    <s v="PC"/>
    <s v="CNY"/>
    <n v="5.64"/>
    <n v="11392.8"/>
  </r>
  <r>
    <x v="18"/>
    <x v="18"/>
    <m/>
    <s v="X250117"/>
    <s v="1-8-C18886"/>
    <s v="COL BOX 18886"/>
    <s v="BOX-"/>
    <s v="B"/>
    <n v="1010"/>
    <s v="PC"/>
    <s v="CNY"/>
    <n v="6.27"/>
    <n v="6332.7"/>
  </r>
  <r>
    <x v="18"/>
    <x v="18"/>
    <m/>
    <s v="X250121"/>
    <s v="6-8-F62019-C"/>
    <s v="FP BOX 62019-C"/>
    <s v="BOX-"/>
    <s v="B"/>
    <n v="2120"/>
    <s v="PC"/>
    <s v="CNY"/>
    <n v="7.13"/>
    <n v="15115.6"/>
  </r>
  <r>
    <x v="18"/>
    <x v="18"/>
    <m/>
    <s v="X250117"/>
    <s v="7-8-C70238"/>
    <s v="COL BOX 70238"/>
    <s v="BOX-"/>
    <s v="B"/>
    <n v="1010"/>
    <s v="PC"/>
    <s v="CNY"/>
    <n v="7.6"/>
    <n v="7676"/>
  </r>
  <r>
    <x v="18"/>
    <x v="18"/>
    <m/>
    <s v="X250122"/>
    <s v="3-8-C84779-C--E-F"/>
    <s v="T-BOX 84779-C--E (FSC)"/>
    <s v="BOX-"/>
    <s v="B"/>
    <n v="1510"/>
    <s v="PC"/>
    <s v="CNY"/>
    <n v="7.75"/>
    <n v="11702.5"/>
  </r>
  <r>
    <x v="18"/>
    <x v="18"/>
    <m/>
    <s v="X250117"/>
    <s v="1-8-C18896"/>
    <s v="COL BOX 18896"/>
    <s v="BOX-"/>
    <s v="B"/>
    <n v="1010"/>
    <s v="PC"/>
    <s v="CNY"/>
    <n v="7.86"/>
    <n v="7938.6"/>
  </r>
  <r>
    <x v="18"/>
    <x v="18"/>
    <m/>
    <s v="X250117"/>
    <s v="7-8-C70755C-C"/>
    <s v="5C BOX 70755-C"/>
    <s v="BOX-"/>
    <s v="B"/>
    <n v="1010"/>
    <s v="PC"/>
    <s v="CNY"/>
    <n v="7.87"/>
    <n v="7948.7"/>
  </r>
  <r>
    <x v="18"/>
    <x v="18"/>
    <m/>
    <s v="X250117"/>
    <s v="7-8-C77260"/>
    <s v="COL BOX 77260"/>
    <s v="BOX-"/>
    <s v="B"/>
    <n v="1010"/>
    <s v="PC"/>
    <s v="CNY"/>
    <n v="8.59"/>
    <n v="8675.9"/>
  </r>
  <r>
    <x v="18"/>
    <x v="18"/>
    <m/>
    <s v="X250121"/>
    <s v="6-8-F62063-C"/>
    <s v="FP BOX 62063-C"/>
    <s v="BOX-"/>
    <s v="B"/>
    <n v="1000"/>
    <s v="PC"/>
    <s v="CNY"/>
    <n v="9.15"/>
    <n v="9150"/>
  </r>
  <r>
    <x v="18"/>
    <x v="18"/>
    <m/>
    <s v="X250118"/>
    <s v="3-8-C84773-C--E-F"/>
    <s v="COL BOX 84773-C--E (FSC)"/>
    <s v="BOX-"/>
    <s v="B"/>
    <n v="505"/>
    <s v="PC"/>
    <s v="CNY"/>
    <n v="9.33"/>
    <n v="4711.6499999999996"/>
  </r>
  <r>
    <x v="18"/>
    <x v="18"/>
    <m/>
    <s v="X250117"/>
    <s v="7-8-C72178"/>
    <s v="COL BOX 72178"/>
    <s v="BOX-"/>
    <s v="B"/>
    <n v="1010"/>
    <s v="PC"/>
    <s v="CNY"/>
    <n v="10.3"/>
    <n v="10403"/>
  </r>
  <r>
    <x v="18"/>
    <x v="18"/>
    <m/>
    <s v="X250117"/>
    <s v="7-8-C72081"/>
    <s v="COL BOX 72081"/>
    <s v="BOX-"/>
    <s v="B"/>
    <n v="505"/>
    <s v="PC"/>
    <s v="CNY"/>
    <n v="12.45"/>
    <n v="6287.25"/>
  </r>
  <r>
    <x v="18"/>
    <x v="18"/>
    <m/>
    <s v="X250118"/>
    <s v="3-8-C84782-C--E-F"/>
    <s v="COL BOX 84782-C--E (FSC)"/>
    <s v="BOX-"/>
    <s v="B"/>
    <n v="1010"/>
    <s v="PC"/>
    <s v="CNY"/>
    <n v="15.95"/>
    <n v="16109.5"/>
  </r>
  <r>
    <x v="19"/>
    <x v="19"/>
    <m/>
    <s v="X250128"/>
    <s v="1-8-F19145----J-F"/>
    <s v="FP BOX 19145----J (FSC)"/>
    <s v="BOX-"/>
    <s v="B"/>
    <n v="3050"/>
    <s v="PC"/>
    <s v="CNY"/>
    <n v="3.18"/>
    <n v="9699"/>
  </r>
  <r>
    <x v="19"/>
    <x v="19"/>
    <m/>
    <s v="X250128"/>
    <s v="1-8-F19146----J-F"/>
    <s v="FP BOX 19146----J (FSC)"/>
    <s v="BOX-"/>
    <s v="B"/>
    <n v="3000"/>
    <s v="PC"/>
    <s v="CNY"/>
    <n v="5"/>
    <n v="15000"/>
  </r>
  <r>
    <x v="18"/>
    <x v="18"/>
    <m/>
    <s v="X250134"/>
    <s v="7-8-C70040-C"/>
    <s v="COL BOX 70040-C"/>
    <s v="BOX-"/>
    <s v="B"/>
    <n v="910"/>
    <s v="PC"/>
    <s v="CNY"/>
    <n v="5.2"/>
    <n v="4732"/>
  </r>
  <r>
    <x v="18"/>
    <x v="18"/>
    <m/>
    <s v="X250137"/>
    <s v="1-8-F91262-Z"/>
    <s v="BROWN BOX 91262-Z"/>
    <s v="BOX-"/>
    <s v="B"/>
    <n v="505"/>
    <s v="PC"/>
    <s v="CNY"/>
    <n v="3.81"/>
    <n v="1924.05"/>
  </r>
  <r>
    <x v="18"/>
    <x v="18"/>
    <m/>
    <s v="X250137"/>
    <s v="1-8-F91264-Z"/>
    <s v="BROWN BOX 91260-Z"/>
    <s v="BOX-"/>
    <s v="B"/>
    <n v="505"/>
    <s v="PC"/>
    <s v="CNY"/>
    <n v="4.49"/>
    <n v="2267.4499999999998"/>
  </r>
  <r>
    <x v="18"/>
    <x v="18"/>
    <m/>
    <s v="X250137"/>
    <s v="1-8-F19131-Z"/>
    <s v="BROWN BOX 19131-Z"/>
    <s v="BOX-"/>
    <s v="B"/>
    <n v="500"/>
    <s v="PC"/>
    <s v="CNY"/>
    <n v="4.49"/>
    <n v="2245"/>
  </r>
  <r>
    <x v="18"/>
    <x v="18"/>
    <m/>
    <s v="X250137"/>
    <s v="3-8-F88072-Z"/>
    <s v="BROWN BOX 88072-Z"/>
    <s v="BOX-"/>
    <s v="B"/>
    <n v="500"/>
    <s v="PC"/>
    <s v="CNY"/>
    <n v="4.49"/>
    <n v="2245"/>
  </r>
  <r>
    <x v="18"/>
    <x v="18"/>
    <m/>
    <s v="X250137"/>
    <s v="1-8-F91266-Z"/>
    <s v="BROWN BOX 91266-Z"/>
    <s v="BOX-"/>
    <s v="B"/>
    <n v="505"/>
    <s v="PC"/>
    <s v="CNY"/>
    <n v="5.17"/>
    <n v="2610.85"/>
  </r>
  <r>
    <x v="18"/>
    <x v="18"/>
    <m/>
    <s v="X250137"/>
    <s v="1-8-F91265-Z"/>
    <s v="BROWN BOX 91265-Z"/>
    <s v="BOX-"/>
    <s v="B"/>
    <n v="505"/>
    <s v="PC"/>
    <s v="CNY"/>
    <n v="5.41"/>
    <n v="2732.05"/>
  </r>
  <r>
    <x v="18"/>
    <x v="18"/>
    <m/>
    <s v="X250137"/>
    <s v="1-8-F91263-Z"/>
    <s v="BROWN BOX 91263-Z"/>
    <s v="BOX-"/>
    <s v="B"/>
    <n v="505"/>
    <s v="PC"/>
    <s v="CNY"/>
    <n v="5.45"/>
    <n v="2752.25"/>
  </r>
  <r>
    <x v="18"/>
    <x v="18"/>
    <m/>
    <s v="X250201"/>
    <s v="1-8-C18885"/>
    <s v="COL BOX 18885"/>
    <s v="BOX-"/>
    <s v="B"/>
    <n v="505"/>
    <s v="PC"/>
    <s v="CNY"/>
    <n v="5.18"/>
    <n v="2615.9"/>
  </r>
  <r>
    <x v="18"/>
    <x v="18"/>
    <m/>
    <s v="X250201"/>
    <s v="7-8-C70042-C"/>
    <s v="COL BOX 70042-C"/>
    <s v="BOX-"/>
    <s v="B"/>
    <n v="500"/>
    <s v="PC"/>
    <s v="CNY"/>
    <n v="5.55"/>
    <n v="2775"/>
  </r>
  <r>
    <x v="18"/>
    <x v="18"/>
    <m/>
    <s v="X250217"/>
    <s v="1-8-C18885"/>
    <s v="COL BOX 18885"/>
    <s v="BOX-"/>
    <s v="B"/>
    <n v="500"/>
    <s v="PC"/>
    <s v="CNY"/>
    <n v="5.18"/>
    <n v="2590"/>
  </r>
  <r>
    <x v="18"/>
    <x v="18"/>
    <m/>
    <s v="X250213"/>
    <s v="7-8-C70042-C"/>
    <s v="COL BOX 70042-C"/>
    <s v="BOX-"/>
    <s v="B"/>
    <n v="2020"/>
    <s v="PC"/>
    <s v="CNY"/>
    <n v="3.05"/>
    <n v="6161"/>
  </r>
  <r>
    <x v="18"/>
    <x v="18"/>
    <m/>
    <s v="X250213"/>
    <s v="7-8-C76128A-C"/>
    <s v="COL BOX 76128-C"/>
    <s v="BOX-"/>
    <s v="B"/>
    <n v="2020"/>
    <s v="PC"/>
    <s v="CNY"/>
    <n v="3.87"/>
    <n v="7817.4"/>
  </r>
  <r>
    <x v="18"/>
    <x v="18"/>
    <m/>
    <s v="X250212"/>
    <s v="6-8-F62018-C"/>
    <s v="FP BOX 62018-C"/>
    <s v="BOX-"/>
    <s v="B"/>
    <n v="2020"/>
    <s v="PC"/>
    <s v="CNY"/>
    <n v="4.7699999999999996"/>
    <n v="9635.4"/>
  </r>
  <r>
    <x v="18"/>
    <x v="18"/>
    <m/>
    <s v="X250213"/>
    <s v="7-8-C76129A-C"/>
    <s v="COL BOX 76129-C"/>
    <s v="BOX-"/>
    <s v="B"/>
    <n v="2020"/>
    <s v="PC"/>
    <s v="CNY"/>
    <n v="5.04"/>
    <n v="10180.799999999999"/>
  </r>
  <r>
    <x v="18"/>
    <x v="18"/>
    <m/>
    <s v="X250212"/>
    <s v="6-8-F62063-C"/>
    <s v="FP BOX 62063-C"/>
    <s v="BOX-"/>
    <s v="B"/>
    <n v="1200"/>
    <s v="PC"/>
    <s v="CNY"/>
    <n v="6.88"/>
    <n v="8256"/>
  </r>
  <r>
    <x v="18"/>
    <x v="18"/>
    <m/>
    <s v="X250212"/>
    <s v="6-8-F62019-C"/>
    <s v="FP BOX 62019-C"/>
    <s v="BOX-"/>
    <s v="B"/>
    <n v="2020"/>
    <s v="PC"/>
    <s v="CNY"/>
    <n v="7.13"/>
    <n v="14402.6"/>
  </r>
  <r>
    <x v="18"/>
    <x v="18"/>
    <m/>
    <s v="X250213"/>
    <s v="5-8-C50049G-C--E"/>
    <s v="5C BOX 50049-C--E"/>
    <s v="BOX-"/>
    <s v="B"/>
    <n v="1010"/>
    <s v="PC"/>
    <s v="CNY"/>
    <n v="8.2200000000000006"/>
    <n v="8302.2000000000007"/>
  </r>
  <r>
    <x v="18"/>
    <x v="18"/>
    <m/>
    <s v="X250213"/>
    <s v="5-8-C50049G-C--E"/>
    <s v="5C BOX 50049-C--E"/>
    <s v="BOX-"/>
    <s v="B"/>
    <n v="1010"/>
    <s v="PC"/>
    <s v="CNY"/>
    <n v="8.2200000000000006"/>
    <n v="8302.2000000000007"/>
  </r>
  <r>
    <x v="18"/>
    <x v="18"/>
    <m/>
    <s v="X250213"/>
    <s v="7-8-C70158A-C"/>
    <s v="4C BOX 70158-C"/>
    <s v="BOX-"/>
    <s v="B"/>
    <n v="1010"/>
    <s v="PC"/>
    <s v="CNY"/>
    <n v="12.85"/>
    <n v="12978.5"/>
  </r>
  <r>
    <x v="18"/>
    <x v="18"/>
    <m/>
    <s v="X250213"/>
    <s v="5-8-C50049G-C--E"/>
    <s v="5C BOX 50049-C--E"/>
    <s v="BOX-"/>
    <s v="B"/>
    <n v="1010"/>
    <s v="PC"/>
    <s v="CNY"/>
    <n v="12.95"/>
    <n v="13079.5"/>
  </r>
  <r>
    <x v="18"/>
    <x v="18"/>
    <m/>
    <s v="X250224"/>
    <s v="7-8-C70294-C"/>
    <s v="COL BOX 70294-C"/>
    <s v="BOX-"/>
    <s v="B"/>
    <n v="505"/>
    <s v="PC"/>
    <s v="CNY"/>
    <n v="12.21"/>
    <n v="6166.05"/>
  </r>
  <r>
    <x v="18"/>
    <x v="18"/>
    <m/>
    <s v="X250226"/>
    <s v="1-8-F91258-Z"/>
    <s v="BROWN BOX 91258-Z"/>
    <s v="BOX-"/>
    <s v="B"/>
    <n v="505"/>
    <s v="PC"/>
    <s v="CNY"/>
    <n v="5.17"/>
    <n v="2610.85"/>
  </r>
  <r>
    <x v="18"/>
    <x v="18"/>
    <m/>
    <s v="X250228"/>
    <s v="7-8-C76133-C"/>
    <s v="COL BOX 76133-C"/>
    <s v="BOX-"/>
    <s v="B"/>
    <n v="1500"/>
    <s v="PC"/>
    <s v="CNY"/>
    <n v="3.16"/>
    <n v="4740"/>
  </r>
  <r>
    <x v="14"/>
    <x v="14"/>
    <m/>
    <s v="C03010"/>
    <s v="3-6-FHSS313"/>
    <s v="FG SS 313 FOR EBD18IA"/>
    <s v="FG--"/>
    <s v="B"/>
    <n v="520"/>
    <s v="PC"/>
    <s v="CNY"/>
    <n v="0.67430000000000001"/>
    <n v="350.64"/>
  </r>
  <r>
    <x v="14"/>
    <x v="14"/>
    <m/>
    <s v="C03087"/>
    <s v="1-6-BK47"/>
    <s v="BRKT SS 24CM FRYPAN"/>
    <s v="BRKT"/>
    <s v="B"/>
    <n v="1030"/>
    <s v="PC"/>
    <s v="CNY"/>
    <n v="0.68369999999999997"/>
    <n v="704.21"/>
  </r>
  <r>
    <x v="14"/>
    <x v="14"/>
    <m/>
    <s v="C03087"/>
    <s v="1-6-BK48"/>
    <s v="BRKT SS 26CM FRYPAN"/>
    <s v="BRKT"/>
    <s v="B"/>
    <n v="1550"/>
    <s v="PC"/>
    <s v="CNY"/>
    <n v="0.68369999999999997"/>
    <n v="1059.74"/>
  </r>
  <r>
    <x v="14"/>
    <x v="14"/>
    <m/>
    <s v="C03087"/>
    <s v="1-6-BK48"/>
    <s v="BRKT SS 26CM FRYPAN"/>
    <s v="BRKT"/>
    <s v="B"/>
    <n v="500"/>
    <s v="PC"/>
    <s v="CNY"/>
    <n v="0.68369999999999997"/>
    <n v="341.85"/>
  </r>
  <r>
    <x v="14"/>
    <x v="14"/>
    <m/>
    <s v="C03087"/>
    <s v="1-6-BK47"/>
    <s v="BRKT SS 24CM FRYPAN"/>
    <s v="BRKT"/>
    <s v="B"/>
    <n v="500"/>
    <s v="PC"/>
    <s v="CNY"/>
    <n v="0.68369999999999997"/>
    <n v="341.85"/>
  </r>
  <r>
    <x v="15"/>
    <x v="15"/>
    <m/>
    <s v="C03110"/>
    <s v="1-6-BK18"/>
    <s v="BRKT+NUT M5 DS BAF26FA C/C25 H8.3"/>
    <s v="BRKT"/>
    <s v="B"/>
    <n v="750"/>
    <s v="PC"/>
    <s v="CNY"/>
    <n v="0.68969999999999998"/>
    <n v="517.28"/>
  </r>
  <r>
    <x v="20"/>
    <x v="20"/>
    <m/>
    <s v="C03049"/>
    <s v="1-5-KZE-2"/>
    <s v="KNOB Z M.BLK"/>
    <s v="KNOB"/>
    <s v="B"/>
    <n v="1030"/>
    <s v="PC"/>
    <s v="CNY"/>
    <n v="0.7"/>
    <n v="721"/>
  </r>
  <r>
    <x v="21"/>
    <x v="21"/>
    <m/>
    <s v="C03089"/>
    <s v="1-5-KNE-2"/>
    <s v="KNOB N M.BLK"/>
    <s v="KNOB"/>
    <s v="B"/>
    <n v="500"/>
    <s v="PC"/>
    <s v="CNY"/>
    <n v="0.70320000000000005"/>
    <n v="351.6"/>
  </r>
  <r>
    <x v="14"/>
    <x v="14"/>
    <m/>
    <s v="C03058"/>
    <s v="1-6-BK191"/>
    <s v="BRKT+NUT M5 BAD24IA C/C25 H8.3"/>
    <s v="BRKT"/>
    <s v="B"/>
    <n v="1030"/>
    <s v="PC"/>
    <s v="CNY"/>
    <n v="0.71870000000000001"/>
    <n v="740.26"/>
  </r>
  <r>
    <x v="14"/>
    <x v="14"/>
    <m/>
    <s v="C03058"/>
    <s v="1-6-BK191"/>
    <s v="BRKT+NUT M5 BAD24IA C/C25 H8.3"/>
    <s v="BRKT"/>
    <s v="B"/>
    <n v="610"/>
    <s v="PC"/>
    <s v="CNY"/>
    <n v="0.71870000000000001"/>
    <n v="438.41"/>
  </r>
  <r>
    <x v="20"/>
    <x v="20"/>
    <m/>
    <s v="C03094"/>
    <s v="1-6-FHSS107"/>
    <s v="FG AL SS 107 R122.50"/>
    <s v="FG--"/>
    <s v="B"/>
    <n v="2030"/>
    <s v="PC"/>
    <s v="CNY"/>
    <n v="0.77500000000000002"/>
    <n v="1573.25"/>
  </r>
  <r>
    <x v="17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2"/>
    <x v="22"/>
    <m/>
    <s v="C03013"/>
    <s v="1-6-708-B"/>
    <s v="SILICONE RUBBER KNOB BU47A"/>
    <s v="KNOB"/>
    <s v="B"/>
    <n v="3050"/>
    <s v="PC"/>
    <s v="CNY"/>
    <n v="0.8"/>
    <n v="2440"/>
  </r>
  <r>
    <x v="22"/>
    <x v="22"/>
    <m/>
    <s v="C03013"/>
    <s v="1-6-708-C"/>
    <s v="SILICONE RUBBER KNOB BK01A"/>
    <s v="KNOB"/>
    <s v="B"/>
    <n v="2900"/>
    <s v="PC"/>
    <s v="CNY"/>
    <n v="0.8"/>
    <n v="2320"/>
  </r>
  <r>
    <x v="22"/>
    <x v="22"/>
    <m/>
    <s v="C03035"/>
    <s v="1-6-708-A"/>
    <s v="SILICONE RUBBER KNOB GN36A"/>
    <s v="KNOB"/>
    <s v="B"/>
    <n v="6000"/>
    <s v="PC"/>
    <s v="CNY"/>
    <n v="0.8"/>
    <n v="4800"/>
  </r>
  <r>
    <x v="22"/>
    <x v="22"/>
    <m/>
    <s v="C03035"/>
    <s v="1-6-708-B"/>
    <s v="SILICONE RUBBER KNOB BU47A"/>
    <s v="KNOB"/>
    <s v="B"/>
    <n v="2100"/>
    <s v="PC"/>
    <s v="CNY"/>
    <n v="0.8"/>
    <n v="1680"/>
  </r>
  <r>
    <x v="22"/>
    <x v="22"/>
    <m/>
    <s v="C03035"/>
    <s v="1-6-708-C"/>
    <s v="SILICONE RUBBER KNOB BK01A"/>
    <s v="KNOB"/>
    <s v="B"/>
    <n v="4050"/>
    <s v="PC"/>
    <s v="CNY"/>
    <n v="0.8"/>
    <n v="3240"/>
  </r>
  <r>
    <x v="22"/>
    <x v="22"/>
    <m/>
    <s v="C03035"/>
    <s v="1-6-708-A"/>
    <s v="SILICONE RUBBER KNOB GN36A"/>
    <s v="KNOB"/>
    <s v="B"/>
    <n v="500"/>
    <s v="PC"/>
    <s v="CNY"/>
    <n v="0.8"/>
    <n v="400"/>
  </r>
  <r>
    <x v="3"/>
    <x v="3"/>
    <m/>
    <s v="RTV-0087"/>
    <s v="6-8-X027"/>
    <s v="PRINT MAT'L ANYDAY CLEAR GLASS DISHES"/>
    <s v="PRIM"/>
    <s v="B"/>
    <n v="-1200"/>
    <s v="PC"/>
    <s v="CNY"/>
    <n v="0.82"/>
    <n v="-984"/>
  </r>
  <r>
    <x v="3"/>
    <x v="3"/>
    <m/>
    <s v="M250319"/>
    <s v="6-8-X027"/>
    <s v="PRINT MAT'L ANYDAY CLEAR GLASS DISHES"/>
    <s v="PRIM"/>
    <s v="B"/>
    <n v="1200"/>
    <s v="PC"/>
    <s v="CNY"/>
    <n v="0.82"/>
    <n v="984"/>
  </r>
  <r>
    <x v="20"/>
    <x v="20"/>
    <m/>
    <s v="C03094"/>
    <s v="1-6-FHSS203"/>
    <s v="FG AL SS 203 BAG20IA"/>
    <s v="FG--"/>
    <s v="B"/>
    <n v="3100"/>
    <s v="PC"/>
    <s v="CNY"/>
    <n v="0.82320000000000004"/>
    <n v="2551.92"/>
  </r>
  <r>
    <x v="23"/>
    <x v="23"/>
    <m/>
    <s v="C03034"/>
    <s v="1-6-696-A"/>
    <s v="SILICONE RUBBER KNOB GN36A (FDA GRADE)"/>
    <s v="KNOB"/>
    <s v="B"/>
    <n v="6010"/>
    <s v="PC"/>
    <s v="CNY"/>
    <n v="0.873"/>
    <n v="5246.73"/>
  </r>
  <r>
    <x v="23"/>
    <x v="23"/>
    <m/>
    <s v="C03100"/>
    <s v="1-6-696-A"/>
    <s v="SILICONE RUBBER KNOB GN36A (FDA GRADE)"/>
    <s v="KNOB"/>
    <s v="B"/>
    <n v="8200"/>
    <s v="PC"/>
    <s v="CNY"/>
    <n v="0.873"/>
    <n v="7158.6"/>
  </r>
  <r>
    <x v="1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3"/>
    <x v="23"/>
    <m/>
    <s v="C03034"/>
    <s v="1-6-696-C"/>
    <s v="SILICONE RUBBER KNOB BK01A (FDA GRADE)"/>
    <s v="KNOB"/>
    <s v="B"/>
    <n v="1050"/>
    <s v="PC"/>
    <s v="CNY"/>
    <n v="0.9"/>
    <n v="945"/>
  </r>
  <r>
    <x v="23"/>
    <x v="23"/>
    <m/>
    <s v="C03034"/>
    <s v="1-6-696-B"/>
    <s v="SILICONE RUBBER KNOB BU47A (FDA GRADE)"/>
    <s v="KNOB"/>
    <s v="B"/>
    <n v="1050"/>
    <s v="PC"/>
    <s v="CNY"/>
    <n v="0.9"/>
    <n v="945"/>
  </r>
  <r>
    <x v="17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3"/>
    <x v="3"/>
    <m/>
    <s v="M250302"/>
    <s v="3-8-PL9341"/>
    <s v="4C BHRE MEYER MIDNIGHT HA IH"/>
    <s v="STKR"/>
    <s v="B"/>
    <n v="1010"/>
    <s v="PC"/>
    <s v="CNY"/>
    <n v="0.96"/>
    <n v="969.6"/>
  </r>
  <r>
    <x v="24"/>
    <x v="24"/>
    <m/>
    <s v="C03029"/>
    <s v="3-5-LM02--Z"/>
    <s v="02 TUM"/>
    <s v="LHDL"/>
    <s v="B"/>
    <n v="1040"/>
    <s v="PC"/>
    <s v="CNY"/>
    <n v="0.98939999999999995"/>
    <n v="1028.98"/>
  </r>
  <r>
    <x v="17"/>
    <x v="17"/>
    <m/>
    <s v="C03052"/>
    <s v="3-6-FHSS313-A"/>
    <s v="FG SS SS 313 GY15H EBD18IA"/>
    <s v="FG--"/>
    <s v="O"/>
    <n v="1030"/>
    <s v="PC"/>
    <s v="CNY"/>
    <n v="0.99399999999999999"/>
    <n v="1023.82"/>
  </r>
  <r>
    <x v="15"/>
    <x v="15"/>
    <m/>
    <s v="C01001"/>
    <s v="1-6-BK125"/>
    <s v="BRKT+NUT M5 PE R93 C/C21 H5.5"/>
    <s v="BRKT"/>
    <s v="B"/>
    <n v="2600"/>
    <s v="PC"/>
    <s v="CNY"/>
    <n v="0.56430000000000002"/>
    <n v="1467.18"/>
  </r>
  <r>
    <x v="15"/>
    <x v="15"/>
    <m/>
    <s v="C01001"/>
    <s v="1-6-BK23"/>
    <s v="BRKT FOR 20cm PAN"/>
    <s v="BRKT"/>
    <s v="B"/>
    <n v="1030"/>
    <s v="PC"/>
    <s v="CNY"/>
    <n v="0.57969999999999999"/>
    <n v="597.09"/>
  </r>
  <r>
    <x v="15"/>
    <x v="15"/>
    <m/>
    <s v="C01001"/>
    <s v="1-6-BK31"/>
    <s v="BRKT FOR BAF28FA"/>
    <s v="BRKT"/>
    <s v="B"/>
    <n v="520"/>
    <s v="PC"/>
    <s v="CNY"/>
    <n v="0.60340000000000005"/>
    <n v="313.77"/>
  </r>
  <r>
    <x v="15"/>
    <x v="15"/>
    <m/>
    <s v="C01001"/>
    <s v="1-6-BK31"/>
    <s v="BRKT FOR BAF28FA"/>
    <s v="BRKT"/>
    <s v="B"/>
    <n v="1030"/>
    <s v="PC"/>
    <s v="CNY"/>
    <n v="0.60340000000000005"/>
    <n v="621.5"/>
  </r>
  <r>
    <x v="15"/>
    <x v="15"/>
    <m/>
    <s v="C01001"/>
    <s v="1-6-BK134"/>
    <s v="BRKT+NUT M5 PE BAD24IA C/C21 H5.5"/>
    <s v="BRKT"/>
    <s v="B"/>
    <n v="520"/>
    <s v="PC"/>
    <s v="CNY"/>
    <n v="0.62309999999999999"/>
    <n v="324.01"/>
  </r>
  <r>
    <x v="14"/>
    <x v="14"/>
    <m/>
    <s v="C01023"/>
    <s v="1-6-BK193"/>
    <s v="BRKT FOR CAF30AK RT"/>
    <s v="BRKT"/>
    <s v="B"/>
    <n v="3000"/>
    <s v="PC"/>
    <s v="CNY"/>
    <n v="0.57750000000000001"/>
    <n v="1732.5"/>
  </r>
  <r>
    <x v="14"/>
    <x v="14"/>
    <m/>
    <s v="C01021"/>
    <s v="7-6-BK03"/>
    <s v="BRKT S/S W/NUT R120"/>
    <s v="BRKT"/>
    <s v="B"/>
    <n v="16500"/>
    <s v="PC"/>
    <s v="CNY"/>
    <n v="0.5877"/>
    <n v="9697.0499999999993"/>
  </r>
  <r>
    <x v="14"/>
    <x v="14"/>
    <m/>
    <s v="C01021"/>
    <s v="7-6-BK03"/>
    <s v="BRKT S/S W/NUT R120"/>
    <s v="BRKT"/>
    <s v="B"/>
    <n v="3650"/>
    <s v="PC"/>
    <s v="CNY"/>
    <n v="0.59379999999999999"/>
    <n v="2167.37"/>
  </r>
  <r>
    <x v="14"/>
    <x v="14"/>
    <m/>
    <s v="C01023"/>
    <s v="1-6-BK195"/>
    <s v="BRKT+NUT M5 QH TCK24AK C/C21 H5.5"/>
    <s v="BRKT"/>
    <s v="B"/>
    <n v="2550"/>
    <s v="PC"/>
    <s v="CNY"/>
    <n v="0.59809999999999997"/>
    <n v="1525.16"/>
  </r>
  <r>
    <x v="14"/>
    <x v="14"/>
    <m/>
    <s v="C01023"/>
    <s v="1-6-BK195"/>
    <s v="BRKT+NUT M5 QH TCK24AK C/C21 H5.5"/>
    <s v="BRKT"/>
    <s v="B"/>
    <n v="100"/>
    <s v="PC"/>
    <s v="CNY"/>
    <n v="0.61029999999999995"/>
    <n v="61.03"/>
  </r>
  <r>
    <x v="14"/>
    <x v="14"/>
    <m/>
    <s v="C01023"/>
    <s v="1-6-BK76"/>
    <s v="BRKT SS FOR SQ GRIDDLE"/>
    <s v="BRKT"/>
    <s v="B"/>
    <n v="1040"/>
    <s v="PC"/>
    <s v="CNY"/>
    <n v="0.6522"/>
    <n v="678.29"/>
  </r>
  <r>
    <x v="15"/>
    <x v="15"/>
    <m/>
    <s v="C01044"/>
    <s v="7-6-084"/>
    <s v="WELD PLATE SS WOK LID"/>
    <s v="BRKT"/>
    <s v="B"/>
    <n v="1500"/>
    <s v="PC"/>
    <s v="CNY"/>
    <n v="0.17269999999999999"/>
    <n v="259.05"/>
  </r>
  <r>
    <x v="15"/>
    <x v="15"/>
    <m/>
    <s v="C01043"/>
    <s v="1-6-BK125"/>
    <s v="BRKT+NUT M5 PE R93 C/C21 H5.5"/>
    <s v="BRKT"/>
    <s v="B"/>
    <n v="970"/>
    <s v="PC"/>
    <s v="CNY"/>
    <n v="0.57579999999999998"/>
    <n v="558.53"/>
  </r>
  <r>
    <x v="15"/>
    <x v="15"/>
    <m/>
    <s v="C01043"/>
    <s v="1-6-BK16"/>
    <s v="BRKT+NUT M5 DS R93 C/C25 H8.3"/>
    <s v="BRKT"/>
    <s v="B"/>
    <n v="520"/>
    <s v="PC"/>
    <s v="CNY"/>
    <n v="0.60570000000000002"/>
    <n v="314.95999999999998"/>
  </r>
  <r>
    <x v="15"/>
    <x v="15"/>
    <m/>
    <s v="C01043"/>
    <s v="1-6-BK16"/>
    <s v="BRKT+NUT M5 DS R93 C/C25 H8.3"/>
    <s v="BRKT"/>
    <s v="B"/>
    <n v="510"/>
    <s v="PC"/>
    <s v="CNY"/>
    <n v="0.60570000000000002"/>
    <n v="308.91000000000003"/>
  </r>
  <r>
    <x v="15"/>
    <x v="15"/>
    <m/>
    <s v="C01043"/>
    <s v="1-6-BK30"/>
    <s v="BRKT FOR BAF24FA"/>
    <s v="BRKT"/>
    <s v="B"/>
    <n v="1030"/>
    <s v="PC"/>
    <s v="CNY"/>
    <n v="0.66110000000000002"/>
    <n v="680.93"/>
  </r>
  <r>
    <x v="8"/>
    <x v="8"/>
    <m/>
    <s v="C01059"/>
    <s v="1-6-BK42"/>
    <s v="BRKT SS 26CM SAUCEPAN"/>
    <s v="BRKT"/>
    <s v="B"/>
    <n v="520"/>
    <s v="PC"/>
    <s v="CNY"/>
    <n v="0.53990000000000005"/>
    <n v="280.75"/>
  </r>
  <r>
    <x v="14"/>
    <x v="14"/>
    <m/>
    <s v="C02031"/>
    <s v="7-6-BK03"/>
    <s v="BRKT S/S W/NUT R120"/>
    <s v="BRKT"/>
    <s v="B"/>
    <n v="8500"/>
    <s v="PC"/>
    <s v="CNY"/>
    <n v="0.5877"/>
    <n v="4995.45"/>
  </r>
  <r>
    <x v="14"/>
    <x v="14"/>
    <m/>
    <s v="C02031"/>
    <s v="7-6-BK03"/>
    <s v="BRKT S/S W/NUT R120"/>
    <s v="BRKT"/>
    <s v="B"/>
    <n v="2000"/>
    <s v="PC"/>
    <s v="CNY"/>
    <n v="0.59379999999999999"/>
    <n v="1187.5999999999999"/>
  </r>
  <r>
    <x v="14"/>
    <x v="14"/>
    <m/>
    <s v="C02031"/>
    <s v="7-6-BK03"/>
    <s v="BRKT S/S W/NUT R120"/>
    <s v="BRKT"/>
    <s v="B"/>
    <n v="4000"/>
    <s v="PC"/>
    <s v="CNY"/>
    <n v="0.59379999999999999"/>
    <n v="2375.1999999999998"/>
  </r>
  <r>
    <x v="15"/>
    <x v="15"/>
    <m/>
    <s v="C02029"/>
    <s v="1-6-BK17"/>
    <s v="BRKT+NUT M5 MQ BAF20FA C/C25 H8.3"/>
    <s v="BRKT"/>
    <s v="B"/>
    <n v="1050"/>
    <s v="PC"/>
    <s v="CNY"/>
    <n v="0.63419999999999999"/>
    <n v="665.91"/>
  </r>
  <r>
    <x v="14"/>
    <x v="14"/>
    <m/>
    <s v="C02030"/>
    <s v="1-6-BK76"/>
    <s v="BRKT SS FOR SQ GRIDDLE"/>
    <s v="BRKT"/>
    <s v="B"/>
    <n v="1850"/>
    <s v="PC"/>
    <s v="CNY"/>
    <n v="0.6522"/>
    <n v="1206.57"/>
  </r>
  <r>
    <x v="8"/>
    <x v="8"/>
    <m/>
    <s v="C03023"/>
    <s v="7-6-F58AZ"/>
    <s v="FG SS R100 TUM"/>
    <s v="FG--"/>
    <s v="B"/>
    <n v="3000"/>
    <s v="PC"/>
    <s v="CNY"/>
    <n v="1.0021"/>
    <n v="3006.3"/>
  </r>
  <r>
    <x v="8"/>
    <x v="8"/>
    <m/>
    <s v="C03032"/>
    <s v="7-6-F58AZ"/>
    <s v="FG SS R100 TUM"/>
    <s v="FG--"/>
    <s v="B"/>
    <n v="1300"/>
    <s v="PC"/>
    <s v="CNY"/>
    <n v="1.0021"/>
    <n v="1302.73"/>
  </r>
  <r>
    <x v="8"/>
    <x v="8"/>
    <m/>
    <s v="C03046"/>
    <s v="7-6-F58AZ"/>
    <s v="FG SS R100 TUM"/>
    <s v="FG--"/>
    <s v="B"/>
    <n v="5000"/>
    <s v="PC"/>
    <s v="CNY"/>
    <n v="1.0021"/>
    <n v="5010.5"/>
  </r>
  <r>
    <x v="8"/>
    <x v="8"/>
    <m/>
    <s v="C03046"/>
    <s v="7-6-F58AZ"/>
    <s v="FG SS R100 TUM"/>
    <s v="FG--"/>
    <s v="B"/>
    <n v="1000"/>
    <s v="PC"/>
    <s v="CNY"/>
    <n v="1.0021"/>
    <n v="1002.1"/>
  </r>
  <r>
    <x v="8"/>
    <x v="8"/>
    <m/>
    <s v="C03056"/>
    <s v="7-6-F58AZ"/>
    <s v="FG SS R100 TUM"/>
    <s v="FG--"/>
    <s v="B"/>
    <n v="3000"/>
    <s v="PC"/>
    <s v="CNY"/>
    <n v="1.0021"/>
    <n v="3006.3"/>
  </r>
  <r>
    <x v="8"/>
    <x v="8"/>
    <m/>
    <s v="C03076"/>
    <s v="7-6-F58AZ"/>
    <s v="FG SS R100 TUM"/>
    <s v="FG--"/>
    <s v="B"/>
    <n v="1000"/>
    <s v="PC"/>
    <s v="CNY"/>
    <n v="1.0021"/>
    <n v="1002.1"/>
  </r>
  <r>
    <x v="8"/>
    <x v="8"/>
    <m/>
    <s v="C03095"/>
    <s v="7-6-F58AZ"/>
    <s v="FG SS R100 TUM"/>
    <s v="FG--"/>
    <s v="B"/>
    <n v="6000"/>
    <s v="PC"/>
    <s v="CNY"/>
    <n v="1.0021"/>
    <n v="6012.6"/>
  </r>
  <r>
    <x v="24"/>
    <x v="24"/>
    <m/>
    <s v="C03029"/>
    <s v="3-5-LM03--Z"/>
    <s v="03 TUM"/>
    <s v="LHDL"/>
    <s v="B"/>
    <n v="1040"/>
    <s v="PC"/>
    <s v="CNY"/>
    <n v="1.0419"/>
    <n v="1083.58"/>
  </r>
  <r>
    <x v="24"/>
    <x v="24"/>
    <m/>
    <s v="C03030"/>
    <s v="3-5-LM04--Z"/>
    <s v="04 TUM"/>
    <s v="LHDL"/>
    <s v="B"/>
    <n v="1040"/>
    <s v="PC"/>
    <s v="CNY"/>
    <n v="1.0419"/>
    <n v="1083.58"/>
  </r>
  <r>
    <x v="24"/>
    <x v="24"/>
    <m/>
    <s v="C03030"/>
    <s v="3-5-LM06--Z"/>
    <s v="06 TUM"/>
    <s v="LHDL"/>
    <s v="B"/>
    <n v="1020"/>
    <s v="PC"/>
    <s v="CNY"/>
    <n v="1.0419"/>
    <n v="1062.74"/>
  </r>
  <r>
    <x v="24"/>
    <x v="24"/>
    <m/>
    <s v="C03030"/>
    <s v="3-5-LM08--Z"/>
    <s v="08 TUM"/>
    <s v="LHDL"/>
    <s v="B"/>
    <n v="1040"/>
    <s v="PC"/>
    <s v="CNY"/>
    <n v="1.0419"/>
    <n v="1083.58"/>
  </r>
  <r>
    <x v="16"/>
    <x v="16"/>
    <m/>
    <s v="C03104"/>
    <s v="1-5-KTI-1"/>
    <s v="KNOB INS+S.CAP &quot;MEYER&quot;"/>
    <s v="KNOB"/>
    <s v="B"/>
    <n v="1000"/>
    <s v="PC"/>
    <s v="CNY"/>
    <n v="1.0463"/>
    <n v="1046.3"/>
  </r>
  <r>
    <x v="16"/>
    <x v="16"/>
    <m/>
    <s v="C03086"/>
    <s v="1-5-KRZ01"/>
    <s v="KNOB RZ M.BLK"/>
    <s v="KNOB"/>
    <s v="B"/>
    <n v="1010"/>
    <s v="PC"/>
    <s v="CNY"/>
    <n v="1.0902000000000001"/>
    <n v="1101.0999999999999"/>
  </r>
  <r>
    <x v="25"/>
    <x v="25"/>
    <m/>
    <s v="M250106"/>
    <s v="1-4-4700K8591"/>
    <s v="4700/K8591 GREY"/>
    <s v="EXM-"/>
    <s v="B"/>
    <n v="25"/>
    <s v="KG"/>
    <s v="CNY"/>
    <n v="90.177000000000007"/>
    <n v="2254.4299999999998"/>
  </r>
  <r>
    <x v="25"/>
    <x v="25"/>
    <m/>
    <s v="M250106"/>
    <s v="1-4-4770K22631"/>
    <s v="WF 4770/K22631 MATT BLACK HIGH RESISTANT SI PO"/>
    <s v="EXM-"/>
    <s v="B"/>
    <n v="25"/>
    <s v="KG"/>
    <s v="CNY"/>
    <n v="117.3451"/>
    <n v="2933.63"/>
  </r>
  <r>
    <x v="25"/>
    <x v="25"/>
    <m/>
    <s v="M250106"/>
    <s v="1-4-8005D4058"/>
    <s v="8005/D4058 GLOSS CLEAR"/>
    <s v="EXM-"/>
    <s v="B"/>
    <n v="50"/>
    <s v="KG"/>
    <s v="CNY"/>
    <n v="118.6726"/>
    <n v="5933.63"/>
  </r>
  <r>
    <x v="25"/>
    <x v="25"/>
    <m/>
    <s v="M250129"/>
    <s v="1-4-T968221712"/>
    <s v="9682/K21712 MET BLACK WITH DIAMOND"/>
    <s v="EXM-"/>
    <s v="B"/>
    <n v="75"/>
    <s v="KG"/>
    <s v="CNY"/>
    <n v="70.353999999999999"/>
    <n v="5276.55"/>
  </r>
  <r>
    <x v="25"/>
    <x v="25"/>
    <m/>
    <s v="M250129"/>
    <s v="1-4-P968221711"/>
    <s v="PRIMER BLACK 9682/K21711"/>
    <s v="EXM-"/>
    <s v="B"/>
    <n v="75"/>
    <s v="KG"/>
    <s v="CNY"/>
    <n v="71.769900000000007"/>
    <n v="5382.74"/>
  </r>
  <r>
    <x v="25"/>
    <x v="25"/>
    <m/>
    <s v="M250131"/>
    <s v="1-4-4700N1776"/>
    <s v="4700/N1776 BLACK"/>
    <s v="EXM-"/>
    <s v="B"/>
    <n v="25"/>
    <s v="KG"/>
    <s v="CNY"/>
    <n v="102.0354"/>
    <n v="2550.89"/>
  </r>
  <r>
    <x v="25"/>
    <x v="25"/>
    <m/>
    <s v="M250130"/>
    <s v="1-4-P4770N20555"/>
    <s v="4770/N20555-G05 DUSTY CLAY RED"/>
    <s v="EXM-"/>
    <s v="B"/>
    <n v="125"/>
    <s v="KG"/>
    <s v="CNY"/>
    <n v="110.6195"/>
    <n v="13827.44"/>
  </r>
  <r>
    <x v="25"/>
    <x v="25"/>
    <m/>
    <s v="M250130"/>
    <s v="1-4-4770K22631"/>
    <s v="WF 4770/K22631 MATT BLACK HIGH RESISTANT SI PO"/>
    <s v="EXM-"/>
    <s v="B"/>
    <n v="25"/>
    <s v="KG"/>
    <s v="CNY"/>
    <n v="117.3451"/>
    <n v="2933.63"/>
  </r>
  <r>
    <x v="25"/>
    <x v="25"/>
    <m/>
    <s v="M250205"/>
    <s v="1-4-4700N212220-G05"/>
    <s v="4700 N212220-G05 LOLLIPOP RED"/>
    <s v="EXM-"/>
    <s v="B"/>
    <n v="50"/>
    <s v="KG"/>
    <s v="CNY"/>
    <n v="108.3186"/>
    <n v="5415.93"/>
  </r>
  <r>
    <x v="25"/>
    <x v="25"/>
    <m/>
    <s v="M250204"/>
    <s v="1-4-4700N212220-G05"/>
    <s v="4700 N212220-G05 LOLLIPOP RED"/>
    <s v="EXM-"/>
    <s v="B"/>
    <n v="25"/>
    <s v="KG"/>
    <s v="CNY"/>
    <n v="108.3186"/>
    <n v="2707.97"/>
  </r>
  <r>
    <x v="25"/>
    <x v="25"/>
    <m/>
    <s v="M250206"/>
    <s v="1-4-4700N212220-G05"/>
    <s v="4700 N212220-G05 LOLLIPOP RED"/>
    <s v="EXM-"/>
    <s v="B"/>
    <n v="25"/>
    <s v="KG"/>
    <s v="CNY"/>
    <n v="108.3186"/>
    <n v="2707.97"/>
  </r>
  <r>
    <x v="25"/>
    <x v="25"/>
    <m/>
    <s v="M250206"/>
    <s v="1-4-T4700N20556"/>
    <s v="4700/20556-G05 SATIN GOLD METALLIC TOPCOAT"/>
    <s v="EXM-"/>
    <s v="B"/>
    <n v="25"/>
    <s v="KG"/>
    <s v="CNY"/>
    <n v="110.6195"/>
    <n v="2765.49"/>
  </r>
  <r>
    <x v="25"/>
    <x v="25"/>
    <m/>
    <s v="M250206"/>
    <s v="1-4-P4770N20555"/>
    <s v="4770/N20555-G05 DUSTY CLAY RED"/>
    <s v="EXM-"/>
    <s v="B"/>
    <n v="25"/>
    <s v="KG"/>
    <s v="CNY"/>
    <n v="110.6195"/>
    <n v="2765.49"/>
  </r>
  <r>
    <x v="25"/>
    <x v="25"/>
    <m/>
    <s v="M250229"/>
    <s v="1-4-T4700N1796"/>
    <s v="4700/N1796 METAL SPATTER TOPCOAT"/>
    <s v="EXM-"/>
    <s v="B"/>
    <n v="25"/>
    <s v="KG"/>
    <s v="CNY"/>
    <n v="90.796499999999995"/>
    <n v="2269.91"/>
  </r>
  <r>
    <x v="25"/>
    <x v="25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13"/>
    <x v="13"/>
    <m/>
    <s v="M250351"/>
    <s v="3-5-LSI103A-Y"/>
    <s v="STD- 103 M BSH R177.3 C/C102 H6.5 (BFMY16)"/>
    <s v="HDL-"/>
    <s v="B"/>
    <n v="343"/>
    <s v="PC"/>
    <s v="USD"/>
    <n v="1.1100000000000001"/>
    <n v="380.73"/>
  </r>
  <r>
    <x v="13"/>
    <x v="13"/>
    <m/>
    <s v="M250351"/>
    <s v="3-5-LSI105A-Y"/>
    <s v="STD- 105 M BSH R223.5 C/C102 H6.5 (BFMY20)"/>
    <s v="HDL-"/>
    <s v="B"/>
    <n v="376"/>
    <s v="PC"/>
    <s v="USD"/>
    <n v="1.1100000000000001"/>
    <n v="417.36"/>
  </r>
  <r>
    <x v="13"/>
    <x v="13"/>
    <m/>
    <s v="M250351"/>
    <s v="3-5-LSI107A-Y"/>
    <s v="STD- 107 M BSH R274.7 C/C102 H6.5 (182424S)"/>
    <s v="HDL-"/>
    <s v="B"/>
    <n v="7287"/>
    <s v="PC"/>
    <s v="USD"/>
    <n v="1.1100000000000001"/>
    <n v="8088.57"/>
  </r>
  <r>
    <x v="13"/>
    <x v="13"/>
    <m/>
    <s v="M250351"/>
    <s v="3-5-LSI111A-Y"/>
    <s v="STD- 110 M BSH R359.3 C/C102 H6.5 (1824-30)"/>
    <s v="HDL-"/>
    <s v="B"/>
    <n v="243"/>
    <s v="PC"/>
    <s v="USD"/>
    <n v="1.1100000000000001"/>
    <n v="269.73"/>
  </r>
  <r>
    <x v="17"/>
    <x v="17"/>
    <m/>
    <s v="C03039"/>
    <s v="3-5-HPK122-EZ"/>
    <s v="XS-- 122 BK01G TUM R71 C/C34.3 H8.5"/>
    <s v="HDL-"/>
    <s v="O"/>
    <n v="950"/>
    <s v="PC"/>
    <s v="CNY"/>
    <n v="1.1168"/>
    <n v="1060.96"/>
  </r>
  <r>
    <x v="15"/>
    <x v="15"/>
    <m/>
    <s v="C01002"/>
    <s v="1-6-F92-Y"/>
    <s v="FG SS BAF20FA SUNRAYED"/>
    <s v="FG--"/>
    <s v="B"/>
    <n v="1020"/>
    <s v="PC"/>
    <s v="CNY"/>
    <n v="0.65390000000000004"/>
    <n v="666.98"/>
  </r>
  <r>
    <x v="15"/>
    <x v="15"/>
    <m/>
    <s v="C01001"/>
    <s v="1-6-F110-Y"/>
    <s v="FG SS 20cm SUNRAYED"/>
    <s v="FG--"/>
    <s v="B"/>
    <n v="1030"/>
    <s v="PC"/>
    <s v="CNY"/>
    <n v="0.65839999999999999"/>
    <n v="678.15"/>
  </r>
  <r>
    <x v="15"/>
    <x v="15"/>
    <m/>
    <s v="C01001"/>
    <s v="1-6-F118-Y"/>
    <s v="FG SS BAF28FA SUNRAYED"/>
    <s v="FG--"/>
    <s v="B"/>
    <n v="530"/>
    <s v="PC"/>
    <s v="CNY"/>
    <n v="0.65839999999999999"/>
    <n v="348.95"/>
  </r>
  <r>
    <x v="15"/>
    <x v="15"/>
    <m/>
    <s v="C01002"/>
    <s v="1-6-F118-Y"/>
    <s v="FG SS BAF28FA SUNRAYED"/>
    <s v="FG--"/>
    <s v="B"/>
    <n v="1020"/>
    <s v="PC"/>
    <s v="CNY"/>
    <n v="0.65839999999999999"/>
    <n v="671.57"/>
  </r>
  <r>
    <x v="8"/>
    <x v="8"/>
    <m/>
    <s v="C01007"/>
    <s v="7-6-F58AZ"/>
    <s v="FG SS R100 TUM"/>
    <s v="FG--"/>
    <s v="B"/>
    <n v="11000"/>
    <s v="PC"/>
    <s v="CNY"/>
    <n v="1.0021"/>
    <n v="11023.1"/>
  </r>
  <r>
    <x v="14"/>
    <x v="14"/>
    <m/>
    <s v="C01023"/>
    <s v="3-6-FHSS313"/>
    <s v="FG SS 313 FOR EBD18IA"/>
    <s v="FG--"/>
    <s v="B"/>
    <n v="530"/>
    <s v="PC"/>
    <s v="CNY"/>
    <n v="0.67430000000000001"/>
    <n v="357.38"/>
  </r>
  <r>
    <x v="17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17"/>
    <x v="17"/>
    <m/>
    <s v="C01025"/>
    <s v="1-6-FHSS203-A"/>
    <s v="FG AL SS 203 GY15H BAG20IA"/>
    <s v="FG--"/>
    <s v="O"/>
    <n v="3050"/>
    <s v="PC"/>
    <s v="CNY"/>
    <n v="0.97450000000000003"/>
    <n v="2972.23"/>
  </r>
  <r>
    <x v="17"/>
    <x v="17"/>
    <m/>
    <s v="C01025"/>
    <s v="1-6-FHSS311-A"/>
    <s v="FG AL SS 311 GY15H EBD18IA"/>
    <s v="FG--"/>
    <s v="O"/>
    <n v="530"/>
    <s v="PC"/>
    <s v="CNY"/>
    <n v="0.99439999999999995"/>
    <n v="527.03"/>
  </r>
  <r>
    <x v="14"/>
    <x v="14"/>
    <m/>
    <s v="C01022"/>
    <s v="7-6-F59AZ"/>
    <s v="FG SS FP TUM"/>
    <s v="FG--"/>
    <s v="B"/>
    <n v="2000"/>
    <s v="PC"/>
    <s v="CNY"/>
    <n v="1.2692000000000001"/>
    <n v="2538.4"/>
  </r>
  <r>
    <x v="14"/>
    <x v="14"/>
    <m/>
    <s v="C01022"/>
    <s v="7-6-F93AZ"/>
    <s v="ASSY RT FG SS YBM20 TUM"/>
    <s v="FG--"/>
    <s v="B"/>
    <n v="1000"/>
    <s v="PC"/>
    <s v="CNY"/>
    <n v="1.3815999999999999"/>
    <n v="1381.6"/>
  </r>
  <r>
    <x v="14"/>
    <x v="14"/>
    <m/>
    <s v="C01022"/>
    <s v="7-6-F94AZ"/>
    <s v="ASSY RT FG SS YBM24 TUM"/>
    <s v="FG--"/>
    <s v="B"/>
    <n v="1040"/>
    <s v="PC"/>
    <s v="CNY"/>
    <n v="1.3815999999999999"/>
    <n v="1436.86"/>
  </r>
  <r>
    <x v="14"/>
    <x v="14"/>
    <m/>
    <s v="C01022"/>
    <s v="7-6-F93AZ"/>
    <s v="ASSY RT FG SS YBM20 TUM"/>
    <s v="FG--"/>
    <s v="B"/>
    <n v="1050"/>
    <s v="PC"/>
    <s v="CNY"/>
    <n v="1.3815999999999999"/>
    <n v="1450.68"/>
  </r>
  <r>
    <x v="14"/>
    <x v="14"/>
    <m/>
    <s v="C01022"/>
    <s v="7-6-F94AZ"/>
    <s v="ASSY RT FG SS YBM24 TUM"/>
    <s v="FG--"/>
    <s v="B"/>
    <n v="1050"/>
    <s v="PC"/>
    <s v="CNY"/>
    <n v="1.3815999999999999"/>
    <n v="1450.68"/>
  </r>
  <r>
    <x v="26"/>
    <x v="26"/>
    <m/>
    <s v="C01037"/>
    <s v="7-6-023Z"/>
    <s v="SS RING FOR KNOB TUM"/>
    <s v="FG--"/>
    <s v="B"/>
    <n v="530"/>
    <s v="PC"/>
    <s v="CNY"/>
    <n v="0.30170000000000002"/>
    <n v="159.9"/>
  </r>
  <r>
    <x v="15"/>
    <x v="15"/>
    <m/>
    <s v="C01043"/>
    <s v="1-6-F98-Y"/>
    <s v="FG SS FOR -LO-8 SUNRAYED"/>
    <s v="FG--"/>
    <s v="B"/>
    <n v="500"/>
    <s v="PC"/>
    <s v="CNY"/>
    <n v="0.62919999999999998"/>
    <n v="314.60000000000002"/>
  </r>
  <r>
    <x v="15"/>
    <x v="15"/>
    <m/>
    <s v="C01043"/>
    <s v="1-6-F98-Y"/>
    <s v="FG SS FOR -LO-8 SUNRAYED"/>
    <s v="FG--"/>
    <s v="B"/>
    <n v="520"/>
    <s v="PC"/>
    <s v="CNY"/>
    <n v="0.62919999999999998"/>
    <n v="327.18"/>
  </r>
  <r>
    <x v="15"/>
    <x v="15"/>
    <m/>
    <s v="C01043"/>
    <s v="1-6-F117-Y"/>
    <s v="FG SS BAF24FA SUNRAYED"/>
    <s v="FG--"/>
    <s v="B"/>
    <n v="1040"/>
    <s v="PC"/>
    <s v="CNY"/>
    <n v="0.65839999999999999"/>
    <n v="684.74"/>
  </r>
  <r>
    <x v="8"/>
    <x v="8"/>
    <m/>
    <s v="C01059"/>
    <s v="7-6-F58AZ"/>
    <s v="FG SS R100 TUM"/>
    <s v="FG--"/>
    <s v="B"/>
    <n v="7100"/>
    <s v="PC"/>
    <s v="CNY"/>
    <n v="1.0021"/>
    <n v="7114.91"/>
  </r>
  <r>
    <x v="27"/>
    <x v="27"/>
    <m/>
    <s v="C01073"/>
    <s v="1-6-FRE124-B"/>
    <s v="FG AL RE 124 MATT BLK 280C R92.5 (FBM NO.)"/>
    <s v="FG--"/>
    <s v="B"/>
    <n v="1600"/>
    <s v="PC"/>
    <s v="CNY"/>
    <n v="1.3002"/>
    <n v="2080.3200000000002"/>
  </r>
  <r>
    <x v="14"/>
    <x v="14"/>
    <m/>
    <s v="C02030"/>
    <s v="1-6-141-Z"/>
    <s v="SS RING FOR KNOB N TUM"/>
    <s v="FG--"/>
    <s v="B"/>
    <n v="2000"/>
    <s v="PC"/>
    <s v="CNY"/>
    <n v="0.47620000000000001"/>
    <n v="952.4"/>
  </r>
  <r>
    <x v="14"/>
    <x v="14"/>
    <m/>
    <s v="C02030"/>
    <s v="3-6-FHSS313-Y"/>
    <s v="FG SS SS 313 BSH EBD18IA"/>
    <s v="FG--"/>
    <s v="B"/>
    <n v="1350"/>
    <s v="PC"/>
    <s v="CNY"/>
    <n v="0.97430000000000005"/>
    <n v="1315.31"/>
  </r>
  <r>
    <x v="14"/>
    <x v="14"/>
    <m/>
    <s v="C02030"/>
    <s v="7-6-F59AZ"/>
    <s v="FG SS FP TUM"/>
    <s v="FG--"/>
    <s v="B"/>
    <n v="2010"/>
    <s v="PC"/>
    <s v="CNY"/>
    <n v="1.2692000000000001"/>
    <n v="2551.09"/>
  </r>
  <r>
    <x v="14"/>
    <x v="14"/>
    <m/>
    <s v="C02030"/>
    <s v="7-6-F94AZ"/>
    <s v="ASSY RT FG SS YBM24 TUM"/>
    <s v="FG--"/>
    <s v="B"/>
    <n v="3100"/>
    <s v="PC"/>
    <s v="CNY"/>
    <n v="1.3540000000000001"/>
    <n v="4197.3999999999996"/>
  </r>
  <r>
    <x v="8"/>
    <x v="8"/>
    <m/>
    <s v="C02038"/>
    <s v="7-6-F58AZ"/>
    <s v="FG SS R100 TUM"/>
    <s v="FG--"/>
    <s v="B"/>
    <n v="1000"/>
    <s v="PC"/>
    <s v="CNY"/>
    <n v="1.0021"/>
    <n v="1002.1"/>
  </r>
  <r>
    <x v="8"/>
    <x v="8"/>
    <m/>
    <s v="C02038"/>
    <s v="7-6-F58AZ"/>
    <s v="FG SS R100 TUM"/>
    <s v="FG--"/>
    <s v="B"/>
    <n v="4020"/>
    <s v="PC"/>
    <s v="CNY"/>
    <n v="1.0124"/>
    <n v="4069.85"/>
  </r>
  <r>
    <x v="8"/>
    <x v="8"/>
    <m/>
    <s v="C02044"/>
    <s v="1-6-F145-Z"/>
    <s v="FG SS 26CM TUM"/>
    <s v="FG--"/>
    <s v="B"/>
    <n v="50"/>
    <s v="PC"/>
    <s v="CNY"/>
    <n v="0.71950000000000003"/>
    <n v="35.979999999999997"/>
  </r>
  <r>
    <x v="3"/>
    <x v="3"/>
    <m/>
    <s v="M250343"/>
    <s v="3-8-PU590"/>
    <s v="4C U&amp;C BOOKLET 86020"/>
    <s v="U&amp;C-"/>
    <s v="B"/>
    <n v="1010"/>
    <s v="PC"/>
    <s v="CNY"/>
    <n v="1.1200000000000001"/>
    <n v="1131.2"/>
  </r>
  <r>
    <x v="3"/>
    <x v="3"/>
    <m/>
    <s v="M250308"/>
    <s v="7-8-PW120"/>
    <s v="RECIPE BOOKLET 70346"/>
    <s v="BHRE"/>
    <s v="B"/>
    <n v="2000"/>
    <s v="PC"/>
    <s v="CNY"/>
    <n v="1.22"/>
    <n v="2440"/>
  </r>
  <r>
    <x v="3"/>
    <x v="3"/>
    <m/>
    <s v="M250308"/>
    <s v="7-8-PW120"/>
    <s v="RECIPE BOOKLET 70346"/>
    <s v="BHRE"/>
    <s v="B"/>
    <n v="50"/>
    <s v="PC"/>
    <s v="CNY"/>
    <n v="1.22"/>
    <n v="61"/>
  </r>
  <r>
    <x v="3"/>
    <x v="3"/>
    <m/>
    <s v="M250311"/>
    <s v="7-8-PW120"/>
    <s v="RECIPE BOOKLET 70346"/>
    <s v="BHRE"/>
    <s v="B"/>
    <n v="7100"/>
    <s v="PC"/>
    <s v="CNY"/>
    <n v="1.22"/>
    <n v="8662"/>
  </r>
  <r>
    <x v="27"/>
    <x v="27"/>
    <m/>
    <s v="C03024"/>
    <s v="1-5-KRA01"/>
    <s v="STD- KNOB RA MATTE BLK PHENOLIC (PO810NR--XB)"/>
    <s v="KNOB"/>
    <s v="B"/>
    <n v="2700"/>
    <s v="PC"/>
    <s v="CNY"/>
    <n v="1.2455000000000001"/>
    <n v="3362.85"/>
  </r>
  <r>
    <x v="16"/>
    <x v="16"/>
    <m/>
    <s v="C03104"/>
    <s v="2-5-KZI-1M"/>
    <s v="KNOB INS+S.CAP MEYER"/>
    <s v="KNOB"/>
    <s v="B"/>
    <n v="1010"/>
    <s v="PC"/>
    <s v="CNY"/>
    <n v="1.2481"/>
    <n v="1260.58"/>
  </r>
  <r>
    <x v="14"/>
    <x v="14"/>
    <m/>
    <s v="C03087"/>
    <s v="7-6-F59AZ"/>
    <s v="FG SS FP TUM"/>
    <s v="FG--"/>
    <s v="B"/>
    <n v="2050"/>
    <s v="PC"/>
    <s v="CNY"/>
    <n v="1.2692000000000001"/>
    <n v="2601.86"/>
  </r>
  <r>
    <x v="23"/>
    <x v="23"/>
    <m/>
    <s v="C03100"/>
    <s v="1-6-678AA"/>
    <s v="SILICONE RUBBER KNOB ANYDAY GN36A"/>
    <s v="KNOB"/>
    <s v="B"/>
    <n v="3050"/>
    <s v="PC"/>
    <s v="CNY"/>
    <n v="1.2838000000000001"/>
    <n v="3915.59"/>
  </r>
  <r>
    <x v="3"/>
    <x v="3"/>
    <m/>
    <s v="M250301"/>
    <s v="6-8-X021"/>
    <s v="6-8-PW33,36,PU09,PL0198,0199"/>
    <s v="PRIM"/>
    <s v="B"/>
    <n v="1100"/>
    <s v="PC"/>
    <s v="CNY"/>
    <n v="1.29"/>
    <n v="1419"/>
  </r>
  <r>
    <x v="13"/>
    <x v="13"/>
    <m/>
    <s v="M250351"/>
    <s v="3-5-LSI103AAY"/>
    <s v="STD- 103 M PVD GOLD BSH R177.3 C/C102 H6.5 (BFMY16)"/>
    <s v="HDL-"/>
    <s v="B"/>
    <n v="4283"/>
    <s v="PC"/>
    <s v="USD"/>
    <n v="1.3"/>
    <n v="5567.9"/>
  </r>
  <r>
    <x v="13"/>
    <x v="13"/>
    <m/>
    <s v="M250351"/>
    <s v="3-5-LSI105AAY"/>
    <s v="STD- 105 M PVD GOLD BSH R223.5 C/C102 H6.5 (BFMY20)"/>
    <s v="HDL-"/>
    <s v="B"/>
    <n v="4439"/>
    <s v="PC"/>
    <s v="USD"/>
    <n v="1.3"/>
    <n v="5770.7"/>
  </r>
  <r>
    <x v="13"/>
    <x v="13"/>
    <m/>
    <s v="M250351"/>
    <s v="3-5-LSI107AAY"/>
    <s v="STD- 107 M PVD GOLD BSH R274.7 C/C102 H6.5 (182424S)"/>
    <s v="HDL-"/>
    <s v="B"/>
    <n v="4556"/>
    <s v="PC"/>
    <s v="USD"/>
    <n v="1.3"/>
    <n v="5922.8"/>
  </r>
  <r>
    <x v="13"/>
    <x v="13"/>
    <m/>
    <s v="M250351"/>
    <s v="3-5-LSI108AAY"/>
    <s v="STD- 108 M PVD GOLD BSH R295.5 C/C102 H6.5 (182426S)"/>
    <s v="HDL-"/>
    <s v="B"/>
    <n v="4289"/>
    <s v="PC"/>
    <s v="USD"/>
    <n v="1.3"/>
    <n v="5575.7"/>
  </r>
  <r>
    <x v="23"/>
    <x v="23"/>
    <m/>
    <s v="C03034"/>
    <s v="1-6-678AC"/>
    <s v="SILICONE RUBBER KNOB ANYDAY BU47A"/>
    <s v="KNOB"/>
    <s v="B"/>
    <n v="1300"/>
    <s v="PC"/>
    <s v="CNY"/>
    <n v="1.31"/>
    <n v="1703"/>
  </r>
  <r>
    <x v="23"/>
    <x v="23"/>
    <m/>
    <s v="C03034"/>
    <s v="1-6-689AB"/>
    <s v="SILICONE RUBBER KNOB ANYDAY BK01A (FDA GRADE)"/>
    <s v="KNOB"/>
    <s v="B"/>
    <n v="3000"/>
    <s v="PC"/>
    <s v="CNY"/>
    <n v="1.3524"/>
    <n v="4057.2"/>
  </r>
  <r>
    <x v="23"/>
    <x v="23"/>
    <m/>
    <s v="C03034"/>
    <s v="1-6-689AC"/>
    <s v="SILICONE RUBBER KNOB ANYDAY BU47A (FDA GRADE)"/>
    <s v="KNOB"/>
    <s v="B"/>
    <n v="2000"/>
    <s v="PC"/>
    <s v="CNY"/>
    <n v="1.3524"/>
    <n v="2704.8"/>
  </r>
  <r>
    <x v="23"/>
    <x v="23"/>
    <m/>
    <s v="C03100"/>
    <s v="1-6-689AA"/>
    <s v="SILICONE RUBBER KNOB ANYDAY GN36A (FDA GRADE)"/>
    <s v="KNOB"/>
    <s v="B"/>
    <n v="4900"/>
    <s v="PC"/>
    <s v="CNY"/>
    <n v="1.3524"/>
    <n v="6626.76"/>
  </r>
  <r>
    <x v="14"/>
    <x v="14"/>
    <m/>
    <s v="C03010"/>
    <s v="7-6-F93AZ"/>
    <s v="ASSY RT FG SS YBM20 TUM"/>
    <s v="FG--"/>
    <s v="B"/>
    <n v="3100"/>
    <s v="PC"/>
    <s v="CNY"/>
    <n v="1.3540000000000001"/>
    <n v="4197.3999999999996"/>
  </r>
  <r>
    <x v="12"/>
    <x v="12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12"/>
    <x v="12"/>
    <m/>
    <s v="C01003"/>
    <s v="1-6-670"/>
    <s v="SILICONE RING FOR 1-6-GLX30 SHORE A 68-73 (RD26A)"/>
    <s v="GLID"/>
    <s v="B"/>
    <n v="960"/>
    <s v="PC"/>
    <s v="CNY"/>
    <n v="13.818"/>
    <n v="13265.28"/>
  </r>
  <r>
    <x v="28"/>
    <x v="28"/>
    <m/>
    <s v="C01015"/>
    <s v="1-6-GEW24-ZA"/>
    <s v="G-LD EW 24CM POL"/>
    <s v="GLID"/>
    <s v="B"/>
    <n v="1020"/>
    <s v="PC"/>
    <s v="CNY"/>
    <n v="6.1177000000000001"/>
    <n v="6240.05"/>
  </r>
  <r>
    <x v="29"/>
    <x v="29"/>
    <m/>
    <s v="C01014"/>
    <s v="1-6-GIN24-ZA"/>
    <s v="G-LD IN 24CM SQ POL"/>
    <s v="GLID"/>
    <s v="B"/>
    <n v="4200"/>
    <s v="PC"/>
    <s v="CNY"/>
    <n v="6.6017999999999999"/>
    <n v="27727.56"/>
  </r>
  <r>
    <x v="30"/>
    <x v="30"/>
    <m/>
    <s v="C01018"/>
    <s v="1-6-GLH16-ZC"/>
    <s v="G-LD LH 16CM BU47A"/>
    <s v="GLID"/>
    <s v="B"/>
    <n v="1985"/>
    <s v="PC"/>
    <s v="CNY"/>
    <n v="7.2716000000000003"/>
    <n v="14434.13"/>
  </r>
  <r>
    <x v="30"/>
    <x v="30"/>
    <m/>
    <s v="C01018"/>
    <s v="1-6-GLH20-ZE"/>
    <s v="G-LD LH 20CM BK01A"/>
    <s v="GLID"/>
    <s v="B"/>
    <n v="1435"/>
    <s v="PC"/>
    <s v="CNY"/>
    <n v="8.6631999999999998"/>
    <n v="12431.69"/>
  </r>
  <r>
    <x v="30"/>
    <x v="30"/>
    <m/>
    <s v="C01018"/>
    <s v="1-6-GLH22-ZE"/>
    <s v="G-LD LH 22CM BK01A"/>
    <s v="GLID"/>
    <s v="B"/>
    <n v="2800"/>
    <s v="PC"/>
    <s v="CNY"/>
    <n v="9.31"/>
    <n v="26068"/>
  </r>
  <r>
    <x v="23"/>
    <x v="23"/>
    <m/>
    <s v="M250102"/>
    <s v="1-6-669"/>
    <s v="SILICONE RING FOR 1-6-GLX26 SHORE A 68-73 (RD26A)"/>
    <s v="GLID"/>
    <s v="B"/>
    <n v="4010"/>
    <s v="PC"/>
    <s v="CNY"/>
    <n v="10.7476"/>
    <n v="43097.88"/>
  </r>
  <r>
    <x v="23"/>
    <x v="23"/>
    <m/>
    <s v="M250102"/>
    <s v="1-6-670"/>
    <s v="SILICONE RING FOR 1-6-GLX30 SHORE A 68-73 (RD26A)"/>
    <s v="GLID"/>
    <s v="B"/>
    <n v="1910"/>
    <s v="PC"/>
    <s v="CNY"/>
    <n v="13.6808"/>
    <n v="26130.33"/>
  </r>
  <r>
    <x v="28"/>
    <x v="28"/>
    <m/>
    <s v="C01020"/>
    <s v="1-6-GY16-ZA"/>
    <s v="G-LD SD DR 16CM 2H POL"/>
    <s v="GLID"/>
    <s v="B"/>
    <n v="1220"/>
    <s v="PC"/>
    <s v="CNY"/>
    <n v="2.5366"/>
    <n v="3094.65"/>
  </r>
  <r>
    <x v="28"/>
    <x v="28"/>
    <m/>
    <s v="C01020"/>
    <s v="1-6-GY20-ZA"/>
    <s v="G-LD SD DR 20CM 2H POL"/>
    <s v="GLID"/>
    <s v="B"/>
    <n v="1000"/>
    <s v="PC"/>
    <s v="CNY"/>
    <n v="3.1461000000000001"/>
    <n v="3146.1"/>
  </r>
  <r>
    <x v="28"/>
    <x v="28"/>
    <m/>
    <s v="C01020"/>
    <s v="1-6-GY20-ZA"/>
    <s v="G-LD SD DR 20CM 2H POL"/>
    <s v="GLID"/>
    <s v="B"/>
    <n v="1730"/>
    <s v="PC"/>
    <s v="CNY"/>
    <n v="3.1461000000000001"/>
    <n v="5442.75"/>
  </r>
  <r>
    <x v="28"/>
    <x v="28"/>
    <m/>
    <s v="C01020"/>
    <s v="1-6-GY24-ZA"/>
    <s v="G-LD SD DR 24CM 2H POL"/>
    <s v="GLID"/>
    <s v="B"/>
    <n v="1200"/>
    <s v="PC"/>
    <s v="CNY"/>
    <n v="3.6753999999999998"/>
    <n v="4410.4799999999996"/>
  </r>
  <r>
    <x v="28"/>
    <x v="28"/>
    <m/>
    <s v="C01020"/>
    <s v="1-6-GLF24-ZB"/>
    <s v="G-LD LF 24CM BSH"/>
    <s v="GLID"/>
    <s v="B"/>
    <n v="2530"/>
    <s v="PC"/>
    <s v="CNY"/>
    <n v="4.3726000000000003"/>
    <n v="11062.68"/>
  </r>
  <r>
    <x v="28"/>
    <x v="28"/>
    <m/>
    <s v="C01020"/>
    <s v="1-6-GAK16BZA"/>
    <s v="G-LD AK 16CM PRESTIGE POL"/>
    <s v="GLID"/>
    <s v="B"/>
    <n v="1040"/>
    <s v="PC"/>
    <s v="CNY"/>
    <n v="4.4463999999999997"/>
    <n v="4624.26"/>
  </r>
  <r>
    <x v="28"/>
    <x v="28"/>
    <m/>
    <s v="C01020"/>
    <s v="1-6-GAK20BZA"/>
    <s v="G-LD AK 20CM PRESTIGE POL"/>
    <s v="GLID"/>
    <s v="B"/>
    <n v="980"/>
    <s v="PC"/>
    <s v="CNY"/>
    <n v="5.1580000000000004"/>
    <n v="5054.84"/>
  </r>
  <r>
    <x v="30"/>
    <x v="30"/>
    <m/>
    <s v="C01019"/>
    <s v="1-6-GLH18-ZE"/>
    <s v="G-LD LH 18CM BK01A"/>
    <s v="GLID"/>
    <s v="B"/>
    <n v="3920"/>
    <s v="PC"/>
    <s v="CNY"/>
    <n v="7.9870000000000001"/>
    <n v="31309.040000000001"/>
  </r>
  <r>
    <x v="30"/>
    <x v="30"/>
    <m/>
    <s v="C01019"/>
    <s v="1-6-GLH22-ZC"/>
    <s v="G-LD LH 22CM BU47A"/>
    <s v="GLID"/>
    <s v="B"/>
    <n v="1400"/>
    <s v="PC"/>
    <s v="CNY"/>
    <n v="9.31"/>
    <n v="13034"/>
  </r>
  <r>
    <x v="30"/>
    <x v="30"/>
    <m/>
    <s v="C01030"/>
    <s v="1-6-GLH18-ZC"/>
    <s v="G-LD LH 18CM ANYDAY  BU47A"/>
    <s v="GLID"/>
    <s v="B"/>
    <n v="4060"/>
    <s v="PC"/>
    <s v="CNY"/>
    <n v="7.9870000000000001"/>
    <n v="32427.22"/>
  </r>
  <r>
    <x v="30"/>
    <x v="30"/>
    <m/>
    <s v="C01030"/>
    <s v="1-6-GLH22-ZC"/>
    <s v="G-LD LH 22CM BU47A"/>
    <s v="GLID"/>
    <s v="B"/>
    <n v="1400"/>
    <s v="PC"/>
    <s v="CNY"/>
    <n v="9.31"/>
    <n v="13034"/>
  </r>
  <r>
    <x v="30"/>
    <x v="30"/>
    <m/>
    <s v="C01035"/>
    <s v="1-6-GMF15-ZC"/>
    <s v="G-LD MF 15CM SQUARE  BU47A"/>
    <s v="GLID"/>
    <s v="B"/>
    <n v="2100"/>
    <s v="PC"/>
    <s v="CNY"/>
    <n v="7.4237000000000002"/>
    <n v="15589.77"/>
  </r>
  <r>
    <x v="30"/>
    <x v="30"/>
    <m/>
    <s v="C01035"/>
    <s v="1-6-GMF15-ZE"/>
    <s v="G-LD MF 15CM SQUARE BK01A"/>
    <s v="GLID"/>
    <s v="B"/>
    <n v="2100"/>
    <s v="PC"/>
    <s v="CNY"/>
    <n v="7.4237000000000002"/>
    <n v="15589.77"/>
  </r>
  <r>
    <x v="30"/>
    <x v="30"/>
    <m/>
    <s v="C01035"/>
    <s v="1-6-GLH22-ZC"/>
    <s v="G-LD LH 22CM BU47A"/>
    <s v="GLID"/>
    <s v="B"/>
    <n v="1200"/>
    <s v="PC"/>
    <s v="CNY"/>
    <n v="9.31"/>
    <n v="11172"/>
  </r>
  <r>
    <x v="30"/>
    <x v="30"/>
    <m/>
    <s v="C01035"/>
    <s v="1-6-GLH22-ZE"/>
    <s v="G-LD LH 22CM BK01A"/>
    <s v="GLID"/>
    <s v="B"/>
    <n v="1400"/>
    <s v="PC"/>
    <s v="CNY"/>
    <n v="9.31"/>
    <n v="13034"/>
  </r>
  <r>
    <x v="30"/>
    <x v="30"/>
    <m/>
    <s v="C01041"/>
    <s v="1-6-GLH14-ZC"/>
    <s v="G-LD LH 14CM BU47A"/>
    <s v="GLID"/>
    <s v="B"/>
    <n v="518"/>
    <s v="PC"/>
    <s v="CNY"/>
    <n v="6.4610000000000003"/>
    <n v="3346.8"/>
  </r>
  <r>
    <x v="30"/>
    <x v="30"/>
    <m/>
    <s v="C01042"/>
    <s v="1-6-GMF15-ZC"/>
    <s v="G-LD MF 15CM SQUARE  BU47A"/>
    <s v="GLID"/>
    <s v="B"/>
    <n v="314"/>
    <s v="PC"/>
    <s v="CNY"/>
    <n v="7.4237000000000002"/>
    <n v="2331.04"/>
  </r>
  <r>
    <x v="28"/>
    <x v="28"/>
    <m/>
    <s v="C01045"/>
    <s v="1-6-GY18-ZA"/>
    <s v="G-LD SD DR 18CM 2H POL"/>
    <s v="GLID"/>
    <s v="B"/>
    <n v="1200"/>
    <s v="PC"/>
    <s v="CNY"/>
    <n v="2.7494000000000001"/>
    <n v="3299.28"/>
  </r>
  <r>
    <x v="28"/>
    <x v="28"/>
    <m/>
    <s v="C01045"/>
    <s v="1-6-GY18-ZA"/>
    <s v="G-LD SD DR 18CM 2H POL"/>
    <s v="GLID"/>
    <s v="B"/>
    <n v="510"/>
    <s v="PC"/>
    <s v="CNY"/>
    <n v="2.7494000000000001"/>
    <n v="1402.19"/>
  </r>
  <r>
    <x v="28"/>
    <x v="28"/>
    <m/>
    <s v="C01045"/>
    <s v="1-6-GAC18-ZA"/>
    <s v="G-LD AC 18CM POL"/>
    <s v="GLID"/>
    <s v="B"/>
    <n v="530"/>
    <s v="PC"/>
    <s v="CNY"/>
    <n v="3.1166"/>
    <n v="1651.8"/>
  </r>
  <r>
    <x v="28"/>
    <x v="28"/>
    <m/>
    <s v="C01045"/>
    <s v="1-6-GAC18-ZA"/>
    <s v="G-LD AC 18CM POL"/>
    <s v="GLID"/>
    <s v="B"/>
    <n v="500"/>
    <s v="PC"/>
    <s v="CNY"/>
    <n v="3.1166"/>
    <n v="1558.3"/>
  </r>
  <r>
    <x v="31"/>
    <x v="31"/>
    <m/>
    <s v="C01038"/>
    <s v="1-6-GAC20-ZA"/>
    <s v="G-LD AC 20CM POL"/>
    <s v="GLID"/>
    <s v="B"/>
    <n v="1020"/>
    <s v="PC"/>
    <s v="CNY"/>
    <n v="3.5017"/>
    <n v="3571.73"/>
  </r>
  <r>
    <x v="28"/>
    <x v="28"/>
    <m/>
    <s v="C01045"/>
    <s v="1-6-GAK20BZA"/>
    <s v="G-LD AK 20CM PRESTIGE POL"/>
    <s v="GLID"/>
    <s v="B"/>
    <n v="20"/>
    <s v="PC"/>
    <s v="CNY"/>
    <n v="5.1580000000000004"/>
    <n v="103.16"/>
  </r>
  <r>
    <x v="30"/>
    <x v="30"/>
    <m/>
    <s v="C01041"/>
    <s v="1-6-GLH16-ZC"/>
    <s v="G-LD LH 16CM BU47A"/>
    <s v="GLID"/>
    <s v="B"/>
    <n v="175"/>
    <s v="PC"/>
    <s v="CNY"/>
    <n v="7.2716000000000003"/>
    <n v="1272.53"/>
  </r>
  <r>
    <x v="30"/>
    <x v="30"/>
    <m/>
    <s v="C01041"/>
    <s v="1-6-GLH16-ZE"/>
    <s v="G-LD LH 16CM BK01A"/>
    <s v="GLID"/>
    <s v="B"/>
    <n v="1040"/>
    <s v="PC"/>
    <s v="CNY"/>
    <n v="7.2716000000000003"/>
    <n v="7562.46"/>
  </r>
  <r>
    <x v="30"/>
    <x v="30"/>
    <m/>
    <s v="C01041"/>
    <s v="1-6-GLH18-ZC"/>
    <s v="G-LD LH 18CM ANYDAY  BU47A"/>
    <s v="GLID"/>
    <s v="B"/>
    <n v="340"/>
    <s v="PC"/>
    <s v="CNY"/>
    <n v="7.9870000000000001"/>
    <n v="2715.58"/>
  </r>
  <r>
    <x v="30"/>
    <x v="30"/>
    <m/>
    <s v="C01041"/>
    <s v="1-6-GLH18-ZE"/>
    <s v="G-LD LH 18CM BK01A"/>
    <s v="GLID"/>
    <s v="B"/>
    <n v="480"/>
    <s v="PC"/>
    <s v="CNY"/>
    <n v="7.9870000000000001"/>
    <n v="3833.76"/>
  </r>
  <r>
    <x v="30"/>
    <x v="30"/>
    <m/>
    <s v="C01041"/>
    <s v="1-6-GLH20-ZC"/>
    <s v="G-LD LH 20CM BU47A"/>
    <s v="GLID"/>
    <s v="B"/>
    <n v="409"/>
    <s v="PC"/>
    <s v="CNY"/>
    <n v="8.6631999999999998"/>
    <n v="3543.25"/>
  </r>
  <r>
    <x v="30"/>
    <x v="30"/>
    <m/>
    <s v="C01041"/>
    <s v="1-6-GLH20-ZE"/>
    <s v="G-LD LH 20CM BK01A"/>
    <s v="GLID"/>
    <s v="B"/>
    <n v="165"/>
    <s v="PC"/>
    <s v="CNY"/>
    <n v="8.6631999999999998"/>
    <n v="1429.43"/>
  </r>
  <r>
    <x v="30"/>
    <x v="30"/>
    <m/>
    <s v="C01041"/>
    <s v="1-6-GLH22-ZC"/>
    <s v="G-LD LH 22CM BU47A"/>
    <s v="GLID"/>
    <s v="B"/>
    <n v="400"/>
    <s v="PC"/>
    <s v="CNY"/>
    <n v="9.31"/>
    <n v="3724"/>
  </r>
  <r>
    <x v="30"/>
    <x v="30"/>
    <m/>
    <s v="C01041"/>
    <s v="1-6-GLH22-ZE"/>
    <s v="G-LD LH 22CM BK01A"/>
    <s v="GLID"/>
    <s v="B"/>
    <n v="200"/>
    <s v="PC"/>
    <s v="CNY"/>
    <n v="9.31"/>
    <n v="1862"/>
  </r>
  <r>
    <x v="31"/>
    <x v="31"/>
    <m/>
    <s v="C01038"/>
    <s v="7-6-392D"/>
    <s v="GLASS SQ 17.5cm MYR"/>
    <s v="GLID"/>
    <s v="B"/>
    <n v="4000"/>
    <s v="PC"/>
    <s v="CNY"/>
    <n v="10.7965"/>
    <n v="43186"/>
  </r>
  <r>
    <x v="12"/>
    <x v="12"/>
    <m/>
    <s v="C01046"/>
    <s v="1-6-670"/>
    <s v="SILICONE RING FOR 1-6-GLX30 SHORE A 68-73 (RD26A)"/>
    <s v="GLID"/>
    <s v="B"/>
    <n v="1560"/>
    <s v="PC"/>
    <s v="CNY"/>
    <n v="13.818"/>
    <n v="21556.080000000002"/>
  </r>
  <r>
    <x v="12"/>
    <x v="12"/>
    <m/>
    <s v="C01046"/>
    <s v="1-6-670"/>
    <s v="SILICONE RING FOR 1-6-GLX30 SHORE A 68-73 (RD26A)"/>
    <s v="GLID"/>
    <s v="B"/>
    <n v="1010"/>
    <s v="PC"/>
    <s v="CNY"/>
    <n v="14.1"/>
    <n v="14241"/>
  </r>
  <r>
    <x v="31"/>
    <x v="31"/>
    <m/>
    <s v="C01038"/>
    <s v="7-6-384D"/>
    <s v="G.BACON PRESS 18CM MEYER"/>
    <s v="GLID"/>
    <s v="B"/>
    <n v="1900"/>
    <s v="PC"/>
    <s v="CNY"/>
    <n v="16.5"/>
    <n v="31350"/>
  </r>
  <r>
    <x v="30"/>
    <x v="30"/>
    <m/>
    <s v="RTV-076"/>
    <s v="1-6-GLH14-ZQ"/>
    <s v="G-LD LH 14CM GN36A"/>
    <s v="GLID"/>
    <s v="B"/>
    <n v="-540"/>
    <s v="PC"/>
    <s v="CNY"/>
    <n v="6.4610000000000003"/>
    <n v="-3488.94"/>
  </r>
  <r>
    <x v="30"/>
    <x v="30"/>
    <m/>
    <s v="C01048"/>
    <s v="1-6-GMF15-ZC"/>
    <s v="G-LD MF 15CM SQUARE  BU47A"/>
    <s v="GLID"/>
    <s v="B"/>
    <n v="86"/>
    <s v="PC"/>
    <s v="CNY"/>
    <n v="7.4237000000000002"/>
    <n v="638.44000000000005"/>
  </r>
  <r>
    <x v="23"/>
    <x v="23"/>
    <m/>
    <s v="M250134"/>
    <s v="1-6-668"/>
    <s v="SILICONE RING FOR 1-6-GLX20 SHORE A 68-73 (RD26A)"/>
    <s v="GLID"/>
    <s v="B"/>
    <n v="3420"/>
    <s v="PC"/>
    <s v="CNY"/>
    <n v="8.7219999999999995"/>
    <n v="29829.24"/>
  </r>
  <r>
    <x v="23"/>
    <x v="23"/>
    <m/>
    <s v="M250134"/>
    <s v="1-6-669"/>
    <s v="SILICONE RING FOR 1-6-GLX26 SHORE A 68-73 (RD26A)"/>
    <s v="GLID"/>
    <s v="B"/>
    <n v="2220"/>
    <s v="PC"/>
    <s v="CNY"/>
    <n v="10.8584"/>
    <n v="24105.65"/>
  </r>
  <r>
    <x v="30"/>
    <x v="30"/>
    <m/>
    <s v="C01064"/>
    <s v="1-6-GLH14-ZQ"/>
    <s v="G-LD LH 14CM GN36A"/>
    <s v="GLID"/>
    <s v="B"/>
    <n v="540"/>
    <s v="PC"/>
    <s v="CNY"/>
    <n v="6.4610000000000003"/>
    <n v="3488.94"/>
  </r>
  <r>
    <x v="30"/>
    <x v="30"/>
    <m/>
    <s v="C01064"/>
    <s v="1-6-GLH14-ZE"/>
    <s v="G-LD LH 14CM BK01A"/>
    <s v="GLID"/>
    <s v="B"/>
    <n v="200"/>
    <s v="PC"/>
    <s v="CNY"/>
    <n v="6.5929000000000002"/>
    <n v="1318.58"/>
  </r>
  <r>
    <x v="23"/>
    <x v="23"/>
    <m/>
    <s v="M250135"/>
    <s v="1-6-668"/>
    <s v="SILICONE RING FOR 1-6-GLX20 SHORE A 68-73 (RD26A)"/>
    <s v="GLID"/>
    <s v="B"/>
    <n v="300"/>
    <s v="PC"/>
    <s v="CNY"/>
    <n v="8.6329999999999991"/>
    <n v="2589.9"/>
  </r>
  <r>
    <x v="23"/>
    <x v="23"/>
    <m/>
    <s v="M250135"/>
    <s v="1-6-668"/>
    <s v="SILICONE RING FOR 1-6-GLX20 SHORE A 68-73 (RD26A)"/>
    <s v="GLID"/>
    <s v="B"/>
    <n v="600"/>
    <s v="PC"/>
    <s v="CNY"/>
    <n v="8.7219999999999995"/>
    <n v="5233.2"/>
  </r>
  <r>
    <x v="23"/>
    <x v="23"/>
    <m/>
    <s v="M250135"/>
    <s v="1-6-669"/>
    <s v="SILICONE RING FOR 1-6-GLX26 SHORE A 68-73 (RD26A)"/>
    <s v="GLID"/>
    <s v="B"/>
    <n v="660"/>
    <s v="PC"/>
    <s v="CNY"/>
    <n v="10.7476"/>
    <n v="7093.42"/>
  </r>
  <r>
    <x v="23"/>
    <x v="23"/>
    <m/>
    <s v="M250135"/>
    <s v="1-6-669"/>
    <s v="SILICONE RING FOR 1-6-GLX26 SHORE A 68-73 (RD26A)"/>
    <s v="GLID"/>
    <s v="B"/>
    <n v="1000"/>
    <s v="PC"/>
    <s v="CNY"/>
    <n v="10.8584"/>
    <n v="10858.4"/>
  </r>
  <r>
    <x v="28"/>
    <x v="28"/>
    <m/>
    <s v="C01069"/>
    <s v="1-6-GA19-ZA"/>
    <s v="G-LD A 19CM POL"/>
    <s v="GLID"/>
    <s v="B"/>
    <n v="1000"/>
    <s v="PC"/>
    <s v="CNY"/>
    <n v="3.0440999999999998"/>
    <n v="3044.1"/>
  </r>
  <r>
    <x v="28"/>
    <x v="28"/>
    <m/>
    <s v="C01069"/>
    <s v="1-6-GE20-ZA"/>
    <s v="G-LD E 20CM POL"/>
    <s v="GLID"/>
    <s v="B"/>
    <n v="7100"/>
    <s v="PC"/>
    <s v="CNY"/>
    <n v="3.3437000000000001"/>
    <n v="23740.27"/>
  </r>
  <r>
    <x v="31"/>
    <x v="31"/>
    <m/>
    <s v="M250203"/>
    <s v="7-6-392D"/>
    <s v="GLASS SQ 17.5cm MYR"/>
    <s v="GLID"/>
    <s v="B"/>
    <n v="400"/>
    <s v="PC"/>
    <s v="CNY"/>
    <n v="10.7965"/>
    <n v="4318.6000000000004"/>
  </r>
  <r>
    <x v="28"/>
    <x v="28"/>
    <m/>
    <s v="RTV-0078"/>
    <s v="1-6-GBX14-ZA"/>
    <s v="G-LD BX 14CM POL"/>
    <s v="GLID"/>
    <s v="B"/>
    <n v="-74"/>
    <s v="PC"/>
    <s v="CNY"/>
    <n v="6.65"/>
    <n v="-492.1"/>
  </r>
  <r>
    <x v="23"/>
    <x v="23"/>
    <m/>
    <s v="M250217"/>
    <s v="1-6-668"/>
    <s v="SILICONE RING FOR 1-6-GLX20 SHORE A 68-73 (RD26A)"/>
    <s v="GLID"/>
    <s v="B"/>
    <n v="3470"/>
    <s v="PC"/>
    <s v="CNY"/>
    <n v="8.6329999999999991"/>
    <n v="29956.51"/>
  </r>
  <r>
    <x v="23"/>
    <x v="23"/>
    <m/>
    <s v="M250217"/>
    <s v="1-6-669"/>
    <s v="SILICONE RING FOR 1-6-GLX26 SHORE A 68-73 (RD26A)"/>
    <s v="GLID"/>
    <s v="B"/>
    <n v="6390"/>
    <s v="PC"/>
    <s v="CNY"/>
    <n v="10.7476"/>
    <n v="68677.16"/>
  </r>
  <r>
    <x v="32"/>
    <x v="32"/>
    <m/>
    <s v="C02013"/>
    <s v="1-6-GEI32-ZA"/>
    <s v="G-LD EI 32CM POL"/>
    <s v="GLID"/>
    <s v="B"/>
    <n v="310"/>
    <s v="PC"/>
    <s v="CNY"/>
    <n v="7.4503000000000004"/>
    <n v="2309.59"/>
  </r>
  <r>
    <x v="33"/>
    <x v="33"/>
    <m/>
    <s v="C02016"/>
    <s v="1-6-GLC13-ZA"/>
    <s v="G-LD LC 13x18CM RECT POL"/>
    <s v="GLID"/>
    <s v="B"/>
    <n v="2040"/>
    <s v="PC"/>
    <s v="CNY"/>
    <n v="6.08"/>
    <n v="12403.2"/>
  </r>
  <r>
    <x v="30"/>
    <x v="30"/>
    <m/>
    <s v="C02024"/>
    <s v="1-6-GLH18-ZQ"/>
    <s v="G-LD LH 18CM ANYDAY GN36A"/>
    <s v="GLID"/>
    <s v="B"/>
    <n v="1000"/>
    <s v="PC"/>
    <s v="CNY"/>
    <n v="8.15"/>
    <n v="8150"/>
  </r>
  <r>
    <x v="28"/>
    <x v="28"/>
    <m/>
    <s v="C02035"/>
    <s v="1-6-GAL16-ZA"/>
    <s v="G-LD AL 16CM POL"/>
    <s v="GLID"/>
    <s v="B"/>
    <n v="1200"/>
    <s v="PC"/>
    <s v="CNY"/>
    <n v="2.7103999999999999"/>
    <n v="3252.48"/>
  </r>
  <r>
    <x v="28"/>
    <x v="28"/>
    <m/>
    <s v="C02035"/>
    <s v="1-6-GY18-ZA"/>
    <s v="G-LD SD DR 18CM 2H POL"/>
    <s v="GLID"/>
    <s v="B"/>
    <n v="1530"/>
    <s v="PC"/>
    <s v="CNY"/>
    <n v="2.7494000000000001"/>
    <n v="4206.58"/>
  </r>
  <r>
    <x v="28"/>
    <x v="28"/>
    <m/>
    <s v="C02035"/>
    <s v="1-6-GV18-ZA"/>
    <s v="G-LD V 18CM POL"/>
    <s v="GLID"/>
    <s v="B"/>
    <n v="450"/>
    <s v="PC"/>
    <s v="CNY"/>
    <n v="2.9073000000000002"/>
    <n v="1308.29"/>
  </r>
  <r>
    <x v="28"/>
    <x v="28"/>
    <m/>
    <s v="C02035"/>
    <s v="1-6-GAL18-ZA"/>
    <s v="G-LD AL 18CM POL"/>
    <s v="GLID"/>
    <s v="B"/>
    <n v="520"/>
    <s v="PC"/>
    <s v="CNY"/>
    <n v="3.0331000000000001"/>
    <n v="1577.21"/>
  </r>
  <r>
    <x v="28"/>
    <x v="28"/>
    <m/>
    <s v="C02035"/>
    <s v="1-6-GLE20-ZB"/>
    <s v="G-LD LE 20CM BSH"/>
    <s v="GLID"/>
    <s v="B"/>
    <n v="510"/>
    <s v="PC"/>
    <s v="CNY"/>
    <n v="3.8246000000000002"/>
    <n v="1950.55"/>
  </r>
  <r>
    <x v="28"/>
    <x v="28"/>
    <m/>
    <s v="C02035"/>
    <s v="1-6-GBX14-ZA"/>
    <s v="G-LD BX 14CM POL"/>
    <s v="GLID"/>
    <s v="B"/>
    <n v="74"/>
    <s v="PC"/>
    <s v="CNY"/>
    <n v="6.65"/>
    <n v="492.1"/>
  </r>
  <r>
    <x v="31"/>
    <x v="31"/>
    <m/>
    <s v="M250231"/>
    <s v="1-6-GD16-ZA"/>
    <s v="G-LD SD DR 16CM 2H POL"/>
    <s v="GLID"/>
    <s v="B"/>
    <n v="50"/>
    <s v="PC"/>
    <s v="CNY"/>
    <n v="2.6817000000000002"/>
    <n v="134.09"/>
  </r>
  <r>
    <x v="31"/>
    <x v="31"/>
    <m/>
    <s v="M250231"/>
    <s v="1-6-GD20-ZA"/>
    <s v="G-LD SD DR 20CM 2H"/>
    <s v="GLID"/>
    <s v="B"/>
    <n v="75"/>
    <s v="PC"/>
    <s v="CNY"/>
    <n v="3.1972"/>
    <n v="239.79"/>
  </r>
  <r>
    <x v="28"/>
    <x v="28"/>
    <m/>
    <s v="C02042"/>
    <s v="1-6-GAL16-ZA"/>
    <s v="G-LD AL 16CM POL"/>
    <s v="GLID"/>
    <s v="B"/>
    <n v="330"/>
    <s v="PC"/>
    <s v="CNY"/>
    <n v="2.7103999999999999"/>
    <n v="894.43"/>
  </r>
  <r>
    <x v="28"/>
    <x v="28"/>
    <m/>
    <s v="C02042"/>
    <s v="1-6-GAL20-ZA"/>
    <s v="G-LD AL 20CM POL"/>
    <s v="GLID"/>
    <s v="B"/>
    <n v="1510"/>
    <s v="PC"/>
    <s v="CNY"/>
    <n v="3.3490000000000002"/>
    <n v="5056.99"/>
  </r>
  <r>
    <x v="28"/>
    <x v="28"/>
    <m/>
    <s v="C02042"/>
    <s v="1-6-GAL24-ZA"/>
    <s v="G-LD AL 24CM POL"/>
    <s v="GLID"/>
    <s v="B"/>
    <n v="1020"/>
    <s v="PC"/>
    <s v="CNY"/>
    <n v="4.1127000000000002"/>
    <n v="4194.95"/>
  </r>
  <r>
    <x v="23"/>
    <x v="23"/>
    <m/>
    <s v="C03034"/>
    <s v="1-6-689AB"/>
    <s v="SILICONE RUBBER KNOB ANYDAY BK01A (FDA GRADE)"/>
    <s v="KNOB"/>
    <s v="B"/>
    <n v="4000"/>
    <s v="PC"/>
    <s v="CNY"/>
    <n v="1.38"/>
    <n v="5520"/>
  </r>
  <r>
    <x v="23"/>
    <x v="23"/>
    <m/>
    <s v="C03100"/>
    <s v="1-6-689AB"/>
    <s v="SILICONE RUBBER KNOB ANYDAY BK01A (FDA GRADE)"/>
    <s v="KNOB"/>
    <s v="B"/>
    <n v="1000"/>
    <s v="PC"/>
    <s v="CNY"/>
    <n v="1.38"/>
    <n v="1380"/>
  </r>
  <r>
    <x v="23"/>
    <x v="23"/>
    <m/>
    <s v="C03100"/>
    <s v="1-6-689AB"/>
    <s v="SILICONE RUBBER KNOB ANYDAY BK01A (FDA GRADE)"/>
    <s v="KNOB"/>
    <s v="B"/>
    <n v="1250"/>
    <s v="PC"/>
    <s v="CNY"/>
    <n v="1.38"/>
    <n v="1725"/>
  </r>
  <r>
    <x v="3"/>
    <x v="3"/>
    <m/>
    <s v="M250345"/>
    <s v="6-8-PU14-C"/>
    <s v="U&amp;C ANYDAY GLASS DISHES MJP"/>
    <s v="U&amp;C-"/>
    <s v="B"/>
    <n v="2020"/>
    <s v="PC"/>
    <s v="CNY"/>
    <n v="1.45"/>
    <n v="2929"/>
  </r>
  <r>
    <x v="3"/>
    <x v="3"/>
    <m/>
    <s v="M250301"/>
    <s v="6-8-X027"/>
    <s v="PRINT MAT'L ANYDAY CLEAR GLASS DISHES"/>
    <s v="PRIM"/>
    <s v="B"/>
    <n v="6500"/>
    <s v="PC"/>
    <s v="CNY"/>
    <n v="1.46"/>
    <n v="9490"/>
  </r>
  <r>
    <x v="3"/>
    <x v="3"/>
    <m/>
    <s v="RTV-0087"/>
    <s v="6-8-X027"/>
    <s v="PRINT MAT'L ANYDAY CLEAR GLASS DISHES"/>
    <s v="PRIM"/>
    <s v="B"/>
    <n v="-5300"/>
    <s v="PC"/>
    <s v="CNY"/>
    <n v="1.46"/>
    <n v="-7738"/>
  </r>
  <r>
    <x v="3"/>
    <x v="3"/>
    <m/>
    <s v="RTV-0087"/>
    <s v="6-8-X027"/>
    <s v="PRINT MAT'L ANYDAY CLEAR GLASS DISHES"/>
    <s v="PRIM"/>
    <s v="B"/>
    <n v="-1200"/>
    <s v="PC"/>
    <s v="CNY"/>
    <n v="1.46"/>
    <n v="-1752"/>
  </r>
  <r>
    <x v="3"/>
    <x v="3"/>
    <m/>
    <s v="M250319"/>
    <s v="6-8-X027"/>
    <s v="PRINT MAT'L ANYDAY CLEAR GLASS DISHES"/>
    <s v="PRIM"/>
    <s v="B"/>
    <n v="6500"/>
    <s v="PC"/>
    <s v="CNY"/>
    <n v="1.46"/>
    <n v="9490"/>
  </r>
  <r>
    <x v="20"/>
    <x v="20"/>
    <m/>
    <s v="C03003"/>
    <s v="1-5-HDS02"/>
    <s v="SH MATT+G.BLK"/>
    <s v="HDL-"/>
    <s v="B"/>
    <n v="1000"/>
    <s v="PC"/>
    <s v="CNY"/>
    <n v="1.5"/>
    <n v="1500"/>
  </r>
  <r>
    <x v="20"/>
    <x v="20"/>
    <m/>
    <s v="C03117"/>
    <s v="1-5-HDS02"/>
    <s v="SH MATT+G.BLK"/>
    <s v="HDL-"/>
    <s v="B"/>
    <n v="1020"/>
    <s v="PC"/>
    <s v="CNY"/>
    <n v="1.5"/>
    <n v="1530"/>
  </r>
  <r>
    <x v="16"/>
    <x v="16"/>
    <m/>
    <s v="C03086"/>
    <s v="5-5-HAN12"/>
    <s v="SH G.BLK"/>
    <s v="HDL-"/>
    <s v="B"/>
    <n v="5020"/>
    <s v="PC"/>
    <s v="CNY"/>
    <n v="1.5156000000000001"/>
    <n v="7608.31"/>
  </r>
  <r>
    <x v="3"/>
    <x v="3"/>
    <m/>
    <s v="M250301"/>
    <s v="6-8-X022"/>
    <s v="PRINT MAT'L ANYDAY SQUARE GLASS DISHES"/>
    <s v="U&amp;C-"/>
    <s v="B"/>
    <n v="4600"/>
    <s v="PC"/>
    <s v="CNY"/>
    <n v="1.53"/>
    <n v="7038"/>
  </r>
  <r>
    <x v="18"/>
    <x v="18"/>
    <m/>
    <s v="X250318"/>
    <s v="5-8-C50000E-C--E"/>
    <s v="CORR SLV 50000-C--E"/>
    <s v="SHTS"/>
    <s v="B"/>
    <n v="4020"/>
    <s v="PC"/>
    <s v="CNY"/>
    <n v="1.6"/>
    <n v="6432"/>
  </r>
  <r>
    <x v="18"/>
    <x v="18"/>
    <m/>
    <s v="X250318"/>
    <s v="5-8-C50000E-C--E"/>
    <s v="CORR SLV 50000-C--E"/>
    <s v="SHTS"/>
    <s v="B"/>
    <n v="2010"/>
    <s v="PC"/>
    <s v="CNY"/>
    <n v="1.6"/>
    <n v="3216"/>
  </r>
  <r>
    <x v="18"/>
    <x v="18"/>
    <m/>
    <s v="X250312"/>
    <s v="5-8-C50057C-C--E"/>
    <s v="CORR SLV 50057-C--E"/>
    <s v="SHTS"/>
    <s v="B"/>
    <n v="1010"/>
    <s v="PC"/>
    <s v="CNY"/>
    <n v="1.63"/>
    <n v="1646.3"/>
  </r>
  <r>
    <x v="18"/>
    <x v="18"/>
    <m/>
    <s v="X250312"/>
    <s v="5-8-C50003D-C--E"/>
    <s v="CORR SLV 50003-C--E"/>
    <s v="SHTS"/>
    <s v="B"/>
    <n v="1010"/>
    <s v="PC"/>
    <s v="CNY"/>
    <n v="1.64"/>
    <n v="1656.4"/>
  </r>
  <r>
    <x v="1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18"/>
    <x v="18"/>
    <m/>
    <s v="X250332"/>
    <s v="6-8-F62109-C"/>
    <s v="1C FP BOX 62109-C"/>
    <s v="BOX-"/>
    <s v="B"/>
    <n v="2020"/>
    <s v="PC"/>
    <s v="CNY"/>
    <n v="1.65"/>
    <n v="3333"/>
  </r>
  <r>
    <x v="18"/>
    <x v="18"/>
    <m/>
    <s v="X250332"/>
    <s v="6-8-F62109-C"/>
    <s v="1C FP BOX 62109-C"/>
    <s v="BOX-"/>
    <s v="B"/>
    <n v="200"/>
    <s v="PC"/>
    <s v="CNY"/>
    <n v="1.65"/>
    <n v="330"/>
  </r>
  <r>
    <x v="18"/>
    <x v="18"/>
    <m/>
    <s v="X250312"/>
    <s v="5-8-C50000E-C--E"/>
    <s v="CORR SLV 50000-C--E"/>
    <s v="SHTS"/>
    <s v="B"/>
    <n v="1010"/>
    <s v="PC"/>
    <s v="CNY"/>
    <n v="1.66"/>
    <n v="1676.6"/>
  </r>
  <r>
    <x v="16"/>
    <x v="16"/>
    <m/>
    <s v="M250310"/>
    <s v="3-5-LIR103--X"/>
    <s v="103 M.BLK TUM"/>
    <s v="LHDL"/>
    <s v="B"/>
    <n v="900"/>
    <s v="PC"/>
    <s v="CNY"/>
    <n v="1.7138"/>
    <n v="1542.42"/>
  </r>
  <r>
    <x v="24"/>
    <x v="24"/>
    <m/>
    <s v="C03068"/>
    <s v="2-5-SA05--Z"/>
    <s v="STD- 05 TUM R122 C/C106 H8.5"/>
    <s v="SHDL"/>
    <s v="B"/>
    <n v="8200"/>
    <s v="PC"/>
    <s v="CNY"/>
    <n v="1.7226999999999999"/>
    <n v="14126.14"/>
  </r>
  <r>
    <x v="20"/>
    <x v="20"/>
    <m/>
    <s v="C03049"/>
    <s v="1-5-HDS01"/>
    <s v="LG MATT+G.BLK"/>
    <s v="HDL-"/>
    <s v="B"/>
    <n v="4050"/>
    <s v="PC"/>
    <s v="CNY"/>
    <n v="1.7248000000000001"/>
    <n v="6985.44"/>
  </r>
  <r>
    <x v="20"/>
    <x v="20"/>
    <m/>
    <s v="C03116"/>
    <s v="1-5-HDS01"/>
    <s v="LG MATT+G.BLK"/>
    <s v="HDL-"/>
    <s v="B"/>
    <n v="1030"/>
    <s v="PC"/>
    <s v="CNY"/>
    <n v="1.76"/>
    <n v="1812.8"/>
  </r>
  <r>
    <x v="3"/>
    <x v="3"/>
    <m/>
    <s v="M250345"/>
    <s v="6-8-PW44"/>
    <s v="RECIPE BOKLET ANYDAY GLASS DISHES MJP 62109-C008"/>
    <s v="U&amp;C-"/>
    <s v="B"/>
    <n v="2020"/>
    <s v="PC"/>
    <s v="CNY"/>
    <n v="1.81"/>
    <n v="3656.2"/>
  </r>
  <r>
    <x v="1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18"/>
    <x v="18"/>
    <m/>
    <s v="X250310"/>
    <s v="6-8-F62070-C"/>
    <s v="FP BROWN BOX 62070-C"/>
    <s v="BOX-"/>
    <s v="B"/>
    <n v="2020"/>
    <s v="PC"/>
    <s v="CNY"/>
    <n v="1.94"/>
    <n v="3918.8"/>
  </r>
  <r>
    <x v="34"/>
    <x v="34"/>
    <m/>
    <s v="X250304"/>
    <s v="3-9-012"/>
    <s v="SULPHURIC ACID"/>
    <s v="MISC"/>
    <s v="B"/>
    <n v="3000"/>
    <s v="KG"/>
    <s v="CNY"/>
    <n v="1.9735"/>
    <n v="5920.5"/>
  </r>
  <r>
    <x v="35"/>
    <x v="35"/>
    <m/>
    <s v="M250113"/>
    <s v="1-6-656-N"/>
    <s v="14CM GLASS BOWL ANYDAY TRANSPARENT"/>
    <s v="GLS-"/>
    <s v="B"/>
    <n v="15000"/>
    <s v="PC"/>
    <s v="CNY"/>
    <n v="5.2389000000000001"/>
    <n v="78583.5"/>
  </r>
  <r>
    <x v="35"/>
    <x v="35"/>
    <m/>
    <s v="M250115"/>
    <s v="1-6-685-N"/>
    <s v="15CM SQUARE GLASS BOWL ANYDAY TRANSPARENT"/>
    <s v="GLS-"/>
    <s v="B"/>
    <n v="4008"/>
    <s v="PC"/>
    <s v="CNY"/>
    <n v="5.3804999999999996"/>
    <n v="21565.040000000001"/>
  </r>
  <r>
    <x v="35"/>
    <x v="35"/>
    <m/>
    <s v="M250113"/>
    <s v="1-6-621-N-CH"/>
    <s v="16CM GLASS BOWL ANYDAY TRANSPARENT CHOOSE"/>
    <s v="GLS-"/>
    <s v="B"/>
    <n v="19992"/>
    <s v="PC"/>
    <s v="CNY"/>
    <n v="5.9381000000000004"/>
    <n v="118714.5"/>
  </r>
  <r>
    <x v="35"/>
    <x v="35"/>
    <m/>
    <s v="M250114"/>
    <s v="1-6-622-N-CH"/>
    <s v="18CM GLASS BOWL ANYDAY TRANSPARENT CHOOSE"/>
    <s v="GLS-"/>
    <s v="B"/>
    <n v="4400"/>
    <s v="PC"/>
    <s v="CNY"/>
    <n v="6.5929000000000002"/>
    <n v="29008.76"/>
  </r>
  <r>
    <x v="35"/>
    <x v="35"/>
    <m/>
    <s v="M250118"/>
    <s v="7-6-618"/>
    <s v="GLASS LID 22cm"/>
    <s v="GLS-"/>
    <s v="B"/>
    <n v="3120"/>
    <s v="PC"/>
    <s v="CNY"/>
    <n v="6.0212000000000003"/>
    <n v="18786.14"/>
  </r>
  <r>
    <x v="35"/>
    <x v="35"/>
    <m/>
    <s v="M250117"/>
    <s v="7-6-676"/>
    <s v="GLASS FOR 7-6-GMI19"/>
    <s v="GLS-"/>
    <s v="B"/>
    <n v="2000"/>
    <s v="PC"/>
    <s v="CNY"/>
    <n v="6.6637000000000004"/>
    <n v="13327.4"/>
  </r>
  <r>
    <x v="35"/>
    <x v="35"/>
    <m/>
    <s v="M250117"/>
    <s v="1-6-671-N"/>
    <s v="19CM SQUARE GLASS BOWL ANYDAY TRANSPARENT"/>
    <s v="GLS-"/>
    <s v="B"/>
    <n v="2000"/>
    <s v="PC"/>
    <s v="CNY"/>
    <n v="8.1858000000000004"/>
    <n v="16371.6"/>
  </r>
  <r>
    <x v="35"/>
    <x v="35"/>
    <m/>
    <s v="M250117"/>
    <s v="7-6-677"/>
    <s v="GLASS FOR 7-6-GMI23"/>
    <s v="GLS-"/>
    <s v="B"/>
    <n v="1760"/>
    <s v="PC"/>
    <s v="CNY"/>
    <n v="8.8053000000000008"/>
    <n v="15497.33"/>
  </r>
  <r>
    <x v="35"/>
    <x v="35"/>
    <m/>
    <s v="M250117"/>
    <s v="1-6-672-N"/>
    <s v="23CM SQUARE GLASS BOWL ANYDAY TRANSPARENT"/>
    <s v="GLS-"/>
    <s v="B"/>
    <n v="2004"/>
    <s v="PC"/>
    <s v="CNY"/>
    <n v="11.672599999999999"/>
    <n v="23391.89"/>
  </r>
  <r>
    <x v="35"/>
    <x v="35"/>
    <m/>
    <s v="M250116"/>
    <s v="1-6-623-N-CH"/>
    <s v="20CM GLASS BOWL ANYDAY TRANSPARENT CHOOSE"/>
    <s v="GLS-"/>
    <s v="B"/>
    <n v="10000"/>
    <s v="PC"/>
    <s v="CNY"/>
    <n v="9.2124000000000006"/>
    <n v="92124"/>
  </r>
  <r>
    <x v="35"/>
    <x v="35"/>
    <m/>
    <s v="M250116"/>
    <s v="1-6-624-N-CH"/>
    <s v="22CM GLASS BOWL ANYDAY TRANSPARENT CHOOSE"/>
    <s v="GLS-"/>
    <s v="B"/>
    <n v="9996"/>
    <s v="PC"/>
    <s v="CNY"/>
    <n v="9.7788000000000004"/>
    <n v="97748.88"/>
  </r>
  <r>
    <x v="35"/>
    <x v="35"/>
    <m/>
    <s v="M250212"/>
    <s v="1-6-656-N-CH"/>
    <s v="14CM GLASS BOWL ANYDAY TRANSPARENT CHOOSE"/>
    <s v="GLS-"/>
    <s v="B"/>
    <n v="12000"/>
    <s v="PC"/>
    <s v="CNY"/>
    <n v="5.2389000000000001"/>
    <n v="62866.8"/>
  </r>
  <r>
    <x v="35"/>
    <x v="35"/>
    <m/>
    <s v="M250215"/>
    <s v="7-6-617"/>
    <s v="GLASS LID 20cm"/>
    <s v="GLS-"/>
    <s v="B"/>
    <n v="2000"/>
    <s v="PC"/>
    <s v="CNY"/>
    <n v="5.3574999999999999"/>
    <n v="10715"/>
  </r>
  <r>
    <x v="35"/>
    <x v="35"/>
    <m/>
    <s v="M250214"/>
    <s v="1-6-685-N"/>
    <s v="15CM SQUARE GLASS BOWL ANYDAY TRANSPARENT"/>
    <s v="GLS-"/>
    <s v="B"/>
    <n v="2016"/>
    <s v="PC"/>
    <s v="CNY"/>
    <n v="5.3804999999999996"/>
    <n v="10847.09"/>
  </r>
  <r>
    <x v="35"/>
    <x v="35"/>
    <m/>
    <s v="M250215"/>
    <s v="7-6-618"/>
    <s v="GLASS LID 22cm"/>
    <s v="GLS-"/>
    <s v="B"/>
    <n v="3520"/>
    <s v="PC"/>
    <s v="CNY"/>
    <n v="6.0212000000000003"/>
    <n v="21194.62"/>
  </r>
  <r>
    <x v="35"/>
    <x v="35"/>
    <m/>
    <s v="M250214"/>
    <s v="7-6-676"/>
    <s v="GLASS FOR 7-6-GMI19"/>
    <s v="GLS-"/>
    <s v="B"/>
    <n v="1000"/>
    <s v="PC"/>
    <s v="CNY"/>
    <n v="6.6637000000000004"/>
    <n v="6663.7"/>
  </r>
  <r>
    <x v="35"/>
    <x v="35"/>
    <m/>
    <s v="M250214"/>
    <s v="1-6-671-N"/>
    <s v="19CM SQUARE GLASS BOWL ANYDAY TRANSPARENT"/>
    <s v="GLS-"/>
    <s v="B"/>
    <n v="2000"/>
    <s v="PC"/>
    <s v="CNY"/>
    <n v="8.1858000000000004"/>
    <n v="16371.6"/>
  </r>
  <r>
    <x v="35"/>
    <x v="35"/>
    <m/>
    <s v="M250214"/>
    <s v="7-6-677"/>
    <s v="GLASS FOR 7-6-GMI23"/>
    <s v="GLS-"/>
    <s v="B"/>
    <n v="1000"/>
    <s v="PC"/>
    <s v="CNY"/>
    <n v="8.8053000000000008"/>
    <n v="8805.2999999999993"/>
  </r>
  <r>
    <x v="35"/>
    <x v="35"/>
    <m/>
    <s v="M250213"/>
    <s v="1-6-623-N-CH"/>
    <s v="20CM GLASS BOWL ANYDAY TRANSPARENT CHOOSE"/>
    <s v="GLS-"/>
    <s v="B"/>
    <n v="3008"/>
    <s v="PC"/>
    <s v="CNY"/>
    <n v="9.2124000000000006"/>
    <n v="27710.9"/>
  </r>
  <r>
    <x v="35"/>
    <x v="35"/>
    <m/>
    <s v="M250214"/>
    <s v="1-6-672-N"/>
    <s v="23CM SQUARE GLASS BOWL ANYDAY TRANSPARENT"/>
    <s v="GLS-"/>
    <s v="B"/>
    <n v="2004"/>
    <s v="PC"/>
    <s v="CNY"/>
    <n v="11.672599999999999"/>
    <n v="23391.89"/>
  </r>
  <r>
    <x v="35"/>
    <x v="35"/>
    <m/>
    <s v="M250212"/>
    <s v="1-6-661"/>
    <s v="24CM GLASS BOWL ANYDAY FROSTED"/>
    <s v="GLS-"/>
    <s v="B"/>
    <n v="2004"/>
    <s v="PC"/>
    <s v="CNY"/>
    <n v="17.805299999999999"/>
    <n v="35681.82"/>
  </r>
  <r>
    <x v="12"/>
    <x v="12"/>
    <m/>
    <s v="C01003"/>
    <s v="7-6-627C"/>
    <s v="16cm Si-RU GASKET BU47A"/>
    <s v="GSKT"/>
    <s v="B"/>
    <n v="1000"/>
    <s v="PC"/>
    <s v="CNY"/>
    <n v="2.75"/>
    <n v="2750"/>
  </r>
  <r>
    <x v="12"/>
    <x v="12"/>
    <m/>
    <s v="C01003"/>
    <s v="7-6-628C"/>
    <s v="18cm Si-RU GASKET BU47A"/>
    <s v="GSKT"/>
    <s v="B"/>
    <n v="1000"/>
    <s v="PC"/>
    <s v="CNY"/>
    <n v="3.1"/>
    <n v="3100"/>
  </r>
  <r>
    <x v="12"/>
    <x v="12"/>
    <m/>
    <s v="C01003"/>
    <s v="7-6-649C"/>
    <s v="24cm Si-RU GASKET BU47A"/>
    <s v="GSKT"/>
    <s v="B"/>
    <n v="1200"/>
    <s v="PC"/>
    <s v="CNY"/>
    <n v="4.2"/>
    <n v="5040"/>
  </r>
  <r>
    <x v="12"/>
    <x v="12"/>
    <m/>
    <s v="C01004"/>
    <s v="7-6-678C"/>
    <s v="SILICONE GASKET 7-6-GMI19 BU47A"/>
    <s v="GSKT"/>
    <s v="B"/>
    <n v="520"/>
    <s v="PC"/>
    <s v="CNY"/>
    <n v="4.9000000000000004"/>
    <n v="2548"/>
  </r>
  <r>
    <x v="12"/>
    <x v="12"/>
    <m/>
    <s v="C01004"/>
    <s v="7-6-678B"/>
    <s v="SILICONE GASKET 7-6-GMI19 BK01A"/>
    <s v="GSKT"/>
    <s v="B"/>
    <n v="620"/>
    <s v="PC"/>
    <s v="CNY"/>
    <n v="4.9000000000000004"/>
    <n v="3038"/>
  </r>
  <r>
    <x v="12"/>
    <x v="12"/>
    <m/>
    <s v="C01003"/>
    <s v="7-6-678A"/>
    <s v="SILICONE GASKET 7-6-GMI19 GN36A"/>
    <s v="GSKT"/>
    <s v="B"/>
    <n v="900"/>
    <s v="PC"/>
    <s v="CNY"/>
    <n v="4.9000000000000004"/>
    <n v="4410"/>
  </r>
  <r>
    <x v="12"/>
    <x v="12"/>
    <m/>
    <s v="C01004"/>
    <s v="7-6-680B"/>
    <s v="SILICONE GASKET 7-6-GMI23 BK01A"/>
    <s v="GSKT"/>
    <s v="B"/>
    <n v="520"/>
    <s v="PC"/>
    <s v="CNY"/>
    <n v="5.7"/>
    <n v="2964"/>
  </r>
  <r>
    <x v="12"/>
    <x v="12"/>
    <m/>
    <s v="C01003"/>
    <s v="7-6-680A"/>
    <s v="SILICONE GASKET 7-6-GMI23 GN36A"/>
    <s v="GSKT"/>
    <s v="B"/>
    <n v="300"/>
    <s v="PC"/>
    <s v="CNY"/>
    <n v="5.7"/>
    <n v="1710"/>
  </r>
  <r>
    <x v="12"/>
    <x v="12"/>
    <m/>
    <s v="C01003"/>
    <s v="7-6-680C"/>
    <s v="SILICONE GASKET 7-6-GMI23 BU47A"/>
    <s v="GSKT"/>
    <s v="B"/>
    <n v="1000"/>
    <s v="PC"/>
    <s v="CNY"/>
    <n v="5.7"/>
    <n v="5700"/>
  </r>
  <r>
    <x v="12"/>
    <x v="12"/>
    <m/>
    <s v="C01046"/>
    <s v="7-6-629C"/>
    <s v="20cm Si-RU RING BU47A"/>
    <s v="GSKT"/>
    <s v="B"/>
    <n v="300"/>
    <s v="PC"/>
    <s v="CNY"/>
    <n v="3.5"/>
    <n v="1050"/>
  </r>
  <r>
    <x v="12"/>
    <x v="12"/>
    <m/>
    <s v="C01046"/>
    <s v="7-6-678A"/>
    <s v="SILICONE GASKET 7-6-GMI19 GN36A"/>
    <s v="GSKT"/>
    <s v="B"/>
    <n v="100"/>
    <s v="PC"/>
    <s v="CNY"/>
    <n v="4.9000000000000004"/>
    <n v="490"/>
  </r>
  <r>
    <x v="12"/>
    <x v="12"/>
    <m/>
    <s v="C01046"/>
    <s v="7-6-678C"/>
    <s v="SILICONE GASKET 7-6-GMI19 BU47A"/>
    <s v="GSKT"/>
    <s v="B"/>
    <n v="300"/>
    <s v="PC"/>
    <s v="CNY"/>
    <n v="4.9000000000000004"/>
    <n v="1470"/>
  </r>
  <r>
    <x v="12"/>
    <x v="12"/>
    <m/>
    <s v="C01046"/>
    <s v="7-6-680A"/>
    <s v="SILICONE GASKET 7-6-GMI23 GN36A"/>
    <s v="GSKT"/>
    <s v="B"/>
    <n v="700"/>
    <s v="PC"/>
    <s v="CNY"/>
    <n v="5.7"/>
    <n v="3990"/>
  </r>
  <r>
    <x v="12"/>
    <x v="12"/>
    <m/>
    <s v="C01056"/>
    <s v="7-6-630A"/>
    <s v="22cm Si-RU GASKET GN36A"/>
    <s v="GSKT"/>
    <s v="B"/>
    <n v="100"/>
    <s v="PC"/>
    <s v="CNY"/>
    <n v="3.85"/>
    <n v="385"/>
  </r>
  <r>
    <x v="12"/>
    <x v="12"/>
    <m/>
    <s v="C02003"/>
    <s v="7-6-627C"/>
    <s v="16cm Si-RU GASKET BU47A"/>
    <s v="GSKT"/>
    <s v="B"/>
    <n v="1050"/>
    <s v="PC"/>
    <s v="CNY"/>
    <n v="2.75"/>
    <n v="2887.5"/>
  </r>
  <r>
    <x v="12"/>
    <x v="12"/>
    <m/>
    <s v="C02004"/>
    <s v="7-6-628C"/>
    <s v="18cm Si-RU GASKET BU47A"/>
    <s v="GSKT"/>
    <s v="B"/>
    <n v="1000"/>
    <s v="PC"/>
    <s v="CNY"/>
    <n v="3.1"/>
    <n v="3100"/>
  </r>
  <r>
    <x v="12"/>
    <x v="12"/>
    <m/>
    <s v="C02004"/>
    <s v="7-6-678A"/>
    <s v="SILICONE GASKET 7-6-GMI19 GN36A"/>
    <s v="GSKT"/>
    <s v="B"/>
    <n v="2100"/>
    <s v="PC"/>
    <s v="CNY"/>
    <n v="4.9000000000000004"/>
    <n v="10290"/>
  </r>
  <r>
    <x v="12"/>
    <x v="12"/>
    <m/>
    <s v="C02004"/>
    <s v="7-6-680A"/>
    <s v="SILICONE GASKET 7-6-GMI23 GN36A"/>
    <s v="GSKT"/>
    <s v="B"/>
    <n v="1300"/>
    <s v="PC"/>
    <s v="CNY"/>
    <n v="5.7"/>
    <n v="7410"/>
  </r>
  <r>
    <x v="12"/>
    <x v="12"/>
    <m/>
    <s v="C02018"/>
    <s v="7-6-627C"/>
    <s v="16cm Si-RU GASKET BU47A"/>
    <s v="GSKT"/>
    <s v="B"/>
    <n v="1000"/>
    <s v="PC"/>
    <s v="CNY"/>
    <n v="2.75"/>
    <n v="2750"/>
  </r>
  <r>
    <x v="12"/>
    <x v="12"/>
    <m/>
    <s v="C02018"/>
    <s v="7-6-649A"/>
    <s v="24cm Si-RU GASKET GN36A"/>
    <s v="GSKT"/>
    <s v="B"/>
    <n v="1000"/>
    <s v="PC"/>
    <s v="CNY"/>
    <n v="4.2"/>
    <n v="4200"/>
  </r>
  <r>
    <x v="12"/>
    <x v="12"/>
    <m/>
    <s v="C02018"/>
    <s v="7-6-680A"/>
    <s v="SILICONE GASKET 7-6-GMI23 GN36A"/>
    <s v="GSKT"/>
    <s v="B"/>
    <n v="800"/>
    <s v="PC"/>
    <s v="CNY"/>
    <n v="5.7"/>
    <n v="4560"/>
  </r>
  <r>
    <x v="12"/>
    <x v="12"/>
    <m/>
    <s v="C02018"/>
    <s v="7-6-680A"/>
    <s v="SILICONE GASKET 7-6-GMI23 GN36A"/>
    <s v="GSKT"/>
    <s v="B"/>
    <n v="500"/>
    <s v="PC"/>
    <s v="CNY"/>
    <n v="5.7"/>
    <n v="2850"/>
  </r>
  <r>
    <x v="22"/>
    <x v="22"/>
    <m/>
    <s v="C01016"/>
    <s v="3-5-HSJ103-AZ"/>
    <s v="SH-- 103 BK01A TUM R83 C/C50 H8.5"/>
    <s v="HDL-"/>
    <s v="B"/>
    <n v="1020"/>
    <s v="PC"/>
    <s v="CNY"/>
    <n v="6.5797999999999996"/>
    <n v="6711.4"/>
  </r>
  <r>
    <x v="17"/>
    <x v="17"/>
    <m/>
    <s v="C01025"/>
    <s v="3-5-HPK122-EZ"/>
    <s v="XS-- 122 BK01G TUM R71 C/C34.3 H8.5"/>
    <s v="HDL-"/>
    <s v="O"/>
    <n v="1000"/>
    <s v="PC"/>
    <s v="CNY"/>
    <n v="1.1168"/>
    <n v="1116.8"/>
  </r>
  <r>
    <x v="17"/>
    <x v="17"/>
    <m/>
    <s v="C01024"/>
    <s v="3-5-HHG102-HXA"/>
    <s v="SH 102 BK01G TUM"/>
    <s v="HDL-"/>
    <s v="O"/>
    <n v="610"/>
    <s v="PC"/>
    <s v="CNY"/>
    <n v="1.1801999999999999"/>
    <n v="719.92"/>
  </r>
  <r>
    <x v="17"/>
    <x v="17"/>
    <m/>
    <s v="C01024"/>
    <s v="3-5-HHG103-HXA"/>
    <s v="SH 103 BK01G TUM"/>
    <s v="HDL-"/>
    <s v="O"/>
    <n v="620"/>
    <s v="PC"/>
    <s v="CNY"/>
    <n v="1.1801999999999999"/>
    <n v="731.72"/>
  </r>
  <r>
    <x v="17"/>
    <x v="17"/>
    <m/>
    <s v="C01024"/>
    <s v="3-5-HHG104-HXA"/>
    <s v="SH 104 BK01G TUM"/>
    <s v="HDL-"/>
    <s v="O"/>
    <n v="620"/>
    <s v="PC"/>
    <s v="CNY"/>
    <n v="1.1801999999999999"/>
    <n v="731.72"/>
  </r>
  <r>
    <x v="17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17"/>
    <x v="17"/>
    <m/>
    <s v="C01024"/>
    <s v="3-5-HHG225-HXA"/>
    <s v="LG 225 BK01G TUM"/>
    <s v="HDL-"/>
    <s v="O"/>
    <n v="620"/>
    <s v="PC"/>
    <s v="CNY"/>
    <n v="1.2863"/>
    <n v="797.51"/>
  </r>
  <r>
    <x v="17"/>
    <x v="17"/>
    <m/>
    <s v="C01024"/>
    <s v="3-5-HHG226-HXA"/>
    <s v="LG-- 226 BK01G TUM FAG26IA C/C34.8 H8.5"/>
    <s v="HDL-"/>
    <s v="O"/>
    <n v="620"/>
    <s v="PC"/>
    <s v="CNY"/>
    <n v="1.2863"/>
    <n v="797.51"/>
  </r>
  <r>
    <x v="17"/>
    <x v="17"/>
    <m/>
    <s v="C01024"/>
    <s v="3-5-HHG310-HXA"/>
    <s v="LG-- 310 BK01G TUM YEK24MA C/C34.8 H8.5"/>
    <s v="HDL-"/>
    <s v="O"/>
    <n v="626"/>
    <s v="PC"/>
    <s v="CNY"/>
    <n v="1.2863"/>
    <n v="805.22"/>
  </r>
  <r>
    <x v="22"/>
    <x v="22"/>
    <m/>
    <s v="C01032"/>
    <s v="3-5-HSJ102-AZ"/>
    <s v="SH-- 102 BK01A TUM R73 C/C50 H8.5"/>
    <s v="HDL-"/>
    <s v="B"/>
    <n v="1020"/>
    <s v="PC"/>
    <s v="CNY"/>
    <n v="6.5797999999999996"/>
    <n v="6711.4"/>
  </r>
  <r>
    <x v="22"/>
    <x v="22"/>
    <m/>
    <s v="C01032"/>
    <s v="3-5-HSJ105-AZ"/>
    <s v="LG-- 105 BK01A TUM R103 C/C50 H8.5"/>
    <s v="HDL-"/>
    <s v="B"/>
    <n v="1000"/>
    <s v="PC"/>
    <s v="CNY"/>
    <n v="7.6571999999999996"/>
    <n v="7657.2"/>
  </r>
  <r>
    <x v="36"/>
    <x v="36"/>
    <m/>
    <s v="C01031"/>
    <s v="3-5-HJC103CBX"/>
    <s v="SH-- 103 NEW ANOLON GY04A POL R83 C/C50 H8.5"/>
    <s v="HDL-"/>
    <s v="B"/>
    <n v="2040"/>
    <s v="PC"/>
    <s v="CNY"/>
    <n v="13.042"/>
    <n v="26605.68"/>
  </r>
  <r>
    <x v="37"/>
    <x v="37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37"/>
    <x v="37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36"/>
    <x v="36"/>
    <m/>
    <s v="C01031"/>
    <s v="3-5-HJC110CBX"/>
    <s v="LG-- 110 NEW ANOLON GY04A POL R143 C/C59.25 H8.5"/>
    <s v="HDL-"/>
    <s v="B"/>
    <n v="1010"/>
    <s v="PC"/>
    <s v="CNY"/>
    <n v="13.8696"/>
    <n v="14008.3"/>
  </r>
  <r>
    <x v="37"/>
    <x v="37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16"/>
    <x v="16"/>
    <m/>
    <s v="C01047"/>
    <s v="5-5-HAN12"/>
    <s v="SH G.BLK"/>
    <s v="HDL-"/>
    <s v="B"/>
    <n v="2000"/>
    <s v="PC"/>
    <s v="CNY"/>
    <n v="1.5313000000000001"/>
    <n v="3062.6"/>
  </r>
  <r>
    <x v="16"/>
    <x v="16"/>
    <m/>
    <s v="C01047"/>
    <s v="5-5-HAN11"/>
    <s v="LG G.BLK"/>
    <s v="HDL-"/>
    <s v="B"/>
    <n v="5000"/>
    <s v="PC"/>
    <s v="CNY"/>
    <n v="1.849"/>
    <n v="9245"/>
  </r>
  <r>
    <x v="16"/>
    <x v="16"/>
    <m/>
    <s v="C01047"/>
    <s v="1-5-HLS01--X"/>
    <s v="LG M.BLK POL"/>
    <s v="HDL-"/>
    <s v="B"/>
    <n v="520"/>
    <s v="PC"/>
    <s v="CNY"/>
    <n v="2.6798000000000002"/>
    <n v="1393.5"/>
  </r>
  <r>
    <x v="22"/>
    <x v="22"/>
    <m/>
    <s v="C01049"/>
    <s v="1-5-HAJ01--X4"/>
    <s v="SH-- POL R73 C/C40 H8.5 SS304x0.7"/>
    <s v="HDL-"/>
    <s v="B"/>
    <n v="1738"/>
    <s v="PC"/>
    <s v="CNY"/>
    <n v="3.5398000000000001"/>
    <n v="6152.17"/>
  </r>
  <r>
    <x v="20"/>
    <x v="20"/>
    <m/>
    <s v="C01052"/>
    <s v="1-5-HDS02"/>
    <s v="SH MATT+G.BLK"/>
    <s v="HDL-"/>
    <s v="B"/>
    <n v="520"/>
    <s v="PC"/>
    <s v="CNY"/>
    <n v="1.5"/>
    <n v="780"/>
  </r>
  <r>
    <x v="8"/>
    <x v="8"/>
    <m/>
    <s v="C01059"/>
    <s v="3-5-HAJ125--X4"/>
    <s v="LG-- 125 POL YAY20A2 C/C40 H8.5 SS304x1.2"/>
    <s v="HDL-"/>
    <s v="B"/>
    <n v="1000"/>
    <s v="PC"/>
    <s v="CNY"/>
    <n v="4.9203000000000001"/>
    <n v="4920.3"/>
  </r>
  <r>
    <x v="8"/>
    <x v="8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8"/>
    <x v="8"/>
    <m/>
    <s v="C01037"/>
    <s v="3-5-HAJ125--X4"/>
    <s v="LG-- 125 POL YAY20A2 C/C40 H8.5 SS304x1.2"/>
    <s v="HDL-"/>
    <s v="B"/>
    <n v="1000"/>
    <s v="PC"/>
    <s v="CNY"/>
    <n v="4.9203000000000001"/>
    <n v="4920.3"/>
  </r>
  <r>
    <x v="17"/>
    <x v="17"/>
    <m/>
    <s v="C01060"/>
    <s v="1-5-HLS02-EX"/>
    <s v="SH BK01G TUM"/>
    <s v="HDL-"/>
    <s v="O"/>
    <n v="1050"/>
    <s v="PC"/>
    <s v="CNY"/>
    <n v="1.4438"/>
    <n v="1515.99"/>
  </r>
  <r>
    <x v="22"/>
    <x v="22"/>
    <m/>
    <s v="C01062"/>
    <s v="1-5-HAJ01--X4"/>
    <s v="SH-- POL R73 C/C40 H8.5 SS304x0.7"/>
    <s v="HDL-"/>
    <s v="B"/>
    <n v="302"/>
    <s v="PC"/>
    <s v="CNY"/>
    <n v="3.5398000000000001"/>
    <n v="1069.02"/>
  </r>
  <r>
    <x v="22"/>
    <x v="22"/>
    <m/>
    <s v="C01062"/>
    <s v="3-5-LPS103--Y"/>
    <s v="STD- 103 BSH R177.25 C/C113 H6.5"/>
    <s v="HDL-"/>
    <s v="B"/>
    <n v="1020"/>
    <s v="PC"/>
    <s v="CNY"/>
    <n v="3.9580000000000002"/>
    <n v="4037.16"/>
  </r>
  <r>
    <x v="22"/>
    <x v="22"/>
    <m/>
    <s v="C01062"/>
    <s v="3-5-LPS105--Y"/>
    <s v="STD- 105 BSH R223.86 C/C113 H6.5"/>
    <s v="HDL-"/>
    <s v="B"/>
    <n v="1030"/>
    <s v="PC"/>
    <s v="CNY"/>
    <n v="3.9580000000000002"/>
    <n v="4076.74"/>
  </r>
  <r>
    <x v="27"/>
    <x v="27"/>
    <m/>
    <s v="C01068"/>
    <s v="1-5-HRE02"/>
    <s v="SH-- HDL RE -02 MATTE BLK PHENOLIC (MOFRBNRXX1)"/>
    <s v="HDL-"/>
    <s v="B"/>
    <n v="1050"/>
    <s v="PC"/>
    <s v="CNY"/>
    <n v="1.3992"/>
    <n v="1469.16"/>
  </r>
  <r>
    <x v="8"/>
    <x v="8"/>
    <m/>
    <s v="RTV-0081"/>
    <s v="3-5-HAJ65-W"/>
    <s v="LG-- 65 POL VDZ24MA C/C40 H8.5 SS430x1.2"/>
    <s v="HDL-"/>
    <s v="B"/>
    <n v="-18"/>
    <s v="PC"/>
    <s v="CNY"/>
    <n v="3.7610000000000001"/>
    <n v="-67.7"/>
  </r>
  <r>
    <x v="8"/>
    <x v="8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20"/>
    <x v="20"/>
    <m/>
    <s v="C02022"/>
    <s v="1-5-HSS02"/>
    <s v="SH-- 02 M.BLK"/>
    <s v="HDL-"/>
    <s v="B"/>
    <n v="1300"/>
    <s v="PC"/>
    <s v="CNY"/>
    <n v="2.1269999999999998"/>
    <n v="2765.1"/>
  </r>
  <r>
    <x v="20"/>
    <x v="20"/>
    <m/>
    <s v="C02022"/>
    <s v="1-5-HSS02"/>
    <s v="SH-- 02 M.BLK"/>
    <s v="HDL-"/>
    <s v="B"/>
    <n v="500"/>
    <s v="PC"/>
    <s v="CNY"/>
    <n v="2.1269999999999998"/>
    <n v="1063.5"/>
  </r>
  <r>
    <x v="20"/>
    <x v="20"/>
    <m/>
    <s v="C02022"/>
    <s v="3-5-HPK122--Z"/>
    <s v="XS 122 M.BLK TUM"/>
    <s v="HDL-"/>
    <s v="B"/>
    <n v="950"/>
    <s v="PC"/>
    <s v="CNY"/>
    <n v="2.2766999999999999"/>
    <n v="2162.87"/>
  </r>
  <r>
    <x v="16"/>
    <x v="16"/>
    <m/>
    <s v="C02032"/>
    <s v="7-6-104"/>
    <s v="PHEN PT SH HDL BQ N.BLK"/>
    <s v="HDL-"/>
    <s v="B"/>
    <n v="3050"/>
    <s v="PC"/>
    <s v="CNY"/>
    <n v="1.1255999999999999"/>
    <n v="3433.08"/>
  </r>
  <r>
    <x v="16"/>
    <x v="16"/>
    <m/>
    <s v="C02032"/>
    <s v="7-6-105"/>
    <s v="PHEN PT LG HDL BQ M.BLK"/>
    <s v="HDL-"/>
    <s v="B"/>
    <n v="3000"/>
    <s v="PC"/>
    <s v="CNY"/>
    <n v="1.278"/>
    <n v="3834"/>
  </r>
  <r>
    <x v="16"/>
    <x v="16"/>
    <m/>
    <s v="C02032"/>
    <s v="5-5-HAN12"/>
    <s v="SH G.BLK"/>
    <s v="HDL-"/>
    <s v="B"/>
    <n v="6100"/>
    <s v="PC"/>
    <s v="CNY"/>
    <n v="1.5156000000000001"/>
    <n v="9245.16"/>
  </r>
  <r>
    <x v="16"/>
    <x v="16"/>
    <m/>
    <s v="C02032"/>
    <s v="5-5-HAN12"/>
    <s v="SH G.BLK"/>
    <s v="HDL-"/>
    <s v="B"/>
    <n v="8200"/>
    <s v="PC"/>
    <s v="CNY"/>
    <n v="1.5156000000000001"/>
    <n v="12427.92"/>
  </r>
  <r>
    <x v="16"/>
    <x v="16"/>
    <m/>
    <s v="C02032"/>
    <s v="5-5-HAN12"/>
    <s v="SH G.BLK"/>
    <s v="HDL-"/>
    <s v="B"/>
    <n v="2000"/>
    <s v="PC"/>
    <s v="CNY"/>
    <n v="1.5313000000000001"/>
    <n v="3062.6"/>
  </r>
  <r>
    <x v="16"/>
    <x v="16"/>
    <m/>
    <s v="C02032"/>
    <s v="5-5-HAN12"/>
    <s v="SH G.BLK"/>
    <s v="HDL-"/>
    <s v="B"/>
    <n v="2010"/>
    <s v="PC"/>
    <s v="CNY"/>
    <n v="1.5313000000000001"/>
    <n v="3077.91"/>
  </r>
  <r>
    <x v="16"/>
    <x v="16"/>
    <m/>
    <s v="C02034"/>
    <s v="5-5-HAN11"/>
    <s v="LG G.BLK"/>
    <s v="HDL-"/>
    <s v="B"/>
    <n v="6300"/>
    <s v="PC"/>
    <s v="CNY"/>
    <n v="1.849"/>
    <n v="11648.7"/>
  </r>
  <r>
    <x v="16"/>
    <x v="16"/>
    <m/>
    <s v="C02034"/>
    <s v="5-5-HAN11"/>
    <s v="LG G.BLK"/>
    <s v="HDL-"/>
    <s v="B"/>
    <n v="3000"/>
    <s v="PC"/>
    <s v="CNY"/>
    <n v="1.8681000000000001"/>
    <n v="5604.3"/>
  </r>
  <r>
    <x v="16"/>
    <x v="16"/>
    <m/>
    <s v="C02034"/>
    <s v="5-5-HAN11"/>
    <s v="LG G.BLK"/>
    <s v="HDL-"/>
    <s v="B"/>
    <n v="1900"/>
    <s v="PC"/>
    <s v="CNY"/>
    <n v="1.9061999999999999"/>
    <n v="3621.78"/>
  </r>
  <r>
    <x v="22"/>
    <x v="22"/>
    <m/>
    <s v="C02036"/>
    <s v="1-5-HAJ01--X4"/>
    <s v="SH-- POL R73 C/C40 H8.5 SS304x0.7"/>
    <s v="HDL-"/>
    <s v="B"/>
    <n v="195"/>
    <s v="PC"/>
    <s v="CNY"/>
    <n v="3.5398000000000001"/>
    <n v="690.26"/>
  </r>
  <r>
    <x v="16"/>
    <x v="16"/>
    <m/>
    <s v="C02034"/>
    <s v="3-5-HOY104A-X"/>
    <s v="SH 104 CIR M.BLK TUM"/>
    <s v="HDL-"/>
    <s v="B"/>
    <n v="400"/>
    <s v="PC"/>
    <s v="CNY"/>
    <n v="4.0471000000000004"/>
    <n v="1618.84"/>
  </r>
  <r>
    <x v="8"/>
    <x v="8"/>
    <m/>
    <s v="C02038"/>
    <s v="3-5-HAJ54--X4"/>
    <s v="LG-- POL R93 C/C40 H8.5 SS304x1.2"/>
    <s v="HDL-"/>
    <s v="B"/>
    <n v="1050"/>
    <s v="PC"/>
    <s v="CNY"/>
    <n v="4.5491999999999999"/>
    <n v="4776.66"/>
  </r>
  <r>
    <x v="38"/>
    <x v="38"/>
    <m/>
    <s v="C02039"/>
    <s v="3-5-LSI105A-Y"/>
    <s v="STD- 105 M BSH R223.5 C/C102 H6.5 (BFMY20)"/>
    <s v="HDL-"/>
    <s v="B"/>
    <n v="2700"/>
    <s v="PC"/>
    <s v="CNY"/>
    <n v="7.4931000000000001"/>
    <n v="20231.37"/>
  </r>
  <r>
    <x v="38"/>
    <x v="38"/>
    <m/>
    <s v="C02039"/>
    <s v="3-5-LSI105A-Y"/>
    <s v="STD- 105 M BSH R223.5 C/C102 H6.5 (BFMY20)"/>
    <s v="HDL-"/>
    <s v="B"/>
    <n v="2200"/>
    <s v="PC"/>
    <s v="CNY"/>
    <n v="7.4931000000000001"/>
    <n v="16484.82"/>
  </r>
  <r>
    <x v="38"/>
    <x v="38"/>
    <m/>
    <s v="C02039"/>
    <s v="3-5-LSI107A-Y"/>
    <s v="STD- 107 M BSH R274.7 C/C102 H6.5 (182424S)"/>
    <s v="HDL-"/>
    <s v="B"/>
    <n v="200"/>
    <s v="PC"/>
    <s v="CNY"/>
    <n v="7.4931000000000001"/>
    <n v="1498.62"/>
  </r>
  <r>
    <x v="38"/>
    <x v="38"/>
    <m/>
    <s v="C02040"/>
    <s v="3-5-LSI107A-Y"/>
    <s v="STD- 107 M BSH R274.7 C/C102 H6.5 (182424S)"/>
    <s v="HDL-"/>
    <s v="B"/>
    <n v="3100"/>
    <s v="PC"/>
    <s v="CNY"/>
    <n v="7.4931000000000001"/>
    <n v="23228.61"/>
  </r>
  <r>
    <x v="38"/>
    <x v="38"/>
    <m/>
    <s v="C02040"/>
    <s v="3-5-LSI107A-Y"/>
    <s v="STD- 107 M BSH R274.7 C/C102 H6.5 (182424S)"/>
    <s v="HDL-"/>
    <s v="B"/>
    <n v="2200"/>
    <s v="PC"/>
    <s v="CNY"/>
    <n v="7.4931000000000001"/>
    <n v="16484.82"/>
  </r>
  <r>
    <x v="38"/>
    <x v="38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38"/>
    <x v="38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38"/>
    <x v="38"/>
    <m/>
    <s v="C02040"/>
    <s v="3-5-LSI110A-Y"/>
    <s v="STD- 110 M BSH R311.4 C/C102 H6.5 (1824-28)"/>
    <s v="HDL-"/>
    <s v="B"/>
    <n v="1400"/>
    <s v="PC"/>
    <s v="CNY"/>
    <n v="7.4931000000000001"/>
    <n v="10490.34"/>
  </r>
  <r>
    <x v="8"/>
    <x v="8"/>
    <m/>
    <s v="C02044"/>
    <s v="3-5-HAJ54--X4"/>
    <s v="LG-- POL R93 C/C40 H8.5 SS304x1.2"/>
    <s v="HDL-"/>
    <s v="B"/>
    <n v="1050"/>
    <s v="PC"/>
    <s v="CNY"/>
    <n v="4.5491999999999999"/>
    <n v="4776.66"/>
  </r>
  <r>
    <x v="18"/>
    <x v="18"/>
    <m/>
    <s v="X250324"/>
    <s v="5-8-C50057C-C--E"/>
    <s v="CORR SLV 50057-C--E"/>
    <s v="SHTS"/>
    <s v="B"/>
    <n v="2010"/>
    <s v="PC"/>
    <s v="CNY"/>
    <n v="2.0099999999999998"/>
    <n v="4040.1"/>
  </r>
  <r>
    <x v="16"/>
    <x v="16"/>
    <m/>
    <s v="C03086"/>
    <s v="5-5-KAN02"/>
    <s v="KNOB AN G.BLK"/>
    <s v="KNOB"/>
    <s v="B"/>
    <n v="1000"/>
    <s v="PC"/>
    <s v="CNY"/>
    <n v="2.0691000000000002"/>
    <n v="2069.1"/>
  </r>
  <r>
    <x v="20"/>
    <x v="20"/>
    <m/>
    <s v="C03093"/>
    <s v="1-5-HSS02"/>
    <s v="SH-- 02 M.BLK"/>
    <s v="HDL-"/>
    <s v="B"/>
    <n v="3100"/>
    <s v="PC"/>
    <s v="CNY"/>
    <n v="2.0844999999999998"/>
    <n v="6461.95"/>
  </r>
  <r>
    <x v="20"/>
    <x v="20"/>
    <m/>
    <s v="C03093"/>
    <s v="1-5-HSS02"/>
    <s v="SH-- 02 M.BLK"/>
    <s v="HDL-"/>
    <s v="B"/>
    <n v="3000"/>
    <s v="PC"/>
    <s v="CNY"/>
    <n v="2.0844999999999998"/>
    <n v="6253.5"/>
  </r>
  <r>
    <x v="39"/>
    <x v="39"/>
    <m/>
    <s v="X250326"/>
    <s v="7-9-Z71023"/>
    <s v="2-FACE ADHESIVE TAPE24X20"/>
    <s v="MISC"/>
    <s v="B"/>
    <n v="180"/>
    <s v="RL"/>
    <s v="CNY"/>
    <n v="2.15"/>
    <n v="387"/>
  </r>
  <r>
    <x v="18"/>
    <x v="18"/>
    <m/>
    <s v="X250318"/>
    <s v="1-8-C18889"/>
    <s v="COL SLV 18889"/>
    <s v="SHTS"/>
    <s v="B"/>
    <n v="1015"/>
    <s v="PC"/>
    <s v="CNY"/>
    <n v="2.15"/>
    <n v="2182.25"/>
  </r>
  <r>
    <x v="14"/>
    <x v="14"/>
    <m/>
    <s v="C03010"/>
    <s v="3-5-LEW103-DX"/>
    <s v="STD- 103 GY04A POL R220 C/C113 H6.5"/>
    <s v="LHDL"/>
    <s v="B"/>
    <n v="1530"/>
    <s v="PC"/>
    <s v="CNY"/>
    <n v="2.1898"/>
    <n v="3350.39"/>
  </r>
  <r>
    <x v="14"/>
    <x v="14"/>
    <m/>
    <s v="C03010"/>
    <s v="3-5-LEW104-DX"/>
    <s v="104 GY04A POL"/>
    <s v="LHDL"/>
    <s v="B"/>
    <n v="510"/>
    <s v="PC"/>
    <s v="CNY"/>
    <n v="2.1898"/>
    <n v="1116.8"/>
  </r>
  <r>
    <x v="14"/>
    <x v="14"/>
    <m/>
    <s v="C03010"/>
    <s v="3-5-LEW105-DX"/>
    <s v="STD- 105 GY04A POL R260 C/C113 H6.5"/>
    <s v="LHDL"/>
    <s v="B"/>
    <n v="1530"/>
    <s v="PC"/>
    <s v="CNY"/>
    <n v="2.1898"/>
    <n v="3350.39"/>
  </r>
  <r>
    <x v="14"/>
    <x v="14"/>
    <m/>
    <s v="C03010"/>
    <s v="3-5-LEW107-DX"/>
    <s v="STD- 107 GY04A POL R320 C/C113 H6.5"/>
    <s v="LHDL"/>
    <s v="B"/>
    <n v="1010"/>
    <s v="PC"/>
    <s v="CNY"/>
    <n v="2.1898"/>
    <n v="2211.6999999999998"/>
  </r>
  <r>
    <x v="14"/>
    <x v="14"/>
    <m/>
    <s v="C03058"/>
    <s v="3-5-LEW108-DX"/>
    <s v="STD- 108 GY04A POL R340 C/C113 H6.5"/>
    <s v="LHDL"/>
    <s v="B"/>
    <n v="530"/>
    <s v="PC"/>
    <s v="CNY"/>
    <n v="2.1898"/>
    <n v="1160.5899999999999"/>
  </r>
  <r>
    <x v="28"/>
    <x v="28"/>
    <m/>
    <s v="C03069"/>
    <s v="1-6-GY14-ZA"/>
    <s v="G-LD SD DR 14CM 2H POL"/>
    <s v="GLID"/>
    <s v="B"/>
    <n v="1030"/>
    <s v="PC"/>
    <s v="CNY"/>
    <n v="2.2637999999999998"/>
    <n v="2331.71"/>
  </r>
  <r>
    <x v="18"/>
    <x v="18"/>
    <m/>
    <s v="X250310"/>
    <s v="6-8-F62002B-C"/>
    <s v="FP BROWN BOX 62002-C"/>
    <s v="BOX-"/>
    <s v="B"/>
    <n v="1000"/>
    <s v="PC"/>
    <s v="CNY"/>
    <n v="2.27"/>
    <n v="2270"/>
  </r>
  <r>
    <x v="18"/>
    <x v="18"/>
    <m/>
    <s v="X250312"/>
    <s v="5-8-C50006F-C--E"/>
    <s v="CORR SLV 50006-C--E"/>
    <s v="SHTS"/>
    <s v="B"/>
    <n v="1010"/>
    <s v="PC"/>
    <s v="CNY"/>
    <n v="2.27"/>
    <n v="2292.6999999999998"/>
  </r>
  <r>
    <x v="13"/>
    <x v="13"/>
    <m/>
    <s v="M250316"/>
    <s v="PNC26CK-001"/>
    <s v="26CM SS LID (0.8mm) IN=Y  EX=P"/>
    <s v="LID-"/>
    <s v="B"/>
    <n v="1020"/>
    <s v="PC"/>
    <s v="USD"/>
    <n v="2.2799999999999998"/>
    <n v="2325.6"/>
  </r>
  <r>
    <x v="18"/>
    <x v="18"/>
    <m/>
    <s v="X250310"/>
    <s v="6-8-F62003B-C"/>
    <s v="FP BROWN BOX 62003-C"/>
    <s v="BOX-"/>
    <s v="B"/>
    <n v="1000"/>
    <s v="PC"/>
    <s v="CNY"/>
    <n v="2.29"/>
    <n v="2290"/>
  </r>
  <r>
    <x v="8"/>
    <x v="8"/>
    <m/>
    <s v="RTV-084"/>
    <s v="3-5-KAP-2"/>
    <s v="STD- 2 MEYER POL M5"/>
    <s v="KNOB"/>
    <s v="B"/>
    <n v="-1209"/>
    <s v="PC"/>
    <s v="CNY"/>
    <n v="2.2957000000000001"/>
    <n v="-2775.5"/>
  </r>
  <r>
    <x v="8"/>
    <x v="8"/>
    <m/>
    <s v="C03046"/>
    <s v="3-5-KAP-2"/>
    <s v="STD- 2 MEYER POL M5"/>
    <s v="KNOB"/>
    <s v="B"/>
    <n v="1209"/>
    <s v="PC"/>
    <s v="CNY"/>
    <n v="2.2957000000000001"/>
    <n v="2775.5"/>
  </r>
  <r>
    <x v="20"/>
    <x v="20"/>
    <m/>
    <s v="C03093"/>
    <s v="1-5-HSS01"/>
    <s v="LG-- 01 M.BLK"/>
    <s v="HDL-"/>
    <s v="B"/>
    <n v="3400"/>
    <s v="PC"/>
    <s v="CNY"/>
    <n v="2.3401999999999998"/>
    <n v="7956.68"/>
  </r>
  <r>
    <x v="20"/>
    <x v="20"/>
    <m/>
    <s v="C03117"/>
    <s v="1-5-HSS01"/>
    <s v="LG-- 01 M.BLK"/>
    <s v="HDL-"/>
    <s v="B"/>
    <n v="3030"/>
    <s v="PC"/>
    <s v="CNY"/>
    <n v="2.3401999999999998"/>
    <n v="7090.81"/>
  </r>
  <r>
    <x v="16"/>
    <x v="16"/>
    <m/>
    <s v="C03086"/>
    <s v="1-5-HLS02"/>
    <s v="SH M.BLK WITHOUT SS CAP"/>
    <s v="HDL-"/>
    <s v="B"/>
    <n v="1020"/>
    <s v="PC"/>
    <s v="CNY"/>
    <n v="2.3549000000000002"/>
    <n v="2402"/>
  </r>
  <r>
    <x v="8"/>
    <x v="8"/>
    <m/>
    <s v="C03014"/>
    <s v="3-5-KAP-2"/>
    <s v="STD- 2 MEYER POL M5"/>
    <s v="KNOB"/>
    <s v="B"/>
    <n v="840"/>
    <s v="PC"/>
    <s v="CNY"/>
    <n v="2.3666999999999998"/>
    <n v="1988.03"/>
  </r>
  <r>
    <x v="8"/>
    <x v="8"/>
    <m/>
    <s v="C03046"/>
    <s v="3-5-KAP-2"/>
    <s v="STD- 2 MEYER POL M5"/>
    <s v="KNOB"/>
    <s v="B"/>
    <n v="1060"/>
    <s v="PC"/>
    <s v="CNY"/>
    <n v="2.3666999999999998"/>
    <n v="2508.6999999999998"/>
  </r>
  <r>
    <x v="20"/>
    <x v="20"/>
    <m/>
    <s v="C03117"/>
    <s v="1-5-HSS01"/>
    <s v="LG-- 01 M.BLK"/>
    <s v="HDL-"/>
    <s v="B"/>
    <n v="1250"/>
    <s v="PC"/>
    <s v="CNY"/>
    <n v="2.3879999999999999"/>
    <n v="2985"/>
  </r>
  <r>
    <x v="18"/>
    <x v="18"/>
    <m/>
    <s v="X250322"/>
    <s v="3-8-F81087-C--0"/>
    <s v="1C FP BOX 81087-C--0"/>
    <s v="BOX-"/>
    <s v="B"/>
    <n v="505"/>
    <s v="PC"/>
    <s v="CNY"/>
    <n v="2.4500000000000002"/>
    <n v="1237.25"/>
  </r>
  <r>
    <x v="26"/>
    <x v="26"/>
    <m/>
    <s v="C03004"/>
    <s v="3-5-SEW107-DX"/>
    <s v="STD- 107 GY04A POL R123 C/C106 H8.5"/>
    <s v="SHDL"/>
    <s v="B"/>
    <n v="2010"/>
    <s v="PC"/>
    <s v="CNY"/>
    <n v="2.4539"/>
    <n v="4932.34"/>
  </r>
  <r>
    <x v="14"/>
    <x v="14"/>
    <m/>
    <s v="C03058"/>
    <s v="3-5-SEW108-DX"/>
    <s v="STD- 108 GY04A POL R133 C/C106 H8.5"/>
    <s v="SHDL"/>
    <s v="B"/>
    <n v="1040"/>
    <s v="PC"/>
    <s v="CNY"/>
    <n v="2.4588000000000001"/>
    <n v="2557.15"/>
  </r>
  <r>
    <x v="18"/>
    <x v="18"/>
    <m/>
    <s v="X250324"/>
    <s v="1-8-C15158-C--E"/>
    <s v="COL SLV 15158-C--E"/>
    <s v="SHTS"/>
    <s v="B"/>
    <n v="1010"/>
    <s v="PC"/>
    <s v="CNY"/>
    <n v="2.46"/>
    <n v="2484.6"/>
  </r>
  <r>
    <x v="39"/>
    <x v="39"/>
    <m/>
    <s v="X250329"/>
    <s v="7-9-Z34343"/>
    <s v="CHIPBOARD FOR 43&quot;X43&quot;"/>
    <s v="MISC"/>
    <s v="B"/>
    <n v="3500"/>
    <s v="PC"/>
    <s v="CNY"/>
    <n v="2.5"/>
    <n v="8750"/>
  </r>
  <r>
    <x v="18"/>
    <x v="18"/>
    <m/>
    <s v="X250319"/>
    <s v="7-8-C71809A-C--E-F"/>
    <s v="COL SLV 71809-C--E (FSC)"/>
    <s v="BOX-"/>
    <s v="B"/>
    <n v="1210"/>
    <s v="PC"/>
    <s v="CNY"/>
    <n v="2.52"/>
    <n v="3049.2"/>
  </r>
  <r>
    <x v="18"/>
    <x v="18"/>
    <m/>
    <s v="X250319"/>
    <s v="7-8-C71809A-C--E-F"/>
    <s v="COL SLV 71809-C--E (FSC)"/>
    <s v="BOX-"/>
    <s v="B"/>
    <n v="100"/>
    <s v="PC"/>
    <s v="CNY"/>
    <n v="2.52"/>
    <n v="252"/>
  </r>
  <r>
    <x v="28"/>
    <x v="28"/>
    <m/>
    <s v="C03069"/>
    <s v="1-6-GD16-ZA"/>
    <s v="G-LD SD DR 16CM 2H POL"/>
    <s v="GLID"/>
    <s v="B"/>
    <n v="1020"/>
    <s v="PC"/>
    <s v="CNY"/>
    <n v="2.5366"/>
    <n v="2587.33"/>
  </r>
  <r>
    <x v="28"/>
    <x v="28"/>
    <m/>
    <s v="C03069"/>
    <s v="1-6-GY16-ZA"/>
    <s v="G-LD SD DR 16CM 2H POL"/>
    <s v="GLID"/>
    <s v="B"/>
    <n v="1000"/>
    <s v="PC"/>
    <s v="CNY"/>
    <n v="2.5366"/>
    <n v="2536.6"/>
  </r>
  <r>
    <x v="18"/>
    <x v="18"/>
    <m/>
    <s v="X250324"/>
    <s v="1-8-C15157-C--E"/>
    <s v="COL SLV 15157-C--E"/>
    <s v="SHTS"/>
    <s v="B"/>
    <n v="1010"/>
    <s v="PC"/>
    <s v="CNY"/>
    <n v="2.56"/>
    <n v="2585.6"/>
  </r>
  <r>
    <x v="39"/>
    <x v="39"/>
    <m/>
    <s v="X250306"/>
    <s v="7-9-Z71081"/>
    <s v="MASKING TAPE 24MMX40"/>
    <s v="MISC"/>
    <s v="B"/>
    <n v="50"/>
    <s v="RL"/>
    <s v="CNY"/>
    <n v="2.57"/>
    <n v="128.5"/>
  </r>
  <r>
    <x v="20"/>
    <x v="20"/>
    <m/>
    <s v="C03003"/>
    <s v="3-5-HIR104--X"/>
    <s v="LG 104 M.BLK TUM"/>
    <s v="HDL-"/>
    <s v="B"/>
    <n v="1000"/>
    <s v="PC"/>
    <s v="CNY"/>
    <n v="2.5788000000000002"/>
    <n v="2578.8000000000002"/>
  </r>
  <r>
    <x v="20"/>
    <x v="20"/>
    <m/>
    <s v="C03116"/>
    <s v="3-5-HIR208--X"/>
    <s v="LG 208 M.BLK TUM"/>
    <s v="HDL-"/>
    <s v="B"/>
    <n v="1020"/>
    <s v="PC"/>
    <s v="CNY"/>
    <n v="2.5788000000000002"/>
    <n v="2630.38"/>
  </r>
  <r>
    <x v="16"/>
    <x v="16"/>
    <m/>
    <s v="M250310"/>
    <s v="3-5-SIR508--X"/>
    <s v="508 M.BLK TUM"/>
    <s v="SHDL"/>
    <s v="B"/>
    <n v="1260"/>
    <s v="PC"/>
    <s v="CNY"/>
    <n v="2.6659999999999999"/>
    <n v="3359.16"/>
  </r>
  <r>
    <x v="16"/>
    <x v="16"/>
    <m/>
    <s v="C03086"/>
    <s v="3-5-SIR208--X"/>
    <s v="208 M.BLK TUM"/>
    <s v="SHDL"/>
    <s v="B"/>
    <n v="2040"/>
    <s v="PC"/>
    <s v="CNY"/>
    <n v="2.6659999999999999"/>
    <n v="5438.64"/>
  </r>
  <r>
    <x v="28"/>
    <x v="28"/>
    <m/>
    <s v="C03102"/>
    <s v="1-6-GD18-ZA"/>
    <s v="G-LD SD DR 18CM 2H POL"/>
    <s v="GLID"/>
    <s v="B"/>
    <n v="1020"/>
    <s v="PC"/>
    <s v="CNY"/>
    <n v="2.7372999999999998"/>
    <n v="2792.05"/>
  </r>
  <r>
    <x v="28"/>
    <x v="28"/>
    <m/>
    <s v="C03019"/>
    <s v="1-6-GY18-ZA"/>
    <s v="G-LD SD DR 18CM 2H POL"/>
    <s v="GLID"/>
    <s v="B"/>
    <n v="200"/>
    <s v="PC"/>
    <s v="CNY"/>
    <n v="2.7494000000000001"/>
    <n v="549.88"/>
  </r>
  <r>
    <x v="12"/>
    <x v="12"/>
    <m/>
    <s v="C03009"/>
    <s v="7-6-627B"/>
    <s v="16cm Si-RU GASKET BK01A"/>
    <s v="GSKT"/>
    <s v="B"/>
    <n v="1000"/>
    <s v="PC"/>
    <s v="CNY"/>
    <n v="2.75"/>
    <n v="2750"/>
  </r>
  <r>
    <x v="12"/>
    <x v="12"/>
    <m/>
    <s v="C03043"/>
    <s v="7-6-627B"/>
    <s v="16cm Si-RU GASKET BK01A"/>
    <s v="GSKT"/>
    <s v="B"/>
    <n v="1500"/>
    <s v="PC"/>
    <s v="CNY"/>
    <n v="2.75"/>
    <n v="4125"/>
  </r>
  <r>
    <x v="18"/>
    <x v="18"/>
    <m/>
    <s v="X250332"/>
    <s v="6-8-F62008B-C"/>
    <s v="FP BOX 62008-C"/>
    <s v="BOX-"/>
    <s v="B"/>
    <n v="1530"/>
    <s v="PC"/>
    <s v="CNY"/>
    <n v="2.76"/>
    <n v="4222.8"/>
  </r>
  <r>
    <x v="18"/>
    <x v="18"/>
    <m/>
    <s v="X250332"/>
    <s v="6-8-F62018A-C"/>
    <s v="FP BOX 62018-C"/>
    <s v="BOX-"/>
    <s v="B"/>
    <n v="3600"/>
    <s v="PC"/>
    <s v="CNY"/>
    <n v="2.79"/>
    <n v="10044"/>
  </r>
  <r>
    <x v="18"/>
    <x v="18"/>
    <m/>
    <s v="X250332"/>
    <s v="6-8-F62018A-C"/>
    <s v="FP BOX 62018-C"/>
    <s v="BOX-"/>
    <s v="B"/>
    <n v="50"/>
    <s v="PC"/>
    <s v="CNY"/>
    <n v="2.79"/>
    <n v="139.5"/>
  </r>
  <r>
    <x v="3"/>
    <x v="3"/>
    <m/>
    <s v="M250303"/>
    <s v="94221-C"/>
    <s v="ANYDAY COOK BOOKLET"/>
    <s v="SKU-"/>
    <s v="O"/>
    <n v="3000"/>
    <s v="PC"/>
    <s v="CNY"/>
    <n v="2.79"/>
    <n v="8370"/>
  </r>
  <r>
    <x v="18"/>
    <x v="18"/>
    <m/>
    <s v="X250324"/>
    <s v="1-8-C15169-C--E"/>
    <s v="COL SLV 15169-C--E"/>
    <s v="SHTS"/>
    <s v="B"/>
    <n v="1010"/>
    <s v="PC"/>
    <s v="CNY"/>
    <n v="2.84"/>
    <n v="2868.4"/>
  </r>
  <r>
    <x v="18"/>
    <x v="18"/>
    <m/>
    <s v="X250324"/>
    <s v="1-8-C15160-C--E"/>
    <s v="COL SLV 15160-C--E"/>
    <s v="SHTS"/>
    <s v="B"/>
    <n v="1010"/>
    <s v="PC"/>
    <s v="CNY"/>
    <n v="2.86"/>
    <n v="2888.6"/>
  </r>
  <r>
    <x v="0"/>
    <x v="0"/>
    <m/>
    <s v="B250304"/>
    <s v="1-1-25400CJ333"/>
    <s v="AL 3003-O 2.5x400 SG3 MG3"/>
    <s v="ALM-"/>
    <s v="O"/>
    <n v="534"/>
    <s v="KG"/>
    <s v="CNY"/>
    <n v="2.9203999999999999"/>
    <n v="1559.49"/>
  </r>
  <r>
    <x v="0"/>
    <x v="0"/>
    <m/>
    <s v="B250304"/>
    <s v="1-1-25330CJ333"/>
    <s v="AL 3003-O 2.5x330 SG3 MG3"/>
    <s v="ALM-"/>
    <s v="O"/>
    <n v="1072"/>
    <s v="KG"/>
    <s v="CNY"/>
    <n v="2.9203999999999999"/>
    <n v="3130.67"/>
  </r>
  <r>
    <x v="0"/>
    <x v="0"/>
    <m/>
    <s v="B250304"/>
    <s v="1-1-25370CJ333"/>
    <s v="AL 3003-O 2.5x370 SG3 MG3"/>
    <s v="ALM-"/>
    <s v="O"/>
    <n v="572"/>
    <s v="KG"/>
    <s v="CNY"/>
    <n v="2.9203999999999999"/>
    <n v="1670.47"/>
  </r>
  <r>
    <x v="0"/>
    <x v="0"/>
    <m/>
    <s v="B250304"/>
    <s v="1-1-25335CJ333"/>
    <s v="AL 3003-O 2.5x335 SG3 MG3"/>
    <s v="ALM-"/>
    <s v="O"/>
    <n v="1206"/>
    <s v="KG"/>
    <s v="CNY"/>
    <n v="2.9203999999999999"/>
    <n v="3522"/>
  </r>
  <r>
    <x v="0"/>
    <x v="0"/>
    <m/>
    <s v="B250304"/>
    <s v="1-1-25365CJ333"/>
    <s v="AL 3003-O 2.5x365 SG3 MG3"/>
    <s v="ALM-"/>
    <s v="O"/>
    <n v="828"/>
    <s v="KG"/>
    <s v="CNY"/>
    <n v="2.9203999999999999"/>
    <n v="2418.09"/>
  </r>
  <r>
    <x v="0"/>
    <x v="0"/>
    <m/>
    <s v="B250304"/>
    <s v="1-1-25365CJ333"/>
    <s v="AL 3003-O 2.5x365 SG3 MG3"/>
    <s v="ALM-"/>
    <s v="O"/>
    <n v="576"/>
    <s v="KG"/>
    <s v="CNY"/>
    <n v="2.9203999999999999"/>
    <n v="1682.15"/>
  </r>
  <r>
    <x v="0"/>
    <x v="0"/>
    <m/>
    <s v="B250304"/>
    <s v="1-1-20335CJ333"/>
    <s v="AL 3003-O 2.0x335 SG3 MG3"/>
    <s v="ALM-"/>
    <s v="O"/>
    <n v="556"/>
    <s v="KG"/>
    <s v="CNY"/>
    <n v="2.9203999999999999"/>
    <n v="1623.74"/>
  </r>
  <r>
    <x v="0"/>
    <x v="0"/>
    <m/>
    <s v="B250304"/>
    <s v="1-1-25345CJ333"/>
    <s v="AL 3003-O 2.5x345 SG3 MG3"/>
    <s v="ALM-"/>
    <s v="O"/>
    <n v="2040"/>
    <s v="KG"/>
    <s v="CNY"/>
    <n v="2.9203999999999999"/>
    <n v="5957.62"/>
  </r>
  <r>
    <x v="0"/>
    <x v="0"/>
    <m/>
    <s v="B250308"/>
    <s v="1-1-25450CJ333"/>
    <s v="AL 3003-O 2.5x450 SG3 MG3"/>
    <s v="ALM-"/>
    <s v="O"/>
    <n v="1007"/>
    <s v="KG"/>
    <s v="CNY"/>
    <n v="2.9203999999999999"/>
    <n v="2940.84"/>
  </r>
  <r>
    <x v="0"/>
    <x v="0"/>
    <m/>
    <s v="B250308"/>
    <s v="1-1-40355CJ333"/>
    <s v="AL 3003-O 4.0x355 SG3 MG3"/>
    <s v="ALM-"/>
    <s v="O"/>
    <n v="683"/>
    <s v="KG"/>
    <s v="CNY"/>
    <n v="2.9203999999999999"/>
    <n v="1994.63"/>
  </r>
  <r>
    <x v="0"/>
    <x v="0"/>
    <m/>
    <s v="B250308"/>
    <s v="1-1-25345CJ333"/>
    <s v="AL 3003-O 2.5x345 SG3 MG3"/>
    <s v="ALM-"/>
    <s v="O"/>
    <n v="269"/>
    <s v="KG"/>
    <s v="CNY"/>
    <n v="2.9203999999999999"/>
    <n v="785.59"/>
  </r>
  <r>
    <x v="0"/>
    <x v="0"/>
    <m/>
    <s v="B250308"/>
    <s v="1-1-25335CJ333"/>
    <s v="AL 3003-O 2.5x335 SG3 MG3"/>
    <s v="ALM-"/>
    <s v="O"/>
    <n v="700"/>
    <s v="KG"/>
    <s v="CNY"/>
    <n v="2.9203999999999999"/>
    <n v="2044.28"/>
  </r>
  <r>
    <x v="0"/>
    <x v="0"/>
    <m/>
    <s v="B250308"/>
    <s v="1-1-25265CJ333"/>
    <s v="AL 3003-O 2.5x265 SG3 MG3"/>
    <s v="ALM-"/>
    <s v="O"/>
    <n v="1902"/>
    <s v="KG"/>
    <s v="CNY"/>
    <n v="2.9203999999999999"/>
    <n v="5554.6"/>
  </r>
  <r>
    <x v="0"/>
    <x v="0"/>
    <m/>
    <s v="B250308"/>
    <s v="1-1-25295CJ333"/>
    <s v="AL 3003-O 2.5x295 SG3 MG3"/>
    <s v="ALM-"/>
    <s v="O"/>
    <n v="527"/>
    <s v="KG"/>
    <s v="CNY"/>
    <n v="2.9203999999999999"/>
    <n v="1539.05"/>
  </r>
  <r>
    <x v="0"/>
    <x v="0"/>
    <m/>
    <s v="B250308"/>
    <s v="1-1-25300CJ333"/>
    <s v="AL 3003-O 2.5x300 SG3 MG3"/>
    <s v="ALM-"/>
    <s v="O"/>
    <n v="942"/>
    <s v="KG"/>
    <s v="CNY"/>
    <n v="2.9203999999999999"/>
    <n v="2751.02"/>
  </r>
  <r>
    <x v="0"/>
    <x v="0"/>
    <m/>
    <s v="B250308"/>
    <s v="1-1-25330CJ333"/>
    <s v="AL 3003-O 2.5x330 SG3 MG3"/>
    <s v="ALM-"/>
    <s v="O"/>
    <n v="885"/>
    <s v="KG"/>
    <s v="CNY"/>
    <n v="2.9203999999999999"/>
    <n v="2584.5500000000002"/>
  </r>
  <r>
    <x v="0"/>
    <x v="0"/>
    <m/>
    <s v="B250308"/>
    <s v="1-1-25380CJ333"/>
    <s v="AL 3003-O 2.5x380 SG3 MG3"/>
    <s v="ALM-"/>
    <s v="O"/>
    <n v="817"/>
    <s v="KG"/>
    <s v="CNY"/>
    <n v="2.9203999999999999"/>
    <n v="2385.9699999999998"/>
  </r>
  <r>
    <x v="0"/>
    <x v="0"/>
    <m/>
    <s v="B250308"/>
    <s v="1-1-25285CJ333"/>
    <s v="AL 3003-O 2.5x285 SG3 MG3"/>
    <s v="ALM-"/>
    <s v="O"/>
    <n v="601"/>
    <s v="KG"/>
    <s v="CNY"/>
    <n v="2.9203999999999999"/>
    <n v="1755.16"/>
  </r>
  <r>
    <x v="0"/>
    <x v="0"/>
    <m/>
    <s v="B250308"/>
    <s v="1-1-25355CJ333"/>
    <s v="AL 3003-O 2.5x355 SG3 MG3"/>
    <s v="ALM-"/>
    <s v="O"/>
    <n v="563"/>
    <s v="KG"/>
    <s v="CNY"/>
    <n v="2.9203999999999999"/>
    <n v="1644.19"/>
  </r>
  <r>
    <x v="22"/>
    <x v="22"/>
    <m/>
    <s v="C03061"/>
    <s v="1-5-HAJ01-W"/>
    <s v="SH-- 01 POL R73 C/C40 H8.5 SS430x0.7"/>
    <s v="HDL-"/>
    <s v="B"/>
    <n v="1520"/>
    <s v="PC"/>
    <s v="CNY"/>
    <n v="2.9203999999999999"/>
    <n v="4439.01"/>
  </r>
  <r>
    <x v="22"/>
    <x v="22"/>
    <m/>
    <s v="C03061"/>
    <s v="7-5-LCF102--Z"/>
    <s v="STD- 102 TUM R170 C/C113 H6.5"/>
    <s v="LHDL"/>
    <s v="B"/>
    <n v="900"/>
    <s v="PC"/>
    <s v="CNY"/>
    <n v="2.9552"/>
    <n v="2659.68"/>
  </r>
  <r>
    <x v="22"/>
    <x v="22"/>
    <m/>
    <s v="C03061"/>
    <s v="7-5-LCF103--Z"/>
    <s v="STD- 103 TUM R220 C/C113 H6.5"/>
    <s v="LHDL"/>
    <s v="B"/>
    <n v="950"/>
    <s v="PC"/>
    <s v="CNY"/>
    <n v="2.9552"/>
    <n v="2807.44"/>
  </r>
  <r>
    <x v="22"/>
    <x v="22"/>
    <m/>
    <s v="C03061"/>
    <s v="7-5-LCF107--Z"/>
    <s v="STD- 107 TUM R320 C/C113 H6.5"/>
    <s v="LHDL"/>
    <s v="B"/>
    <n v="1950"/>
    <s v="PC"/>
    <s v="CNY"/>
    <n v="2.9552"/>
    <n v="5762.64"/>
  </r>
  <r>
    <x v="18"/>
    <x v="18"/>
    <m/>
    <s v="X250324"/>
    <s v="1-8-C15171-C--E"/>
    <s v="COL SLV 15171-C--E"/>
    <s v="SHTS"/>
    <s v="B"/>
    <n v="1010"/>
    <s v="PC"/>
    <s v="CNY"/>
    <n v="3.02"/>
    <n v="3050.2"/>
  </r>
  <r>
    <x v="12"/>
    <x v="12"/>
    <m/>
    <s v="C03073"/>
    <s v="7-6-628B"/>
    <s v="18cm Si-RU GASKET BK01A"/>
    <s v="GSKT"/>
    <s v="B"/>
    <n v="2050"/>
    <s v="PC"/>
    <s v="CNY"/>
    <n v="3.0379999999999998"/>
    <n v="6227.9"/>
  </r>
  <r>
    <x v="0"/>
    <x v="0"/>
    <m/>
    <s v="B250304"/>
    <s v="1-1-25260CJ333"/>
    <s v="AL 3003-O 2.5x260 SG3 MG3"/>
    <s v="ALM-"/>
    <s v="O"/>
    <n v="485"/>
    <s v="KG"/>
    <s v="CNY"/>
    <n v="3.0973000000000002"/>
    <n v="1502.19"/>
  </r>
  <r>
    <x v="0"/>
    <x v="0"/>
    <m/>
    <s v="B250304"/>
    <s v="1-1-25250CJ333"/>
    <s v="AL 3003-O 2.5x250 SG3 MG3"/>
    <s v="ALM-"/>
    <s v="O"/>
    <n v="786"/>
    <s v="KG"/>
    <s v="CNY"/>
    <n v="3.0973000000000002"/>
    <n v="2434.48"/>
  </r>
  <r>
    <x v="0"/>
    <x v="0"/>
    <m/>
    <s v="B250308"/>
    <s v="1-1-25195NJ333"/>
    <s v="3003-O 2.5x195x238 SG3MG3"/>
    <s v="ALM-"/>
    <s v="O"/>
    <n v="510"/>
    <s v="KG"/>
    <s v="CNY"/>
    <n v="3.0973000000000002"/>
    <n v="1579.62"/>
  </r>
  <r>
    <x v="0"/>
    <x v="0"/>
    <m/>
    <s v="B250308"/>
    <s v="1-1-25260CJ333"/>
    <s v="AL 3003-O 2.5x260 SG3 MG3"/>
    <s v="ALM-"/>
    <s v="O"/>
    <n v="982"/>
    <s v="KG"/>
    <s v="CNY"/>
    <n v="3.0973000000000002"/>
    <n v="3041.55"/>
  </r>
  <r>
    <x v="0"/>
    <x v="0"/>
    <m/>
    <s v="B250308"/>
    <s v="1-1-25260CJ333"/>
    <s v="AL 3003-O 2.5x260 SG3 MG3"/>
    <s v="ALM-"/>
    <s v="O"/>
    <n v="643"/>
    <s v="KG"/>
    <s v="CNY"/>
    <n v="3.0973000000000002"/>
    <n v="1991.56"/>
  </r>
  <r>
    <x v="12"/>
    <x v="12"/>
    <m/>
    <s v="C03009"/>
    <s v="7-6-628B"/>
    <s v="18cm Si-RU GASKET BK01A"/>
    <s v="GSKT"/>
    <s v="B"/>
    <n v="1000"/>
    <s v="PC"/>
    <s v="CNY"/>
    <n v="3.1"/>
    <n v="3100"/>
  </r>
  <r>
    <x v="12"/>
    <x v="12"/>
    <m/>
    <s v="C03043"/>
    <s v="7-6-628B"/>
    <s v="18cm Si-RU GASKET BK01A"/>
    <s v="GSKT"/>
    <s v="B"/>
    <n v="1600"/>
    <s v="PC"/>
    <s v="CNY"/>
    <n v="3.1"/>
    <n v="4960"/>
  </r>
  <r>
    <x v="28"/>
    <x v="28"/>
    <m/>
    <s v="C03112"/>
    <s v="1-6-GAC18-ZA"/>
    <s v="G-LD AC 18CM POL"/>
    <s v="GLID"/>
    <s v="B"/>
    <n v="1010"/>
    <s v="PC"/>
    <s v="CNY"/>
    <n v="3.1166"/>
    <n v="3147.77"/>
  </r>
  <r>
    <x v="28"/>
    <x v="28"/>
    <m/>
    <s v="C03019"/>
    <s v="1-6-GA20-ZA"/>
    <s v="G-LD A 20CM POL"/>
    <s v="GLID"/>
    <s v="B"/>
    <n v="1000"/>
    <s v="PC"/>
    <s v="CNY"/>
    <n v="3.1193"/>
    <n v="3119.3"/>
  </r>
  <r>
    <x v="1"/>
    <x v="1"/>
    <m/>
    <s v="B250306"/>
    <s v="7-1-50145C435N"/>
    <s v="AL CIR 5.0X145MM 1100-O"/>
    <s v="ALM-"/>
    <s v="O"/>
    <n v="200"/>
    <s v="KG"/>
    <s v="CNY"/>
    <n v="3.1415999999999999"/>
    <n v="628.32000000000005"/>
  </r>
  <r>
    <x v="1"/>
    <x v="1"/>
    <m/>
    <s v="B250306"/>
    <s v="7-1-50215C435N"/>
    <s v="AL CIR 5.0x215mm 1100-O"/>
    <s v="ALM-"/>
    <s v="O"/>
    <n v="50"/>
    <s v="KG"/>
    <s v="CNY"/>
    <n v="3.1415999999999999"/>
    <n v="157.08000000000001"/>
  </r>
  <r>
    <x v="1"/>
    <x v="1"/>
    <m/>
    <s v="B250306"/>
    <s v="7-1-65134NA35N"/>
    <s v="AL SHT 6.5x134x105.5mm 1100"/>
    <s v="ALM-"/>
    <s v="O"/>
    <n v="225"/>
    <s v="KG"/>
    <s v="CNY"/>
    <n v="3.1415999999999999"/>
    <n v="706.86"/>
  </r>
  <r>
    <x v="1"/>
    <x v="1"/>
    <m/>
    <s v="B250306"/>
    <s v="7-1-40130C435N"/>
    <s v="AL CIR 4.0x130mm 1100-O"/>
    <s v="ALM-"/>
    <s v="O"/>
    <n v="50"/>
    <s v="KG"/>
    <s v="CNY"/>
    <n v="3.1415999999999999"/>
    <n v="157.08000000000001"/>
  </r>
  <r>
    <x v="1"/>
    <x v="1"/>
    <m/>
    <s v="B250306"/>
    <s v="7-1-50130C435N"/>
    <s v="AL CIR 5.0X130MM 1100-O"/>
    <s v="ALM-"/>
    <s v="O"/>
    <n v="200"/>
    <s v="KG"/>
    <s v="CNY"/>
    <n v="3.1415999999999999"/>
    <n v="628.32000000000005"/>
  </r>
  <r>
    <x v="1"/>
    <x v="1"/>
    <m/>
    <s v="B250306"/>
    <s v="7-1-60170C435N"/>
    <s v="AL CIR 6.0x170mm 1100-O"/>
    <s v="ALM-"/>
    <s v="O"/>
    <n v="410"/>
    <s v="KG"/>
    <s v="CNY"/>
    <n v="3.1415999999999999"/>
    <n v="1288.06"/>
  </r>
  <r>
    <x v="1"/>
    <x v="1"/>
    <m/>
    <s v="B250306"/>
    <s v="7-1-40130C435N"/>
    <s v="AL CIR 4.0x130mm 1100-O"/>
    <s v="ALM-"/>
    <s v="O"/>
    <n v="100"/>
    <s v="KG"/>
    <s v="CNY"/>
    <n v="3.1415999999999999"/>
    <n v="314.16000000000003"/>
  </r>
  <r>
    <x v="1"/>
    <x v="1"/>
    <m/>
    <s v="B250306"/>
    <s v="7-1-50150C435N"/>
    <s v="AL CIR 5.0x150mm 1100-O"/>
    <s v="ALM-"/>
    <s v="O"/>
    <n v="50"/>
    <s v="KG"/>
    <s v="CNY"/>
    <n v="3.1415999999999999"/>
    <n v="157.08000000000001"/>
  </r>
  <r>
    <x v="1"/>
    <x v="1"/>
    <m/>
    <s v="B250306"/>
    <s v="7-1-60200C435N"/>
    <s v="AL CIR 6.0x200mm 1100-O"/>
    <s v="ALM-"/>
    <s v="O"/>
    <n v="450"/>
    <s v="KG"/>
    <s v="CNY"/>
    <n v="3.1415999999999999"/>
    <n v="1413.72"/>
  </r>
  <r>
    <x v="25"/>
    <x v="25"/>
    <m/>
    <s v="M250105"/>
    <s v="1-4-T7353J2002Z"/>
    <s v="BLACK MET.TOP 7353/J2002Z"/>
    <s v="INM-"/>
    <s v="B"/>
    <n v="50"/>
    <s v="KG"/>
    <s v="CNY"/>
    <n v="92.743399999999994"/>
    <n v="4637.17"/>
  </r>
  <r>
    <x v="25"/>
    <x v="25"/>
    <m/>
    <s v="M250120"/>
    <s v="1-4-T968218094"/>
    <s v="9682/K18094 TOPCOAT METALLIC BLACK"/>
    <s v="INM-"/>
    <s v="B"/>
    <n v="25"/>
    <s v="KG"/>
    <s v="CNY"/>
    <n v="63.008800000000001"/>
    <n v="1575.22"/>
  </r>
  <r>
    <x v="25"/>
    <x v="25"/>
    <m/>
    <s v="M250120"/>
    <s v="1-4-P9582N204110"/>
    <s v="9582/N204110-G05 BLACK PRIMER"/>
    <s v="INM-"/>
    <s v="B"/>
    <n v="25"/>
    <s v="KG"/>
    <s v="CNY"/>
    <n v="69.026499999999999"/>
    <n v="1725.66"/>
  </r>
  <r>
    <x v="25"/>
    <x v="25"/>
    <m/>
    <s v="M250120"/>
    <s v="1-4-T9682N204111"/>
    <s v="9682/N204111-G05 CLEAR METALLIC TOPCOAT"/>
    <s v="INM-"/>
    <s v="B"/>
    <n v="50"/>
    <s v="KG"/>
    <s v="CNY"/>
    <n v="69.026499999999999"/>
    <n v="3451.33"/>
  </r>
  <r>
    <x v="25"/>
    <x v="25"/>
    <m/>
    <s v="M250121"/>
    <s v="1-4-T7353J2002Z"/>
    <s v="BLACK MET.TOP 7353/J2002Z"/>
    <s v="INM-"/>
    <s v="B"/>
    <n v="50"/>
    <s v="KG"/>
    <s v="CNY"/>
    <n v="92.743399999999994"/>
    <n v="4637.17"/>
  </r>
  <r>
    <x v="25"/>
    <x v="25"/>
    <m/>
    <s v="M250121"/>
    <s v="1-4-T7353J2002Z"/>
    <s v="BLACK MET.TOP 7353/J2002Z"/>
    <s v="INM-"/>
    <s v="B"/>
    <n v="100"/>
    <s v="KG"/>
    <s v="CNY"/>
    <n v="92.743399999999994"/>
    <n v="9274.34"/>
  </r>
  <r>
    <x v="25"/>
    <x v="25"/>
    <m/>
    <s v="M250121"/>
    <s v="1-4-P7050J1016Z"/>
    <s v="7050/J1016Z PRIMER"/>
    <s v="INM-"/>
    <s v="B"/>
    <n v="50"/>
    <s v="KG"/>
    <s v="CNY"/>
    <n v="105.0442"/>
    <n v="5252.21"/>
  </r>
  <r>
    <x v="25"/>
    <x v="25"/>
    <m/>
    <s v="M250121"/>
    <s v="1-4-M7252J2031Z"/>
    <s v="7252/J2031Z MIDCOAT"/>
    <s v="INM-"/>
    <s v="B"/>
    <n v="25"/>
    <s v="KG"/>
    <s v="CNY"/>
    <n v="110.17700000000001"/>
    <n v="2754.43"/>
  </r>
  <r>
    <x v="25"/>
    <x v="25"/>
    <m/>
    <s v="M250121"/>
    <s v="1-4-M7252J2031Z"/>
    <s v="7252/J2031Z MIDCOAT"/>
    <s v="INM-"/>
    <s v="B"/>
    <n v="75"/>
    <s v="KG"/>
    <s v="CNY"/>
    <n v="110.17700000000001"/>
    <n v="8263.2800000000007"/>
  </r>
  <r>
    <x v="25"/>
    <x v="25"/>
    <m/>
    <s v="M250122"/>
    <s v="1-4-M7254N12621"/>
    <s v="7254/N12621-G05 METALLIC BLACK"/>
    <s v="INM-"/>
    <s v="B"/>
    <n v="25"/>
    <s v="KG"/>
    <s v="CNY"/>
    <n v="197.3451"/>
    <n v="4933.63"/>
  </r>
  <r>
    <x v="25"/>
    <x v="25"/>
    <m/>
    <s v="M250122"/>
    <s v="1-4-P7154N12619"/>
    <s v="7154/N12619-G05 BLACK BASECOAT"/>
    <s v="INM-"/>
    <s v="B"/>
    <n v="25"/>
    <s v="KG"/>
    <s v="CNY"/>
    <n v="197.3451"/>
    <n v="4933.63"/>
  </r>
  <r>
    <x v="25"/>
    <x v="25"/>
    <m/>
    <s v="M250128"/>
    <s v="1-4-T968218094"/>
    <s v="9682/K18094 TOPCOAT METALLIC BLACK"/>
    <s v="INM-"/>
    <s v="B"/>
    <n v="100"/>
    <s v="KG"/>
    <s v="CNY"/>
    <n v="63.008800000000001"/>
    <n v="6300.88"/>
  </r>
  <r>
    <x v="25"/>
    <x v="25"/>
    <m/>
    <s v="M250129"/>
    <s v="1-4-P968218093"/>
    <s v="9682/K18093 PRIMER BLACK"/>
    <s v="INM-"/>
    <s v="B"/>
    <n v="25"/>
    <s v="KG"/>
    <s v="CNY"/>
    <n v="64.778800000000004"/>
    <n v="1619.47"/>
  </r>
  <r>
    <x v="25"/>
    <x v="25"/>
    <m/>
    <s v="M250129"/>
    <s v="1-4-P9582N204110"/>
    <s v="9582/N204110-G05 BLACK PRIMER"/>
    <s v="INM-"/>
    <s v="B"/>
    <n v="25"/>
    <s v="KG"/>
    <s v="CNY"/>
    <n v="69.026499999999999"/>
    <n v="1725.66"/>
  </r>
  <r>
    <x v="25"/>
    <x v="25"/>
    <m/>
    <s v="M250129"/>
    <s v="1-4-P9582N204110"/>
    <s v="9582/N204110-G05 BLACK PRIMER"/>
    <s v="INM-"/>
    <s v="B"/>
    <n v="75"/>
    <s v="KG"/>
    <s v="CNY"/>
    <n v="69.026499999999999"/>
    <n v="5176.99"/>
  </r>
  <r>
    <x v="25"/>
    <x v="25"/>
    <m/>
    <s v="M250129"/>
    <s v="1-4-T9682N204111"/>
    <s v="9682/N204111-G05 CLEAR METALLIC TOPCOAT"/>
    <s v="INM-"/>
    <s v="B"/>
    <n v="25"/>
    <s v="KG"/>
    <s v="CNY"/>
    <n v="69.026499999999999"/>
    <n v="1725.66"/>
  </r>
  <r>
    <x v="40"/>
    <x v="40"/>
    <m/>
    <s v="M250202"/>
    <s v="1-4-M456G62290"/>
    <s v="MIDCOAT BLACK 456G-62290"/>
    <s v="INM-"/>
    <s v="B"/>
    <n v="113.29300000000001"/>
    <s v="KG"/>
    <s v="USD"/>
    <n v="21.21"/>
    <n v="2402.94"/>
  </r>
  <r>
    <x v="25"/>
    <x v="25"/>
    <m/>
    <s v="M250216"/>
    <s v="1-4-T9682N204111"/>
    <s v="9682/N204111-G05 CLEAR METALLIC TOPCOAT"/>
    <s v="INM-"/>
    <s v="B"/>
    <n v="25"/>
    <s v="KG"/>
    <s v="CNY"/>
    <n v="69.026499999999999"/>
    <n v="1725.66"/>
  </r>
  <r>
    <x v="25"/>
    <x v="25"/>
    <m/>
    <s v="M250226"/>
    <s v="1-4-T968218094"/>
    <s v="9682/K18094 TOPCOAT METALLIC BLACK"/>
    <s v="INM-"/>
    <s v="B"/>
    <n v="50"/>
    <s v="KG"/>
    <s v="CNY"/>
    <n v="63.008800000000001"/>
    <n v="3150.44"/>
  </r>
  <r>
    <x v="25"/>
    <x v="25"/>
    <m/>
    <s v="M250224"/>
    <s v="1-4-T968218094"/>
    <s v="9682/K18094 TOPCOAT METALLIC BLACK"/>
    <s v="INM-"/>
    <s v="B"/>
    <n v="50"/>
    <s v="KG"/>
    <s v="CNY"/>
    <n v="63.008800000000001"/>
    <n v="3150.44"/>
  </r>
  <r>
    <x v="25"/>
    <x v="25"/>
    <m/>
    <s v="M250226"/>
    <s v="1-4-T7353J2002Z"/>
    <s v="BLACK MET.TOP 7353/J2002Z"/>
    <s v="INM-"/>
    <s v="B"/>
    <n v="75"/>
    <s v="KG"/>
    <s v="CNY"/>
    <n v="92.743399999999994"/>
    <n v="6955.76"/>
  </r>
  <r>
    <x v="25"/>
    <x v="25"/>
    <m/>
    <s v="M250225"/>
    <s v="1-4-T7353J2002Z"/>
    <s v="BLACK MET.TOP 7353/J2002Z"/>
    <s v="INM-"/>
    <s v="B"/>
    <n v="25"/>
    <s v="KG"/>
    <s v="CNY"/>
    <n v="92.743399999999994"/>
    <n v="2318.59"/>
  </r>
  <r>
    <x v="25"/>
    <x v="25"/>
    <m/>
    <s v="M250227"/>
    <s v="1-4-T7353J2002Z"/>
    <s v="BLACK MET.TOP 7353/J2002Z"/>
    <s v="INM-"/>
    <s v="B"/>
    <n v="100"/>
    <s v="KG"/>
    <s v="CNY"/>
    <n v="92.743399999999994"/>
    <n v="9274.34"/>
  </r>
  <r>
    <x v="25"/>
    <x v="25"/>
    <m/>
    <s v="M250224"/>
    <s v="1-4-T7353J2002Z"/>
    <s v="BLACK MET.TOP 7353/J2002Z"/>
    <s v="INM-"/>
    <s v="B"/>
    <n v="100"/>
    <s v="KG"/>
    <s v="CNY"/>
    <n v="92.743399999999994"/>
    <n v="9274.34"/>
  </r>
  <r>
    <x v="1"/>
    <x v="1"/>
    <m/>
    <s v="B250306"/>
    <s v="7-1-65134NA35N"/>
    <s v="AL SHT 6.5x134x105.5mm 1100"/>
    <s v="ALM-"/>
    <s v="O"/>
    <n v="100"/>
    <s v="KG"/>
    <s v="CNY"/>
    <n v="3.1415999999999999"/>
    <n v="314.16000000000003"/>
  </r>
  <r>
    <x v="1"/>
    <x v="1"/>
    <m/>
    <s v="B250306"/>
    <s v="7-1-A4230C435N"/>
    <s v="AL CIR 14x230mm 1100-O"/>
    <s v="ALM-"/>
    <s v="O"/>
    <n v="50"/>
    <s v="KG"/>
    <s v="CNY"/>
    <n v="3.1415999999999999"/>
    <n v="157.08000000000001"/>
  </r>
  <r>
    <x v="1"/>
    <x v="1"/>
    <m/>
    <s v="B250306"/>
    <s v="7-1-70171N435N"/>
    <s v="AL SHT 7.0x170.9x191.8mm"/>
    <s v="ALM-"/>
    <s v="O"/>
    <n v="50"/>
    <s v="KG"/>
    <s v="CNY"/>
    <n v="3.1415999999999999"/>
    <n v="157.08000000000001"/>
  </r>
  <r>
    <x v="1"/>
    <x v="1"/>
    <m/>
    <s v="B250306"/>
    <s v="7-1-40165C435N"/>
    <s v="AL CIR 4.0x165mm 1100-O"/>
    <s v="ALM-"/>
    <s v="O"/>
    <n v="300"/>
    <s v="KG"/>
    <s v="CNY"/>
    <n v="3.1415999999999999"/>
    <n v="942.48"/>
  </r>
  <r>
    <x v="1"/>
    <x v="1"/>
    <m/>
    <s v="B250306"/>
    <s v="7-1-50115C435N"/>
    <s v="AL CIR 5.0x115mm 1100-O"/>
    <s v="ALM-"/>
    <s v="O"/>
    <n v="110"/>
    <s v="KG"/>
    <s v="CNY"/>
    <n v="3.1415999999999999"/>
    <n v="345.58"/>
  </r>
  <r>
    <x v="1"/>
    <x v="1"/>
    <m/>
    <s v="B250306"/>
    <s v="7-1-50150C435N"/>
    <s v="AL CIR 5.0x150mm 1100-O"/>
    <s v="ALM-"/>
    <s v="O"/>
    <n v="300"/>
    <s v="KG"/>
    <s v="CNY"/>
    <n v="3.1415999999999999"/>
    <n v="942.48"/>
  </r>
  <r>
    <x v="1"/>
    <x v="1"/>
    <m/>
    <s v="B250306"/>
    <s v="7-1-50180C435N"/>
    <s v="AL CIR 5.0x180mm 1100-O"/>
    <s v="ALM-"/>
    <s v="O"/>
    <n v="50"/>
    <s v="KG"/>
    <s v="CNY"/>
    <n v="3.1415999999999999"/>
    <n v="157.08000000000001"/>
  </r>
  <r>
    <x v="28"/>
    <x v="28"/>
    <m/>
    <s v="C03112"/>
    <s v="1-6-GD20-ZA"/>
    <s v="G-LD SD DR 20CM 2H"/>
    <s v="GLID"/>
    <s v="B"/>
    <n v="1020"/>
    <s v="PC"/>
    <s v="CNY"/>
    <n v="3.1461000000000001"/>
    <n v="3209.02"/>
  </r>
  <r>
    <x v="19"/>
    <x v="19"/>
    <m/>
    <s v="X250336"/>
    <s v="1-8-F19145----J-F"/>
    <s v="FP BOX 19145----J (FSC)"/>
    <s v="BOX-"/>
    <s v="B"/>
    <n v="3000"/>
    <s v="PC"/>
    <s v="CNY"/>
    <n v="3.18"/>
    <n v="9540"/>
  </r>
  <r>
    <x v="41"/>
    <x v="41"/>
    <m/>
    <s v="C03012"/>
    <s v="7-C-PCC14CK-002"/>
    <s v="PCC14CT----------Y-P-----"/>
    <s v="LID-"/>
    <s v="O"/>
    <n v="1620"/>
    <s v="PC"/>
    <s v="CNY"/>
    <n v="3.2"/>
    <n v="5184"/>
  </r>
  <r>
    <x v="8"/>
    <x v="8"/>
    <m/>
    <s v="C03001"/>
    <s v="1-5-HAJ203--X4"/>
    <s v="SH-- 203 POL YBM20AK C/C40 H8.5 SS304x0.7"/>
    <s v="HDL-"/>
    <s v="B"/>
    <n v="960"/>
    <s v="PC"/>
    <s v="CNY"/>
    <n v="3.2145000000000001"/>
    <n v="3085.92"/>
  </r>
  <r>
    <x v="8"/>
    <x v="8"/>
    <m/>
    <s v="C03014"/>
    <s v="1-5-HAJ203--X4"/>
    <s v="SH-- 203 POL YBM20AK C/C40 H8.5 SS304x0.7"/>
    <s v="HDL-"/>
    <s v="B"/>
    <n v="1080"/>
    <s v="PC"/>
    <s v="CNY"/>
    <n v="3.2145000000000001"/>
    <n v="3471.66"/>
  </r>
  <r>
    <x v="18"/>
    <x v="18"/>
    <m/>
    <s v="X250318"/>
    <s v="1-8-C10000-C--E"/>
    <s v="4C CORR SLV 10000-C--E"/>
    <s v="SHTS"/>
    <s v="B"/>
    <n v="1010"/>
    <s v="PC"/>
    <s v="CNY"/>
    <n v="3.22"/>
    <n v="3252.2"/>
  </r>
  <r>
    <x v="18"/>
    <x v="18"/>
    <m/>
    <s v="X250316"/>
    <s v="6-8-F62075-C"/>
    <s v="FP BROWN BOX 62075-C"/>
    <s v="BOX-"/>
    <s v="B"/>
    <n v="1010"/>
    <s v="PC"/>
    <s v="CNY"/>
    <n v="3.23"/>
    <n v="3262.3"/>
  </r>
  <r>
    <x v="18"/>
    <x v="18"/>
    <m/>
    <s v="X250332"/>
    <s v="6-8-F62007-C"/>
    <s v="FP BOX 62007-C"/>
    <s v="BOX-"/>
    <s v="B"/>
    <n v="1010"/>
    <s v="PC"/>
    <s v="CNY"/>
    <n v="3.23"/>
    <n v="3262.3"/>
  </r>
  <r>
    <x v="41"/>
    <x v="41"/>
    <m/>
    <s v="C03005"/>
    <s v="7-C-PCC16CK-002"/>
    <s v="PCC16CT----------Y-P-----"/>
    <s v="LID-"/>
    <s v="O"/>
    <n v="755"/>
    <s v="PC"/>
    <s v="CNY"/>
    <n v="3.3"/>
    <n v="2491.5"/>
  </r>
  <r>
    <x v="28"/>
    <x v="28"/>
    <m/>
    <s v="C03069"/>
    <s v="1-6-GE20-ZA"/>
    <s v="G-LD E 20CM POL"/>
    <s v="GLID"/>
    <s v="B"/>
    <n v="220"/>
    <s v="PC"/>
    <s v="CNY"/>
    <n v="3.3437000000000001"/>
    <n v="735.61"/>
  </r>
  <r>
    <x v="22"/>
    <x v="22"/>
    <m/>
    <s v="C01016"/>
    <s v="1-6-708-A"/>
    <s v="SILICONE RUBBER KNOB GN36A"/>
    <s v="KNOB"/>
    <s v="B"/>
    <n v="3000"/>
    <s v="PC"/>
    <s v="CNY"/>
    <n v="0.8"/>
    <n v="2400"/>
  </r>
  <r>
    <x v="11"/>
    <x v="11"/>
    <m/>
    <s v="C01017"/>
    <s v="7-5-KDG01D-X"/>
    <s v="KNOB DG RP BK01A POL"/>
    <s v="KNOB"/>
    <s v="B"/>
    <n v="60"/>
    <s v="PC"/>
    <s v="CNY"/>
    <n v="5.0999999999999996"/>
    <n v="306"/>
  </r>
  <r>
    <x v="11"/>
    <x v="11"/>
    <m/>
    <s v="C01017"/>
    <s v="7-5-KDG01D-X"/>
    <s v="KNOB DG RP BK01A POL"/>
    <s v="KNOB"/>
    <s v="B"/>
    <n v="9740"/>
    <s v="PC"/>
    <s v="CNY"/>
    <n v="5.0999999999999996"/>
    <n v="49674"/>
  </r>
  <r>
    <x v="23"/>
    <x v="23"/>
    <m/>
    <s v="C01027"/>
    <s v="1-6-678AA"/>
    <s v="SILICONE RUBBER KNOB ANYDAY GN36A"/>
    <s v="KNOB"/>
    <s v="B"/>
    <n v="1000"/>
    <s v="PC"/>
    <s v="CNY"/>
    <n v="1.31"/>
    <n v="1310"/>
  </r>
  <r>
    <x v="23"/>
    <x v="23"/>
    <m/>
    <s v="C01027"/>
    <s v="1-6-696-B"/>
    <s v="SILICONE RUBBER KNOB BU47A (FDA GRADE)"/>
    <s v="KNOB"/>
    <s v="B"/>
    <n v="10800"/>
    <s v="PC"/>
    <s v="CNY"/>
    <n v="0.873"/>
    <n v="9428.4"/>
  </r>
  <r>
    <x v="23"/>
    <x v="23"/>
    <m/>
    <s v="C01027"/>
    <s v="1-6-696-C"/>
    <s v="SILICONE RUBBER KNOB BK01A (FDA GRADE)"/>
    <s v="KNOB"/>
    <s v="B"/>
    <n v="16200"/>
    <s v="PC"/>
    <s v="CNY"/>
    <n v="0.873"/>
    <n v="14142.6"/>
  </r>
  <r>
    <x v="17"/>
    <x v="17"/>
    <m/>
    <s v="C01025"/>
    <s v="1-5-KRA01-E"/>
    <s v="STD- KNOB RA BK01G"/>
    <s v="KNOB"/>
    <s v="O"/>
    <n v="3000"/>
    <s v="PC"/>
    <s v="CNY"/>
    <n v="0.6411"/>
    <n v="1923.3"/>
  </r>
  <r>
    <x v="17"/>
    <x v="17"/>
    <m/>
    <s v="C01025"/>
    <s v="1-5-KRA01-E"/>
    <s v="STD- KNOB RA BK01G"/>
    <s v="KNOB"/>
    <s v="O"/>
    <n v="1020"/>
    <s v="PC"/>
    <s v="CNY"/>
    <n v="0.6542"/>
    <n v="667.28"/>
  </r>
  <r>
    <x v="14"/>
    <x v="14"/>
    <m/>
    <s v="C01023"/>
    <s v="1-5-KIB01-AX"/>
    <s v="KNOB IB BK01A POL"/>
    <s v="KNOB"/>
    <s v="B"/>
    <n v="520"/>
    <s v="PC"/>
    <s v="CNY"/>
    <n v="3.3721999999999999"/>
    <n v="1753.54"/>
  </r>
  <r>
    <x v="23"/>
    <x v="23"/>
    <m/>
    <s v="C01051"/>
    <s v="1-6-678AC"/>
    <s v="SILICONE RUBBER KNOB ANYDAY BU47A"/>
    <s v="KNOB"/>
    <s v="B"/>
    <n v="1000"/>
    <s v="PC"/>
    <s v="CNY"/>
    <n v="1.31"/>
    <n v="1310"/>
  </r>
  <r>
    <x v="23"/>
    <x v="23"/>
    <m/>
    <s v="C01051"/>
    <s v="1-6-689AA"/>
    <s v="SILICONE RUBBER KNOB ANYDAY GN36A (FDA GRADE)"/>
    <s v="KNOB"/>
    <s v="B"/>
    <n v="1000"/>
    <s v="PC"/>
    <s v="CNY"/>
    <n v="1.38"/>
    <n v="1380"/>
  </r>
  <r>
    <x v="23"/>
    <x v="23"/>
    <m/>
    <s v="C01051"/>
    <s v="1-6-689AC"/>
    <s v="SILICONE RUBBER KNOB ANYDAY BU47A (FDA GRADE)"/>
    <s v="KNOB"/>
    <s v="B"/>
    <n v="1000"/>
    <s v="PC"/>
    <s v="CNY"/>
    <n v="1.38"/>
    <n v="1380"/>
  </r>
  <r>
    <x v="23"/>
    <x v="23"/>
    <m/>
    <s v="C01051"/>
    <s v="1-6-696-B"/>
    <s v="SILICONE RUBBER KNOB BU47A (FDA GRADE)"/>
    <s v="KNOB"/>
    <s v="B"/>
    <n v="5400"/>
    <s v="PC"/>
    <s v="CNY"/>
    <n v="0.873"/>
    <n v="4714.2"/>
  </r>
  <r>
    <x v="16"/>
    <x v="16"/>
    <m/>
    <s v="C01047"/>
    <s v="7-5-KCF01"/>
    <s v="KNOB CF M.BLK W/1-6-D05"/>
    <s v="KNOB"/>
    <s v="B"/>
    <n v="750"/>
    <s v="PC"/>
    <s v="CNY"/>
    <n v="0.39329999999999998"/>
    <n v="294.98"/>
  </r>
  <r>
    <x v="16"/>
    <x v="16"/>
    <m/>
    <s v="C01047"/>
    <s v="5-5-KAN01"/>
    <s v="KNOB AN G.BLK"/>
    <s v="KNOB"/>
    <s v="B"/>
    <n v="6750"/>
    <s v="PC"/>
    <s v="CNY"/>
    <n v="0.54969999999999997"/>
    <n v="3710.48"/>
  </r>
  <r>
    <x v="16"/>
    <x v="16"/>
    <m/>
    <s v="C01047"/>
    <s v="7-5-KZI-4"/>
    <s v="KNOB INS M.BLK MEYER"/>
    <s v="KNOB"/>
    <s v="B"/>
    <n v="500"/>
    <s v="PC"/>
    <s v="CNY"/>
    <n v="0.63100000000000001"/>
    <n v="315.5"/>
  </r>
  <r>
    <x v="16"/>
    <x v="16"/>
    <m/>
    <s v="C01047"/>
    <s v="1-5-KZE-2"/>
    <s v="KNOB Z M.BLK"/>
    <s v="KNOB"/>
    <s v="B"/>
    <n v="500"/>
    <s v="PC"/>
    <s v="CNY"/>
    <n v="0.86950000000000005"/>
    <n v="434.75"/>
  </r>
  <r>
    <x v="16"/>
    <x v="16"/>
    <m/>
    <s v="C01047"/>
    <s v="1-5-KTI-1"/>
    <s v="KNOB INS+S.CAP &quot;MEYER&quot;"/>
    <s v="KNOB"/>
    <s v="B"/>
    <n v="510"/>
    <s v="PC"/>
    <s v="CNY"/>
    <n v="1.0463"/>
    <n v="533.61"/>
  </r>
  <r>
    <x v="11"/>
    <x v="11"/>
    <m/>
    <s v="C01050"/>
    <s v="7-5-KDG01D-X"/>
    <s v="KNOB DG RP BK01A POL"/>
    <s v="KNOB"/>
    <s v="B"/>
    <n v="7840"/>
    <s v="PC"/>
    <s v="CNY"/>
    <n v="5.0999999999999996"/>
    <n v="39984"/>
  </r>
  <r>
    <x v="8"/>
    <x v="8"/>
    <m/>
    <s v="C01059"/>
    <s v="3-5-KAP-2"/>
    <s v="STD- 2 MEYER POL M5"/>
    <s v="KNOB"/>
    <s v="B"/>
    <n v="2040"/>
    <s v="PC"/>
    <s v="CNY"/>
    <n v="2.3193999999999999"/>
    <n v="4731.58"/>
  </r>
  <r>
    <x v="27"/>
    <x v="27"/>
    <m/>
    <s v="C01068"/>
    <s v="1-5-KRA01"/>
    <s v="STD- KNOB RA MATTE BLK PHENOLIC (PO810NR--XB)"/>
    <s v="KNOB"/>
    <s v="B"/>
    <n v="1350"/>
    <s v="PC"/>
    <s v="CNY"/>
    <n v="1.2455000000000001"/>
    <n v="1681.43"/>
  </r>
  <r>
    <x v="11"/>
    <x v="11"/>
    <m/>
    <s v="C01066"/>
    <s v="7-5-KDG01D-X"/>
    <s v="KNOB DG RP BK01A POL"/>
    <s v="KNOB"/>
    <s v="B"/>
    <n v="5100"/>
    <s v="PC"/>
    <s v="CNY"/>
    <n v="5.0999999999999996"/>
    <n v="26010"/>
  </r>
  <r>
    <x v="11"/>
    <x v="11"/>
    <m/>
    <s v="C01066"/>
    <s v="7-5-KDG01D-X"/>
    <s v="KNOB DG RP BK01A POL"/>
    <s v="KNOB"/>
    <s v="B"/>
    <n v="4000"/>
    <s v="PC"/>
    <s v="CNY"/>
    <n v="5.0999999999999996"/>
    <n v="20400"/>
  </r>
  <r>
    <x v="11"/>
    <x v="11"/>
    <m/>
    <s v="AQ-C01066"/>
    <s v="7-5-KDG01D-X"/>
    <s v="KNOB DG RP BK01A POL"/>
    <s v="KNOB"/>
    <s v="B"/>
    <n v="-400"/>
    <s v="PC"/>
    <s v="CNY"/>
    <n v="5.0999999999999996"/>
    <n v="-2040"/>
  </r>
  <r>
    <x v="11"/>
    <x v="11"/>
    <m/>
    <s v="C01066"/>
    <s v="7-5-KDG01D-X"/>
    <s v="KNOB DG RP BK01A POL"/>
    <s v="KNOB"/>
    <s v="B"/>
    <n v="400"/>
    <s v="PC"/>
    <s v="CNY"/>
    <n v="5.0999999999999996"/>
    <n v="2040"/>
  </r>
  <r>
    <x v="11"/>
    <x v="11"/>
    <m/>
    <s v="C01070"/>
    <s v="7-5-KDG01D-X"/>
    <s v="KNOB DG RP BK01A POL"/>
    <s v="KNOB"/>
    <s v="B"/>
    <n v="9500"/>
    <s v="PC"/>
    <s v="CNY"/>
    <n v="5.0999999999999996"/>
    <n v="48450"/>
  </r>
  <r>
    <x v="14"/>
    <x v="14"/>
    <m/>
    <s v="C01074"/>
    <s v="3-5-KAP-2"/>
    <s v="STD- 2 MEYER POL M5"/>
    <s v="KNOB"/>
    <s v="B"/>
    <n v="9250"/>
    <s v="PC"/>
    <s v="CNY"/>
    <n v="2.2488000000000001"/>
    <n v="20801.400000000001"/>
  </r>
  <r>
    <x v="20"/>
    <x v="20"/>
    <m/>
    <s v="C02002"/>
    <s v="7-6-X021"/>
    <s v="WHISTLE BLK"/>
    <s v="KNOB"/>
    <s v="B"/>
    <n v="19000"/>
    <s v="PC"/>
    <s v="CNY"/>
    <n v="4.4320000000000004"/>
    <n v="84208"/>
  </r>
  <r>
    <x v="20"/>
    <x v="20"/>
    <m/>
    <s v="C02002"/>
    <s v="7-6-X021"/>
    <s v="WHISTLE BLK"/>
    <s v="KNOB"/>
    <s v="B"/>
    <n v="13500"/>
    <s v="PC"/>
    <s v="CNY"/>
    <n v="4.4320000000000004"/>
    <n v="59832"/>
  </r>
  <r>
    <x v="11"/>
    <x v="11"/>
    <m/>
    <s v="C02006"/>
    <s v="7-5-KDG01D-X"/>
    <s v="KNOB DG RP BK01A POL"/>
    <s v="KNOB"/>
    <s v="B"/>
    <n v="8540"/>
    <s v="PC"/>
    <s v="CNY"/>
    <n v="5.0999999999999996"/>
    <n v="43554"/>
  </r>
  <r>
    <x v="11"/>
    <x v="11"/>
    <m/>
    <s v="C02009"/>
    <s v="7-5-KDG01D-X"/>
    <s v="KNOB DG RP BK01A POL"/>
    <s v="KNOB"/>
    <s v="B"/>
    <n v="12360"/>
    <s v="PC"/>
    <s v="CNY"/>
    <n v="5.0999999999999996"/>
    <n v="63036"/>
  </r>
  <r>
    <x v="22"/>
    <x v="22"/>
    <m/>
    <s v="C02010"/>
    <s v="1-6-708-A"/>
    <s v="SILICONE RUBBER KNOB GN36A"/>
    <s v="KNOB"/>
    <s v="B"/>
    <n v="2000"/>
    <s v="PC"/>
    <s v="CNY"/>
    <n v="0.8"/>
    <n v="1600"/>
  </r>
  <r>
    <x v="22"/>
    <x v="22"/>
    <m/>
    <s v="C02010"/>
    <s v="1-6-708-B"/>
    <s v="SILICONE RUBBER KNOB BU47A"/>
    <s v="KNOB"/>
    <s v="B"/>
    <n v="1020"/>
    <s v="PC"/>
    <s v="CNY"/>
    <n v="0.8"/>
    <n v="816"/>
  </r>
  <r>
    <x v="23"/>
    <x v="23"/>
    <m/>
    <s v="C02020"/>
    <s v="1-6-678AA"/>
    <s v="SILICONE RUBBER KNOB ANYDAY GN36A"/>
    <s v="KNOB"/>
    <s v="B"/>
    <n v="2050"/>
    <s v="PC"/>
    <s v="CNY"/>
    <n v="1.2838000000000001"/>
    <n v="2631.79"/>
  </r>
  <r>
    <x v="23"/>
    <x v="23"/>
    <m/>
    <s v="C02020"/>
    <s v="1-6-678AA"/>
    <s v="SILICONE RUBBER KNOB ANYDAY GN36A"/>
    <s v="KNOB"/>
    <s v="B"/>
    <n v="1500"/>
    <s v="PC"/>
    <s v="CNY"/>
    <n v="1.31"/>
    <n v="1965"/>
  </r>
  <r>
    <x v="23"/>
    <x v="23"/>
    <m/>
    <s v="C02020"/>
    <s v="1-6-689AA"/>
    <s v="SILICONE RUBBER KNOB ANYDAY GN36A (FDA GRADE)"/>
    <s v="KNOB"/>
    <s v="B"/>
    <n v="3050"/>
    <s v="PC"/>
    <s v="CNY"/>
    <n v="1.3524"/>
    <n v="4124.82"/>
  </r>
  <r>
    <x v="23"/>
    <x v="23"/>
    <m/>
    <s v="C02020"/>
    <s v="1-6-689AC"/>
    <s v="SILICONE RUBBER KNOB ANYDAY BU47A (FDA GRADE)"/>
    <s v="KNOB"/>
    <s v="B"/>
    <n v="1000"/>
    <s v="PC"/>
    <s v="CNY"/>
    <n v="1.38"/>
    <n v="1380"/>
  </r>
  <r>
    <x v="23"/>
    <x v="23"/>
    <m/>
    <s v="C02020"/>
    <s v="1-6-689AC"/>
    <s v="SILICONE RUBBER KNOB ANYDAY BU47A (FDA GRADE)"/>
    <s v="KNOB"/>
    <s v="B"/>
    <n v="1020"/>
    <s v="PC"/>
    <s v="CNY"/>
    <n v="1.38"/>
    <n v="1407.6"/>
  </r>
  <r>
    <x v="21"/>
    <x v="21"/>
    <m/>
    <s v="C02023"/>
    <s v="1-5-KNE-2"/>
    <s v="KNOB N M.BLK"/>
    <s v="KNOB"/>
    <s v="B"/>
    <n v="2000"/>
    <s v="PC"/>
    <s v="CNY"/>
    <n v="0.68910000000000005"/>
    <n v="1378.2"/>
  </r>
  <r>
    <x v="14"/>
    <x v="14"/>
    <m/>
    <s v="C02030"/>
    <s v="1-5-KIB01-AX"/>
    <s v="KNOB IB BK01A POL"/>
    <s v="KNOB"/>
    <s v="B"/>
    <n v="15"/>
    <s v="PC"/>
    <s v="CNY"/>
    <n v="3.3721999999999999"/>
    <n v="50.58"/>
  </r>
  <r>
    <x v="16"/>
    <x v="16"/>
    <m/>
    <s v="C02032"/>
    <s v="5-5-KAN01"/>
    <s v="KNOB AN G.BLK"/>
    <s v="KNOB"/>
    <s v="B"/>
    <n v="6100"/>
    <s v="PC"/>
    <s v="CNY"/>
    <n v="0.54969999999999997"/>
    <n v="3353.17"/>
  </r>
  <r>
    <x v="16"/>
    <x v="16"/>
    <m/>
    <s v="C02032"/>
    <s v="5-5-KAN01"/>
    <s v="KNOB AN G.BLK"/>
    <s v="KNOB"/>
    <s v="B"/>
    <n v="12300"/>
    <s v="PC"/>
    <s v="CNY"/>
    <n v="0.54969999999999997"/>
    <n v="6761.31"/>
  </r>
  <r>
    <x v="16"/>
    <x v="16"/>
    <m/>
    <s v="C02032"/>
    <s v="5-5-KAN01"/>
    <s v="KNOB AN G.BLK"/>
    <s v="KNOB"/>
    <s v="B"/>
    <n v="10000"/>
    <s v="PC"/>
    <s v="CNY"/>
    <n v="0.54969999999999997"/>
    <n v="5497"/>
  </r>
  <r>
    <x v="16"/>
    <x v="16"/>
    <m/>
    <s v="C02033"/>
    <s v="7-5-KZI-4"/>
    <s v="KNOB INS M.BLK MEYER"/>
    <s v="KNOB"/>
    <s v="B"/>
    <n v="1700"/>
    <s v="PC"/>
    <s v="CNY"/>
    <n v="0.61839999999999995"/>
    <n v="1051.28"/>
  </r>
  <r>
    <x v="1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6"/>
    <x v="16"/>
    <m/>
    <s v="C02034"/>
    <s v="1-5-KRZ01"/>
    <s v="KNOB RZ M.BLK"/>
    <s v="KNOB"/>
    <s v="B"/>
    <n v="510"/>
    <s v="PC"/>
    <s v="CNY"/>
    <n v="1.0902000000000001"/>
    <n v="556"/>
  </r>
  <r>
    <x v="28"/>
    <x v="28"/>
    <m/>
    <s v="C03075"/>
    <s v="1-6-GE20-ZA"/>
    <s v="G-LD E 20CM POL"/>
    <s v="GLID"/>
    <s v="B"/>
    <n v="1300"/>
    <s v="PC"/>
    <s v="CNY"/>
    <n v="3.3437000000000001"/>
    <n v="4346.8100000000004"/>
  </r>
  <r>
    <x v="41"/>
    <x v="41"/>
    <m/>
    <s v="C03005"/>
    <s v="7-C-PCC18CK-002"/>
    <s v="PCC18CT----------Y-P-----"/>
    <s v="LID-"/>
    <s v="O"/>
    <n v="1420"/>
    <s v="PC"/>
    <s v="CNY"/>
    <n v="3.4"/>
    <n v="4828"/>
  </r>
  <r>
    <x v="41"/>
    <x v="41"/>
    <m/>
    <s v="C03015"/>
    <s v="7-C-ZBC14KK-002"/>
    <s v="ZBC14CV----------Y-P-----"/>
    <s v="LID-"/>
    <s v="A"/>
    <n v="699"/>
    <s v="PC"/>
    <s v="CNY"/>
    <n v="3.42"/>
    <n v="2390.58"/>
  </r>
  <r>
    <x v="41"/>
    <x v="41"/>
    <m/>
    <s v="C03015"/>
    <s v="7-C-ZBC14KK-002"/>
    <s v="ZBC14CV----------Y-P-----"/>
    <s v="LID-"/>
    <s v="A"/>
    <n v="981"/>
    <s v="PC"/>
    <s v="CNY"/>
    <n v="3.42"/>
    <n v="3355.02"/>
  </r>
  <r>
    <x v="41"/>
    <x v="41"/>
    <m/>
    <s v="C03018"/>
    <s v="7-C-ZBC14KK-002"/>
    <s v="ZBC14CV----------Y-P-----"/>
    <s v="LID-"/>
    <s v="A"/>
    <n v="1022"/>
    <s v="PC"/>
    <s v="CNY"/>
    <n v="3.42"/>
    <n v="3495.24"/>
  </r>
  <r>
    <x v="41"/>
    <x v="41"/>
    <m/>
    <s v="C03018"/>
    <s v="7-C-ZBC14KK-002"/>
    <s v="ZBC14CV----------Y-P-----"/>
    <s v="LID-"/>
    <s v="A"/>
    <n v="49"/>
    <s v="PC"/>
    <s v="CNY"/>
    <n v="3.42"/>
    <n v="167.58"/>
  </r>
  <r>
    <x v="12"/>
    <x v="12"/>
    <m/>
    <s v="C03073"/>
    <s v="7-6-629A"/>
    <s v="20cm Si-RU GASKET GN36A"/>
    <s v="GSKT"/>
    <s v="B"/>
    <n v="1000"/>
    <s v="PC"/>
    <s v="CNY"/>
    <n v="3.5"/>
    <n v="3500"/>
  </r>
  <r>
    <x v="41"/>
    <x v="41"/>
    <m/>
    <s v="C03005"/>
    <s v="7-C-PCC20CK-002"/>
    <s v="PCC20CT----------Y-P-----"/>
    <s v="LID-"/>
    <s v="O"/>
    <n v="1010"/>
    <s v="PC"/>
    <s v="CNY"/>
    <n v="3.5"/>
    <n v="3535"/>
  </r>
  <r>
    <x v="41"/>
    <x v="41"/>
    <m/>
    <s v="C03027"/>
    <s v="7-C-PCC20CK-002"/>
    <s v="PCC20CT----------Y-P-----"/>
    <s v="LID-"/>
    <s v="O"/>
    <n v="1010"/>
    <s v="PC"/>
    <s v="CNY"/>
    <n v="3.5"/>
    <n v="3535"/>
  </r>
  <r>
    <x v="16"/>
    <x v="16"/>
    <m/>
    <s v="C03086"/>
    <s v="3-5-SC08"/>
    <s v="W38 M.BLK TUM"/>
    <s v="SHDL"/>
    <s v="B"/>
    <n v="2060"/>
    <s v="PC"/>
    <s v="CNY"/>
    <n v="3.5226999999999999"/>
    <n v="7256.76"/>
  </r>
  <r>
    <x v="41"/>
    <x v="41"/>
    <m/>
    <s v="C03005"/>
    <s v="7-C-ZBC16KK-002"/>
    <s v="ZBC16CV----------Y-P-----"/>
    <s v="LID-"/>
    <s v="A"/>
    <n v="1680"/>
    <s v="PC"/>
    <s v="CNY"/>
    <n v="3.53"/>
    <n v="5930.4"/>
  </r>
  <r>
    <x v="41"/>
    <x v="41"/>
    <m/>
    <s v="C03012"/>
    <s v="7-C-ZBC16KK-002"/>
    <s v="ZBC16CV----------Y-P-----"/>
    <s v="LID-"/>
    <s v="A"/>
    <n v="270"/>
    <s v="PC"/>
    <s v="CNY"/>
    <n v="3.53"/>
    <n v="953.1"/>
  </r>
  <r>
    <x v="41"/>
    <x v="41"/>
    <m/>
    <s v="C03012"/>
    <s v="7-C-ZBC16KK-002"/>
    <s v="ZBC16CV----------Y-P-----"/>
    <s v="LID-"/>
    <s v="A"/>
    <n v="380"/>
    <s v="PC"/>
    <s v="CNY"/>
    <n v="3.53"/>
    <n v="1341.4"/>
  </r>
  <r>
    <x v="41"/>
    <x v="41"/>
    <m/>
    <s v="C03012"/>
    <s v="7-C-ZBC16KK-002"/>
    <s v="ZBC16CV----------Y-P-----"/>
    <s v="LID-"/>
    <s v="A"/>
    <n v="1030"/>
    <s v="PC"/>
    <s v="CNY"/>
    <n v="3.53"/>
    <n v="3635.9"/>
  </r>
  <r>
    <x v="41"/>
    <x v="41"/>
    <m/>
    <s v="C03015"/>
    <s v="7-C-ZBC16KK-002"/>
    <s v="ZBC16CV----------Y-P-----"/>
    <s v="LID-"/>
    <s v="A"/>
    <n v="1742"/>
    <s v="PC"/>
    <s v="CNY"/>
    <n v="3.53"/>
    <n v="6149.26"/>
  </r>
  <r>
    <x v="22"/>
    <x v="22"/>
    <m/>
    <s v="C03017"/>
    <s v="1-5-HAJ01--X4"/>
    <s v="SH-- POL R73 C/C40 H8.5 SS304x0.7"/>
    <s v="HDL-"/>
    <s v="B"/>
    <n v="1845"/>
    <s v="PC"/>
    <s v="CNY"/>
    <n v="3.5398000000000001"/>
    <n v="6530.93"/>
  </r>
  <r>
    <x v="1"/>
    <x v="1"/>
    <m/>
    <s v="B250306"/>
    <s v="7-1-10155C435N"/>
    <s v="AL CIR 1.0x155mm 1100-O"/>
    <s v="ALM-"/>
    <s v="O"/>
    <n v="140"/>
    <s v="KG"/>
    <s v="CNY"/>
    <n v="3.6282999999999999"/>
    <n v="507.96"/>
  </r>
  <r>
    <x v="1"/>
    <x v="1"/>
    <m/>
    <s v="B250306"/>
    <s v="7-1-10225C435N"/>
    <s v="AL CIR 1.0x225mm 1100-O"/>
    <s v="ALM-"/>
    <s v="O"/>
    <n v="120"/>
    <s v="KG"/>
    <s v="CNY"/>
    <n v="3.6282999999999999"/>
    <n v="435.4"/>
  </r>
  <r>
    <x v="1"/>
    <x v="1"/>
    <m/>
    <s v="B250306"/>
    <s v="7-1-10145C435N"/>
    <s v="AL CIR 1.0x145mm 1100-O"/>
    <s v="ALM-"/>
    <s v="O"/>
    <n v="50"/>
    <s v="KG"/>
    <s v="CNY"/>
    <n v="3.6282999999999999"/>
    <n v="181.42"/>
  </r>
  <r>
    <x v="3"/>
    <x v="3"/>
    <m/>
    <s v="M250125"/>
    <s v="1-8-PM1354"/>
    <s v="PAN LABL 10844"/>
    <s v="LABL"/>
    <s v="B"/>
    <n v="1010"/>
    <s v="PC"/>
    <s v="CNY"/>
    <n v="0.68"/>
    <n v="686.8"/>
  </r>
  <r>
    <x v="22"/>
    <x v="22"/>
    <m/>
    <s v="C01016"/>
    <s v="3-5-LHM205-DZ"/>
    <s v="STD- 205 BK01A TUM R216 C/C113 H6.5"/>
    <s v="LHDL"/>
    <s v="B"/>
    <n v="1020"/>
    <s v="PC"/>
    <s v="CNY"/>
    <n v="3.2938000000000001"/>
    <n v="3359.68"/>
  </r>
  <r>
    <x v="17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17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8"/>
    <x v="8"/>
    <m/>
    <s v="C01033"/>
    <s v="3-5-LDB205-X"/>
    <s v="205 POL"/>
    <s v="LHDL"/>
    <s v="B"/>
    <n v="1020"/>
    <s v="PC"/>
    <s v="CNY"/>
    <n v="1.9986999999999999"/>
    <n v="2038.67"/>
  </r>
  <r>
    <x v="22"/>
    <x v="22"/>
    <m/>
    <s v="C01032"/>
    <s v="3-5-LHM104-DZ"/>
    <s v="104 BK01A TUM"/>
    <s v="LHDL"/>
    <s v="B"/>
    <n v="1020"/>
    <s v="PC"/>
    <s v="CNY"/>
    <n v="3.2938000000000001"/>
    <n v="3359.68"/>
  </r>
  <r>
    <x v="11"/>
    <x v="11"/>
    <m/>
    <s v="C01034"/>
    <s v="1-5-LIF104-BX"/>
    <s v="104 GY04A POL"/>
    <s v="LHDL"/>
    <s v="B"/>
    <n v="1030"/>
    <s v="PC"/>
    <s v="CNY"/>
    <n v="10.730700000000001"/>
    <n v="11052.62"/>
  </r>
  <r>
    <x v="11"/>
    <x v="11"/>
    <m/>
    <s v="C01034"/>
    <s v="1-5-LIF108-BX"/>
    <s v="108 GY04A POL"/>
    <s v="LHDL"/>
    <s v="B"/>
    <n v="1030"/>
    <s v="PC"/>
    <s v="CNY"/>
    <n v="10.730700000000001"/>
    <n v="11052.62"/>
  </r>
  <r>
    <x v="24"/>
    <x v="24"/>
    <m/>
    <s v="M250132"/>
    <s v="3-5-LA02--Z"/>
    <s v="02 TUM"/>
    <s v="LHDL"/>
    <s v="B"/>
    <n v="52"/>
    <s v="PC"/>
    <s v="CNY"/>
    <n v="1.0327"/>
    <n v="53.7"/>
  </r>
  <r>
    <x v="24"/>
    <x v="24"/>
    <m/>
    <s v="M250132"/>
    <s v="3-5-LA03--Z"/>
    <s v="03 TUM"/>
    <s v="LHDL"/>
    <s v="B"/>
    <n v="38"/>
    <s v="PC"/>
    <s v="CNY"/>
    <n v="1.073"/>
    <n v="40.770000000000003"/>
  </r>
  <r>
    <x v="24"/>
    <x v="24"/>
    <m/>
    <s v="M250133"/>
    <s v="3-5-LA04--Z"/>
    <s v="04 TUM"/>
    <s v="LHDL"/>
    <s v="B"/>
    <n v="75"/>
    <s v="PC"/>
    <s v="CNY"/>
    <n v="1.073"/>
    <n v="80.48"/>
  </r>
  <r>
    <x v="24"/>
    <x v="24"/>
    <m/>
    <s v="M250133"/>
    <s v="3-5-LA06--Z"/>
    <s v="06 TUM"/>
    <s v="LHDL"/>
    <s v="B"/>
    <n v="58"/>
    <s v="PC"/>
    <s v="CNY"/>
    <n v="1.073"/>
    <n v="62.23"/>
  </r>
  <r>
    <x v="37"/>
    <x v="37"/>
    <m/>
    <s v="C01065"/>
    <s v="3-5-LSI101A-Y"/>
    <s v="SM-- 101 M BSH R128 C/C85 H6.5"/>
    <s v="LHDL"/>
    <s v="B"/>
    <n v="1000"/>
    <s v="PC"/>
    <s v="CNY"/>
    <n v="6.492"/>
    <n v="6492"/>
  </r>
  <r>
    <x v="22"/>
    <x v="22"/>
    <m/>
    <s v="C01072"/>
    <s v="7-5-LMH111--X"/>
    <s v="111 POL"/>
    <s v="LHDL"/>
    <s v="B"/>
    <n v="32"/>
    <s v="PC"/>
    <s v="CNY"/>
    <n v="7.4566999999999997"/>
    <n v="238.61"/>
  </r>
  <r>
    <x v="16"/>
    <x v="16"/>
    <m/>
    <s v="C02034"/>
    <s v="3-5-LOY104--X"/>
    <s v="104 M.BLK TUM"/>
    <s v="LHDL"/>
    <s v="B"/>
    <n v="380"/>
    <s v="PC"/>
    <s v="CNY"/>
    <n v="2.6436000000000002"/>
    <n v="1004.57"/>
  </r>
  <r>
    <x v="16"/>
    <x v="16"/>
    <m/>
    <s v="C02034"/>
    <s v="3-5-LOY104--X"/>
    <s v="104 M.BLK TUM"/>
    <s v="LHDL"/>
    <s v="B"/>
    <n v="150"/>
    <s v="PC"/>
    <s v="CNY"/>
    <n v="2.6436000000000002"/>
    <n v="396.54"/>
  </r>
  <r>
    <x v="22"/>
    <x v="22"/>
    <m/>
    <s v="C02036"/>
    <s v="7-5-LMH103--X"/>
    <s v="103 POL"/>
    <s v="LHDL"/>
    <s v="B"/>
    <n v="1520"/>
    <s v="PC"/>
    <s v="CNY"/>
    <n v="7.3506999999999998"/>
    <n v="11173.06"/>
  </r>
  <r>
    <x v="22"/>
    <x v="22"/>
    <m/>
    <s v="C02036"/>
    <s v="7-5-LMH104--X"/>
    <s v="104 POL"/>
    <s v="LHDL"/>
    <s v="B"/>
    <n v="1420"/>
    <s v="PC"/>
    <s v="CNY"/>
    <n v="7.3506999999999998"/>
    <n v="10437.99"/>
  </r>
  <r>
    <x v="22"/>
    <x v="22"/>
    <m/>
    <s v="C02036"/>
    <s v="7-5-LMH107--X"/>
    <s v="107 POL"/>
    <s v="LHDL"/>
    <s v="B"/>
    <n v="1010"/>
    <s v="PC"/>
    <s v="CNY"/>
    <n v="7.4212999999999996"/>
    <n v="7495.51"/>
  </r>
  <r>
    <x v="1"/>
    <x v="1"/>
    <m/>
    <s v="B250306"/>
    <s v="7-1-15103N435N"/>
    <s v="AL1.5x103.4X127.4MM1100-O"/>
    <s v="ALM-"/>
    <s v="O"/>
    <n v="100"/>
    <s v="KG"/>
    <s v="CNY"/>
    <n v="3.6282999999999999"/>
    <n v="362.83"/>
  </r>
  <r>
    <x v="28"/>
    <x v="28"/>
    <m/>
    <s v="C03019"/>
    <s v="1-6-GES18-ZA"/>
    <s v="G-LD ES 18CM POL"/>
    <s v="GLID"/>
    <s v="B"/>
    <n v="500"/>
    <s v="PC"/>
    <s v="CNY"/>
    <n v="3.6379000000000001"/>
    <n v="1818.95"/>
  </r>
  <r>
    <x v="41"/>
    <x v="41"/>
    <m/>
    <s v="C03018"/>
    <s v="7-C-ZBC18KK-002"/>
    <s v="ZBC18CV----------Y-P-----"/>
    <s v="LID-"/>
    <s v="A"/>
    <n v="170"/>
    <s v="PC"/>
    <s v="CNY"/>
    <n v="3.64"/>
    <n v="618.79999999999995"/>
  </r>
  <r>
    <x v="41"/>
    <x v="41"/>
    <m/>
    <s v="C03018"/>
    <s v="7-C-ZBC18KK-002"/>
    <s v="ZBC18CV----------Y-P-----"/>
    <s v="LID-"/>
    <s v="A"/>
    <n v="1030"/>
    <s v="PC"/>
    <s v="CNY"/>
    <n v="3.64"/>
    <n v="3749.2"/>
  </r>
  <r>
    <x v="41"/>
    <x v="41"/>
    <m/>
    <s v="C03022"/>
    <s v="7-C-ZBC18KK-002"/>
    <s v="ZBC18CV----------Y-P-----"/>
    <s v="LID-"/>
    <s v="A"/>
    <n v="1234"/>
    <s v="PC"/>
    <s v="CNY"/>
    <n v="3.64"/>
    <n v="4491.76"/>
  </r>
  <r>
    <x v="28"/>
    <x v="28"/>
    <m/>
    <s v="C03069"/>
    <s v="1-6-GY24-ZA"/>
    <s v="G-LD SD DR 24CM 2H POL"/>
    <s v="GLID"/>
    <s v="B"/>
    <n v="2020"/>
    <s v="PC"/>
    <s v="CNY"/>
    <n v="3.6753999999999998"/>
    <n v="7424.31"/>
  </r>
  <r>
    <x v="41"/>
    <x v="41"/>
    <m/>
    <s v="C03078"/>
    <s v="7-C-PCC24CK-002"/>
    <s v="PCC24CT----------Y-P-----"/>
    <s v="LID-"/>
    <s v="O"/>
    <n v="1010"/>
    <s v="PC"/>
    <s v="CNY"/>
    <n v="3.7"/>
    <n v="3737"/>
  </r>
  <r>
    <x v="41"/>
    <x v="41"/>
    <m/>
    <s v="C03078"/>
    <s v="7-C-PCC24CK-002"/>
    <s v="PCC24CT----------Y-P-----"/>
    <s v="LID-"/>
    <s v="O"/>
    <n v="510"/>
    <s v="PC"/>
    <s v="CNY"/>
    <n v="3.7"/>
    <n v="1887"/>
  </r>
  <r>
    <x v="28"/>
    <x v="28"/>
    <m/>
    <s v="C03069"/>
    <s v="1-6-GD24-ZA"/>
    <s v="G-LD SD DR 24CM 2H POL"/>
    <s v="GLID"/>
    <s v="B"/>
    <n v="1030"/>
    <s v="PC"/>
    <s v="CNY"/>
    <n v="3.7364999999999999"/>
    <n v="3848.6"/>
  </r>
  <r>
    <x v="18"/>
    <x v="18"/>
    <m/>
    <s v="X250301"/>
    <s v="7-8-F70346A"/>
    <s v="BROWN BOX 70346"/>
    <s v="BOX-"/>
    <s v="B"/>
    <n v="9100"/>
    <s v="PC"/>
    <s v="CNY"/>
    <n v="3.75"/>
    <n v="34125"/>
  </r>
  <r>
    <x v="18"/>
    <x v="18"/>
    <m/>
    <s v="X250301"/>
    <s v="7-8-F70346A"/>
    <s v="BROWN BOX 70346"/>
    <s v="BOX-"/>
    <s v="B"/>
    <n v="50"/>
    <s v="PC"/>
    <s v="CNY"/>
    <n v="3.75"/>
    <n v="187.5"/>
  </r>
  <r>
    <x v="8"/>
    <x v="8"/>
    <m/>
    <s v="C03032"/>
    <s v="3-5-HAJ65-W"/>
    <s v="LG-- 65 POL VDZ24MA C/C40 H8.5 SS430x1.2"/>
    <s v="HDL-"/>
    <s v="B"/>
    <n v="18"/>
    <s v="PC"/>
    <s v="CNY"/>
    <n v="3.7610000000000001"/>
    <n v="67.7"/>
  </r>
  <r>
    <x v="12"/>
    <x v="12"/>
    <m/>
    <s v="C03043"/>
    <s v="7-6-630A"/>
    <s v="22cm Si-RU GASKET GN36A"/>
    <s v="GSKT"/>
    <s v="B"/>
    <n v="1200"/>
    <s v="PC"/>
    <s v="CNY"/>
    <n v="3.85"/>
    <n v="4620"/>
  </r>
  <r>
    <x v="33"/>
    <x v="33"/>
    <m/>
    <s v="C03062"/>
    <s v="7-6-623--Y"/>
    <s v="16CM SS RING BRUSHED"/>
    <s v="MISC"/>
    <s v="B"/>
    <n v="1050"/>
    <s v="PC"/>
    <s v="CNY"/>
    <n v="3.85"/>
    <n v="4042.5"/>
  </r>
  <r>
    <x v="33"/>
    <x v="33"/>
    <m/>
    <s v="C03062"/>
    <s v="7-6-623--Y"/>
    <s v="16CM SS RING BRUSHED"/>
    <s v="MISC"/>
    <s v="B"/>
    <n v="1900"/>
    <s v="PC"/>
    <s v="CNY"/>
    <n v="3.85"/>
    <n v="7315"/>
  </r>
  <r>
    <x v="33"/>
    <x v="33"/>
    <m/>
    <s v="C03062"/>
    <s v="7-6-623--Y"/>
    <s v="16CM SS RING BRUSHED"/>
    <s v="MISC"/>
    <s v="B"/>
    <n v="1000"/>
    <s v="PC"/>
    <s v="CNY"/>
    <n v="3.85"/>
    <n v="3850"/>
  </r>
  <r>
    <x v="41"/>
    <x v="41"/>
    <m/>
    <s v="C03018"/>
    <s v="7-C-ZBC24KK-002"/>
    <s v="ZBC24CV----------Y-P-----"/>
    <s v="LID-"/>
    <s v="A"/>
    <n v="46"/>
    <s v="PC"/>
    <s v="CNY"/>
    <n v="3.92"/>
    <n v="180.32"/>
  </r>
  <r>
    <x v="41"/>
    <x v="41"/>
    <m/>
    <s v="C03018"/>
    <s v="7-C-ZBC24KK-002"/>
    <s v="ZBC24CV----------Y-P-----"/>
    <s v="LID-"/>
    <s v="A"/>
    <n v="594"/>
    <s v="PC"/>
    <s v="CNY"/>
    <n v="3.92"/>
    <n v="2328.48"/>
  </r>
  <r>
    <x v="41"/>
    <x v="41"/>
    <m/>
    <s v="C03020"/>
    <s v="7-C-ZBC24KK-002"/>
    <s v="ZBC24CV----------Y-P-----"/>
    <s v="LID-"/>
    <s v="A"/>
    <n v="990"/>
    <s v="PC"/>
    <s v="CNY"/>
    <n v="3.92"/>
    <n v="3880.8"/>
  </r>
  <r>
    <x v="41"/>
    <x v="41"/>
    <m/>
    <s v="C03020"/>
    <s v="7-C-ZBC24KK-002"/>
    <s v="ZBC24CV----------Y-P-----"/>
    <s v="LID-"/>
    <s v="A"/>
    <n v="436"/>
    <s v="PC"/>
    <s v="CNY"/>
    <n v="3.92"/>
    <n v="1709.12"/>
  </r>
  <r>
    <x v="41"/>
    <x v="41"/>
    <m/>
    <s v="C03074"/>
    <s v="7-C-REC2008AS-002"/>
    <s v="REC2008CT----------Y-Y-----"/>
    <s v="LID-"/>
    <s v="O"/>
    <n v="856"/>
    <s v="PC"/>
    <s v="CNY"/>
    <n v="3.95"/>
    <n v="3381.2"/>
  </r>
  <r>
    <x v="41"/>
    <x v="41"/>
    <m/>
    <s v="C03071"/>
    <s v="7-C-REC2008AS-002"/>
    <s v="REC2008CT----------Y-Y-----"/>
    <s v="LID-"/>
    <s v="O"/>
    <n v="900"/>
    <s v="PC"/>
    <s v="CNY"/>
    <n v="3.95"/>
    <n v="3555"/>
  </r>
  <r>
    <x v="41"/>
    <x v="41"/>
    <m/>
    <s v="C01028"/>
    <s v="7-C-ZBC14KK-002"/>
    <s v="ZBC14CV----------Y-P-----"/>
    <s v="LID-"/>
    <s v="O"/>
    <n v="1030"/>
    <s v="PC"/>
    <s v="CNY"/>
    <n v="3.42"/>
    <n v="3522.6"/>
  </r>
  <r>
    <x v="41"/>
    <x v="41"/>
    <m/>
    <s v="C01028"/>
    <s v="7-C-ZBC18KK-002"/>
    <s v="ZBC18CV----------Y-P-----"/>
    <s v="LID-"/>
    <s v="O"/>
    <n v="1030"/>
    <s v="PC"/>
    <s v="CNY"/>
    <n v="3.64"/>
    <n v="3749.2"/>
  </r>
  <r>
    <x v="42"/>
    <x v="42"/>
    <m/>
    <s v="C01036"/>
    <s v="7-C-WKC34KK-008"/>
    <s v="WKC34CV----------U-Y-----"/>
    <s v="LID-"/>
    <s v="S"/>
    <n v="730"/>
    <s v="PC"/>
    <s v="CNY"/>
    <n v="7.8"/>
    <n v="5694"/>
  </r>
  <r>
    <x v="42"/>
    <x v="42"/>
    <m/>
    <s v="C01036"/>
    <s v="7-C-WKC34KK-002"/>
    <s v="WKC34CV----------Y-P-----"/>
    <s v="LID-"/>
    <s v="S"/>
    <n v="1330"/>
    <s v="PC"/>
    <s v="CNY"/>
    <n v="7.8"/>
    <n v="10374"/>
  </r>
  <r>
    <x v="41"/>
    <x v="41"/>
    <m/>
    <s v="C01061"/>
    <s v="7-C-RTC12CS-0002"/>
    <s v="RTC12CT-----------Y-Y-----"/>
    <s v="LID-"/>
    <s v="S"/>
    <n v="1030"/>
    <s v="PC"/>
    <s v="CNY"/>
    <n v="3.32"/>
    <n v="3419.6"/>
  </r>
  <r>
    <x v="41"/>
    <x v="41"/>
    <m/>
    <s v="C02001"/>
    <s v="7-C-ZBC20KK-002"/>
    <s v="ZBC20CV----------Y-P-----"/>
    <s v="LID-"/>
    <s v="S"/>
    <n v="3090"/>
    <s v="PC"/>
    <s v="CNY"/>
    <n v="3.75"/>
    <n v="11587.5"/>
  </r>
  <r>
    <x v="41"/>
    <x v="41"/>
    <m/>
    <s v="C02001"/>
    <s v="7-C-ZBC20KK-002"/>
    <s v="ZBC20CV----------Y-P-----"/>
    <s v="LID-"/>
    <s v="S"/>
    <n v="1030"/>
    <s v="PC"/>
    <s v="CNY"/>
    <n v="3.75"/>
    <n v="3862.5"/>
  </r>
  <r>
    <x v="41"/>
    <x v="41"/>
    <m/>
    <s v="C02007"/>
    <s v="7-C-ZBC14KK-002"/>
    <s v="ZBC14CV----------Y-P-----"/>
    <s v="LID-"/>
    <s v="S"/>
    <n v="3360"/>
    <s v="PC"/>
    <s v="CNY"/>
    <n v="3.42"/>
    <n v="11491.2"/>
  </r>
  <r>
    <x v="41"/>
    <x v="41"/>
    <m/>
    <s v="C02011"/>
    <s v="7-C-ZBC14KK-002"/>
    <s v="ZBC14CV----------Y-P-----"/>
    <s v="LID-"/>
    <s v="S"/>
    <n v="760"/>
    <s v="PC"/>
    <s v="CNY"/>
    <n v="3.42"/>
    <n v="2599.1999999999998"/>
  </r>
  <r>
    <x v="41"/>
    <x v="41"/>
    <m/>
    <s v="C02011"/>
    <s v="7-C-ZBC14KK-002"/>
    <s v="ZBC14CV----------Y-P-----"/>
    <s v="LID-"/>
    <s v="S"/>
    <n v="1030"/>
    <s v="PC"/>
    <s v="CNY"/>
    <n v="3.42"/>
    <n v="3522.6"/>
  </r>
  <r>
    <x v="41"/>
    <x v="41"/>
    <m/>
    <s v="C02011"/>
    <s v="7-C-ZBC16KK-002"/>
    <s v="ZBC16CV----------Y-P-----"/>
    <s v="LID-"/>
    <s v="S"/>
    <n v="1680"/>
    <s v="PC"/>
    <s v="CNY"/>
    <n v="3.53"/>
    <n v="5930.4"/>
  </r>
  <r>
    <x v="41"/>
    <x v="41"/>
    <m/>
    <s v="C02011"/>
    <s v="7-C-ZBC18KK-002"/>
    <s v="ZBC18CV----------Y-P-----"/>
    <s v="LID-"/>
    <s v="S"/>
    <n v="1200"/>
    <s v="PC"/>
    <s v="CNY"/>
    <n v="3.64"/>
    <n v="4368"/>
  </r>
  <r>
    <x v="41"/>
    <x v="41"/>
    <m/>
    <s v="C02017"/>
    <s v="7-C-ZBC16KK-002"/>
    <s v="ZBC16CV----------Y-P-----"/>
    <s v="LID-"/>
    <s v="S"/>
    <n v="1410"/>
    <s v="PC"/>
    <s v="CNY"/>
    <n v="3.53"/>
    <n v="4977.3"/>
  </r>
  <r>
    <x v="41"/>
    <x v="41"/>
    <m/>
    <s v="C02017"/>
    <s v="7-C-ZBC16KK-002"/>
    <s v="ZBC16CV----------Y-P-----"/>
    <s v="LID-"/>
    <s v="S"/>
    <n v="1030"/>
    <s v="PC"/>
    <s v="CNY"/>
    <n v="3.53"/>
    <n v="3635.9"/>
  </r>
  <r>
    <x v="41"/>
    <x v="41"/>
    <m/>
    <s v="C02019"/>
    <s v="7-C-ZBC18KK-002"/>
    <s v="ZBC18CV----------Y-P-----"/>
    <s v="LID-"/>
    <s v="S"/>
    <n v="860"/>
    <s v="PC"/>
    <s v="CNY"/>
    <n v="3.64"/>
    <n v="3130.4"/>
  </r>
  <r>
    <x v="41"/>
    <x v="41"/>
    <m/>
    <s v="C02019"/>
    <s v="7-C-ZBC18KK-002"/>
    <s v="ZBC18CV----------Y-P-----"/>
    <s v="LID-"/>
    <s v="S"/>
    <n v="1840"/>
    <s v="PC"/>
    <s v="CNY"/>
    <n v="3.64"/>
    <n v="6697.6"/>
  </r>
  <r>
    <x v="41"/>
    <x v="41"/>
    <m/>
    <s v="C02021"/>
    <s v="7-C-ZBC18KK-002"/>
    <s v="ZBC18CV----------Y-P-----"/>
    <s v="LID-"/>
    <s v="S"/>
    <n v="1250"/>
    <s v="PC"/>
    <s v="CNY"/>
    <n v="3.64"/>
    <n v="4550"/>
  </r>
  <r>
    <x v="41"/>
    <x v="41"/>
    <m/>
    <s v="C02037"/>
    <s v="7-C-ZBC24KK-002"/>
    <s v="ZBC24CV----------Y-P-----"/>
    <s v="LID-"/>
    <s v="S"/>
    <n v="640"/>
    <s v="PC"/>
    <s v="CNY"/>
    <n v="3.92"/>
    <n v="2508.8000000000002"/>
  </r>
  <r>
    <x v="41"/>
    <x v="41"/>
    <m/>
    <s v="C02037"/>
    <s v="7-C-PCC30CK-002"/>
    <s v="PCC30CT----------Y-P-----"/>
    <s v="LID-"/>
    <s v="O"/>
    <n v="427"/>
    <s v="PC"/>
    <s v="CNY"/>
    <n v="4"/>
    <n v="1708"/>
  </r>
  <r>
    <x v="41"/>
    <x v="41"/>
    <m/>
    <s v="C02041"/>
    <s v="7-C-ZBC24KK-002"/>
    <s v="ZBC24CV----------Y-P-----"/>
    <s v="LID-"/>
    <s v="S"/>
    <n v="2450"/>
    <s v="PC"/>
    <s v="CNY"/>
    <n v="3.92"/>
    <n v="9604"/>
  </r>
  <r>
    <x v="41"/>
    <x v="41"/>
    <m/>
    <s v="C02045"/>
    <s v="7-C-PCC16CK-002"/>
    <s v="PCC16CT----------Y-P-----"/>
    <s v="LID-"/>
    <s v="O"/>
    <n v="765"/>
    <s v="PC"/>
    <s v="CNY"/>
    <n v="3.3"/>
    <n v="2524.5"/>
  </r>
  <r>
    <x v="41"/>
    <x v="41"/>
    <m/>
    <s v="C02045"/>
    <s v="7-C-ZBC14KK-002"/>
    <s v="ZBC14CV----------Y-P-----"/>
    <s v="LID-"/>
    <s v="S"/>
    <n v="331"/>
    <s v="PC"/>
    <s v="CNY"/>
    <n v="3.42"/>
    <n v="1132.02"/>
  </r>
  <r>
    <x v="41"/>
    <x v="41"/>
    <m/>
    <s v="C02043"/>
    <s v="7-C-ZBC24KK-002"/>
    <s v="ZBC24CV----------Y-P-----"/>
    <s v="LID-"/>
    <s v="S"/>
    <n v="2060"/>
    <s v="PC"/>
    <s v="CNY"/>
    <n v="3.92"/>
    <n v="8075.2"/>
  </r>
  <r>
    <x v="41"/>
    <x v="41"/>
    <m/>
    <s v="C02045"/>
    <s v="7-C-ZBC24KK-002"/>
    <s v="ZBC24CV----------Y-P-----"/>
    <s v="LID-"/>
    <s v="S"/>
    <n v="484"/>
    <s v="PC"/>
    <s v="CNY"/>
    <n v="3.92"/>
    <n v="1897.28"/>
  </r>
  <r>
    <x v="41"/>
    <x v="41"/>
    <m/>
    <s v="C02043"/>
    <s v="7-C-ZBC24KK-002"/>
    <s v="ZBC24CV----------Y-P-----"/>
    <s v="LID-"/>
    <s v="S"/>
    <n v="500"/>
    <s v="PC"/>
    <s v="CNY"/>
    <n v="3.92"/>
    <n v="1960"/>
  </r>
  <r>
    <x v="41"/>
    <x v="41"/>
    <m/>
    <s v="C03079"/>
    <s v="7-C-REC2008AS-002"/>
    <s v="REC2008CT----------Y-Y-----"/>
    <s v="LID-"/>
    <s v="O"/>
    <n v="1764"/>
    <s v="PC"/>
    <s v="CNY"/>
    <n v="3.95"/>
    <n v="6967.8"/>
  </r>
  <r>
    <x v="41"/>
    <x v="41"/>
    <m/>
    <s v="C03027"/>
    <s v="7-C-PCC30CK-002"/>
    <s v="PCC30CT----------Y-P-----"/>
    <s v="LID-"/>
    <s v="O"/>
    <n v="383"/>
    <s v="PC"/>
    <s v="CNY"/>
    <n v="4"/>
    <n v="1532"/>
  </r>
  <r>
    <x v="12"/>
    <x v="12"/>
    <m/>
    <s v="C03073"/>
    <s v="7-6-649B"/>
    <s v="24cm Si-RU GASKET BK01A"/>
    <s v="GSKT"/>
    <s v="B"/>
    <n v="1000"/>
    <s v="PC"/>
    <s v="CNY"/>
    <n v="4.2"/>
    <n v="4200"/>
  </r>
  <r>
    <x v="42"/>
    <x v="42"/>
    <m/>
    <s v="C03033"/>
    <s v="7-C-REC2408AS-002"/>
    <s v="REC2408CT----------Y-Y-----"/>
    <s v="LID-"/>
    <s v="O"/>
    <n v="1920"/>
    <s v="PC"/>
    <s v="CNY"/>
    <n v="4.2"/>
    <n v="8064"/>
  </r>
  <r>
    <x v="42"/>
    <x v="42"/>
    <m/>
    <s v="AN-250304"/>
    <s v="7-C-REC2408AS-002"/>
    <s v="REC2408CT----------Y-Y-----"/>
    <s v="LID-"/>
    <s v="O"/>
    <n v="-1920"/>
    <s v="PC"/>
    <s v="CNY"/>
    <n v="4.2"/>
    <n v="-8064"/>
  </r>
  <r>
    <x v="42"/>
    <x v="42"/>
    <m/>
    <s v="250304"/>
    <s v="7-C-REC2408AS-002"/>
    <s v="REC2408CT----------Y-Y-----"/>
    <s v="LID-"/>
    <s v="O"/>
    <n v="1920"/>
    <s v="PC"/>
    <s v="CNY"/>
    <n v="4.2"/>
    <n v="8064"/>
  </r>
  <r>
    <x v="42"/>
    <x v="42"/>
    <m/>
    <s v="C03040"/>
    <s v="7-C-REC2408AS-002"/>
    <s v="REC2408CT----------Y-Y-----"/>
    <s v="LID-"/>
    <s v="O"/>
    <n v="1460"/>
    <s v="PC"/>
    <s v="CNY"/>
    <n v="4.2"/>
    <n v="6132"/>
  </r>
  <r>
    <x v="42"/>
    <x v="42"/>
    <m/>
    <s v="C03051"/>
    <s v="7-C-REC2408AS-002"/>
    <s v="REC2408CT----------Y-Y-----"/>
    <s v="LID-"/>
    <s v="O"/>
    <n v="3168"/>
    <s v="PC"/>
    <s v="CNY"/>
    <n v="4.2"/>
    <n v="13305.6"/>
  </r>
  <r>
    <x v="42"/>
    <x v="42"/>
    <m/>
    <s v="C03070"/>
    <s v="7-C-REC2408AS-002"/>
    <s v="REC2408CT----------Y-Y-----"/>
    <s v="LID-"/>
    <s v="O"/>
    <n v="1920"/>
    <s v="PC"/>
    <s v="CNY"/>
    <n v="4.2"/>
    <n v="8064"/>
  </r>
  <r>
    <x v="42"/>
    <x v="42"/>
    <m/>
    <s v="C03080"/>
    <s v="7-C-REC2408AS-002"/>
    <s v="REC2408CT----------Y-Y-----"/>
    <s v="LID-"/>
    <s v="O"/>
    <n v="400"/>
    <s v="PC"/>
    <s v="CNY"/>
    <n v="4.2"/>
    <n v="1680"/>
  </r>
  <r>
    <x v="42"/>
    <x v="42"/>
    <m/>
    <s v="C03080"/>
    <s v="7-C-REC2408AS-002"/>
    <s v="REC2408CT----------Y-Y-----"/>
    <s v="LID-"/>
    <s v="O"/>
    <n v="2880"/>
    <s v="PC"/>
    <s v="CNY"/>
    <n v="4.2"/>
    <n v="12096"/>
  </r>
  <r>
    <x v="42"/>
    <x v="42"/>
    <m/>
    <s v="C03092"/>
    <s v="7-C-REC2408AS-002"/>
    <s v="REC2408CT----------Y-Y-----"/>
    <s v="LID-"/>
    <s v="O"/>
    <n v="1920"/>
    <s v="PC"/>
    <s v="CNY"/>
    <n v="4.2"/>
    <n v="8064"/>
  </r>
  <r>
    <x v="42"/>
    <x v="42"/>
    <m/>
    <s v="C03106"/>
    <s v="7-C-REC2408AS-002"/>
    <s v="REC2408CT----------Y-Y-----"/>
    <s v="LID-"/>
    <s v="O"/>
    <n v="960"/>
    <s v="PC"/>
    <s v="CNY"/>
    <n v="4.2"/>
    <n v="4032"/>
  </r>
  <r>
    <x v="42"/>
    <x v="42"/>
    <m/>
    <s v="C03119"/>
    <s v="7-C-REC2408AS-002"/>
    <s v="REC2408CT----------Y-Y-----"/>
    <s v="LID-"/>
    <s v="O"/>
    <n v="1920"/>
    <s v="PC"/>
    <s v="CNY"/>
    <n v="4.2"/>
    <n v="8064"/>
  </r>
  <r>
    <x v="41"/>
    <x v="41"/>
    <m/>
    <s v="C03090"/>
    <s v="7-C-REC2608AS-002"/>
    <s v="REC2608CT----------Y-Y-----"/>
    <s v="LID-"/>
    <s v="O"/>
    <n v="560"/>
    <s v="PC"/>
    <s v="CNY"/>
    <n v="4.26"/>
    <n v="2385.6"/>
  </r>
  <r>
    <x v="41"/>
    <x v="41"/>
    <m/>
    <s v="C03090"/>
    <s v="7-C-REC2608AS-002"/>
    <s v="REC2608CT----------Y-Y-----"/>
    <s v="LID-"/>
    <s v="O"/>
    <n v="850"/>
    <s v="PC"/>
    <s v="CNY"/>
    <n v="4.26"/>
    <n v="3621"/>
  </r>
  <r>
    <x v="41"/>
    <x v="41"/>
    <m/>
    <s v="C03098"/>
    <s v="7-C-REC2608AS-002"/>
    <s v="REC2608CT----------Y-Y-----"/>
    <s v="LID-"/>
    <s v="O"/>
    <n v="600"/>
    <s v="PC"/>
    <s v="CNY"/>
    <n v="4.26"/>
    <n v="2556"/>
  </r>
  <r>
    <x v="41"/>
    <x v="41"/>
    <m/>
    <s v="C03101"/>
    <s v="7-C-REC2608AS-002"/>
    <s v="REC2608CT----------Y-Y-----"/>
    <s v="LID-"/>
    <s v="O"/>
    <n v="1127"/>
    <s v="PC"/>
    <s v="CNY"/>
    <n v="4.26"/>
    <n v="4801.0200000000004"/>
  </r>
  <r>
    <x v="41"/>
    <x v="41"/>
    <m/>
    <s v="C03114"/>
    <s v="7-C-REC2608AS-002"/>
    <s v="REC2608CT----------Y-Y-----"/>
    <s v="LID-"/>
    <s v="O"/>
    <n v="38"/>
    <s v="PC"/>
    <s v="CNY"/>
    <n v="4.26"/>
    <n v="161.88"/>
  </r>
  <r>
    <x v="41"/>
    <x v="41"/>
    <m/>
    <s v="C03105"/>
    <s v="7-C-REC2608AS-002"/>
    <s v="REC2608CT----------Y-Y-----"/>
    <s v="LID-"/>
    <s v="O"/>
    <n v="1735"/>
    <s v="PC"/>
    <s v="CNY"/>
    <n v="4.26"/>
    <n v="7391.1"/>
  </r>
  <r>
    <x v="41"/>
    <x v="41"/>
    <m/>
    <s v="C03114"/>
    <s v="7-C-REC2608AS-002"/>
    <s v="REC2608CT----------Y-Y-----"/>
    <s v="LID-"/>
    <s v="O"/>
    <n v="562"/>
    <s v="PC"/>
    <s v="CNY"/>
    <n v="4.26"/>
    <n v="2394.12"/>
  </r>
  <r>
    <x v="41"/>
    <x v="41"/>
    <m/>
    <s v="AQ-C03114"/>
    <s v="7-C-REC2608AS-002"/>
    <s v="REC2608CT----------Y-Y-----"/>
    <s v="LID-"/>
    <s v="O"/>
    <n v="-600"/>
    <s v="PC"/>
    <s v="CNY"/>
    <n v="4.26"/>
    <n v="-2556"/>
  </r>
  <r>
    <x v="41"/>
    <x v="41"/>
    <m/>
    <s v="C03114"/>
    <s v="7-C-REC2608AS-002"/>
    <s v="REC2608CT----------Y-Y-----"/>
    <s v="LID-"/>
    <s v="O"/>
    <n v="600"/>
    <s v="PC"/>
    <s v="CNY"/>
    <n v="4.26"/>
    <n v="2556"/>
  </r>
  <r>
    <x v="33"/>
    <x v="33"/>
    <m/>
    <s v="C03062"/>
    <s v="7-6-625--Y"/>
    <s v="20CM SS RING BRUSHED"/>
    <s v="MISC"/>
    <s v="B"/>
    <n v="1000"/>
    <s v="PC"/>
    <s v="CNY"/>
    <n v="4.29"/>
    <n v="4290"/>
  </r>
  <r>
    <x v="33"/>
    <x v="33"/>
    <m/>
    <s v="C03062"/>
    <s v="7-6-625--Y"/>
    <s v="20CM SS RING BRUSHED"/>
    <s v="MISC"/>
    <s v="B"/>
    <n v="1000"/>
    <s v="PC"/>
    <s v="CNY"/>
    <n v="4.29"/>
    <n v="4290"/>
  </r>
  <r>
    <x v="21"/>
    <x v="21"/>
    <m/>
    <s v="C03053"/>
    <s v="3-5-HPK103-EZ"/>
    <s v="SH-- 103 BK01G TUM R81 C/C34.3 H8.5"/>
    <s v="HDL-"/>
    <s v="B"/>
    <n v="1010"/>
    <s v="PC"/>
    <s v="CNY"/>
    <n v="4.3320999999999996"/>
    <n v="4375.42"/>
  </r>
  <r>
    <x v="41"/>
    <x v="41"/>
    <m/>
    <s v="C03048"/>
    <s v="7-C-REC2808AS-002"/>
    <s v="REC2808CT----------Y-Y-----"/>
    <s v="LID-"/>
    <s v="O"/>
    <n v="1080"/>
    <s v="PC"/>
    <s v="CNY"/>
    <n v="4.37"/>
    <n v="4719.6000000000004"/>
  </r>
  <r>
    <x v="41"/>
    <x v="41"/>
    <m/>
    <s v="C03054"/>
    <s v="7-C-REC2808AS-002"/>
    <s v="REC2808CT----------Y-Y-----"/>
    <s v="LID-"/>
    <s v="O"/>
    <n v="1265"/>
    <s v="PC"/>
    <s v="CNY"/>
    <n v="4.37"/>
    <n v="5528.05"/>
  </r>
  <r>
    <x v="41"/>
    <x v="41"/>
    <m/>
    <s v="C03059"/>
    <s v="7-C-REC2808AS-002"/>
    <s v="REC2808CT----------Y-Y-----"/>
    <s v="LID-"/>
    <s v="O"/>
    <n v="740"/>
    <s v="PC"/>
    <s v="CNY"/>
    <n v="4.37"/>
    <n v="3233.8"/>
  </r>
  <r>
    <x v="41"/>
    <x v="41"/>
    <m/>
    <s v="C03065"/>
    <s v="7-C-REC2808AS-002"/>
    <s v="REC2808CT----------Y-Y-----"/>
    <s v="LID-"/>
    <s v="O"/>
    <n v="693"/>
    <s v="PC"/>
    <s v="CNY"/>
    <n v="4.37"/>
    <n v="3028.41"/>
  </r>
  <r>
    <x v="41"/>
    <x v="41"/>
    <m/>
    <s v="C03067"/>
    <s v="7-C-REC2808AS-002"/>
    <s v="REC2808CT----------Y-Y-----"/>
    <s v="LID-"/>
    <s v="O"/>
    <n v="1272"/>
    <s v="PC"/>
    <s v="CNY"/>
    <n v="4.37"/>
    <n v="5558.64"/>
  </r>
  <r>
    <x v="41"/>
    <x v="41"/>
    <m/>
    <s v="C03067"/>
    <s v="7-C-REC2808AS-002"/>
    <s v="REC2808CT----------Y-Y-----"/>
    <s v="LID-"/>
    <s v="O"/>
    <n v="111"/>
    <s v="PC"/>
    <s v="CNY"/>
    <n v="4.37"/>
    <n v="485.07"/>
  </r>
  <r>
    <x v="41"/>
    <x v="41"/>
    <m/>
    <s v="C03115"/>
    <s v="7-C-REC2808AS-002"/>
    <s v="REC2808CT----------Y-Y-----"/>
    <s v="LID-"/>
    <s v="O"/>
    <n v="1514"/>
    <s v="PC"/>
    <s v="CNY"/>
    <n v="4.37"/>
    <n v="6616.18"/>
  </r>
  <r>
    <x v="28"/>
    <x v="28"/>
    <m/>
    <s v="C03102"/>
    <s v="1-6-GLF24-ZB"/>
    <s v="G-LD LF 24CM BSH"/>
    <s v="GLID"/>
    <s v="B"/>
    <n v="3030"/>
    <s v="PC"/>
    <s v="CNY"/>
    <n v="4.3726000000000003"/>
    <n v="13248.98"/>
  </r>
  <r>
    <x v="28"/>
    <x v="28"/>
    <m/>
    <s v="C03102"/>
    <s v="1-6-GAL26-ZA"/>
    <s v="G-LD AL 26CM POL"/>
    <s v="GLID"/>
    <s v="B"/>
    <n v="530"/>
    <s v="PC"/>
    <s v="CNY"/>
    <n v="4.4287999999999998"/>
    <n v="2347.2600000000002"/>
  </r>
  <r>
    <x v="18"/>
    <x v="18"/>
    <m/>
    <s v="X250323"/>
    <s v="3-8-C86020-C--Z"/>
    <s v="4C BOX 86020-C--Z"/>
    <s v="BOX-"/>
    <s v="B"/>
    <n v="1010"/>
    <s v="PC"/>
    <s v="CNY"/>
    <n v="4.43"/>
    <n v="4474.3"/>
  </r>
  <r>
    <x v="20"/>
    <x v="20"/>
    <m/>
    <s v="C03116"/>
    <s v="7-6-X021"/>
    <s v="WHISTLE BLK"/>
    <s v="KNOB"/>
    <s v="B"/>
    <n v="2900"/>
    <s v="PC"/>
    <s v="CNY"/>
    <n v="4.4776999999999996"/>
    <n v="12985.33"/>
  </r>
  <r>
    <x v="33"/>
    <x v="33"/>
    <m/>
    <s v="C03062"/>
    <s v="7-6-626--Y"/>
    <s v="22CM SS RING BRUSHED"/>
    <s v="MISC"/>
    <s v="B"/>
    <n v="1000"/>
    <s v="PC"/>
    <s v="CNY"/>
    <n v="4.53"/>
    <n v="4530"/>
  </r>
  <r>
    <x v="33"/>
    <x v="33"/>
    <m/>
    <s v="C03062"/>
    <s v="7-6-626--Y"/>
    <s v="22CM SS RING BRUSHED"/>
    <s v="MISC"/>
    <s v="B"/>
    <n v="1000"/>
    <s v="PC"/>
    <s v="CNY"/>
    <n v="4.53"/>
    <n v="4530"/>
  </r>
  <r>
    <x v="8"/>
    <x v="8"/>
    <m/>
    <s v="C03001"/>
    <s v="3-5-HAJ54--X4"/>
    <s v="LG-- POL R93 C/C40 H8.5 SS304x1.2"/>
    <s v="HDL-"/>
    <s v="B"/>
    <n v="1950"/>
    <s v="PC"/>
    <s v="CNY"/>
    <n v="4.5491999999999999"/>
    <n v="8870.94"/>
  </r>
  <r>
    <x v="8"/>
    <x v="8"/>
    <m/>
    <s v="C03023"/>
    <s v="3-5-HAJ54--X4"/>
    <s v="LG-- POL R93 C/C40 H8.5 SS304x1.2"/>
    <s v="HDL-"/>
    <s v="B"/>
    <n v="3200"/>
    <s v="PC"/>
    <s v="CNY"/>
    <n v="4.5491999999999999"/>
    <n v="14557.44"/>
  </r>
  <r>
    <x v="8"/>
    <x v="8"/>
    <m/>
    <s v="C03023"/>
    <s v="3-5-HAJ54--X4"/>
    <s v="LG-- POL R93 C/C40 H8.5 SS304x1.2"/>
    <s v="HDL-"/>
    <s v="B"/>
    <n v="200"/>
    <s v="PC"/>
    <s v="CNY"/>
    <n v="4.5491999999999999"/>
    <n v="909.84"/>
  </r>
  <r>
    <x v="8"/>
    <x v="8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8"/>
    <x v="8"/>
    <m/>
    <s v="C03032"/>
    <s v="3-5-HAJ54--X4"/>
    <s v="LG-- POL R93 C/C40 H8.5 SS304x1.2"/>
    <s v="HDL-"/>
    <s v="B"/>
    <n v="1820"/>
    <s v="PC"/>
    <s v="CNY"/>
    <n v="4.5491999999999999"/>
    <n v="8279.5400000000009"/>
  </r>
  <r>
    <x v="8"/>
    <x v="8"/>
    <m/>
    <s v="RTV-597"/>
    <s v="3-5-HAJ54--X4"/>
    <s v="LG-- POL R93 C/C40 H8.5 SS304x1.2"/>
    <s v="HDL-"/>
    <s v="B"/>
    <n v="-3200"/>
    <s v="PC"/>
    <s v="CNY"/>
    <n v="4.5491999999999999"/>
    <n v="-14557.44"/>
  </r>
  <r>
    <x v="8"/>
    <x v="8"/>
    <m/>
    <s v="RTV-597"/>
    <s v="3-5-HAJ54--X4"/>
    <s v="LG-- POL R93 C/C40 H8.5 SS304x1.2"/>
    <s v="HDL-"/>
    <s v="B"/>
    <n v="-200"/>
    <s v="PC"/>
    <s v="CNY"/>
    <n v="4.5491999999999999"/>
    <n v="-909.84"/>
  </r>
  <r>
    <x v="8"/>
    <x v="8"/>
    <m/>
    <s v="C03045"/>
    <s v="3-5-HAJ54--X4"/>
    <s v="LG-- POL R93 C/C40 H8.5 SS304x1.2"/>
    <s v="HDL-"/>
    <s v="B"/>
    <n v="1800"/>
    <s v="PC"/>
    <s v="CNY"/>
    <n v="4.5491999999999999"/>
    <n v="8188.56"/>
  </r>
  <r>
    <x v="8"/>
    <x v="8"/>
    <m/>
    <s v="C03045"/>
    <s v="3-5-HAJ54--X4"/>
    <s v="LG-- POL R93 C/C40 H8.5 SS304x1.2"/>
    <s v="HDL-"/>
    <s v="B"/>
    <n v="3200"/>
    <s v="PC"/>
    <s v="CNY"/>
    <n v="4.5491999999999999"/>
    <n v="14557.44"/>
  </r>
  <r>
    <x v="8"/>
    <x v="8"/>
    <m/>
    <s v="C03045"/>
    <s v="3-5-HAJ54--X4"/>
    <s v="LG-- POL R93 C/C40 H8.5 SS304x1.2"/>
    <s v="HDL-"/>
    <s v="B"/>
    <n v="200"/>
    <s v="PC"/>
    <s v="CNY"/>
    <n v="4.5491999999999999"/>
    <n v="909.84"/>
  </r>
  <r>
    <x v="8"/>
    <x v="8"/>
    <m/>
    <s v="C03076"/>
    <s v="3-5-HAJ54--X4"/>
    <s v="LG-- POL R93 C/C40 H8.5 SS304x1.2"/>
    <s v="HDL-"/>
    <s v="B"/>
    <n v="200"/>
    <s v="PC"/>
    <s v="CNY"/>
    <n v="4.5491999999999999"/>
    <n v="909.84"/>
  </r>
  <r>
    <x v="12"/>
    <x v="12"/>
    <m/>
    <s v="C03073"/>
    <s v="7-6-448A"/>
    <s v="SI RING BLC16DS PMS207C"/>
    <s v="MISC"/>
    <s v="B"/>
    <n v="1700"/>
    <s v="PC"/>
    <s v="CNY"/>
    <n v="4.6900000000000004"/>
    <n v="7973"/>
  </r>
  <r>
    <x v="18"/>
    <x v="18"/>
    <m/>
    <s v="X250318"/>
    <s v="3-8-C80393-C"/>
    <s v="COL SLV 80393-C"/>
    <s v="BOX-"/>
    <s v="B"/>
    <n v="505"/>
    <s v="PC"/>
    <s v="CNY"/>
    <n v="4.75"/>
    <n v="2398.75"/>
  </r>
  <r>
    <x v="21"/>
    <x v="2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1"/>
    <x v="2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8"/>
    <x v="28"/>
    <m/>
    <s v="C03019"/>
    <s v="1-6-GY28-ZA"/>
    <s v="G-LD SD DR 28CM 2H POL"/>
    <s v="GLID"/>
    <s v="B"/>
    <n v="340"/>
    <s v="PC"/>
    <s v="CNY"/>
    <n v="4.8014000000000001"/>
    <n v="1632.48"/>
  </r>
  <r>
    <x v="12"/>
    <x v="12"/>
    <m/>
    <s v="C03009"/>
    <s v="7-6-678A"/>
    <s v="SILICONE GASKET 7-6-GMI19 GN36A"/>
    <s v="GSKT"/>
    <s v="B"/>
    <n v="3500"/>
    <s v="PC"/>
    <s v="CNY"/>
    <n v="4.8019999999999996"/>
    <n v="16807"/>
  </r>
  <r>
    <x v="16"/>
    <x v="16"/>
    <m/>
    <s v="M250103"/>
    <s v="1-6-502X"/>
    <s v="SS RING LS HDL POL"/>
    <s v="MISC"/>
    <s v="B"/>
    <n v="1050"/>
    <s v="PC"/>
    <s v="CNY"/>
    <n v="0.39100000000000001"/>
    <n v="410.55"/>
  </r>
  <r>
    <x v="14"/>
    <x v="14"/>
    <m/>
    <s v="C01021"/>
    <s v="5-6-002"/>
    <s v="HANG RING SS TUM"/>
    <s v="MISC"/>
    <s v="B"/>
    <n v="13000"/>
    <s v="PC"/>
    <s v="CNY"/>
    <n v="0.18160000000000001"/>
    <n v="2360.8000000000002"/>
  </r>
  <r>
    <x v="14"/>
    <x v="14"/>
    <m/>
    <s v="C01021"/>
    <s v="5-6-002"/>
    <s v="HANG RING SS TUM"/>
    <s v="MISC"/>
    <s v="B"/>
    <n v="11000"/>
    <s v="PC"/>
    <s v="CNY"/>
    <n v="0.18160000000000001"/>
    <n v="1997.6"/>
  </r>
  <r>
    <x v="39"/>
    <x v="39"/>
    <m/>
    <s v="X250108"/>
    <s v="7-9-Z71082"/>
    <s v="MASKING TAPE 48MMX40"/>
    <s v="MISC"/>
    <s v="B"/>
    <n v="40"/>
    <s v="RL"/>
    <s v="CNY"/>
    <n v="5.18"/>
    <n v="207.2"/>
  </r>
  <r>
    <x v="39"/>
    <x v="39"/>
    <m/>
    <s v="AQ-X250108"/>
    <s v="7-9-Z71082"/>
    <s v="MASKING TAPE 48MMX40"/>
    <s v="MISC"/>
    <s v="B"/>
    <n v="-50"/>
    <s v="RL"/>
    <s v="CNY"/>
    <n v="5.18"/>
    <n v="-259"/>
  </r>
  <r>
    <x v="39"/>
    <x v="39"/>
    <m/>
    <s v="X250108"/>
    <s v="7-9-Z71082"/>
    <s v="MASKING TAPE 48MMX40"/>
    <s v="MISC"/>
    <s v="B"/>
    <n v="50"/>
    <s v="RL"/>
    <s v="CNY"/>
    <n v="5.18"/>
    <n v="259"/>
  </r>
  <r>
    <x v="39"/>
    <x v="39"/>
    <m/>
    <s v="X250108"/>
    <s v="7-9-Z71083"/>
    <s v="MASKING TAPE 24MMX100"/>
    <s v="MISC"/>
    <s v="B"/>
    <n v="50"/>
    <s v="RL"/>
    <s v="CNY"/>
    <n v="6.64"/>
    <n v="332"/>
  </r>
  <r>
    <x v="43"/>
    <x v="43"/>
    <m/>
    <s v="X250109"/>
    <s v="7-9-ZBP03000179"/>
    <s v="PE PROTECTIVE SHEET DIA179x0.3mm"/>
    <s v="MISC"/>
    <s v="B"/>
    <n v="10000"/>
    <s v="PC"/>
    <s v="CNY"/>
    <n v="0.3085"/>
    <n v="3085"/>
  </r>
  <r>
    <x v="43"/>
    <x v="43"/>
    <m/>
    <s v="X250109"/>
    <s v="7-9-ZBP03000218"/>
    <s v="PE PROTECTIVE SHEET DIA218x0.3mm"/>
    <s v="MISC"/>
    <s v="B"/>
    <n v="8000"/>
    <s v="PC"/>
    <s v="CNY"/>
    <n v="0.39500000000000002"/>
    <n v="3160"/>
  </r>
  <r>
    <x v="33"/>
    <x v="33"/>
    <m/>
    <s v="C01040"/>
    <s v="7-6-650--Y"/>
    <s v="SS RING 7-6-GKZ24 BSH"/>
    <s v="MISC"/>
    <s v="B"/>
    <n v="1000"/>
    <s v="PC"/>
    <s v="CNY"/>
    <n v="5"/>
    <n v="5000"/>
  </r>
  <r>
    <x v="33"/>
    <x v="33"/>
    <m/>
    <s v="RTV-0074"/>
    <s v="7-6-682--X"/>
    <s v="SS RING 7-6-GMI19 POL"/>
    <s v="MISC"/>
    <s v="B"/>
    <n v="-200"/>
    <s v="PC"/>
    <s v="CNY"/>
    <n v="5.49"/>
    <n v="-1098"/>
  </r>
  <r>
    <x v="33"/>
    <x v="33"/>
    <m/>
    <s v="C01039"/>
    <s v="7-6-682--X"/>
    <s v="SS RING 7-6-GMI19 POL"/>
    <s v="MISC"/>
    <s v="B"/>
    <n v="1000"/>
    <s v="PC"/>
    <s v="CNY"/>
    <n v="5.49"/>
    <n v="5490"/>
  </r>
  <r>
    <x v="33"/>
    <x v="33"/>
    <m/>
    <s v="RTV-0074"/>
    <s v="7-6-683--X"/>
    <s v="SS RING 7-6-GMI23 POL"/>
    <s v="MISC"/>
    <s v="B"/>
    <n v="-470"/>
    <s v="PC"/>
    <s v="CNY"/>
    <n v="6.01"/>
    <n v="-2824.7"/>
  </r>
  <r>
    <x v="33"/>
    <x v="33"/>
    <m/>
    <s v="C01039"/>
    <s v="7-6-683--X"/>
    <s v="SS RING 7-6-GMI23 POL"/>
    <s v="MISC"/>
    <s v="B"/>
    <n v="1000"/>
    <s v="PC"/>
    <s v="CNY"/>
    <n v="6.01"/>
    <n v="6010"/>
  </r>
  <r>
    <x v="33"/>
    <x v="33"/>
    <m/>
    <s v="C01039"/>
    <s v="7-6-682--X"/>
    <s v="SS RING 7-6-GMI19 POL"/>
    <s v="MISC"/>
    <s v="B"/>
    <n v="200"/>
    <s v="PC"/>
    <s v="CNY"/>
    <n v="5.49"/>
    <n v="1098"/>
  </r>
  <r>
    <x v="33"/>
    <x v="33"/>
    <m/>
    <s v="C01039"/>
    <s v="7-6-683--X"/>
    <s v="SS RING 7-6-GMI23 POL"/>
    <s v="MISC"/>
    <s v="B"/>
    <n v="470"/>
    <s v="PC"/>
    <s v="CNY"/>
    <n v="6.01"/>
    <n v="2824.7"/>
  </r>
  <r>
    <x v="5"/>
    <x v="5"/>
    <m/>
    <s v="C01058"/>
    <s v="7-6-556"/>
    <s v="PASSED LFGB SILICONE BUSHING BK01A"/>
    <s v="MISC"/>
    <s v="B"/>
    <n v="13000"/>
    <s v="PC"/>
    <s v="CNY"/>
    <n v="0.115"/>
    <n v="1495"/>
  </r>
  <r>
    <x v="5"/>
    <x v="5"/>
    <m/>
    <s v="C01057"/>
    <s v="7-6-556"/>
    <s v="PASSED LFGB SILICONE BUSHING BK01A"/>
    <s v="MISC"/>
    <s v="B"/>
    <n v="500"/>
    <s v="PC"/>
    <s v="CNY"/>
    <n v="0.115"/>
    <n v="57.5"/>
  </r>
  <r>
    <x v="5"/>
    <x v="5"/>
    <m/>
    <s v="C01058"/>
    <s v="7-6-556"/>
    <s v="PASSED LFGB SILICONE BUSHING BK01A"/>
    <s v="MISC"/>
    <s v="B"/>
    <n v="9800"/>
    <s v="PC"/>
    <s v="CNY"/>
    <n v="0.115"/>
    <n v="1127"/>
  </r>
  <r>
    <x v="43"/>
    <x v="43"/>
    <m/>
    <s v="X250114"/>
    <s v="7-9-ZBP03000148"/>
    <s v="PE PROTECTIVE SHEET DIA148x0.3mm"/>
    <s v="MISC"/>
    <s v="B"/>
    <n v="20000"/>
    <s v="PC"/>
    <s v="CNY"/>
    <n v="0.24829999999999999"/>
    <n v="4966"/>
  </r>
  <r>
    <x v="43"/>
    <x v="43"/>
    <m/>
    <s v="X250114"/>
    <s v="7-9-ZBP03000179"/>
    <s v="PE PROTECTIVE SHEET DIA179x0.3mm"/>
    <s v="MISC"/>
    <s v="B"/>
    <n v="10000"/>
    <s v="PC"/>
    <s v="CNY"/>
    <n v="0.3085"/>
    <n v="3085"/>
  </r>
  <r>
    <x v="43"/>
    <x v="43"/>
    <m/>
    <s v="X250114"/>
    <s v="7-9-ZBP03000218"/>
    <s v="PE PROTECTIVE SHEET DIA218x0.3mm"/>
    <s v="MISC"/>
    <s v="B"/>
    <n v="2000"/>
    <s v="PC"/>
    <s v="CNY"/>
    <n v="0.39500000000000002"/>
    <n v="790"/>
  </r>
  <r>
    <x v="43"/>
    <x v="43"/>
    <m/>
    <s v="X250114"/>
    <s v="7-9-ZBP03000276"/>
    <s v="PE PROTECTIVE SHEET DIA 276x0.3mm"/>
    <s v="MISC"/>
    <s v="B"/>
    <n v="10000"/>
    <s v="PC"/>
    <s v="CNY"/>
    <n v="0.53669999999999995"/>
    <n v="5367"/>
  </r>
  <r>
    <x v="44"/>
    <x v="44"/>
    <m/>
    <s v="X250132"/>
    <s v="7-7-PT014"/>
    <s v="BROWN PAPER TAPE 48mmxROLL"/>
    <s v="MISC"/>
    <s v="B"/>
    <n v="900"/>
    <s v="RL"/>
    <s v="CNY"/>
    <n v="6.5"/>
    <n v="5850"/>
  </r>
  <r>
    <x v="45"/>
    <x v="45"/>
    <m/>
    <s v="M250141"/>
    <s v="1-6-401"/>
    <s v="ZIP TIE 4.5x198mm BLK"/>
    <s v="MISC"/>
    <s v="B"/>
    <n v="1000"/>
    <s v="PC"/>
    <s v="CNY"/>
    <n v="6.1100000000000002E-2"/>
    <n v="61.1"/>
  </r>
  <r>
    <x v="15"/>
    <x v="15"/>
    <m/>
    <s v="C01075"/>
    <s v="7-6-083"/>
    <s v="SS RING WOK LID"/>
    <s v="MISC"/>
    <s v="B"/>
    <n v="500"/>
    <s v="PC"/>
    <s v="CNY"/>
    <n v="0.25180000000000002"/>
    <n v="125.9"/>
  </r>
  <r>
    <x v="12"/>
    <x v="12"/>
    <m/>
    <s v="C02003"/>
    <s v="7-6-448A"/>
    <s v="SI RING BLC16DS PMS207C"/>
    <s v="MISC"/>
    <s v="B"/>
    <n v="1000"/>
    <s v="PC"/>
    <s v="CNY"/>
    <n v="4.6900000000000004"/>
    <n v="4690"/>
  </r>
  <r>
    <x v="12"/>
    <x v="12"/>
    <m/>
    <s v="C02003"/>
    <s v="7-6-449A"/>
    <s v="SI RING BLC20DS PMS207C"/>
    <s v="MISC"/>
    <s v="B"/>
    <n v="6030"/>
    <s v="PC"/>
    <s v="CNY"/>
    <n v="5.8394000000000004"/>
    <n v="35211.58"/>
  </r>
  <r>
    <x v="12"/>
    <x v="12"/>
    <m/>
    <s v="C02003"/>
    <s v="7-6-449A"/>
    <s v="SI RING BLC20DS PMS207C"/>
    <s v="MISC"/>
    <s v="B"/>
    <n v="3520"/>
    <s v="PC"/>
    <s v="CNY"/>
    <n v="5.8996000000000004"/>
    <n v="20766.59"/>
  </r>
  <r>
    <x v="12"/>
    <x v="12"/>
    <m/>
    <s v="C02003"/>
    <s v="7-6-451A"/>
    <s v="SI RING BLC35DS PMS207C"/>
    <s v="MISC"/>
    <s v="B"/>
    <n v="2520"/>
    <s v="PC"/>
    <s v="CNY"/>
    <n v="10.632999999999999"/>
    <n v="26795.16"/>
  </r>
  <r>
    <x v="12"/>
    <x v="12"/>
    <m/>
    <s v="C02003"/>
    <s v="7-6-451A"/>
    <s v="SI RING BLC35DS PMS207C"/>
    <s v="MISC"/>
    <s v="B"/>
    <n v="2000"/>
    <s v="PC"/>
    <s v="CNY"/>
    <n v="10.632999999999999"/>
    <n v="21266"/>
  </r>
  <r>
    <x v="23"/>
    <x v="23"/>
    <m/>
    <s v="C02005"/>
    <s v="7-6-450A"/>
    <s v="SI RING BLC26DS PMS207C"/>
    <s v="MISC"/>
    <s v="B"/>
    <n v="11350"/>
    <s v="PC"/>
    <s v="CNY"/>
    <n v="7.2556000000000003"/>
    <n v="82351.06"/>
  </r>
  <r>
    <x v="33"/>
    <x v="33"/>
    <m/>
    <s v="C02014"/>
    <s v="7-6-623--Y"/>
    <s v="16CM SS RING BRUSHED"/>
    <s v="MISC"/>
    <s v="B"/>
    <n v="1050"/>
    <s v="PC"/>
    <s v="CNY"/>
    <n v="3.85"/>
    <n v="4042.5"/>
  </r>
  <r>
    <x v="33"/>
    <x v="33"/>
    <m/>
    <s v="C02014"/>
    <s v="7-6-623--Y"/>
    <s v="16CM SS RING BRUSHED"/>
    <s v="MISC"/>
    <s v="B"/>
    <n v="1000"/>
    <s v="PC"/>
    <s v="CNY"/>
    <n v="3.85"/>
    <n v="3850"/>
  </r>
  <r>
    <x v="33"/>
    <x v="33"/>
    <m/>
    <s v="C02014"/>
    <s v="7-6-623--Y"/>
    <s v="16CM SS RING BRUSHED"/>
    <s v="MISC"/>
    <s v="B"/>
    <n v="1600"/>
    <s v="PC"/>
    <s v="CNY"/>
    <n v="3.85"/>
    <n v="6160"/>
  </r>
  <r>
    <x v="33"/>
    <x v="33"/>
    <m/>
    <s v="C02014"/>
    <s v="7-6-624--Y"/>
    <s v="18CM SS RING BRUSHED"/>
    <s v="MISC"/>
    <s v="B"/>
    <n v="1000"/>
    <s v="PC"/>
    <s v="CNY"/>
    <n v="4.04"/>
    <n v="4040"/>
  </r>
  <r>
    <x v="33"/>
    <x v="33"/>
    <m/>
    <s v="C02014"/>
    <s v="7-6-624--Y"/>
    <s v="18CM SS RING BRUSHED"/>
    <s v="MISC"/>
    <s v="B"/>
    <n v="2200"/>
    <s v="PC"/>
    <s v="CNY"/>
    <n v="4.04"/>
    <n v="8888"/>
  </r>
  <r>
    <x v="33"/>
    <x v="33"/>
    <m/>
    <s v="C02014"/>
    <s v="7-6-650--Y"/>
    <s v="SS RING 7-6-GKZ24 BSH"/>
    <s v="MISC"/>
    <s v="B"/>
    <n v="1050"/>
    <s v="PC"/>
    <s v="CNY"/>
    <n v="5"/>
    <n v="5250"/>
  </r>
  <r>
    <x v="33"/>
    <x v="33"/>
    <m/>
    <s v="C02015"/>
    <s v="7-6-682--X"/>
    <s v="SS RING 7-6-GMI19 POL"/>
    <s v="MISC"/>
    <s v="B"/>
    <n v="2000"/>
    <s v="PC"/>
    <s v="CNY"/>
    <n v="5.49"/>
    <n v="10980"/>
  </r>
  <r>
    <x v="33"/>
    <x v="33"/>
    <m/>
    <s v="C02015"/>
    <s v="7-6-683--X"/>
    <s v="SS RING 7-6-GMI23 POL"/>
    <s v="MISC"/>
    <s v="B"/>
    <n v="3000"/>
    <s v="PC"/>
    <s v="CNY"/>
    <n v="6.01"/>
    <n v="18030"/>
  </r>
  <r>
    <x v="12"/>
    <x v="12"/>
    <m/>
    <s v="C02018"/>
    <s v="7-6-448A"/>
    <s v="SI RING BLC16DS PMS207C"/>
    <s v="MISC"/>
    <s v="B"/>
    <n v="2010"/>
    <s v="PC"/>
    <s v="CNY"/>
    <n v="4.5961999999999996"/>
    <n v="9238.36"/>
  </r>
  <r>
    <x v="23"/>
    <x v="23"/>
    <m/>
    <s v="C02020"/>
    <s v="7-6-450A"/>
    <s v="SI RING BLC26DS PMS207C"/>
    <s v="MISC"/>
    <s v="B"/>
    <n v="6030"/>
    <s v="PC"/>
    <s v="CNY"/>
    <n v="7.2556000000000003"/>
    <n v="43751.27"/>
  </r>
  <r>
    <x v="14"/>
    <x v="14"/>
    <m/>
    <s v="C02031"/>
    <s v="5-6-002"/>
    <s v="HANG RING SS TUM"/>
    <s v="MISC"/>
    <s v="B"/>
    <n v="5000"/>
    <s v="PC"/>
    <s v="CNY"/>
    <n v="0.18160000000000001"/>
    <n v="908"/>
  </r>
  <r>
    <x v="14"/>
    <x v="14"/>
    <m/>
    <s v="C02031"/>
    <s v="5-6-002"/>
    <s v="HANG RING SS TUM"/>
    <s v="MISC"/>
    <s v="B"/>
    <n v="18000"/>
    <s v="PC"/>
    <s v="CNY"/>
    <n v="0.18160000000000001"/>
    <n v="3268.8"/>
  </r>
  <r>
    <x v="14"/>
    <x v="14"/>
    <m/>
    <s v="C02031"/>
    <s v="5-6-002"/>
    <s v="HANG RING SS TUM"/>
    <s v="MISC"/>
    <s v="B"/>
    <n v="3000"/>
    <s v="PC"/>
    <s v="CNY"/>
    <n v="0.1835"/>
    <n v="550.5"/>
  </r>
  <r>
    <x v="39"/>
    <x v="39"/>
    <m/>
    <s v="X250221"/>
    <s v="7-9-Z71080"/>
    <s v="MASKING TAPE 12MMX40"/>
    <s v="MISC"/>
    <s v="B"/>
    <n v="47"/>
    <s v="RL"/>
    <s v="CNY"/>
    <n v="1.2390000000000001"/>
    <n v="58.23"/>
  </r>
  <r>
    <x v="46"/>
    <x v="46"/>
    <m/>
    <s v="X250223"/>
    <s v="7-9-Z34343"/>
    <s v="CHIPBOARD FOR 43&quot;X43&quot;"/>
    <s v="MISC"/>
    <s v="B"/>
    <n v="3000"/>
    <s v="PC"/>
    <s v="CNY"/>
    <n v="2.6814"/>
    <n v="8044.2"/>
  </r>
  <r>
    <x v="46"/>
    <x v="46"/>
    <m/>
    <s v="X250223"/>
    <s v="7-9-Z34343"/>
    <s v="CHIPBOARD FOR 43&quot;X43&quot;"/>
    <s v="MISC"/>
    <s v="B"/>
    <n v="2000"/>
    <s v="PC"/>
    <s v="CNY"/>
    <n v="2.6814"/>
    <n v="5362.8"/>
  </r>
  <r>
    <x v="39"/>
    <x v="39"/>
    <m/>
    <s v="X250221"/>
    <s v="7-9-Z71082"/>
    <s v="MASKING TAPE 48MMX40"/>
    <s v="MISC"/>
    <s v="B"/>
    <n v="50"/>
    <s v="RL"/>
    <s v="CNY"/>
    <n v="5.18"/>
    <n v="259"/>
  </r>
  <r>
    <x v="47"/>
    <x v="47"/>
    <m/>
    <s v="X250220"/>
    <s v="1-9-A120B"/>
    <s v="AL.OXIDE #120 WA-N"/>
    <s v="MISC"/>
    <s v="B"/>
    <n v="2000"/>
    <s v="KG"/>
    <s v="CNY"/>
    <n v="6.0620000000000003"/>
    <n v="12124"/>
  </r>
  <r>
    <x v="39"/>
    <x v="39"/>
    <m/>
    <s v="X250221"/>
    <s v="7-9-Z71083"/>
    <s v="MASKING TAPE 24MMX100"/>
    <s v="MISC"/>
    <s v="B"/>
    <n v="100"/>
    <s v="RL"/>
    <s v="CNY"/>
    <n v="6.64"/>
    <n v="664"/>
  </r>
  <r>
    <x v="39"/>
    <x v="39"/>
    <m/>
    <s v="X250221"/>
    <s v="7-9-Z71083"/>
    <s v="MASKING TAPE 24MMX100"/>
    <s v="MISC"/>
    <s v="B"/>
    <n v="50"/>
    <s v="RL"/>
    <s v="CNY"/>
    <n v="6.64"/>
    <n v="332"/>
  </r>
  <r>
    <x v="12"/>
    <x v="12"/>
    <m/>
    <s v="C03044"/>
    <s v="7-6-678B"/>
    <s v="SILICONE GASKET 7-6-GMI19 BK01A"/>
    <s v="GSKT"/>
    <s v="B"/>
    <n v="2050"/>
    <s v="PC"/>
    <s v="CNY"/>
    <n v="4.8019999999999996"/>
    <n v="9844.1"/>
  </r>
  <r>
    <x v="28"/>
    <x v="28"/>
    <m/>
    <s v="C03112"/>
    <s v="1-6-GD28-ZA"/>
    <s v="G-LD SD DR 28CM 2H POL"/>
    <s v="GLID"/>
    <s v="B"/>
    <n v="1030"/>
    <s v="PC"/>
    <s v="CNY"/>
    <n v="4.8769"/>
    <n v="5023.21"/>
  </r>
  <r>
    <x v="12"/>
    <x v="12"/>
    <m/>
    <s v="C03043"/>
    <s v="7-6-678C"/>
    <s v="SILICONE GASKET 7-6-GMI19 BU47A"/>
    <s v="GSKT"/>
    <s v="B"/>
    <n v="1800"/>
    <s v="PC"/>
    <s v="CNY"/>
    <n v="4.9000000000000004"/>
    <n v="8820"/>
  </r>
  <r>
    <x v="12"/>
    <x v="12"/>
    <m/>
    <s v="C03044"/>
    <s v="7-6-678B"/>
    <s v="SILICONE GASKET 7-6-GMI19 BK01A"/>
    <s v="GSKT"/>
    <s v="B"/>
    <n v="1700"/>
    <s v="PC"/>
    <s v="CNY"/>
    <n v="4.9000000000000004"/>
    <n v="8330"/>
  </r>
  <r>
    <x v="42"/>
    <x v="42"/>
    <m/>
    <s v="250303"/>
    <s v="BLC16DS-001"/>
    <s v="16CM SS LID W/KNOB &amp; WHISTLE"/>
    <s v="SKU-"/>
    <s v="O"/>
    <n v="200"/>
    <s v="PC"/>
    <s v="CNY"/>
    <n v="4.9154"/>
    <n v="983.08"/>
  </r>
  <r>
    <x v="42"/>
    <x v="42"/>
    <m/>
    <s v="250303"/>
    <s v="BLC16DS-001"/>
    <s v="16CM SS LID W/KNOB &amp; WHISTLE"/>
    <s v="SKU-"/>
    <s v="O"/>
    <n v="2000"/>
    <s v="PC"/>
    <s v="CNY"/>
    <n v="4.9154"/>
    <n v="9830.7999999999993"/>
  </r>
  <r>
    <x v="18"/>
    <x v="18"/>
    <m/>
    <s v="X250318"/>
    <s v="3-8-C80394-C"/>
    <s v="COL SLV 80394-C"/>
    <s v="SHTS"/>
    <s v="B"/>
    <n v="505"/>
    <s v="PC"/>
    <s v="CNY"/>
    <n v="4.95"/>
    <n v="2499.75"/>
  </r>
  <r>
    <x v="15"/>
    <x v="15"/>
    <m/>
    <s v="C03111"/>
    <s v="7-5-HBQ01"/>
    <s v="SH R71 BK01A+M.BLK POL"/>
    <s v="HDL-"/>
    <s v="O"/>
    <n v="1030"/>
    <s v="PC"/>
    <s v="CNY"/>
    <n v="4.9718999999999998"/>
    <n v="5121.0600000000004"/>
  </r>
  <r>
    <x v="15"/>
    <x v="15"/>
    <m/>
    <s v="C03111"/>
    <s v="7-5-HBQ02"/>
    <s v="SH R81 BK01A+M.BLK POL"/>
    <s v="HDL-"/>
    <s v="O"/>
    <n v="1030"/>
    <s v="PC"/>
    <s v="CNY"/>
    <n v="4.9718999999999998"/>
    <n v="5121.0600000000004"/>
  </r>
  <r>
    <x v="15"/>
    <x v="15"/>
    <m/>
    <s v="C03111"/>
    <s v="7-5-HBQ03"/>
    <s v="SH R91 BK01A+M.BLK POL"/>
    <s v="HDL-"/>
    <s v="O"/>
    <n v="1030"/>
    <s v="PC"/>
    <s v="CNY"/>
    <n v="4.9718999999999998"/>
    <n v="5121.0600000000004"/>
  </r>
  <r>
    <x v="19"/>
    <x v="19"/>
    <m/>
    <s v="X250336"/>
    <s v="1-8-F19146----J-F"/>
    <s v="FP BOX 19146----J (FSC)"/>
    <s v="BOX-"/>
    <s v="B"/>
    <n v="3000"/>
    <s v="PC"/>
    <s v="CNY"/>
    <n v="5"/>
    <n v="15000"/>
  </r>
  <r>
    <x v="42"/>
    <x v="42"/>
    <m/>
    <s v="250301"/>
    <s v="BLC20DS-001"/>
    <s v="20CM SS LID W/KNOB &amp; WHISTLE"/>
    <s v="SKU-"/>
    <s v="O"/>
    <n v="200"/>
    <s v="PC"/>
    <s v="CNY"/>
    <n v="5.0862999999999996"/>
    <n v="1017.26"/>
  </r>
  <r>
    <x v="42"/>
    <x v="42"/>
    <m/>
    <s v="250301"/>
    <s v="BLC20DS-001"/>
    <s v="20CM SS LID W/KNOB &amp; WHISTLE"/>
    <s v="SKU-"/>
    <s v="O"/>
    <n v="3500"/>
    <s v="PC"/>
    <s v="CNY"/>
    <n v="5.0862999999999996"/>
    <n v="17802.05"/>
  </r>
  <r>
    <x v="11"/>
    <x v="11"/>
    <m/>
    <s v="C03103"/>
    <s v="7-5-KDG01D-X"/>
    <s v="KNOB DG RP BK01A POL"/>
    <s v="KNOB"/>
    <s v="B"/>
    <n v="2900"/>
    <s v="PC"/>
    <s v="CNY"/>
    <n v="5.0999999999999996"/>
    <n v="14790"/>
  </r>
  <r>
    <x v="22"/>
    <x v="22"/>
    <m/>
    <s v="C03085"/>
    <s v="3-5-HAJ65--X4"/>
    <s v="LG-- POL VDT24MA C/C40 H8.5 SS304x1.2"/>
    <s v="HDL-"/>
    <s v="B"/>
    <n v="150"/>
    <s v="PC"/>
    <s v="CNY"/>
    <n v="5.1675000000000004"/>
    <n v="775.13"/>
  </r>
  <r>
    <x v="28"/>
    <x v="28"/>
    <m/>
    <s v="C03069"/>
    <s v="1-6-GY30-ZA"/>
    <s v="G-LD SD DR 30CM 2H POL"/>
    <s v="GLID"/>
    <s v="B"/>
    <n v="1010"/>
    <s v="PC"/>
    <s v="CNY"/>
    <n v="5.1798000000000002"/>
    <n v="5231.6000000000004"/>
  </r>
  <r>
    <x v="28"/>
    <x v="28"/>
    <m/>
    <s v="C03112"/>
    <s v="1-6-GY30-ZA"/>
    <s v="G-LD SD DR 30CM 2H POL"/>
    <s v="GLID"/>
    <s v="B"/>
    <n v="1010"/>
    <s v="PC"/>
    <s v="CNY"/>
    <n v="5.1798000000000002"/>
    <n v="5231.6000000000004"/>
  </r>
  <r>
    <x v="39"/>
    <x v="39"/>
    <m/>
    <s v="X250303"/>
    <s v="7-9-Z71082"/>
    <s v="MASKING TAPE 48MMX40"/>
    <s v="MISC"/>
    <s v="B"/>
    <n v="250"/>
    <s v="RL"/>
    <s v="CNY"/>
    <n v="5.18"/>
    <n v="1295"/>
  </r>
  <r>
    <x v="39"/>
    <x v="39"/>
    <m/>
    <s v="X250306"/>
    <s v="7-9-Z71082"/>
    <s v="MASKING TAPE 48MMX40"/>
    <s v="MISC"/>
    <s v="B"/>
    <n v="50"/>
    <s v="RL"/>
    <s v="CNY"/>
    <n v="5.18"/>
    <n v="259"/>
  </r>
  <r>
    <x v="3"/>
    <x v="3"/>
    <m/>
    <s v="M250111"/>
    <s v="6-8-W001"/>
    <s v="WHITE WRAP PAPER 12x12&quot;38GSM"/>
    <s v="PAP-"/>
    <s v="B"/>
    <n v="10000"/>
    <s v="PC"/>
    <s v="CNY"/>
    <n v="0.1"/>
    <n v="1000"/>
  </r>
  <r>
    <x v="3"/>
    <x v="3"/>
    <m/>
    <s v="M250111"/>
    <s v="6-8-W002"/>
    <s v="WHITE WRAP PAPER 18x18&quot;38GSM"/>
    <s v="PAP-"/>
    <s v="B"/>
    <n v="15000"/>
    <s v="PC"/>
    <s v="CNY"/>
    <n v="0.23"/>
    <n v="3450"/>
  </r>
  <r>
    <x v="3"/>
    <x v="3"/>
    <m/>
    <s v="M250111"/>
    <s v="6-8-W003"/>
    <s v="WHITE WRAP PAPER 22x22&quot;38GSM"/>
    <s v="PAP-"/>
    <s v="B"/>
    <n v="10000"/>
    <s v="PC"/>
    <s v="CNY"/>
    <n v="0.28999999999999998"/>
    <n v="2900"/>
  </r>
  <r>
    <x v="3"/>
    <x v="3"/>
    <m/>
    <s v="M250111"/>
    <s v="6-8-W004"/>
    <s v="WHITE WRAP PAPER 30x30&quot;38GSM"/>
    <s v="PAP-"/>
    <s v="B"/>
    <n v="16000"/>
    <s v="PC"/>
    <s v="CNY"/>
    <n v="0.47789999999999999"/>
    <n v="7646.4"/>
  </r>
  <r>
    <x v="3"/>
    <x v="3"/>
    <m/>
    <s v="M250211"/>
    <s v="6-8-W003"/>
    <s v="WHITE WRAP PAPER 22x22&quot;38GSM"/>
    <s v="PAP-"/>
    <s v="B"/>
    <n v="20000"/>
    <s v="PC"/>
    <s v="CNY"/>
    <n v="0.28999999999999998"/>
    <n v="5800"/>
  </r>
  <r>
    <x v="15"/>
    <x v="15"/>
    <m/>
    <s v="C03111"/>
    <s v="7-5-HBQ04"/>
    <s v="LG R101 BK01A+M.BLK POL"/>
    <s v="HDL-"/>
    <s v="O"/>
    <n v="1030"/>
    <s v="PC"/>
    <s v="CNY"/>
    <n v="5.1859000000000002"/>
    <n v="5341.48"/>
  </r>
  <r>
    <x v="15"/>
    <x v="15"/>
    <m/>
    <s v="C03111"/>
    <s v="7-5-HBQ08"/>
    <s v="LG R141 BK01A+M.BLK POL"/>
    <s v="HDL-"/>
    <s v="O"/>
    <n v="1030"/>
    <s v="PC"/>
    <s v="CNY"/>
    <n v="5.1859000000000002"/>
    <n v="5341.48"/>
  </r>
  <r>
    <x v="35"/>
    <x v="35"/>
    <m/>
    <s v="M250322"/>
    <s v="1-6-656-N-CH"/>
    <s v="14CM GLASS BOWL ANYDAY TRANSPARENT CHOOSE"/>
    <s v="GLS-"/>
    <s v="B"/>
    <n v="8016"/>
    <s v="PC"/>
    <s v="CNY"/>
    <n v="5.2389000000000001"/>
    <n v="41995.02"/>
  </r>
  <r>
    <x v="15"/>
    <x v="15"/>
    <m/>
    <s v="C03111"/>
    <s v="7-5-HBQ18"/>
    <s v="LG M24 BK01A+M.BLK POL"/>
    <s v="HDL-"/>
    <s v="O"/>
    <n v="1030"/>
    <s v="PC"/>
    <s v="CNY"/>
    <n v="5.2427000000000001"/>
    <n v="5399.98"/>
  </r>
  <r>
    <x v="35"/>
    <x v="35"/>
    <m/>
    <s v="M250329"/>
    <s v="7-6-617"/>
    <s v="GLASS LID 20cm"/>
    <s v="GLS-"/>
    <s v="B"/>
    <n v="5000"/>
    <s v="PC"/>
    <s v="CNY"/>
    <n v="5.3574999999999999"/>
    <n v="26787.5"/>
  </r>
  <r>
    <x v="35"/>
    <x v="35"/>
    <m/>
    <s v="M250328"/>
    <s v="1-6-685-N"/>
    <s v="15CM SQUARE GLASS BOWL ANYDAY TRANSPARENT"/>
    <s v="GLS-"/>
    <s v="B"/>
    <n v="8016"/>
    <s v="PC"/>
    <s v="CNY"/>
    <n v="5.3804999999999996"/>
    <n v="43130.09"/>
  </r>
  <r>
    <x v="28"/>
    <x v="28"/>
    <m/>
    <s v="C03038"/>
    <s v="1-6-GJG29-ZB"/>
    <s v="G-LD JG 29CM BSH"/>
    <s v="GLID"/>
    <s v="B"/>
    <n v="1020"/>
    <s v="PC"/>
    <s v="CNY"/>
    <n v="5.4089"/>
    <n v="5517.08"/>
  </r>
  <r>
    <x v="33"/>
    <x v="33"/>
    <m/>
    <s v="C03063"/>
    <s v="7-6-682--X"/>
    <s v="SS RING 7-6-GMI19 POL"/>
    <s v="MISC"/>
    <s v="B"/>
    <n v="1600"/>
    <s v="PC"/>
    <s v="CNY"/>
    <n v="5.49"/>
    <n v="8784"/>
  </r>
  <r>
    <x v="48"/>
    <x v="48"/>
    <m/>
    <s v="X250104"/>
    <s v="7-9-Z10007"/>
    <s v="FLAP WHEEL320#D350X75X45"/>
    <s v="POLM"/>
    <s v="B"/>
    <n v="200"/>
    <s v="PC"/>
    <s v="CNY"/>
    <n v="210"/>
    <n v="42000"/>
  </r>
  <r>
    <x v="39"/>
    <x v="39"/>
    <m/>
    <s v="X250130"/>
    <s v="7-9-Z7043"/>
    <s v="STRETCH FILM .025x450xCmm (4.5KG)"/>
    <s v="POLM"/>
    <s v="B"/>
    <n v="400"/>
    <s v="RL"/>
    <s v="CNY"/>
    <n v="43.3628"/>
    <n v="17345.12"/>
  </r>
  <r>
    <x v="3"/>
    <x v="3"/>
    <m/>
    <s v="M250109"/>
    <s v="6-8-X027"/>
    <s v="PRINT MAT'L ANYDAY CLEAR GLASS DISHES"/>
    <s v="PRIM"/>
    <s v="B"/>
    <n v="11600"/>
    <s v="PC"/>
    <s v="CNY"/>
    <n v="0.82"/>
    <n v="9512"/>
  </r>
  <r>
    <x v="3"/>
    <x v="3"/>
    <m/>
    <s v="M250123"/>
    <s v="6-8-X027"/>
    <s v="PRINT MAT'L ANYDAY CLEAR GLASS DISHES"/>
    <s v="PRIM"/>
    <s v="B"/>
    <n v="14000"/>
    <s v="PC"/>
    <s v="CNY"/>
    <n v="0.82"/>
    <n v="11480"/>
  </r>
  <r>
    <x v="3"/>
    <x v="3"/>
    <m/>
    <s v="M250137"/>
    <s v="6-8-X018"/>
    <s v="6-8-PW33,38,39,40,PU09,PL0198"/>
    <s v="PRIM"/>
    <s v="B"/>
    <n v="1000"/>
    <s v="PC"/>
    <s v="CNY"/>
    <n v="1.53"/>
    <n v="1530"/>
  </r>
  <r>
    <x v="3"/>
    <x v="3"/>
    <m/>
    <s v="M250209"/>
    <s v="6-8-X019"/>
    <s v="6-8-PW33,39,40,PU09,PL0198,99"/>
    <s v="PRIM"/>
    <s v="B"/>
    <n v="1900"/>
    <s v="PC"/>
    <s v="CNY"/>
    <n v="1.51"/>
    <n v="2869"/>
  </r>
  <r>
    <x v="3"/>
    <x v="3"/>
    <m/>
    <s v="M250209"/>
    <s v="6-8-X018"/>
    <s v="6-8-PW33,38,39,40,PU09,PL0198"/>
    <s v="PRIM"/>
    <s v="B"/>
    <n v="4000"/>
    <s v="PC"/>
    <s v="CNY"/>
    <n v="1.53"/>
    <n v="6120"/>
  </r>
  <r>
    <x v="3"/>
    <x v="3"/>
    <m/>
    <s v="M250219"/>
    <s v="6-8-X021"/>
    <s v="6-8-PW33,36,PU09,PL0198,0199"/>
    <s v="PRIM"/>
    <s v="B"/>
    <n v="2000"/>
    <s v="PC"/>
    <s v="CNY"/>
    <n v="1.29"/>
    <n v="2580"/>
  </r>
  <r>
    <x v="12"/>
    <x v="12"/>
    <m/>
    <s v="C03044"/>
    <s v="7-6-680A"/>
    <s v="SILICONE GASKET 7-6-GMI23 GN36A"/>
    <s v="GSKT"/>
    <s v="B"/>
    <n v="3000"/>
    <s v="PC"/>
    <s v="CNY"/>
    <n v="5.5860000000000003"/>
    <n v="16758"/>
  </r>
  <r>
    <x v="12"/>
    <x v="12"/>
    <m/>
    <s v="C03044"/>
    <s v="7-6-680B"/>
    <s v="SILICONE GASKET 7-6-GMI23 BK01A"/>
    <s v="GSKT"/>
    <s v="B"/>
    <n v="2000"/>
    <s v="PC"/>
    <s v="CNY"/>
    <n v="5.5860000000000003"/>
    <n v="11172"/>
  </r>
  <r>
    <x v="11"/>
    <x v="11"/>
    <m/>
    <s v="C03084"/>
    <s v="3-5-LMY111-BY"/>
    <s v="STD- 111 GY04A BSH R380 C/C113 H6.5"/>
    <s v="LHDL"/>
    <s v="B"/>
    <n v="1000"/>
    <s v="PC"/>
    <s v="CNY"/>
    <n v="5.5971000000000002"/>
    <n v="5597.1"/>
  </r>
  <r>
    <x v="18"/>
    <x v="18"/>
    <m/>
    <s v="X250316"/>
    <s v="6-8-F62078-C"/>
    <s v="FP BROWN BOX 62078-C"/>
    <s v="BOX-"/>
    <s v="B"/>
    <n v="1010"/>
    <s v="PC"/>
    <s v="CNY"/>
    <n v="5.64"/>
    <n v="5696.4"/>
  </r>
  <r>
    <x v="12"/>
    <x v="12"/>
    <m/>
    <s v="C03043"/>
    <s v="7-6-680C"/>
    <s v="SILICONE GASKET 7-6-GMI23 BU47A"/>
    <s v="GSKT"/>
    <s v="B"/>
    <n v="1500"/>
    <s v="PC"/>
    <s v="CNY"/>
    <n v="5.7"/>
    <n v="8550"/>
  </r>
  <r>
    <x v="18"/>
    <x v="18"/>
    <m/>
    <s v="X250319"/>
    <s v="1-8-C16183-C--E-F"/>
    <s v="COL SLV 16183-C--E (FSC)"/>
    <s v="BOX-"/>
    <s v="B"/>
    <n v="505"/>
    <s v="PC"/>
    <s v="CNY"/>
    <n v="5.75"/>
    <n v="2903.75"/>
  </r>
  <r>
    <x v="26"/>
    <x v="26"/>
    <m/>
    <s v="C03077"/>
    <s v="3-5-KKF01ADX"/>
    <s v="STD- 01 CIR RD09A POL"/>
    <s v="KNOB"/>
    <s v="B"/>
    <n v="200"/>
    <s v="PC"/>
    <s v="CNY"/>
    <n v="5.7881999999999998"/>
    <n v="1157.6400000000001"/>
  </r>
  <r>
    <x v="8"/>
    <x v="8"/>
    <m/>
    <s v="C01007"/>
    <s v="3-6-D61X"/>
    <s v="RT AL 8x12mm TUM"/>
    <s v="RIV-"/>
    <s v="B"/>
    <n v="3000"/>
    <s v="PC"/>
    <s v="CNY"/>
    <n v="7.0099999999999996E-2"/>
    <n v="210.3"/>
  </r>
  <r>
    <x v="8"/>
    <x v="8"/>
    <m/>
    <s v="C01007"/>
    <s v="3-6-D61X"/>
    <s v="RT AL 8x12mm TUM"/>
    <s v="RIV-"/>
    <s v="B"/>
    <n v="8000"/>
    <s v="PC"/>
    <s v="CNY"/>
    <n v="7.0099999999999996E-2"/>
    <n v="560.79999999999995"/>
  </r>
  <r>
    <x v="8"/>
    <x v="8"/>
    <m/>
    <s v="C01007"/>
    <s v="3-6-D61X"/>
    <s v="RT AL 8x12mm TUM"/>
    <s v="RIV-"/>
    <s v="B"/>
    <n v="12000"/>
    <s v="PC"/>
    <s v="CNY"/>
    <n v="7.0099999999999996E-2"/>
    <n v="841.2"/>
  </r>
  <r>
    <x v="8"/>
    <x v="8"/>
    <m/>
    <s v="C01007"/>
    <s v="3-6-D61X"/>
    <s v="RT AL 8x12mm TUM"/>
    <s v="RIV-"/>
    <s v="B"/>
    <n v="6500"/>
    <s v="PC"/>
    <s v="CNY"/>
    <n v="7.0099999999999996E-2"/>
    <n v="455.65"/>
  </r>
  <r>
    <x v="8"/>
    <x v="8"/>
    <m/>
    <s v="C01007"/>
    <s v="3-6-D53-0001"/>
    <s v="CAPPED RIVET 6x18mm POL"/>
    <s v="RIV-"/>
    <s v="B"/>
    <n v="2050"/>
    <s v="PC"/>
    <s v="CNY"/>
    <n v="0.1016"/>
    <n v="208.28"/>
  </r>
  <r>
    <x v="8"/>
    <x v="8"/>
    <m/>
    <s v="C01007"/>
    <s v="3-6-D53-0001"/>
    <s v="CAPPED RIVET 6x18mm POL"/>
    <s v="RIV-"/>
    <s v="B"/>
    <n v="6600"/>
    <s v="PC"/>
    <s v="CNY"/>
    <n v="0.1016"/>
    <n v="670.56"/>
  </r>
  <r>
    <x v="8"/>
    <x v="8"/>
    <m/>
    <s v="C01007"/>
    <s v="3-6-D53-0001"/>
    <s v="CAPPED RIVET 6x18mm POL"/>
    <s v="RIV-"/>
    <s v="B"/>
    <n v="2100"/>
    <s v="PC"/>
    <s v="CNY"/>
    <n v="0.1016"/>
    <n v="213.36"/>
  </r>
  <r>
    <x v="6"/>
    <x v="6"/>
    <m/>
    <s v="C01009"/>
    <s v="1-6-D38X"/>
    <s v="RT AL 5X10mm TUM"/>
    <s v="RIV-"/>
    <s v="B"/>
    <n v="11000"/>
    <s v="PC"/>
    <s v="CNY"/>
    <n v="4.1599999999999998E-2"/>
    <n v="457.6"/>
  </r>
  <r>
    <x v="6"/>
    <x v="6"/>
    <m/>
    <s v="C01011"/>
    <s v="1-6-D38X"/>
    <s v="RT AL 5X10mm TUM"/>
    <s v="RIV-"/>
    <s v="B"/>
    <n v="10000"/>
    <s v="PC"/>
    <s v="CNY"/>
    <n v="4.1599999999999998E-2"/>
    <n v="416"/>
  </r>
  <r>
    <x v="6"/>
    <x v="6"/>
    <m/>
    <s v="C01012"/>
    <s v="1-6-D38X"/>
    <s v="RT AL 5X10mm TUM"/>
    <s v="RIV-"/>
    <s v="B"/>
    <n v="1600"/>
    <s v="PC"/>
    <s v="CNY"/>
    <n v="4.1599999999999998E-2"/>
    <n v="66.56"/>
  </r>
  <r>
    <x v="8"/>
    <x v="8"/>
    <m/>
    <s v="C01007"/>
    <s v="3-6-D53-0001"/>
    <s v="CAPPED RIVET 6x18mm POL"/>
    <s v="RIV-"/>
    <s v="B"/>
    <n v="6000"/>
    <s v="PC"/>
    <s v="CNY"/>
    <n v="0.1016"/>
    <n v="609.6"/>
  </r>
  <r>
    <x v="8"/>
    <x v="8"/>
    <m/>
    <s v="AQ-C01007"/>
    <s v="3-6-D53-0001"/>
    <s v="CAPPED RIVET 6x18mm POL"/>
    <s v="RIV-"/>
    <s v="B"/>
    <n v="-6600"/>
    <s v="PC"/>
    <s v="CNY"/>
    <n v="0.1016"/>
    <n v="-670.56"/>
  </r>
  <r>
    <x v="6"/>
    <x v="6"/>
    <m/>
    <s v="C01008"/>
    <s v="7-6-D61X"/>
    <s v="RT SS+Cu 6x10 D12 TUM"/>
    <s v="RIV-"/>
    <s v="B"/>
    <n v="5600"/>
    <s v="PC"/>
    <s v="CNY"/>
    <n v="0.13550000000000001"/>
    <n v="758.8"/>
  </r>
  <r>
    <x v="6"/>
    <x v="6"/>
    <m/>
    <s v="C01010"/>
    <s v="7-6-D61X"/>
    <s v="RT SS+Cu 6x10 D12 TUM"/>
    <s v="RIV-"/>
    <s v="B"/>
    <n v="10500"/>
    <s v="PC"/>
    <s v="CNY"/>
    <n v="0.13550000000000001"/>
    <n v="1422.75"/>
  </r>
  <r>
    <x v="6"/>
    <x v="6"/>
    <m/>
    <s v="C01011"/>
    <s v="7-6-D61X"/>
    <s v="RT SS+Cu 6x10 D12 TUM"/>
    <s v="RIV-"/>
    <s v="B"/>
    <n v="1600"/>
    <s v="PC"/>
    <s v="CNY"/>
    <n v="0.13550000000000001"/>
    <n v="216.8"/>
  </r>
  <r>
    <x v="6"/>
    <x v="6"/>
    <m/>
    <s v="C01009"/>
    <s v="7-6-D80X"/>
    <s v="RT SS 8x8 D15 An TUM"/>
    <s v="RIV-"/>
    <s v="B"/>
    <n v="5000"/>
    <s v="PC"/>
    <s v="CNY"/>
    <n v="0.16120000000000001"/>
    <n v="806"/>
  </r>
  <r>
    <x v="6"/>
    <x v="6"/>
    <m/>
    <s v="C01008"/>
    <s v="7-6-D80X"/>
    <s v="RT SS 8x8 D15 An TUM"/>
    <s v="RIV-"/>
    <s v="B"/>
    <n v="17000"/>
    <s v="PC"/>
    <s v="CNY"/>
    <n v="0.16120000000000001"/>
    <n v="2740.4"/>
  </r>
  <r>
    <x v="6"/>
    <x v="6"/>
    <m/>
    <s v="C01013"/>
    <s v="7-6-D80X"/>
    <s v="RT SS 8x8 D15 An TUM"/>
    <s v="RIV-"/>
    <s v="B"/>
    <n v="10000"/>
    <s v="PC"/>
    <s v="CNY"/>
    <n v="0.16120000000000001"/>
    <n v="1612"/>
  </r>
  <r>
    <x v="6"/>
    <x v="6"/>
    <m/>
    <s v="C01012"/>
    <s v="7-6-D80X"/>
    <s v="RT SS 8x8 D15 An TUM"/>
    <s v="RIV-"/>
    <s v="B"/>
    <n v="9200"/>
    <s v="PC"/>
    <s v="CNY"/>
    <n v="0.16120000000000001"/>
    <n v="1483.04"/>
  </r>
  <r>
    <x v="6"/>
    <x v="6"/>
    <m/>
    <s v="C01012"/>
    <s v="7-6-D93X"/>
    <s v="RT SS 8x9 D15 An TUM"/>
    <s v="RIV-"/>
    <s v="B"/>
    <n v="2000"/>
    <s v="PC"/>
    <s v="CNY"/>
    <n v="0.17180000000000001"/>
    <n v="343.6"/>
  </r>
  <r>
    <x v="6"/>
    <x v="6"/>
    <m/>
    <s v="C01009"/>
    <s v="7-6-D81X"/>
    <s v="RT SS 8x10 D15 An TUM"/>
    <s v="RIV-"/>
    <s v="B"/>
    <n v="6000"/>
    <s v="PC"/>
    <s v="CNY"/>
    <n v="0.17649999999999999"/>
    <n v="1059"/>
  </r>
  <r>
    <x v="6"/>
    <x v="6"/>
    <m/>
    <s v="C01010"/>
    <s v="7-6-D81X"/>
    <s v="RT SS 8x10 D15 An TUM"/>
    <s v="RIV-"/>
    <s v="B"/>
    <n v="8000"/>
    <s v="PC"/>
    <s v="CNY"/>
    <n v="0.17649999999999999"/>
    <n v="1412"/>
  </r>
  <r>
    <x v="6"/>
    <x v="6"/>
    <m/>
    <s v="C01010"/>
    <s v="7-6-D90X"/>
    <s v="RT SS 8x11 D15 An TUM"/>
    <s v="RIV-"/>
    <s v="B"/>
    <n v="2000"/>
    <s v="PC"/>
    <s v="CNY"/>
    <n v="0.1865"/>
    <n v="373"/>
  </r>
  <r>
    <x v="6"/>
    <x v="6"/>
    <m/>
    <s v="C01012"/>
    <s v="7-6-D90X"/>
    <s v="RT SS 8x11 D15 An TUM"/>
    <s v="RIV-"/>
    <s v="B"/>
    <n v="4100"/>
    <s v="PC"/>
    <s v="CNY"/>
    <n v="0.1865"/>
    <n v="764.65"/>
  </r>
  <r>
    <x v="6"/>
    <x v="6"/>
    <m/>
    <s v="C01013"/>
    <s v="7-6-D90X"/>
    <s v="RT SS 8x11 D15 An TUM"/>
    <s v="RIV-"/>
    <s v="B"/>
    <n v="5000"/>
    <s v="PC"/>
    <s v="CNY"/>
    <n v="0.1865"/>
    <n v="932.5"/>
  </r>
  <r>
    <x v="6"/>
    <x v="6"/>
    <m/>
    <s v="C01010"/>
    <s v="7-6-D91X"/>
    <s v="RT SS 8x13 D15 An TUM"/>
    <s v="RIV-"/>
    <s v="B"/>
    <n v="20000"/>
    <s v="PC"/>
    <s v="CNY"/>
    <n v="0.22839999999999999"/>
    <n v="4568"/>
  </r>
  <r>
    <x v="8"/>
    <x v="8"/>
    <m/>
    <s v="C01033"/>
    <s v="1-6-D84Z"/>
    <s v="RT AL 6x21mm CSK HD TUM"/>
    <s v="RIV-"/>
    <s v="B"/>
    <n v="4300"/>
    <s v="PC"/>
    <s v="CNY"/>
    <n v="4.8000000000000001E-2"/>
    <n v="206.4"/>
  </r>
  <r>
    <x v="8"/>
    <x v="8"/>
    <m/>
    <s v="C01033"/>
    <s v="1-6-D84Z"/>
    <s v="RT AL 6x21mm CSK HD TUM"/>
    <s v="RIV-"/>
    <s v="B"/>
    <n v="1000"/>
    <s v="PC"/>
    <s v="CNY"/>
    <n v="4.8000000000000001E-2"/>
    <n v="48"/>
  </r>
  <r>
    <x v="8"/>
    <x v="8"/>
    <m/>
    <s v="C01033"/>
    <s v="3-6-D61X"/>
    <s v="RT AL 8x12mm TUM"/>
    <s v="RIV-"/>
    <s v="B"/>
    <n v="2100"/>
    <s v="PC"/>
    <s v="CNY"/>
    <n v="7.0099999999999996E-2"/>
    <n v="147.21"/>
  </r>
  <r>
    <x v="8"/>
    <x v="8"/>
    <m/>
    <s v="C01033"/>
    <s v="3-6-D53-0001"/>
    <s v="CAPPED RIVET 6x18mm POL"/>
    <s v="RIV-"/>
    <s v="B"/>
    <n v="2000"/>
    <s v="PC"/>
    <s v="CNY"/>
    <n v="0.1016"/>
    <n v="203.2"/>
  </r>
  <r>
    <x v="8"/>
    <x v="8"/>
    <m/>
    <s v="C01033"/>
    <s v="3-6-D53-0001"/>
    <s v="CAPPED RIVET 6x18mm POL"/>
    <s v="RIV-"/>
    <s v="B"/>
    <n v="600"/>
    <s v="PC"/>
    <s v="CNY"/>
    <n v="0.1016"/>
    <n v="60.96"/>
  </r>
  <r>
    <x v="6"/>
    <x v="6"/>
    <m/>
    <s v="C01067"/>
    <s v="1-6-D38X"/>
    <s v="RT AL 5X10mm TUM"/>
    <s v="RIV-"/>
    <s v="B"/>
    <n v="2000"/>
    <s v="PC"/>
    <s v="CNY"/>
    <n v="4.1599999999999998E-2"/>
    <n v="83.2"/>
  </r>
  <r>
    <x v="6"/>
    <x v="6"/>
    <m/>
    <s v="C01067"/>
    <s v="7-6-D80X"/>
    <s v="RT SS 8x8 D15 An TUM"/>
    <s v="RIV-"/>
    <s v="B"/>
    <n v="18400"/>
    <s v="PC"/>
    <s v="CNY"/>
    <n v="0.16120000000000001"/>
    <n v="2966.08"/>
  </r>
  <r>
    <x v="6"/>
    <x v="6"/>
    <m/>
    <s v="C01067"/>
    <s v="7-6-D90X"/>
    <s v="RT SS 8x11 D15 An TUM"/>
    <s v="RIV-"/>
    <s v="B"/>
    <n v="4100"/>
    <s v="PC"/>
    <s v="CNY"/>
    <n v="0.1865"/>
    <n v="764.65"/>
  </r>
  <r>
    <x v="8"/>
    <x v="8"/>
    <m/>
    <s v="C01071"/>
    <s v="3-6-D50-0001"/>
    <s v="CAPPED RIVET 6x10mm"/>
    <s v="RIV-"/>
    <s v="B"/>
    <n v="1000"/>
    <s v="PC"/>
    <s v="CNY"/>
    <n v="8.7300000000000003E-2"/>
    <n v="87.3"/>
  </r>
  <r>
    <x v="6"/>
    <x v="6"/>
    <m/>
    <s v="C02008"/>
    <s v="7-6-D80X"/>
    <s v="RT SS 8x8 D15 An TUM"/>
    <s v="RIV-"/>
    <s v="B"/>
    <n v="10000"/>
    <s v="PC"/>
    <s v="CNY"/>
    <n v="0.16120000000000001"/>
    <n v="1612"/>
  </r>
  <r>
    <x v="6"/>
    <x v="6"/>
    <m/>
    <s v="C02008"/>
    <s v="7-6-D80X"/>
    <s v="RT SS 8x8 D15 An TUM"/>
    <s v="RIV-"/>
    <s v="B"/>
    <n v="15000"/>
    <s v="PC"/>
    <s v="CNY"/>
    <n v="0.16120000000000001"/>
    <n v="2418"/>
  </r>
  <r>
    <x v="8"/>
    <x v="8"/>
    <m/>
    <s v="C02028"/>
    <s v="3-6-D52-0001"/>
    <s v="CAPPED RIVET 6x16mm"/>
    <s v="RIV-"/>
    <s v="B"/>
    <n v="10000"/>
    <s v="PC"/>
    <s v="CNY"/>
    <n v="9.6100000000000005E-2"/>
    <n v="961"/>
  </r>
  <r>
    <x v="8"/>
    <x v="8"/>
    <m/>
    <s v="C02028"/>
    <s v="3-6-D52-0001"/>
    <s v="CAPPED RIVET 6x16mm"/>
    <s v="RIV-"/>
    <s v="B"/>
    <n v="3000"/>
    <s v="PC"/>
    <s v="CNY"/>
    <n v="9.6100000000000005E-2"/>
    <n v="288.3"/>
  </r>
  <r>
    <x v="8"/>
    <x v="8"/>
    <m/>
    <s v="C02028"/>
    <s v="3-6-D53-0001"/>
    <s v="CAPPED RIVET 6x18mm POL"/>
    <s v="RIV-"/>
    <s v="B"/>
    <n v="2000"/>
    <s v="PC"/>
    <s v="CNY"/>
    <n v="0.1016"/>
    <n v="203.2"/>
  </r>
  <r>
    <x v="6"/>
    <x v="6"/>
    <m/>
    <s v="C02025"/>
    <s v="7-6-D61X"/>
    <s v="RT SS+Cu 6x10 D12 TUM"/>
    <s v="RIV-"/>
    <s v="B"/>
    <n v="4800"/>
    <s v="PC"/>
    <s v="CNY"/>
    <n v="0.13550000000000001"/>
    <n v="650.4"/>
  </r>
  <r>
    <x v="6"/>
    <x v="6"/>
    <m/>
    <s v="C02025"/>
    <s v="7-6-D81X"/>
    <s v="RT SS 8x10 D15 An TUM"/>
    <s v="RIV-"/>
    <s v="B"/>
    <n v="17000"/>
    <s v="PC"/>
    <s v="CNY"/>
    <n v="0.17649999999999999"/>
    <n v="3000.5"/>
  </r>
  <r>
    <x v="6"/>
    <x v="6"/>
    <m/>
    <s v="C02025"/>
    <s v="7-6-D81X"/>
    <s v="RT SS 8x10 D15 An TUM"/>
    <s v="RIV-"/>
    <s v="B"/>
    <n v="3000"/>
    <s v="PC"/>
    <s v="CNY"/>
    <n v="0.17649999999999999"/>
    <n v="529.5"/>
  </r>
  <r>
    <x v="6"/>
    <x v="6"/>
    <m/>
    <s v="C02026"/>
    <s v="7-6-D91X"/>
    <s v="RT SS 8x13 D15 An TUM"/>
    <s v="RIV-"/>
    <s v="B"/>
    <n v="8000"/>
    <s v="PC"/>
    <s v="CNY"/>
    <n v="0.2331"/>
    <n v="1864.8"/>
  </r>
  <r>
    <x v="41"/>
    <x v="41"/>
    <m/>
    <s v="250305"/>
    <s v="BLC26DS-001"/>
    <s v="26CM SS LID W/KNOB &amp; WHISTLE"/>
    <s v="SKU-"/>
    <s v="O"/>
    <n v="1320"/>
    <s v="PC"/>
    <s v="CNY"/>
    <n v="5.8230000000000004"/>
    <n v="7686.36"/>
  </r>
  <r>
    <x v="41"/>
    <x v="41"/>
    <m/>
    <s v="250304"/>
    <s v="BLC26DS-001"/>
    <s v="26CM SS LID W/KNOB &amp; WHISTLE"/>
    <s v="SKU-"/>
    <s v="O"/>
    <n v="7600"/>
    <s v="PC"/>
    <s v="CNY"/>
    <n v="5.8230000000000004"/>
    <n v="44254.8"/>
  </r>
  <r>
    <x v="41"/>
    <x v="41"/>
    <m/>
    <s v="250306"/>
    <s v="BLC26DS-001"/>
    <s v="26CM SS LID W/KNOB &amp; WHISTLE"/>
    <s v="SKU-"/>
    <s v="O"/>
    <n v="2380"/>
    <s v="PC"/>
    <s v="CNY"/>
    <n v="5.8230000000000004"/>
    <n v="13858.74"/>
  </r>
  <r>
    <x v="41"/>
    <x v="41"/>
    <m/>
    <s v="250306"/>
    <s v="BLC26DS-001"/>
    <s v="26CM SS LID W/KNOB &amp; WHISTLE"/>
    <s v="SKU-"/>
    <s v="O"/>
    <n v="6000"/>
    <s v="PC"/>
    <s v="CNY"/>
    <n v="5.8230000000000004"/>
    <n v="34938"/>
  </r>
  <r>
    <x v="35"/>
    <x v="35"/>
    <m/>
    <s v="M250322"/>
    <s v="1-6-621-N-CH"/>
    <s v="16CM GLASS BOWL ANYDAY TRANSPARENT CHOOSE"/>
    <s v="GLS-"/>
    <s v="B"/>
    <n v="24"/>
    <s v="PC"/>
    <s v="CNY"/>
    <n v="5.9381000000000004"/>
    <n v="142.51"/>
  </r>
  <r>
    <x v="35"/>
    <x v="35"/>
    <m/>
    <s v="M250322"/>
    <s v="1-6-621-N-CH"/>
    <s v="16CM GLASS BOWL ANYDAY TRANSPARENT CHOOSE"/>
    <s v="GLS-"/>
    <s v="B"/>
    <n v="10008"/>
    <s v="PC"/>
    <s v="CNY"/>
    <n v="5.9381000000000004"/>
    <n v="59428.5"/>
  </r>
  <r>
    <x v="35"/>
    <x v="35"/>
    <m/>
    <s v="RTV-0088"/>
    <s v="1-6-621-N-CH"/>
    <s v="16CM GLASS BOWL ANYDAY TRANSPARENT CHOOSE"/>
    <s v="GLS-"/>
    <s v="B"/>
    <n v="-4992"/>
    <s v="PC"/>
    <s v="CNY"/>
    <n v="5.9381000000000004"/>
    <n v="-29643"/>
  </r>
  <r>
    <x v="13"/>
    <x v="13"/>
    <m/>
    <s v="M250316"/>
    <s v="CGP26AS-002"/>
    <s v="8QT/26CM PASTA INSERT IN=Y  EX=P"/>
    <s v="STM-"/>
    <s v="B"/>
    <n v="1008"/>
    <s v="PC"/>
    <s v="USD"/>
    <n v="6"/>
    <n v="6048"/>
  </r>
  <r>
    <x v="33"/>
    <x v="33"/>
    <m/>
    <s v="C03063"/>
    <s v="7-6-683--X"/>
    <s v="SS RING 7-6-GMI23 POL"/>
    <s v="MISC"/>
    <s v="B"/>
    <n v="1900"/>
    <s v="PC"/>
    <s v="CNY"/>
    <n v="6.01"/>
    <n v="11419"/>
  </r>
  <r>
    <x v="33"/>
    <x v="33"/>
    <m/>
    <s v="C03063"/>
    <s v="7-6-683--X"/>
    <s v="SS RING 7-6-GMI23 POL"/>
    <s v="MISC"/>
    <s v="B"/>
    <n v="2100"/>
    <s v="PC"/>
    <s v="CNY"/>
    <n v="6.01"/>
    <n v="12621"/>
  </r>
  <r>
    <x v="12"/>
    <x v="12"/>
    <m/>
    <s v="C03073"/>
    <s v="7-6-449A"/>
    <s v="SI RING BLC20DS PMS207C"/>
    <s v="MISC"/>
    <s v="B"/>
    <n v="1100"/>
    <s v="PC"/>
    <s v="CNY"/>
    <n v="6.02"/>
    <n v="6622"/>
  </r>
  <r>
    <x v="35"/>
    <x v="35"/>
    <m/>
    <s v="M250329"/>
    <s v="7-6-618"/>
    <s v="GLASS LID 22cm"/>
    <s v="GLS-"/>
    <s v="B"/>
    <n v="3000"/>
    <s v="PC"/>
    <s v="CNY"/>
    <n v="6.0212000000000003"/>
    <n v="18063.599999999999"/>
  </r>
  <r>
    <x v="28"/>
    <x v="28"/>
    <m/>
    <s v="C03112"/>
    <s v="1-6-GEW24-ZA"/>
    <s v="G-LD EW 24CM POL"/>
    <s v="GLID"/>
    <s v="B"/>
    <n v="1200"/>
    <s v="PC"/>
    <s v="CNY"/>
    <n v="6.1177000000000001"/>
    <n v="7341.24"/>
  </r>
  <r>
    <x v="47"/>
    <x v="47"/>
    <m/>
    <s v="X250335"/>
    <s v="1-9-T2138"/>
    <s v="BROWN ALUM OXIDE #36"/>
    <s v="MISC"/>
    <s v="B"/>
    <n v="3000"/>
    <s v="KG"/>
    <s v="CNY"/>
    <n v="6.1504000000000003"/>
    <n v="18451.2"/>
  </r>
  <r>
    <x v="41"/>
    <x v="41"/>
    <m/>
    <s v="250302"/>
    <s v="BLC35DS-001"/>
    <s v="35CM SS LID W/KNOB &amp; WHISTLE"/>
    <s v="SKU-"/>
    <s v="O"/>
    <n v="2500"/>
    <s v="PC"/>
    <s v="CNY"/>
    <n v="6.298"/>
    <n v="15745"/>
  </r>
  <r>
    <x v="41"/>
    <x v="41"/>
    <m/>
    <s v="250302"/>
    <s v="BLC35DS-001"/>
    <s v="35CM SS LID W/KNOB &amp; WHISTLE"/>
    <s v="SKU-"/>
    <s v="O"/>
    <n v="2000"/>
    <s v="PC"/>
    <s v="CNY"/>
    <n v="6.298"/>
    <n v="12596"/>
  </r>
  <r>
    <x v="18"/>
    <x v="18"/>
    <m/>
    <s v="X250323"/>
    <s v="7-8-C72078"/>
    <s v="COL BOX 72078"/>
    <s v="BOX-"/>
    <s v="B"/>
    <n v="1010"/>
    <s v="PC"/>
    <s v="CNY"/>
    <n v="6.35"/>
    <n v="6413.5"/>
  </r>
  <r>
    <x v="15"/>
    <x v="15"/>
    <m/>
    <s v="C03008"/>
    <s v="3-5-HIB205CAX"/>
    <s v="LG-- 205 RACO BK01A POL QCI24MA C/C50 H8.5"/>
    <s v="HDL-"/>
    <s v="B"/>
    <n v="1000"/>
    <s v="PC"/>
    <s v="CNY"/>
    <n v="6.3521000000000001"/>
    <n v="6352.1"/>
  </r>
  <r>
    <x v="6"/>
    <x v="6"/>
    <m/>
    <s v="C01008"/>
    <s v="1-6-SS01"/>
    <s v="SCR SS M6x20mm"/>
    <s v="SCR-"/>
    <s v="B"/>
    <n v="1000"/>
    <s v="PC"/>
    <s v="CNY"/>
    <n v="0.12939999999999999"/>
    <n v="129.4"/>
  </r>
  <r>
    <x v="6"/>
    <x v="6"/>
    <m/>
    <s v="C01008"/>
    <s v="1-6-N02"/>
    <s v="NUT S/S M5x8"/>
    <s v="SCR-"/>
    <s v="B"/>
    <n v="250"/>
    <s v="PC"/>
    <s v="CNY"/>
    <n v="0.28810000000000002"/>
    <n v="72.03"/>
  </r>
  <r>
    <x v="6"/>
    <x v="6"/>
    <m/>
    <s v="C01011"/>
    <s v="7-6-SS13"/>
    <s v="SCR S/S M5X130 W/S-WHR"/>
    <s v="SCR-"/>
    <s v="B"/>
    <n v="3000"/>
    <s v="PC"/>
    <s v="CNY"/>
    <n v="0.47449999999999998"/>
    <n v="1423.5"/>
  </r>
  <r>
    <x v="6"/>
    <x v="6"/>
    <m/>
    <s v="C01011"/>
    <s v="1-6-S96"/>
    <s v="SCR S/S M5x153mm W/WHR"/>
    <s v="SCR-"/>
    <s v="B"/>
    <n v="2500"/>
    <s v="PC"/>
    <s v="CNY"/>
    <n v="0.67030000000000001"/>
    <n v="1675.75"/>
  </r>
  <r>
    <x v="7"/>
    <x v="7"/>
    <m/>
    <s v="C01053"/>
    <s v="3-6-S25"/>
    <s v="SCR SS M5x10MM WELD"/>
    <s v="SCR-"/>
    <s v="B"/>
    <n v="15000"/>
    <s v="PC"/>
    <s v="CNY"/>
    <n v="4.2000000000000003E-2"/>
    <n v="630"/>
  </r>
  <r>
    <x v="7"/>
    <x v="7"/>
    <m/>
    <s v="C01053"/>
    <s v="3-6-S25"/>
    <s v="SCR SS M5x10MM WELD"/>
    <s v="SCR-"/>
    <s v="B"/>
    <n v="7300"/>
    <s v="PC"/>
    <s v="CNY"/>
    <n v="4.2000000000000003E-2"/>
    <n v="306.60000000000002"/>
  </r>
  <r>
    <x v="7"/>
    <x v="7"/>
    <m/>
    <s v="C01053"/>
    <s v="3-6-S25"/>
    <s v="SCR SS M5x10MM WELD"/>
    <s v="SCR-"/>
    <s v="B"/>
    <n v="2200"/>
    <s v="PC"/>
    <s v="CNY"/>
    <n v="4.2000000000000003E-2"/>
    <n v="92.4"/>
  </r>
  <r>
    <x v="7"/>
    <x v="7"/>
    <m/>
    <s v="C01054"/>
    <s v="7-6-S02"/>
    <s v="SS WELDING SCR M6x15mm"/>
    <s v="SCR-"/>
    <s v="B"/>
    <n v="21000"/>
    <s v="PC"/>
    <s v="CNY"/>
    <n v="6.8599999999999994E-2"/>
    <n v="1440.6"/>
  </r>
  <r>
    <x v="7"/>
    <x v="7"/>
    <m/>
    <s v="C01053"/>
    <s v="1-6-SS05"/>
    <s v="SCR SS M5x15mm"/>
    <s v="SCR-"/>
    <s v="B"/>
    <n v="1100"/>
    <s v="PC"/>
    <s v="CNY"/>
    <n v="6.9000000000000006E-2"/>
    <n v="75.900000000000006"/>
  </r>
  <r>
    <x v="7"/>
    <x v="7"/>
    <m/>
    <s v="C01053"/>
    <s v="1-6-SS05"/>
    <s v="SCR SS M5x15mm"/>
    <s v="SCR-"/>
    <s v="B"/>
    <n v="1000"/>
    <s v="PC"/>
    <s v="CNY"/>
    <n v="6.9000000000000006E-2"/>
    <n v="69"/>
  </r>
  <r>
    <x v="7"/>
    <x v="7"/>
    <m/>
    <s v="C01054"/>
    <s v="7-6-S02"/>
    <s v="SS WELDING SCR M6x15mm"/>
    <s v="SCR-"/>
    <s v="B"/>
    <n v="2100"/>
    <s v="PC"/>
    <s v="CNY"/>
    <n v="7.0000000000000007E-2"/>
    <n v="147"/>
  </r>
  <r>
    <x v="7"/>
    <x v="7"/>
    <m/>
    <s v="C01054"/>
    <s v="7-6-S02"/>
    <s v="SS WELDING SCR M6x15mm"/>
    <s v="SCR-"/>
    <s v="B"/>
    <n v="3100"/>
    <s v="PC"/>
    <s v="CNY"/>
    <n v="7.0000000000000007E-2"/>
    <n v="217"/>
  </r>
  <r>
    <x v="7"/>
    <x v="7"/>
    <m/>
    <s v="C01054"/>
    <s v="7-6-S02"/>
    <s v="SS WELDING SCR M6x15mm"/>
    <s v="SCR-"/>
    <s v="B"/>
    <n v="3100"/>
    <s v="PC"/>
    <s v="CNY"/>
    <n v="7.0000000000000007E-2"/>
    <n v="217"/>
  </r>
  <r>
    <x v="7"/>
    <x v="7"/>
    <m/>
    <s v="C01054"/>
    <s v="7-6-S02"/>
    <s v="SS WELDING SCR M6x15mm"/>
    <s v="SCR-"/>
    <s v="B"/>
    <n v="13500"/>
    <s v="PC"/>
    <s v="CNY"/>
    <n v="7.0000000000000007E-2"/>
    <n v="945"/>
  </r>
  <r>
    <x v="7"/>
    <x v="7"/>
    <m/>
    <s v="C01055"/>
    <s v="7-6-SS02"/>
    <s v="SCR SS M5x19"/>
    <s v="SCR-"/>
    <s v="B"/>
    <n v="2000"/>
    <s v="PC"/>
    <s v="CNY"/>
    <n v="9.2999999999999999E-2"/>
    <n v="186"/>
  </r>
  <r>
    <x v="7"/>
    <x v="7"/>
    <m/>
    <s v="C01055"/>
    <s v="7-6-SS02"/>
    <s v="SCR SS M5x19"/>
    <s v="SCR-"/>
    <s v="B"/>
    <n v="9250"/>
    <s v="PC"/>
    <s v="CNY"/>
    <n v="9.2999999999999999E-2"/>
    <n v="860.25"/>
  </r>
  <r>
    <x v="7"/>
    <x v="7"/>
    <m/>
    <s v="C01055"/>
    <s v="7-6-SS02B"/>
    <s v="SCR SS M5x19mm+WHR"/>
    <s v="SCR-"/>
    <s v="B"/>
    <n v="6000"/>
    <s v="PC"/>
    <s v="CNY"/>
    <n v="9.8000000000000004E-2"/>
    <n v="588"/>
  </r>
  <r>
    <x v="7"/>
    <x v="7"/>
    <m/>
    <s v="C01055"/>
    <s v="7-6-SS02B"/>
    <s v="SCR SS M5x19mm+WHR"/>
    <s v="SCR-"/>
    <s v="B"/>
    <n v="4200"/>
    <s v="PC"/>
    <s v="CNY"/>
    <n v="9.8000000000000004E-2"/>
    <n v="411.6"/>
  </r>
  <r>
    <x v="7"/>
    <x v="7"/>
    <m/>
    <s v="C01055"/>
    <s v="7-6-SS02B"/>
    <s v="SCR SS M5x19mm+WHR"/>
    <s v="SCR-"/>
    <s v="B"/>
    <n v="1000"/>
    <s v="PC"/>
    <s v="CNY"/>
    <n v="9.8000000000000004E-2"/>
    <n v="98"/>
  </r>
  <r>
    <x v="7"/>
    <x v="7"/>
    <m/>
    <s v="C01055"/>
    <s v="7-6-SS03A"/>
    <s v="SCR SS M5x25 W/WHR"/>
    <s v="SCR-"/>
    <s v="B"/>
    <n v="400"/>
    <s v="PC"/>
    <s v="CNY"/>
    <n v="0.11700000000000001"/>
    <n v="46.8"/>
  </r>
  <r>
    <x v="7"/>
    <x v="7"/>
    <m/>
    <s v="C01055"/>
    <s v="7-6-SS03A"/>
    <s v="SCR SS M5x25 W/WHR"/>
    <s v="SCR-"/>
    <s v="B"/>
    <n v="1500"/>
    <s v="PC"/>
    <s v="CNY"/>
    <n v="0.11700000000000001"/>
    <n v="175.5"/>
  </r>
  <r>
    <x v="7"/>
    <x v="7"/>
    <m/>
    <s v="C01053"/>
    <s v="3-6-S07"/>
    <s v="SCR SS M5x35+WHR"/>
    <s v="SCR-"/>
    <s v="B"/>
    <n v="7200"/>
    <s v="PC"/>
    <s v="CNY"/>
    <n v="0.14199999999999999"/>
    <n v="1022.4"/>
  </r>
  <r>
    <x v="7"/>
    <x v="7"/>
    <m/>
    <s v="C01054"/>
    <s v="7-6-S67"/>
    <s v="SCR SS M6x25mm"/>
    <s v="SCR-"/>
    <s v="B"/>
    <n v="13000"/>
    <s v="PC"/>
    <s v="CNY"/>
    <n v="0.153"/>
    <n v="1989"/>
  </r>
  <r>
    <x v="7"/>
    <x v="7"/>
    <m/>
    <s v="C01054"/>
    <s v="7-6-S67"/>
    <s v="SCR SS M6x25mm"/>
    <s v="SCR-"/>
    <s v="B"/>
    <n v="9800"/>
    <s v="PC"/>
    <s v="CNY"/>
    <n v="0.153"/>
    <n v="1499.4"/>
  </r>
  <r>
    <x v="7"/>
    <x v="7"/>
    <m/>
    <s v="C01063"/>
    <s v="3-6-S07"/>
    <s v="SCR SS M5x35+WHR"/>
    <s v="SCR-"/>
    <s v="B"/>
    <n v="3200"/>
    <s v="PC"/>
    <s v="CNY"/>
    <n v="0.14199999999999999"/>
    <n v="454.4"/>
  </r>
  <r>
    <x v="7"/>
    <x v="7"/>
    <m/>
    <s v="C02027"/>
    <s v="3-6-S25"/>
    <s v="SCR SS M5x10MM WELD"/>
    <s v="SCR-"/>
    <s v="B"/>
    <n v="22600"/>
    <s v="PC"/>
    <s v="CNY"/>
    <n v="4.1200000000000001E-2"/>
    <n v="931.12"/>
  </r>
  <r>
    <x v="7"/>
    <x v="7"/>
    <m/>
    <s v="AQ-C02027"/>
    <s v="3-6-S25"/>
    <s v="SCR SS M5x10MM WELD"/>
    <s v="SCR-"/>
    <s v="B"/>
    <n v="-26000"/>
    <s v="PC"/>
    <s v="CNY"/>
    <n v="4.1200000000000001E-2"/>
    <n v="-1071.2"/>
  </r>
  <r>
    <x v="7"/>
    <x v="7"/>
    <m/>
    <s v="C02027"/>
    <s v="3-6-S25"/>
    <s v="SCR SS M5x10MM WELD"/>
    <s v="SCR-"/>
    <s v="B"/>
    <n v="26000"/>
    <s v="PC"/>
    <s v="CNY"/>
    <n v="4.1200000000000001E-2"/>
    <n v="1071.2"/>
  </r>
  <r>
    <x v="7"/>
    <x v="7"/>
    <m/>
    <s v="C02027"/>
    <s v="7-6-S02"/>
    <s v="SS WELDING SCR M6x15mm"/>
    <s v="SCR-"/>
    <s v="B"/>
    <n v="3100"/>
    <s v="PC"/>
    <s v="CNY"/>
    <n v="7.0000000000000007E-2"/>
    <n v="217"/>
  </r>
  <r>
    <x v="7"/>
    <x v="7"/>
    <m/>
    <s v="C02027"/>
    <s v="7-6-SS02"/>
    <s v="SCR SS M5x19"/>
    <s v="SCR-"/>
    <s v="B"/>
    <n v="2000"/>
    <s v="PC"/>
    <s v="CNY"/>
    <n v="9.2999999999999999E-2"/>
    <n v="186"/>
  </r>
  <r>
    <x v="7"/>
    <x v="7"/>
    <m/>
    <s v="C02027"/>
    <s v="7-6-SS02B"/>
    <s v="SCR SS M5x19mm+WHR"/>
    <s v="SCR-"/>
    <s v="B"/>
    <n v="1040"/>
    <s v="PC"/>
    <s v="CNY"/>
    <n v="9.8000000000000004E-2"/>
    <n v="101.92"/>
  </r>
  <r>
    <x v="7"/>
    <x v="7"/>
    <m/>
    <s v="C02027"/>
    <s v="7-6-SS02B"/>
    <s v="SCR SS M5x19mm+WHR"/>
    <s v="SCR-"/>
    <s v="B"/>
    <n v="10000"/>
    <s v="PC"/>
    <s v="CNY"/>
    <n v="9.8000000000000004E-2"/>
    <n v="980"/>
  </r>
  <r>
    <x v="7"/>
    <x v="7"/>
    <m/>
    <s v="C02027"/>
    <s v="7-6-SS02B"/>
    <s v="SCR SS M5x19mm+WHR"/>
    <s v="SCR-"/>
    <s v="B"/>
    <n v="2200"/>
    <s v="PC"/>
    <s v="CNY"/>
    <n v="9.8000000000000004E-2"/>
    <n v="215.6"/>
  </r>
  <r>
    <x v="7"/>
    <x v="7"/>
    <m/>
    <s v="C02027"/>
    <s v="3-6-S07"/>
    <s v="SCR SS M5x35+WHR"/>
    <s v="SCR-"/>
    <s v="B"/>
    <n v="27000"/>
    <s v="PC"/>
    <s v="CNY"/>
    <n v="0.13919999999999999"/>
    <n v="3758.4"/>
  </r>
  <r>
    <x v="6"/>
    <x v="6"/>
    <m/>
    <s v="C02026"/>
    <s v="1-6-N02"/>
    <s v="NUT S/S M5x8"/>
    <s v="SCR-"/>
    <s v="B"/>
    <n v="200"/>
    <s v="PC"/>
    <s v="CNY"/>
    <n v="0.28810000000000002"/>
    <n v="57.62"/>
  </r>
  <r>
    <x v="6"/>
    <x v="6"/>
    <m/>
    <s v="C02026"/>
    <s v="1-6-N02"/>
    <s v="NUT S/S M5x8"/>
    <s v="SCR-"/>
    <s v="B"/>
    <n v="500"/>
    <s v="PC"/>
    <s v="CNY"/>
    <n v="0.28810000000000002"/>
    <n v="144.05000000000001"/>
  </r>
  <r>
    <x v="6"/>
    <x v="6"/>
    <m/>
    <s v="C02025"/>
    <s v="7-6-SS13"/>
    <s v="SCR S/S M5X130 W/S-WHR"/>
    <s v="SCR-"/>
    <s v="B"/>
    <n v="1750"/>
    <s v="PC"/>
    <s v="CNY"/>
    <n v="0.47449999999999998"/>
    <n v="830.38"/>
  </r>
  <r>
    <x v="7"/>
    <x v="7"/>
    <m/>
    <s v="M250230"/>
    <s v="3-6-S25"/>
    <s v="SCR SS M5x10MM WELD"/>
    <s v="SCR-"/>
    <s v="B"/>
    <n v="3400"/>
    <s v="PC"/>
    <s v="CNY"/>
    <n v="4.1200000000000001E-2"/>
    <n v="140.08000000000001"/>
  </r>
  <r>
    <x v="30"/>
    <x v="30"/>
    <m/>
    <s v="C03097"/>
    <s v="1-6-GLH14-ZE"/>
    <s v="G-LD LH 14CM BK01A"/>
    <s v="GLID"/>
    <s v="B"/>
    <n v="3100"/>
    <s v="PC"/>
    <s v="CNY"/>
    <n v="6.4610000000000003"/>
    <n v="20029.099999999999"/>
  </r>
  <r>
    <x v="18"/>
    <x v="18"/>
    <m/>
    <s v="X250330"/>
    <s v="1-8-C16186A-C--E-F"/>
    <s v="COL SLV 16186-C--E (FSC)"/>
    <s v="BOX-"/>
    <s v="B"/>
    <n v="505"/>
    <s v="PC"/>
    <s v="CNY"/>
    <n v="6.52"/>
    <n v="3292.6"/>
  </r>
  <r>
    <x v="30"/>
    <x v="30"/>
    <m/>
    <s v="C03011"/>
    <s v="1-6-GLH14-ZC"/>
    <s v="G-LD LH 14CM BU47A"/>
    <s v="GLID"/>
    <s v="B"/>
    <n v="1050"/>
    <s v="PC"/>
    <s v="CNY"/>
    <n v="6.5929000000000002"/>
    <n v="6922.55"/>
  </r>
  <r>
    <x v="30"/>
    <x v="30"/>
    <m/>
    <s v="RTV-090"/>
    <s v="1-6-GLH14-ZC"/>
    <s v="G-LD LH 14CM BU47A"/>
    <s v="GLID"/>
    <s v="B"/>
    <n v="-120"/>
    <s v="PC"/>
    <s v="CNY"/>
    <n v="6.5929000000000002"/>
    <n v="-791.15"/>
  </r>
  <r>
    <x v="30"/>
    <x v="30"/>
    <m/>
    <s v="C03097"/>
    <s v="1-6-GLH14-ZC"/>
    <s v="G-LD LH 14CM BU47A"/>
    <s v="GLID"/>
    <s v="B"/>
    <n v="2050"/>
    <s v="PC"/>
    <s v="CNY"/>
    <n v="6.5929000000000002"/>
    <n v="13515.45"/>
  </r>
  <r>
    <x v="35"/>
    <x v="35"/>
    <m/>
    <s v="M250323"/>
    <s v="1-6-622-N-CH"/>
    <s v="18CM GLASS BOWL ANYDAY TRANSPARENT CHOOSE"/>
    <s v="GLS-"/>
    <s v="B"/>
    <n v="12000"/>
    <s v="PC"/>
    <s v="CNY"/>
    <n v="6.5929000000000002"/>
    <n v="79114.8"/>
  </r>
  <r>
    <x v="30"/>
    <x v="30"/>
    <m/>
    <s v="RTV-090"/>
    <s v="1-6-GLH14-ZE"/>
    <s v="G-LD LH 14CM BK01A"/>
    <s v="GLID"/>
    <s v="B"/>
    <n v="-110"/>
    <s v="PC"/>
    <s v="CNY"/>
    <n v="6.5929000000000002"/>
    <n v="-725.22"/>
  </r>
  <r>
    <x v="39"/>
    <x v="39"/>
    <m/>
    <s v="X250303"/>
    <s v="7-9-Z71083"/>
    <s v="MASKING TAPE 24MMX100"/>
    <s v="MISC"/>
    <s v="B"/>
    <n v="250"/>
    <s v="RL"/>
    <s v="CNY"/>
    <n v="6.64"/>
    <n v="1660"/>
  </r>
  <r>
    <x v="35"/>
    <x v="35"/>
    <m/>
    <s v="M250328"/>
    <s v="7-6-676"/>
    <s v="GLASS FOR 7-6-GMI19"/>
    <s v="GLS-"/>
    <s v="B"/>
    <n v="6000"/>
    <s v="PC"/>
    <s v="CNY"/>
    <n v="6.6637000000000004"/>
    <n v="39982.199999999997"/>
  </r>
  <r>
    <x v="33"/>
    <x v="33"/>
    <m/>
    <s v="C03064"/>
    <s v="1-6-GGV16-ZA"/>
    <s v="G-LD GV 16CM POL"/>
    <s v="GLID"/>
    <s v="B"/>
    <n v="1010"/>
    <s v="PC"/>
    <s v="CNY"/>
    <n v="7.12"/>
    <n v="7191.2"/>
  </r>
  <r>
    <x v="30"/>
    <x v="30"/>
    <m/>
    <s v="C03031"/>
    <s v="1-6-GLH16-ZQ"/>
    <s v="G-LD LH 16CM ANYDAY GN36A"/>
    <s v="GLID"/>
    <s v="B"/>
    <n v="2080"/>
    <s v="PC"/>
    <s v="CNY"/>
    <n v="7.2716000000000003"/>
    <n v="15124.93"/>
  </r>
  <r>
    <x v="30"/>
    <x v="30"/>
    <m/>
    <s v="C03097"/>
    <s v="1-6-GLH16-ZQ"/>
    <s v="G-LD LH 16CM ANYDAY GN36A"/>
    <s v="GLID"/>
    <s v="B"/>
    <n v="200"/>
    <s v="PC"/>
    <s v="CNY"/>
    <n v="7.2716000000000003"/>
    <n v="1454.32"/>
  </r>
  <r>
    <x v="22"/>
    <x v="22"/>
    <m/>
    <s v="C03013"/>
    <s v="7-5-LMH102--X"/>
    <s v="102 POL"/>
    <s v="LHDL"/>
    <s v="B"/>
    <n v="1620"/>
    <s v="PC"/>
    <s v="CNY"/>
    <n v="7.3152999999999997"/>
    <n v="11850.79"/>
  </r>
  <r>
    <x v="22"/>
    <x v="22"/>
    <m/>
    <s v="C03013"/>
    <s v="7-5-LMH105--X"/>
    <s v="105 POL"/>
    <s v="LHDL"/>
    <s v="B"/>
    <n v="1010"/>
    <s v="PC"/>
    <s v="CNY"/>
    <n v="7.3506999999999998"/>
    <n v="7424.21"/>
  </r>
  <r>
    <x v="22"/>
    <x v="22"/>
    <m/>
    <s v="C03013"/>
    <s v="7-5-LMH105--X"/>
    <s v="105 POL"/>
    <s v="LHDL"/>
    <s v="B"/>
    <n v="1010"/>
    <s v="PC"/>
    <s v="CNY"/>
    <n v="7.3506999999999998"/>
    <n v="7424.21"/>
  </r>
  <r>
    <x v="11"/>
    <x v="11"/>
    <m/>
    <s v="C01005"/>
    <s v="3-5-SIF107-BX"/>
    <s v="107 GY04A POL"/>
    <s v="SHDL"/>
    <s v="B"/>
    <n v="2000"/>
    <s v="PC"/>
    <s v="CNY"/>
    <n v="7.2710999999999997"/>
    <n v="14542.2"/>
  </r>
  <r>
    <x v="8"/>
    <x v="8"/>
    <m/>
    <s v="C01033"/>
    <s v="3-5-SIN105--X"/>
    <s v="105 POL"/>
    <s v="SHDL"/>
    <s v="B"/>
    <n v="1810"/>
    <s v="PC"/>
    <s v="CNY"/>
    <n v="3.9451000000000001"/>
    <n v="7140.63"/>
  </r>
  <r>
    <x v="16"/>
    <x v="16"/>
    <m/>
    <s v="C01047"/>
    <s v="5-5-SAN01"/>
    <s v="SHDL AN 20CM G.BLK"/>
    <s v="SHDL"/>
    <s v="B"/>
    <n v="2000"/>
    <s v="PC"/>
    <s v="CNY"/>
    <n v="1.6517999999999999"/>
    <n v="3303.6"/>
  </r>
  <r>
    <x v="16"/>
    <x v="16"/>
    <m/>
    <s v="C01047"/>
    <s v="5-5-SAN03"/>
    <s v="SHDL AN 24CM G.BLK"/>
    <s v="SHDL"/>
    <s v="B"/>
    <n v="2050"/>
    <s v="PC"/>
    <s v="CNY"/>
    <n v="1.8811"/>
    <n v="3856.26"/>
  </r>
  <r>
    <x v="16"/>
    <x v="16"/>
    <m/>
    <s v="C01047"/>
    <s v="3-5-SC07"/>
    <s v="W32 M.BLK TUM"/>
    <s v="SHDL"/>
    <s v="B"/>
    <n v="3030"/>
    <s v="PC"/>
    <s v="CNY"/>
    <n v="3.5945999999999998"/>
    <n v="10891.64"/>
  </r>
  <r>
    <x v="49"/>
    <x v="49"/>
    <m/>
    <s v="C02012"/>
    <s v="7-5-SR06-L"/>
    <s v="STD- 06 POL R101 C/C106.5 H8.5"/>
    <s v="SHDL"/>
    <s v="B"/>
    <n v="2000"/>
    <s v="PC"/>
    <s v="CNY"/>
    <n v="1.8651"/>
    <n v="3730.2"/>
  </r>
  <r>
    <x v="16"/>
    <x v="16"/>
    <m/>
    <s v="C02032"/>
    <s v="5-5-SAN01"/>
    <s v="SHDL AN 20CM G.BLK"/>
    <s v="SHDL"/>
    <s v="B"/>
    <n v="4100"/>
    <s v="PC"/>
    <s v="CNY"/>
    <n v="1.6517999999999999"/>
    <n v="6772.38"/>
  </r>
  <r>
    <x v="16"/>
    <x v="16"/>
    <m/>
    <s v="C02032"/>
    <s v="5-5-SAN01"/>
    <s v="SHDL AN 20CM G.BLK"/>
    <s v="SHDL"/>
    <s v="B"/>
    <n v="2000"/>
    <s v="PC"/>
    <s v="CNY"/>
    <n v="1.6517999999999999"/>
    <n v="3303.6"/>
  </r>
  <r>
    <x v="16"/>
    <x v="16"/>
    <m/>
    <s v="C02033"/>
    <s v="5-5-SAN03"/>
    <s v="SHDL AN 24CM G.BLK"/>
    <s v="SHDL"/>
    <s v="B"/>
    <n v="2030"/>
    <s v="PC"/>
    <s v="CNY"/>
    <n v="1.8811"/>
    <n v="3818.63"/>
  </r>
  <r>
    <x v="16"/>
    <x v="16"/>
    <m/>
    <s v="C02033"/>
    <s v="5-5-SAN03"/>
    <s v="SHDL AN 24CM G.BLK"/>
    <s v="SHDL"/>
    <s v="B"/>
    <n v="4100"/>
    <s v="PC"/>
    <s v="CNY"/>
    <n v="1.8811"/>
    <n v="7712.51"/>
  </r>
  <r>
    <x v="16"/>
    <x v="16"/>
    <m/>
    <s v="C02033"/>
    <s v="5-5-SAN03"/>
    <s v="SHDL AN 24CM G.BLK"/>
    <s v="SHDL"/>
    <s v="B"/>
    <n v="2000"/>
    <s v="PC"/>
    <s v="CNY"/>
    <n v="1.8811"/>
    <n v="3762.2"/>
  </r>
  <r>
    <x v="16"/>
    <x v="16"/>
    <m/>
    <s v="C02034"/>
    <s v="3-5-SIR508--X"/>
    <s v="508 M.BLK TUM"/>
    <s v="SHDL"/>
    <s v="B"/>
    <n v="1800"/>
    <s v="PC"/>
    <s v="CNY"/>
    <n v="2.6659999999999999"/>
    <n v="4798.8"/>
  </r>
  <r>
    <x v="28"/>
    <x v="28"/>
    <m/>
    <s v="C03112"/>
    <s v="1-6-GEW28-ZA"/>
    <s v="G-LD EW 28CM POL"/>
    <s v="GLID"/>
    <s v="B"/>
    <n v="1030"/>
    <s v="PC"/>
    <s v="CNY"/>
    <n v="7.3867000000000003"/>
    <n v="7608.3"/>
  </r>
  <r>
    <x v="22"/>
    <x v="22"/>
    <m/>
    <s v="C03013"/>
    <s v="7-5-LMH107--X"/>
    <s v="107 POL"/>
    <s v="LHDL"/>
    <s v="B"/>
    <n v="510"/>
    <s v="PC"/>
    <s v="CNY"/>
    <n v="7.4212999999999996"/>
    <n v="3784.86"/>
  </r>
  <r>
    <x v="30"/>
    <x v="30"/>
    <m/>
    <s v="RTV-080"/>
    <s v="1-6-GMF15-ZQ"/>
    <s v="G-LD MF 15CM SQUARE GN36A"/>
    <s v="GLID"/>
    <s v="B"/>
    <n v="-79"/>
    <s v="PC"/>
    <s v="CNY"/>
    <n v="7.4237000000000002"/>
    <n v="-586.47"/>
  </r>
  <r>
    <x v="30"/>
    <x v="30"/>
    <m/>
    <s v="RTV-080"/>
    <s v="1-6-GMF15-ZC"/>
    <s v="G-LD MF 15CM SQUARE  BU47A"/>
    <s v="GLID"/>
    <s v="B"/>
    <n v="-78"/>
    <s v="PC"/>
    <s v="CNY"/>
    <n v="7.4237000000000002"/>
    <n v="-579.04999999999995"/>
  </r>
  <r>
    <x v="30"/>
    <x v="30"/>
    <m/>
    <s v="C03021"/>
    <s v="1-6-GMF15-ZQ"/>
    <s v="G-LD MF 15CM SQUARE GN36A"/>
    <s v="GLID"/>
    <s v="B"/>
    <n v="2100"/>
    <s v="PC"/>
    <s v="CNY"/>
    <n v="7.4237000000000002"/>
    <n v="15589.77"/>
  </r>
  <r>
    <x v="30"/>
    <x v="30"/>
    <m/>
    <s v="C03097"/>
    <s v="1-6-GMF15-ZC"/>
    <s v="G-LD MF 15CM SQUARE  BU47A"/>
    <s v="GLID"/>
    <s v="B"/>
    <n v="78"/>
    <s v="PC"/>
    <s v="CNY"/>
    <n v="7.4237000000000002"/>
    <n v="579.04999999999995"/>
  </r>
  <r>
    <x v="30"/>
    <x v="30"/>
    <m/>
    <s v="RTV-090"/>
    <s v="1-6-GMF15-ZQ"/>
    <s v="G-LD MF 15CM SQUARE GN36A"/>
    <s v="GLID"/>
    <s v="B"/>
    <n v="-90"/>
    <s v="PC"/>
    <s v="CNY"/>
    <n v="7.4237000000000002"/>
    <n v="-668.13"/>
  </r>
  <r>
    <x v="18"/>
    <x v="18"/>
    <m/>
    <s v="X250106"/>
    <s v="5-8-C50003D-C--E"/>
    <s v="CORR SLV 50003-C--E"/>
    <s v="SHTS"/>
    <s v="B"/>
    <n v="2020"/>
    <s v="PC"/>
    <s v="CNY"/>
    <n v="1.75"/>
    <n v="3535"/>
  </r>
  <r>
    <x v="18"/>
    <x v="18"/>
    <m/>
    <s v="X250106"/>
    <s v="1-8-C11936A"/>
    <s v="3-WAY CORR SLV 11936"/>
    <s v="SHTS"/>
    <s v="B"/>
    <n v="1010"/>
    <s v="PC"/>
    <s v="CNY"/>
    <n v="4.5199999999999996"/>
    <n v="4565.2"/>
  </r>
  <r>
    <x v="18"/>
    <x v="18"/>
    <m/>
    <s v="X250116"/>
    <s v="1-8-C18889"/>
    <s v="COL SLV 18889"/>
    <s v="SHTS"/>
    <s v="B"/>
    <n v="1010"/>
    <s v="PC"/>
    <s v="CNY"/>
    <n v="1.3"/>
    <n v="1313"/>
  </r>
  <r>
    <x v="18"/>
    <x v="18"/>
    <m/>
    <s v="X250116"/>
    <s v="5-8-C50000E-C--E"/>
    <s v="CORR SLV 50000-C--E"/>
    <s v="SHTS"/>
    <s v="B"/>
    <n v="1010"/>
    <s v="PC"/>
    <s v="CNY"/>
    <n v="1.66"/>
    <n v="1676.6"/>
  </r>
  <r>
    <x v="18"/>
    <x v="18"/>
    <m/>
    <s v="X250116"/>
    <s v="5-8-C50003D-C--E"/>
    <s v="CORR SLV 50003-C--E"/>
    <s v="SHTS"/>
    <s v="B"/>
    <n v="1010"/>
    <s v="PC"/>
    <s v="CNY"/>
    <n v="1.75"/>
    <n v="1767.5"/>
  </r>
  <r>
    <x v="18"/>
    <x v="18"/>
    <m/>
    <s v="X250116"/>
    <s v="1-8-C15009A-C"/>
    <s v="COL SLV 15009-C"/>
    <s v="SHTS"/>
    <s v="B"/>
    <n v="1010"/>
    <s v="PC"/>
    <s v="CNY"/>
    <n v="2.09"/>
    <n v="2110.9"/>
  </r>
  <r>
    <x v="18"/>
    <x v="18"/>
    <m/>
    <s v="X250116"/>
    <s v="1-8-C18892"/>
    <s v="COL SLV 18892"/>
    <s v="SHTS"/>
    <s v="B"/>
    <n v="510"/>
    <s v="PC"/>
    <s v="CNY"/>
    <n v="2.2999999999999998"/>
    <n v="1173"/>
  </r>
  <r>
    <x v="18"/>
    <x v="18"/>
    <m/>
    <s v="X250116"/>
    <s v="1-8-C18892"/>
    <s v="COL SLV 18892"/>
    <s v="SHTS"/>
    <s v="B"/>
    <n v="1010"/>
    <s v="PC"/>
    <s v="CNY"/>
    <n v="2.2999999999999998"/>
    <n v="2323"/>
  </r>
  <r>
    <x v="18"/>
    <x v="18"/>
    <m/>
    <s v="X250116"/>
    <s v="1-8-C15158-C--E"/>
    <s v="COL SLV 15158-C--E"/>
    <s v="SHTS"/>
    <s v="B"/>
    <n v="1010"/>
    <s v="PC"/>
    <s v="CNY"/>
    <n v="2.46"/>
    <n v="2484.6"/>
  </r>
  <r>
    <x v="18"/>
    <x v="18"/>
    <m/>
    <s v="X250116"/>
    <s v="1-8-C15157-C--E"/>
    <s v="COL SLV 15157-C--E"/>
    <s v="SHTS"/>
    <s v="B"/>
    <n v="1010"/>
    <s v="PC"/>
    <s v="CNY"/>
    <n v="2.56"/>
    <n v="2585.6"/>
  </r>
  <r>
    <x v="18"/>
    <x v="18"/>
    <m/>
    <s v="X250116"/>
    <s v="1-8-C15169-C--E"/>
    <s v="COL SLV 15169-C--E"/>
    <s v="SHTS"/>
    <s v="B"/>
    <n v="1010"/>
    <s v="PC"/>
    <s v="CNY"/>
    <n v="2.84"/>
    <n v="2868.4"/>
  </r>
  <r>
    <x v="18"/>
    <x v="18"/>
    <m/>
    <s v="X250116"/>
    <s v="1-8-C15160-C--E"/>
    <s v="COL SLV 15160-C--E"/>
    <s v="SHTS"/>
    <s v="B"/>
    <n v="1010"/>
    <s v="PC"/>
    <s v="CNY"/>
    <n v="2.86"/>
    <n v="2888.6"/>
  </r>
  <r>
    <x v="18"/>
    <x v="18"/>
    <m/>
    <s v="X250120"/>
    <s v="7-8-C70043F-C--E"/>
    <s v="CORR SLV 70043-C--E"/>
    <s v="SHTS"/>
    <s v="B"/>
    <n v="1010"/>
    <s v="PC"/>
    <s v="CNY"/>
    <n v="3.33"/>
    <n v="3363.3"/>
  </r>
  <r>
    <x v="18"/>
    <x v="18"/>
    <m/>
    <s v="X250116"/>
    <s v="1-8-C12356-C"/>
    <s v="CORR COL SLV 12356-C"/>
    <s v="SHTS"/>
    <s v="B"/>
    <n v="1010"/>
    <s v="PC"/>
    <s v="CNY"/>
    <n v="3.45"/>
    <n v="3484.5"/>
  </r>
  <r>
    <x v="18"/>
    <x v="18"/>
    <m/>
    <s v="X250117"/>
    <s v="7-8-C77100-C--J"/>
    <s v="COL BOX 77100-C--J"/>
    <s v="SHTS"/>
    <s v="B"/>
    <n v="1010"/>
    <s v="PC"/>
    <s v="CNY"/>
    <n v="4.63"/>
    <n v="4676.3"/>
  </r>
  <r>
    <x v="18"/>
    <x v="18"/>
    <m/>
    <s v="X250116"/>
    <s v="1-8-C14433A-C"/>
    <s v="CB COL SLV 14433-C"/>
    <s v="SHTS"/>
    <s v="B"/>
    <n v="505"/>
    <s v="PC"/>
    <s v="CNY"/>
    <n v="4.95"/>
    <n v="2499.75"/>
  </r>
  <r>
    <x v="18"/>
    <x v="18"/>
    <m/>
    <s v="X250123"/>
    <s v="7-8-C70737A-C--E-F"/>
    <s v="COL SLV 70737-C--E (FSC)"/>
    <s v="SHTS"/>
    <s v="B"/>
    <n v="1005"/>
    <s v="PC"/>
    <s v="CNY"/>
    <n v="3"/>
    <n v="3015"/>
  </r>
  <r>
    <x v="18"/>
    <x v="18"/>
    <m/>
    <s v="X250135"/>
    <s v="5-8-C50011D-C--E"/>
    <s v="CORR SLV 50011-C--E"/>
    <s v="SHTS"/>
    <s v="B"/>
    <n v="1010"/>
    <s v="PC"/>
    <s v="CNY"/>
    <n v="3.22"/>
    <n v="3252.2"/>
  </r>
  <r>
    <x v="18"/>
    <x v="18"/>
    <m/>
    <s v="X250140"/>
    <s v="1-8-C11258-C--E"/>
    <s v="EXTENDED COL SLV 11258-C--E"/>
    <s v="SHTS"/>
    <s v="B"/>
    <n v="500"/>
    <s v="PC"/>
    <s v="CNY"/>
    <n v="2.94"/>
    <n v="1470"/>
  </r>
  <r>
    <x v="18"/>
    <x v="18"/>
    <m/>
    <s v="X250202"/>
    <s v="1-8-C18890"/>
    <s v="COL SLV 18890"/>
    <s v="SHTS"/>
    <s v="B"/>
    <n v="1010"/>
    <s v="PC"/>
    <s v="CNY"/>
    <n v="1.77"/>
    <n v="1787.7"/>
  </r>
  <r>
    <x v="18"/>
    <x v="18"/>
    <m/>
    <s v="X250202"/>
    <s v="1-8-C15157-C--E"/>
    <s v="COL SLV 15157-C--E"/>
    <s v="SHTS"/>
    <s v="B"/>
    <n v="1010"/>
    <s v="PC"/>
    <s v="CNY"/>
    <n v="2.56"/>
    <n v="2585.6"/>
  </r>
  <r>
    <x v="18"/>
    <x v="18"/>
    <m/>
    <s v="X250202"/>
    <s v="1-8-C15159-C--E"/>
    <s v="COL SLV 15159-C--E"/>
    <s v="SHTS"/>
    <s v="B"/>
    <n v="1010"/>
    <s v="PC"/>
    <s v="CNY"/>
    <n v="2.8"/>
    <n v="2828"/>
  </r>
  <r>
    <x v="18"/>
    <x v="18"/>
    <m/>
    <s v="X250202"/>
    <s v="1-8-C15162-C--E"/>
    <s v="3-WAY COL SLV 15162-C--E"/>
    <s v="SHTS"/>
    <s v="B"/>
    <n v="1010"/>
    <s v="PC"/>
    <s v="CNY"/>
    <n v="4.0199999999999996"/>
    <n v="4060.2"/>
  </r>
  <r>
    <x v="18"/>
    <x v="18"/>
    <m/>
    <s v="X250204"/>
    <s v="5-8-C50057C-C--E"/>
    <s v="CORR SLV 50057-C--E"/>
    <s v="SHTS"/>
    <s v="B"/>
    <n v="2020"/>
    <s v="PC"/>
    <s v="CNY"/>
    <n v="1.63"/>
    <n v="3292.6"/>
  </r>
  <r>
    <x v="18"/>
    <x v="18"/>
    <m/>
    <s v="X250204"/>
    <s v="5-8-C50003D-C--E"/>
    <s v="CORR SLV 50003-C--E"/>
    <s v="SHTS"/>
    <s v="B"/>
    <n v="1010"/>
    <s v="PC"/>
    <s v="CNY"/>
    <n v="1.64"/>
    <n v="1656.4"/>
  </r>
  <r>
    <x v="18"/>
    <x v="18"/>
    <m/>
    <s v="X250204"/>
    <s v="5-8-C50000E-C--E"/>
    <s v="CORR SLV 50000-C--E"/>
    <s v="SHTS"/>
    <s v="B"/>
    <n v="1010"/>
    <s v="PC"/>
    <s v="CNY"/>
    <n v="1.66"/>
    <n v="1676.6"/>
  </r>
  <r>
    <x v="18"/>
    <x v="18"/>
    <m/>
    <s v="X250204"/>
    <s v="5-8-C50000E-C--E"/>
    <s v="CORR SLV 50000-C--E"/>
    <s v="SHTS"/>
    <s v="B"/>
    <n v="2020"/>
    <s v="PC"/>
    <s v="CNY"/>
    <n v="1.66"/>
    <n v="3353.2"/>
  </r>
  <r>
    <x v="18"/>
    <x v="18"/>
    <m/>
    <s v="X250204"/>
    <s v="5-8-C50005E-C--E"/>
    <s v="CORR SLV 50005-C--E"/>
    <s v="SHTS"/>
    <s v="B"/>
    <n v="3020"/>
    <s v="PC"/>
    <s v="CNY"/>
    <n v="1.82"/>
    <n v="5496.4"/>
  </r>
  <r>
    <x v="18"/>
    <x v="18"/>
    <m/>
    <s v="X250204"/>
    <s v="7-8-C71229-C--E"/>
    <s v="CORR SLV 71229-C--E"/>
    <s v="SHTS"/>
    <s v="B"/>
    <n v="1010"/>
    <s v="PC"/>
    <s v="CNY"/>
    <n v="2.02"/>
    <n v="2040.2"/>
  </r>
  <r>
    <x v="18"/>
    <x v="18"/>
    <m/>
    <s v="X250204"/>
    <s v="5-8-C50004E-C--E"/>
    <s v="CORR SLV 50004-C--E"/>
    <s v="SHTS"/>
    <s v="B"/>
    <n v="2020"/>
    <s v="PC"/>
    <s v="CNY"/>
    <n v="2.12"/>
    <n v="4282.3999999999996"/>
  </r>
  <r>
    <x v="18"/>
    <x v="18"/>
    <m/>
    <s v="X250204"/>
    <s v="5-8-C50006F-C--E"/>
    <s v="CORR SLV 50006-C--E"/>
    <s v="SHTS"/>
    <s v="B"/>
    <n v="1010"/>
    <s v="PC"/>
    <s v="CNY"/>
    <n v="2.27"/>
    <n v="2292.6999999999998"/>
  </r>
  <r>
    <x v="18"/>
    <x v="18"/>
    <m/>
    <s v="X250204"/>
    <s v="1-8-C12079"/>
    <s v="3-WAY CORR SLV 12079"/>
    <s v="SHTS"/>
    <s v="B"/>
    <n v="1260"/>
    <s v="PC"/>
    <s v="CNY"/>
    <n v="2.59"/>
    <n v="3263.4"/>
  </r>
  <r>
    <x v="18"/>
    <x v="18"/>
    <m/>
    <s v="X250204"/>
    <s v="7-8-C77447A-C"/>
    <s v="CORRUGATED SLV 77447-C"/>
    <s v="SHTS"/>
    <s v="B"/>
    <n v="1010"/>
    <s v="PC"/>
    <s v="CNY"/>
    <n v="3.09"/>
    <n v="3120.9"/>
  </r>
  <r>
    <x v="18"/>
    <x v="18"/>
    <m/>
    <s v="X250204"/>
    <s v="1-8-C11936A"/>
    <s v="3-WAY CORR SLV 11936"/>
    <s v="SHTS"/>
    <s v="B"/>
    <n v="1010"/>
    <s v="PC"/>
    <s v="CNY"/>
    <n v="4.5199999999999996"/>
    <n v="4565.2"/>
  </r>
  <r>
    <x v="18"/>
    <x v="18"/>
    <m/>
    <s v="X250204"/>
    <s v="7-8-C70819"/>
    <s v="3-WAY CORR SLV 70819"/>
    <s v="SHTS"/>
    <s v="B"/>
    <n v="1010"/>
    <s v="PC"/>
    <s v="CNY"/>
    <n v="5.0199999999999996"/>
    <n v="5070.2"/>
  </r>
  <r>
    <x v="18"/>
    <x v="18"/>
    <m/>
    <s v="X250201"/>
    <s v="7-8-C77100-C--J"/>
    <s v="COL BOX 77100-C--J"/>
    <s v="SHTS"/>
    <s v="B"/>
    <n v="500"/>
    <s v="PC"/>
    <s v="CNY"/>
    <n v="6.47"/>
    <n v="3235"/>
  </r>
  <r>
    <x v="18"/>
    <x v="18"/>
    <m/>
    <s v="X250214"/>
    <s v="5-8-C50003D-C--E"/>
    <s v="CORR SLV 50003-C--E"/>
    <s v="SHTS"/>
    <s v="B"/>
    <n v="2020"/>
    <s v="PC"/>
    <s v="CNY"/>
    <n v="1.64"/>
    <n v="3312.8"/>
  </r>
  <r>
    <x v="18"/>
    <x v="18"/>
    <m/>
    <s v="X250214"/>
    <s v="5-8-C50002D-C--E"/>
    <s v="CORR SLV 50002-C--E"/>
    <s v="SHTS"/>
    <s v="B"/>
    <n v="2010"/>
    <s v="PC"/>
    <s v="CNY"/>
    <n v="1.96"/>
    <n v="3939.6"/>
  </r>
  <r>
    <x v="18"/>
    <x v="18"/>
    <m/>
    <s v="X250214"/>
    <s v="1-8-C12079"/>
    <s v="3-WAY CORR SLV 12079"/>
    <s v="SHTS"/>
    <s v="B"/>
    <n v="1260"/>
    <s v="PC"/>
    <s v="CNY"/>
    <n v="2.59"/>
    <n v="3263.4"/>
  </r>
  <r>
    <x v="18"/>
    <x v="18"/>
    <m/>
    <s v="M250215"/>
    <s v="7-8-C70733A-C--E-F"/>
    <s v="COL SLV 70733-C--E (FSC)"/>
    <s v="SHTS"/>
    <s v="B"/>
    <n v="1010"/>
    <s v="PC"/>
    <s v="CNY"/>
    <n v="2.9"/>
    <n v="2929"/>
  </r>
  <r>
    <x v="18"/>
    <x v="18"/>
    <m/>
    <s v="M250215"/>
    <s v="7-8-C70735A-C--E-F"/>
    <s v="COL SLV 70735-C--E (FSC)"/>
    <s v="SHTS"/>
    <s v="B"/>
    <n v="1010"/>
    <s v="PC"/>
    <s v="CNY"/>
    <n v="2.96"/>
    <n v="2989.6"/>
  </r>
  <r>
    <x v="18"/>
    <x v="18"/>
    <m/>
    <s v="X250214"/>
    <s v="5-8-C50000E-C--E"/>
    <s v="CORR SLV 50000-C--E"/>
    <s v="SHTS"/>
    <s v="B"/>
    <n v="1010"/>
    <s v="PC"/>
    <s v="CNY"/>
    <n v="3"/>
    <n v="3030"/>
  </r>
  <r>
    <x v="18"/>
    <x v="18"/>
    <m/>
    <s v="X250214"/>
    <s v="5-8-C50057C-C--E"/>
    <s v="CORR SLV 50057-C--E"/>
    <s v="SHTS"/>
    <s v="B"/>
    <n v="1000"/>
    <s v="PC"/>
    <s v="CNY"/>
    <n v="3.18"/>
    <n v="3180"/>
  </r>
  <r>
    <x v="18"/>
    <x v="18"/>
    <m/>
    <s v="X250214"/>
    <s v="1-8-C12079"/>
    <s v="3-WAY CORR SLV 12079"/>
    <s v="SHTS"/>
    <s v="B"/>
    <n v="1010"/>
    <s v="PC"/>
    <s v="CNY"/>
    <n v="4.47"/>
    <n v="4514.7"/>
  </r>
  <r>
    <x v="18"/>
    <x v="18"/>
    <m/>
    <s v="X250214"/>
    <s v="7-8-C70818"/>
    <s v="3-WAY CORR SLV 70818"/>
    <s v="SHTS"/>
    <s v="B"/>
    <n v="1010"/>
    <s v="PC"/>
    <s v="CNY"/>
    <n v="5.03"/>
    <n v="5080.3"/>
  </r>
  <r>
    <x v="18"/>
    <x v="18"/>
    <m/>
    <s v="X250214"/>
    <s v="1-8-C12355-C"/>
    <s v="CORR COL SLV 12355-C"/>
    <s v="SHTS"/>
    <s v="B"/>
    <n v="505"/>
    <s v="PC"/>
    <s v="CNY"/>
    <n v="5.41"/>
    <n v="2732.05"/>
  </r>
  <r>
    <x v="18"/>
    <x v="18"/>
    <m/>
    <s v="X250214"/>
    <s v="7-8-C70821"/>
    <s v="3-WAY CORR SLV 70821"/>
    <s v="SHTS"/>
    <s v="B"/>
    <n v="1010"/>
    <s v="PC"/>
    <s v="CNY"/>
    <n v="5.62"/>
    <n v="5676.2"/>
  </r>
  <r>
    <x v="18"/>
    <x v="18"/>
    <m/>
    <s v="X250230"/>
    <s v="7-8-C71229-C--E"/>
    <s v="CORR SLV 71229-C--E"/>
    <s v="SHTS"/>
    <s v="B"/>
    <n v="1010"/>
    <s v="PC"/>
    <s v="CNY"/>
    <n v="2.02"/>
    <n v="2040.2"/>
  </r>
  <r>
    <x v="18"/>
    <x v="18"/>
    <m/>
    <s v="X250230"/>
    <s v="1-8-C14433A-C"/>
    <s v="CB COL SLV 14433-C"/>
    <s v="SHTS"/>
    <s v="B"/>
    <n v="505"/>
    <s v="PC"/>
    <s v="CNY"/>
    <n v="3.08"/>
    <n v="1555.4"/>
  </r>
  <r>
    <x v="18"/>
    <x v="18"/>
    <m/>
    <s v="X250230"/>
    <s v="1-8-C14436A-C"/>
    <s v="CB COL SLV 14436-C"/>
    <s v="SHTS"/>
    <s v="B"/>
    <n v="505"/>
    <s v="PC"/>
    <s v="CNY"/>
    <n v="3.4"/>
    <n v="1717"/>
  </r>
  <r>
    <x v="5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5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32"/>
    <x v="32"/>
    <m/>
    <s v="C03036"/>
    <s v="1-6-GEI32-ZA"/>
    <s v="G-LD EI 32CM POL"/>
    <s v="GLID"/>
    <s v="B"/>
    <n v="610"/>
    <s v="PC"/>
    <s v="CNY"/>
    <n v="7.4503000000000004"/>
    <n v="4544.68"/>
  </r>
  <r>
    <x v="22"/>
    <x v="22"/>
    <m/>
    <s v="C03013"/>
    <s v="7-5-LMH111--X"/>
    <s v="111 POL"/>
    <s v="LHDL"/>
    <s v="B"/>
    <n v="410"/>
    <s v="PC"/>
    <s v="CNY"/>
    <n v="7.4566999999999997"/>
    <n v="3057.25"/>
  </r>
  <r>
    <x v="5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5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50"/>
    <x v="50"/>
    <m/>
    <s v="C03006"/>
    <s v="3-5-HOD104-DX"/>
    <s v="SH 104 GY04A POL"/>
    <s v="HDL-"/>
    <s v="B"/>
    <n v="520"/>
    <s v="PC"/>
    <s v="CNY"/>
    <n v="7.4577999999999998"/>
    <n v="3878.06"/>
  </r>
  <r>
    <x v="5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38"/>
    <x v="38"/>
    <m/>
    <s v="C03002"/>
    <s v="3-5-LSI105A-Y"/>
    <s v="STD- 105 M BSH R223.5 C/C102 H6.5 (BFMY20)"/>
    <s v="HDL-"/>
    <s v="B"/>
    <n v="400"/>
    <s v="PC"/>
    <s v="CNY"/>
    <n v="7.4931000000000001"/>
    <n v="2997.24"/>
  </r>
  <r>
    <x v="38"/>
    <x v="38"/>
    <m/>
    <s v="C03002"/>
    <s v="3-5-LSI107A-Y"/>
    <s v="STD- 107 M BSH R274.7 C/C102 H6.5 (182424S)"/>
    <s v="HDL-"/>
    <s v="B"/>
    <n v="900"/>
    <s v="PC"/>
    <s v="CNY"/>
    <n v="7.4931000000000001"/>
    <n v="6743.79"/>
  </r>
  <r>
    <x v="38"/>
    <x v="38"/>
    <m/>
    <s v="C03057"/>
    <s v="3-5-LSI105A-Y"/>
    <s v="STD- 105 M BSH R223.5 C/C102 H6.5 (BFMY20)"/>
    <s v="HDL-"/>
    <s v="B"/>
    <n v="4100"/>
    <s v="PC"/>
    <s v="CNY"/>
    <n v="7.4931000000000001"/>
    <n v="30721.71"/>
  </r>
  <r>
    <x v="38"/>
    <x v="38"/>
    <m/>
    <s v="C03083"/>
    <s v="3-5-LSI105A-Y"/>
    <s v="STD- 105 M BSH R223.5 C/C102 H6.5 (BFMY20)"/>
    <s v="HDL-"/>
    <s v="B"/>
    <n v="3500"/>
    <s v="PC"/>
    <s v="CNY"/>
    <n v="7.4931000000000001"/>
    <n v="26225.85"/>
  </r>
  <r>
    <x v="38"/>
    <x v="38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38"/>
    <x v="38"/>
    <m/>
    <s v="C03083"/>
    <s v="3-5-LSI107A-Y"/>
    <s v="STD- 107 M BSH R274.7 C/C102 H6.5 (182424S)"/>
    <s v="HDL-"/>
    <s v="B"/>
    <n v="3020"/>
    <s v="PC"/>
    <s v="CNY"/>
    <n v="7.4931000000000001"/>
    <n v="22629.16"/>
  </r>
  <r>
    <x v="38"/>
    <x v="38"/>
    <m/>
    <s v="C03083"/>
    <s v="3-5-LSI108A-Y"/>
    <s v="STD- 108 M BSH R295.5 C/C102 H6.5 (182426S)"/>
    <s v="HDL-"/>
    <s v="B"/>
    <n v="3100"/>
    <s v="PC"/>
    <s v="CNY"/>
    <n v="7.4931000000000001"/>
    <n v="23228.61"/>
  </r>
  <r>
    <x v="41"/>
    <x v="41"/>
    <m/>
    <s v="250101"/>
    <s v="REC26DS-003"/>
    <s v="26CM SS LID"/>
    <s v="SKU-"/>
    <s v="O"/>
    <n v="800"/>
    <s v="PC"/>
    <s v="CNY"/>
    <n v="4.91"/>
    <n v="3928"/>
  </r>
  <r>
    <x v="41"/>
    <x v="41"/>
    <m/>
    <s v="RTV-634"/>
    <s v="REC26DS-003"/>
    <s v="26CM SS LID"/>
    <s v="SKU-"/>
    <s v="O"/>
    <n v="-800"/>
    <s v="PC"/>
    <s v="CNY"/>
    <n v="4.91"/>
    <n v="-3928"/>
  </r>
  <r>
    <x v="28"/>
    <x v="28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28"/>
    <x v="28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28"/>
    <x v="28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41"/>
    <x v="41"/>
    <m/>
    <s v="250103"/>
    <s v="REC20DS-004"/>
    <s v="20CM SS LID WITH 6.2mm HOLE IN CENTRE"/>
    <s v="SKU-"/>
    <s v="O"/>
    <n v="1000"/>
    <s v="PC"/>
    <s v="CNY"/>
    <n v="4.3499999999999996"/>
    <n v="4350"/>
  </r>
  <r>
    <x v="41"/>
    <x v="41"/>
    <m/>
    <s v="250103"/>
    <s v="REC26DS-003"/>
    <s v="26CM SS LID"/>
    <s v="SKU-"/>
    <s v="O"/>
    <n v="800"/>
    <s v="PC"/>
    <s v="CNY"/>
    <n v="4.91"/>
    <n v="3928"/>
  </r>
  <r>
    <x v="28"/>
    <x v="28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28"/>
    <x v="28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42"/>
    <x v="42"/>
    <m/>
    <s v="250105"/>
    <s v="BLC16DS-001"/>
    <s v="16CM SS LID W/KNOB &amp; WHISTLE"/>
    <s v="SKU-"/>
    <s v="O"/>
    <n v="1000"/>
    <s v="PC"/>
    <s v="CNY"/>
    <n v="4.9154"/>
    <n v="4915.3999999999996"/>
  </r>
  <r>
    <x v="42"/>
    <x v="42"/>
    <m/>
    <s v="250105"/>
    <s v="BLC20DS-001"/>
    <s v="20CM SS LID W/KNOB &amp; WHISTLE"/>
    <s v="SKU-"/>
    <s v="O"/>
    <n v="1000"/>
    <s v="PC"/>
    <s v="CNY"/>
    <n v="5.0862999999999996"/>
    <n v="5086.3"/>
  </r>
  <r>
    <x v="28"/>
    <x v="28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28"/>
    <x v="28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28"/>
    <x v="28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41"/>
    <x v="41"/>
    <m/>
    <s v="250108"/>
    <s v="BLC26DS-001"/>
    <s v="26CM SS LID W/KNOB &amp; WHISTLE"/>
    <s v="SKU-"/>
    <s v="O"/>
    <n v="2640"/>
    <s v="PC"/>
    <s v="CNY"/>
    <n v="5.8230000000000004"/>
    <n v="15372.72"/>
  </r>
  <r>
    <x v="41"/>
    <x v="41"/>
    <m/>
    <s v="250109"/>
    <s v="BLC26DS-001"/>
    <s v="26CM SS LID W/KNOB &amp; WHISTLE"/>
    <s v="SKU-"/>
    <s v="O"/>
    <n v="2860"/>
    <s v="PC"/>
    <s v="CNY"/>
    <n v="5.8230000000000004"/>
    <n v="16653.78"/>
  </r>
  <r>
    <x v="28"/>
    <x v="28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28"/>
    <x v="28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28"/>
    <x v="28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28"/>
    <x v="28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28"/>
    <x v="28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28"/>
    <x v="28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41"/>
    <x v="41"/>
    <m/>
    <s v="250114"/>
    <s v="BLC35DS-001"/>
    <s v="35CM SS LID W/KNOB &amp; WHISTLE"/>
    <s v="SKU-"/>
    <s v="O"/>
    <n v="600"/>
    <s v="PC"/>
    <s v="CNY"/>
    <n v="6.298"/>
    <n v="3778.8"/>
  </r>
  <r>
    <x v="41"/>
    <x v="41"/>
    <m/>
    <s v="250113"/>
    <s v="BLC35DS-001"/>
    <s v="35CM SS LID W/KNOB &amp; WHISTLE"/>
    <s v="SKU-"/>
    <s v="O"/>
    <n v="1800"/>
    <s v="PC"/>
    <s v="CNY"/>
    <n v="6.298"/>
    <n v="11336.4"/>
  </r>
  <r>
    <x v="41"/>
    <x v="41"/>
    <m/>
    <s v="250115"/>
    <s v="BLC35DS-001"/>
    <s v="35CM SS LID W/KNOB &amp; WHISTLE"/>
    <s v="SKU-"/>
    <s v="O"/>
    <n v="600"/>
    <s v="PC"/>
    <s v="CNY"/>
    <n v="6.298"/>
    <n v="3778.8"/>
  </r>
  <r>
    <x v="28"/>
    <x v="28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28"/>
    <x v="28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28"/>
    <x v="28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28"/>
    <x v="28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28"/>
    <x v="28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28"/>
    <x v="28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42"/>
    <x v="42"/>
    <m/>
    <s v="250203"/>
    <s v="BLC16DS-001"/>
    <s v="16CM SS LID W/KNOB &amp; WHISTLE"/>
    <s v="SKU-"/>
    <s v="O"/>
    <n v="800"/>
    <s v="PC"/>
    <s v="CNY"/>
    <n v="4.9154"/>
    <n v="3932.32"/>
  </r>
  <r>
    <x v="42"/>
    <x v="42"/>
    <m/>
    <s v="250203"/>
    <s v="BLC20DS-001"/>
    <s v="20CM SS LID W/KNOB &amp; WHISTLE"/>
    <s v="SKU-"/>
    <s v="O"/>
    <n v="1200"/>
    <s v="PC"/>
    <s v="CNY"/>
    <n v="5.0862999999999996"/>
    <n v="6103.56"/>
  </r>
  <r>
    <x v="28"/>
    <x v="28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28"/>
    <x v="28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28"/>
    <x v="28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42"/>
    <x v="42"/>
    <m/>
    <s v="250206"/>
    <s v="BLC20DS-001"/>
    <s v="20CM SS LID W/KNOB &amp; WHISTLE"/>
    <s v="SKU-"/>
    <s v="O"/>
    <n v="4600"/>
    <s v="PC"/>
    <s v="CNY"/>
    <n v="5.0862999999999996"/>
    <n v="23396.98"/>
  </r>
  <r>
    <x v="38"/>
    <x v="38"/>
    <m/>
    <s v="C03099"/>
    <s v="3-5-LSI107A-Y"/>
    <s v="STD- 107 M BSH R274.7 C/C102 H6.5 (182424S)"/>
    <s v="HDL-"/>
    <s v="B"/>
    <n v="3520"/>
    <s v="PC"/>
    <s v="CNY"/>
    <n v="7.4931000000000001"/>
    <n v="26375.71"/>
  </r>
  <r>
    <x v="38"/>
    <x v="38"/>
    <m/>
    <s v="C03099"/>
    <s v="3-5-LSI107A-Y"/>
    <s v="STD- 107 M BSH R274.7 C/C102 H6.5 (182424S)"/>
    <s v="HDL-"/>
    <s v="B"/>
    <n v="2200"/>
    <s v="PC"/>
    <s v="CNY"/>
    <n v="7.4931000000000001"/>
    <n v="16484.82"/>
  </r>
  <r>
    <x v="38"/>
    <x v="38"/>
    <m/>
    <s v="C03113"/>
    <s v="3-5-LSI105A-Y"/>
    <s v="STD- 105 M BSH R223.5 C/C102 H6.5 (BFMY20)"/>
    <s v="HDL-"/>
    <s v="B"/>
    <n v="3000"/>
    <s v="PC"/>
    <s v="CNY"/>
    <n v="7.4931000000000001"/>
    <n v="22479.3"/>
  </r>
  <r>
    <x v="38"/>
    <x v="38"/>
    <m/>
    <s v="C03113"/>
    <s v="3-5-LSI107A-Y"/>
    <s v="STD- 107 M BSH R274.7 C/C102 H6.5 (182424S)"/>
    <s v="HDL-"/>
    <s v="B"/>
    <n v="1320"/>
    <s v="PC"/>
    <s v="CNY"/>
    <n v="7.4931000000000001"/>
    <n v="9890.89"/>
  </r>
  <r>
    <x v="38"/>
    <x v="38"/>
    <m/>
    <s v="C03113"/>
    <s v="3-5-LSI107A-Y"/>
    <s v="STD- 107 M BSH R274.7 C/C102 H6.5 (182424S)"/>
    <s v="HDL-"/>
    <s v="B"/>
    <n v="2200"/>
    <s v="PC"/>
    <s v="CNY"/>
    <n v="7.4931000000000001"/>
    <n v="16484.82"/>
  </r>
  <r>
    <x v="38"/>
    <x v="38"/>
    <m/>
    <s v="C03118"/>
    <s v="3-5-LSI105A-Y"/>
    <s v="STD- 105 M BSH R223.5 C/C102 H6.5 (BFMY20)"/>
    <s v="HDL-"/>
    <s v="B"/>
    <n v="2200"/>
    <s v="PC"/>
    <s v="CNY"/>
    <n v="7.4931000000000001"/>
    <n v="16484.82"/>
  </r>
  <r>
    <x v="38"/>
    <x v="38"/>
    <m/>
    <s v="C03118"/>
    <s v="3-5-LSI108A-Y"/>
    <s v="STD- 108 M BSH R295.5 C/C102 H6.5 (182426S)"/>
    <s v="HDL-"/>
    <s v="B"/>
    <n v="3600"/>
    <s v="PC"/>
    <s v="CNY"/>
    <n v="7.4931000000000001"/>
    <n v="26975.16"/>
  </r>
  <r>
    <x v="38"/>
    <x v="38"/>
    <m/>
    <s v="C03118"/>
    <s v="3-5-LSI110A-Y"/>
    <s v="STD- 110 M BSH R311.4 C/C102 H6.5 (1824-28)"/>
    <s v="HDL-"/>
    <s v="B"/>
    <n v="3550"/>
    <s v="PC"/>
    <s v="CNY"/>
    <n v="7.4931000000000001"/>
    <n v="26600.51"/>
  </r>
  <r>
    <x v="30"/>
    <x v="30"/>
    <m/>
    <s v="C03041"/>
    <s v="1-6-GMF15-ZC"/>
    <s v="G-LD MF 15CM SQUARE  BU47A"/>
    <s v="GLID"/>
    <s v="B"/>
    <n v="1800"/>
    <s v="PC"/>
    <s v="CNY"/>
    <n v="7.5751999999999997"/>
    <n v="13635.36"/>
  </r>
  <r>
    <x v="30"/>
    <x v="30"/>
    <m/>
    <s v="RTV-090"/>
    <s v="1-6-GMF15-ZC"/>
    <s v="G-LD MF 15CM SQUARE  BU47A"/>
    <s v="GLID"/>
    <s v="B"/>
    <n v="-90"/>
    <s v="PC"/>
    <s v="CNY"/>
    <n v="7.5751999999999997"/>
    <n v="-681.77"/>
  </r>
  <r>
    <x v="38"/>
    <x v="38"/>
    <m/>
    <s v="C03002"/>
    <s v="3-5-LSI110A-Y"/>
    <s v="STD- 110 M BSH R311.4 C/C102 H6.5 (1824-28)"/>
    <s v="HDL-"/>
    <s v="B"/>
    <n v="200"/>
    <s v="PC"/>
    <s v="CNY"/>
    <n v="7.6459999999999999"/>
    <n v="1529.2"/>
  </r>
  <r>
    <x v="51"/>
    <x v="51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51"/>
    <x v="51"/>
    <m/>
    <s v="b250103"/>
    <s v="1-I-IH050145-R05"/>
    <s v="SS 430 0.5mm x DIA.145 with R05 pattern"/>
    <s v="SSM-"/>
    <s v="B"/>
    <n v="2500"/>
    <s v="PC"/>
    <s v="CNY"/>
    <n v="1.0530999999999999"/>
    <n v="2632.75"/>
  </r>
  <r>
    <x v="51"/>
    <x v="51"/>
    <m/>
    <s v="b250103"/>
    <s v="1-I-IH050150-R05"/>
    <s v="SS 430 0.5mm x DIA.150 with R05 pattern"/>
    <s v="SSM-"/>
    <s v="B"/>
    <n v="600"/>
    <s v="PC"/>
    <s v="CNY"/>
    <n v="1.0972999999999999"/>
    <n v="658.38"/>
  </r>
  <r>
    <x v="52"/>
    <x v="52"/>
    <m/>
    <s v="D250201"/>
    <s v="7-S-0601219L"/>
    <s v="304# SS COLL 0.6x1219xCmm"/>
    <s v="SSM-"/>
    <s v="B"/>
    <n v="10874"/>
    <s v="KG"/>
    <s v="CNY"/>
    <n v="12.035399999999999"/>
    <n v="130872.94"/>
  </r>
  <r>
    <x v="52"/>
    <x v="52"/>
    <m/>
    <s v="D250201"/>
    <s v="7-S-0501219L"/>
    <s v="304# SS COLL 0.5x1219xCmm"/>
    <s v="SSM-"/>
    <s v="B"/>
    <n v="21993"/>
    <s v="KG"/>
    <s v="CNY"/>
    <n v="12.212400000000001"/>
    <n v="268587.31"/>
  </r>
  <r>
    <x v="52"/>
    <x v="52"/>
    <m/>
    <s v="D250202"/>
    <s v="7-S-0801219L"/>
    <s v="304# SS COLL 0.8x1219xCmm"/>
    <s v="SSM-"/>
    <s v="B"/>
    <n v="54331"/>
    <s v="KG"/>
    <s v="CNY"/>
    <n v="11.7699"/>
    <n v="639470.43999999994"/>
  </r>
  <r>
    <x v="52"/>
    <x v="52"/>
    <m/>
    <s v="D250202"/>
    <s v="7-S-0601219L"/>
    <s v="304# SS COLL 0.6x1219xCmm"/>
    <s v="SSM-"/>
    <s v="B"/>
    <n v="11071"/>
    <s v="KG"/>
    <s v="CNY"/>
    <n v="12.035399999999999"/>
    <n v="133243.91"/>
  </r>
  <r>
    <x v="38"/>
    <x v="38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38"/>
    <x v="38"/>
    <m/>
    <s v="C03026"/>
    <s v="3-5-LSI103A-Y"/>
    <s v="STD- 103 M BSH R177.3 C/C102 H6.5 (BFMY16)"/>
    <s v="HDL-"/>
    <s v="B"/>
    <n v="3000"/>
    <s v="PC"/>
    <s v="CNY"/>
    <n v="7.6459999999999999"/>
    <n v="22938"/>
  </r>
  <r>
    <x v="38"/>
    <x v="38"/>
    <m/>
    <s v="C03047"/>
    <s v="3-5-LSI103A-Y"/>
    <s v="STD- 103 M BSH R177.3 C/C102 H6.5 (BFMY16)"/>
    <s v="HDL-"/>
    <s v="B"/>
    <n v="2500"/>
    <s v="PC"/>
    <s v="CNY"/>
    <n v="7.6459999999999999"/>
    <n v="19115"/>
  </r>
  <r>
    <x v="38"/>
    <x v="38"/>
    <m/>
    <s v="C03118"/>
    <s v="3-5-LSI103A-Y"/>
    <s v="STD- 103 M BSH R177.3 C/C102 H6.5 (BFMY16)"/>
    <s v="HDL-"/>
    <s v="B"/>
    <n v="1800"/>
    <s v="PC"/>
    <s v="CNY"/>
    <n v="7.6459999999999999"/>
    <n v="13762.8"/>
  </r>
  <r>
    <x v="3"/>
    <x v="3"/>
    <m/>
    <s v="M250101"/>
    <s v="1-8-PL14718"/>
    <s v="PRICE STKR (PMS 446C DIA.15mm f16)"/>
    <s v="STKR"/>
    <s v="B"/>
    <n v="3020"/>
    <s v="PC"/>
    <s v="CNY"/>
    <n v="0.05"/>
    <n v="151"/>
  </r>
  <r>
    <x v="3"/>
    <x v="3"/>
    <m/>
    <s v="M250101"/>
    <s v="1-8-PL14712"/>
    <s v="PRICE STKR (PMS 446C DIA.25mm f25)"/>
    <s v="STKR"/>
    <s v="B"/>
    <n v="2020"/>
    <s v="PC"/>
    <s v="CNY"/>
    <n v="0.08"/>
    <n v="161.6"/>
  </r>
  <r>
    <x v="3"/>
    <x v="3"/>
    <m/>
    <s v="M250101"/>
    <s v="1-8-PL14713"/>
    <s v="PRICE STKR (PMS 446C DIA.25mm f30)"/>
    <s v="STKR"/>
    <s v="B"/>
    <n v="1010"/>
    <s v="PC"/>
    <s v="CNY"/>
    <n v="0.08"/>
    <n v="80.8"/>
  </r>
  <r>
    <x v="3"/>
    <x v="3"/>
    <m/>
    <s v="M250101"/>
    <s v="1-8-PL14714"/>
    <s v="PRICE STKR (PMS 446C DIA.25mm f32)"/>
    <s v="STKR"/>
    <s v="B"/>
    <n v="1010"/>
    <s v="PC"/>
    <s v="CNY"/>
    <n v="0.08"/>
    <n v="80.8"/>
  </r>
  <r>
    <x v="3"/>
    <x v="3"/>
    <m/>
    <s v="M250108"/>
    <s v="7-8-PL6555"/>
    <s v="TETRON RD WARNING STKR MJP"/>
    <s v="STKR"/>
    <s v="B"/>
    <n v="11300"/>
    <s v="PC"/>
    <s v="CNY"/>
    <n v="2.5899999999999999E-2"/>
    <n v="292.67"/>
  </r>
  <r>
    <x v="3"/>
    <x v="3"/>
    <m/>
    <s v="M250108"/>
    <s v="1-8-PL12709"/>
    <s v="WARNING STKR (MJP)"/>
    <s v="STKR"/>
    <s v="B"/>
    <n v="1010"/>
    <s v="PC"/>
    <s v="CNY"/>
    <n v="0.03"/>
    <n v="30.3"/>
  </r>
  <r>
    <x v="3"/>
    <x v="3"/>
    <m/>
    <s v="M250108"/>
    <s v="1-8-PL5364"/>
    <s v="ES STKR INDUSTION COOKING"/>
    <s v="STKR"/>
    <s v="B"/>
    <n v="1500"/>
    <s v="PC"/>
    <s v="CNY"/>
    <n v="3.4200000000000001E-2"/>
    <n v="51.3"/>
  </r>
  <r>
    <x v="9"/>
    <x v="9"/>
    <m/>
    <s v="M250104"/>
    <s v="1-8-PL12773-C"/>
    <s v="TCP STKR 18889-C MTL"/>
    <s v="STKR"/>
    <s v="B"/>
    <n v="1010"/>
    <s v="PC"/>
    <s v="CNY"/>
    <n v="0.05"/>
    <n v="50.5"/>
  </r>
  <r>
    <x v="9"/>
    <x v="9"/>
    <m/>
    <s v="M250104"/>
    <s v="1-8-PL12774A-C"/>
    <s v="TCP STKR 18890-C"/>
    <s v="STKR"/>
    <s v="B"/>
    <n v="1010"/>
    <s v="PC"/>
    <s v="CNY"/>
    <n v="0.05"/>
    <n v="50.5"/>
  </r>
  <r>
    <x v="9"/>
    <x v="9"/>
    <m/>
    <s v="M250104"/>
    <s v="1-8-PL12776-C"/>
    <s v="TCP STKR 18892-C MTL"/>
    <s v="STKR"/>
    <s v="B"/>
    <n v="510"/>
    <s v="PC"/>
    <s v="CNY"/>
    <n v="0.05"/>
    <n v="25.5"/>
  </r>
  <r>
    <x v="9"/>
    <x v="9"/>
    <m/>
    <s v="M250104"/>
    <s v="1-8-PL13906-C"/>
    <s v="TCP STKR 12356-C (MTL)"/>
    <s v="STKR"/>
    <s v="B"/>
    <n v="1010"/>
    <s v="PC"/>
    <s v="CNY"/>
    <n v="0.05"/>
    <n v="50.5"/>
  </r>
  <r>
    <x v="9"/>
    <x v="9"/>
    <m/>
    <s v="M250104"/>
    <s v="1-8-PL14935-C"/>
    <s v="TCP STKR 15009-C (MTL)"/>
    <s v="STKR"/>
    <s v="B"/>
    <n v="1010"/>
    <s v="PC"/>
    <s v="CNY"/>
    <n v="0.05"/>
    <n v="50.5"/>
  </r>
  <r>
    <x v="9"/>
    <x v="9"/>
    <m/>
    <s v="M250104"/>
    <s v="1-8-PL12773-C"/>
    <s v="TCP STKR 18889-C MTL"/>
    <s v="STKR"/>
    <s v="B"/>
    <n v="1010"/>
    <s v="PC"/>
    <s v="CNY"/>
    <n v="0.05"/>
    <n v="50.5"/>
  </r>
  <r>
    <x v="9"/>
    <x v="9"/>
    <m/>
    <s v="M250104"/>
    <s v="1-8-PL14130-C"/>
    <s v="TCP STKR 11258-CE12"/>
    <s v="STKR"/>
    <s v="B"/>
    <n v="505"/>
    <s v="PC"/>
    <s v="CNY"/>
    <n v="0.06"/>
    <n v="30.3"/>
  </r>
  <r>
    <x v="9"/>
    <x v="9"/>
    <m/>
    <s v="M250104"/>
    <s v="7-8-PL12049-C"/>
    <s v="TCP STKR 71809-C (MTL)"/>
    <s v="STKR"/>
    <s v="B"/>
    <n v="1010"/>
    <s v="PC"/>
    <s v="CNY"/>
    <n v="0.06"/>
    <n v="60.6"/>
  </r>
  <r>
    <x v="3"/>
    <x v="3"/>
    <m/>
    <s v="M250126"/>
    <s v="1-8-PL15317-C"/>
    <s v="UPC+ADD STKR 051153191459"/>
    <s v="STKR"/>
    <s v="B"/>
    <n v="3020"/>
    <s v="PC"/>
    <s v="CNY"/>
    <n v="0.03"/>
    <n v="90.6"/>
  </r>
  <r>
    <x v="9"/>
    <x v="9"/>
    <m/>
    <s v="M250127"/>
    <s v="1-8-PL14663-C"/>
    <s v="PRODUCT STKR 10844-C (MTW)"/>
    <s v="STKR"/>
    <s v="B"/>
    <n v="1010"/>
    <s v="PC"/>
    <s v="CNY"/>
    <n v="0.03"/>
    <n v="30.3"/>
  </r>
  <r>
    <x v="3"/>
    <x v="3"/>
    <m/>
    <s v="M250126"/>
    <s v="1-8-PL15205-C"/>
    <s v="JAN+ADD STKR 4976667166198"/>
    <s v="STKR"/>
    <s v="B"/>
    <n v="2020"/>
    <s v="PC"/>
    <s v="CNY"/>
    <n v="4.2000000000000003E-2"/>
    <n v="84.84"/>
  </r>
  <r>
    <x v="3"/>
    <x v="3"/>
    <m/>
    <s v="M250126"/>
    <s v="1-8-PL15205-C"/>
    <s v="JAN+ADD STKR 4976667166198"/>
    <s v="STKR"/>
    <s v="B"/>
    <n v="50"/>
    <s v="PC"/>
    <s v="CNY"/>
    <n v="4.2000000000000003E-2"/>
    <n v="2.1"/>
  </r>
  <r>
    <x v="3"/>
    <x v="3"/>
    <m/>
    <s v="M250126"/>
    <s v="1-8-PL15318-C"/>
    <s v="UPC+ADD STKR 051153191466"/>
    <s v="STKR"/>
    <s v="B"/>
    <n v="2520"/>
    <s v="PC"/>
    <s v="CNY"/>
    <n v="4.2000000000000003E-2"/>
    <n v="105.84"/>
  </r>
  <r>
    <x v="9"/>
    <x v="9"/>
    <m/>
    <s v="M250136"/>
    <s v="7-8-PL3842-C"/>
    <s v="ITF14 STKR 30631899500053"/>
    <s v="STKR"/>
    <s v="B"/>
    <n v="1010"/>
    <s v="PC"/>
    <s v="CNY"/>
    <n v="0.05"/>
    <n v="50.5"/>
  </r>
  <r>
    <x v="9"/>
    <x v="9"/>
    <m/>
    <s v="M250138"/>
    <s v="1-8-PL4868"/>
    <s v="ROUND CLEAR STKR 1.5&quot;"/>
    <s v="STKR"/>
    <s v="B"/>
    <n v="5000"/>
    <s v="PC"/>
    <s v="CNY"/>
    <n v="2.5000000000000001E-2"/>
    <n v="125"/>
  </r>
  <r>
    <x v="9"/>
    <x v="9"/>
    <m/>
    <s v="M250139"/>
    <s v="1-8-PL15319"/>
    <s v="OC BC+CAT# STKR 19145"/>
    <s v="STKR"/>
    <s v="B"/>
    <n v="2270"/>
    <s v="PC"/>
    <s v="CNY"/>
    <n v="0.05"/>
    <n v="113.5"/>
  </r>
  <r>
    <x v="9"/>
    <x v="9"/>
    <m/>
    <s v="M250139"/>
    <s v="1-8-PL15320"/>
    <s v="OC BC+CAT# STKR 19146"/>
    <s v="STKR"/>
    <s v="B"/>
    <n v="1880"/>
    <s v="PC"/>
    <s v="CNY"/>
    <n v="0.05"/>
    <n v="94"/>
  </r>
  <r>
    <x v="9"/>
    <x v="9"/>
    <m/>
    <s v="M250139"/>
    <s v="1-8-PL15348"/>
    <s v="OC BC+CAT# STKR 19146 (SC)"/>
    <s v="STKR"/>
    <s v="B"/>
    <n v="1200"/>
    <s v="PC"/>
    <s v="CNY"/>
    <n v="0.05"/>
    <n v="60"/>
  </r>
  <r>
    <x v="9"/>
    <x v="9"/>
    <m/>
    <s v="M250139"/>
    <s v="7-8-PL1042-C"/>
    <s v="ITF+SM STKR10631899500493"/>
    <s v="STKR"/>
    <s v="B"/>
    <n v="1010"/>
    <s v="PC"/>
    <s v="CNY"/>
    <n v="0.11"/>
    <n v="111.1"/>
  </r>
  <r>
    <x v="4"/>
    <x v="4"/>
    <m/>
    <s v="X250139"/>
    <s v="3-8-PL0544"/>
    <s v="BLANK STKR 4x2&quot;"/>
    <s v="STKR"/>
    <s v="B"/>
    <n v="60000"/>
    <s v="PC"/>
    <s v="CNY"/>
    <n v="2.8199999999999999E-2"/>
    <n v="1692"/>
  </r>
  <r>
    <x v="3"/>
    <x v="3"/>
    <m/>
    <s v="M241253"/>
    <s v="1-8-PL14711"/>
    <s v="PRICE STKR (PMS 446C DIA.25mm f24)"/>
    <s v="STKR"/>
    <s v="B"/>
    <n v="1010"/>
    <s v="PC"/>
    <s v="CNY"/>
    <n v="0.08"/>
    <n v="80.8"/>
  </r>
  <r>
    <x v="9"/>
    <x v="9"/>
    <m/>
    <s v="M250201"/>
    <s v="7-9-ZAPL0461"/>
    <s v="QC PASS &amp; BC STKR 6904399 93456 1"/>
    <s v="STKR"/>
    <s v="B"/>
    <n v="600"/>
    <s v="PC"/>
    <s v="CNY"/>
    <n v="8.3299999999999999E-2"/>
    <n v="49.98"/>
  </r>
  <r>
    <x v="9"/>
    <x v="9"/>
    <m/>
    <s v="M250201"/>
    <s v="7-9-ZHPL0047"/>
    <s v="QC PASS &amp; BC STKR 6904399 880728"/>
    <s v="STKR"/>
    <s v="B"/>
    <n v="600"/>
    <s v="PC"/>
    <s v="CNY"/>
    <n v="0.10829999999999999"/>
    <n v="64.98"/>
  </r>
  <r>
    <x v="9"/>
    <x v="9"/>
    <m/>
    <s v="M250201"/>
    <s v="7-9-ZHPL0048"/>
    <s v="QC PASS &amp; BC STKR 6904399 83953 5"/>
    <s v="STKR"/>
    <s v="B"/>
    <n v="600"/>
    <s v="PC"/>
    <s v="CNY"/>
    <n v="0.10829999999999999"/>
    <n v="64.98"/>
  </r>
  <r>
    <x v="9"/>
    <x v="9"/>
    <m/>
    <s v="M250201"/>
    <s v="7-9-ZAPL0460"/>
    <s v="QC PASS 91260-Z"/>
    <s v="STKR"/>
    <s v="B"/>
    <n v="600"/>
    <s v="PC"/>
    <s v="CNY"/>
    <n v="0.10829999999999999"/>
    <n v="64.98"/>
  </r>
  <r>
    <x v="9"/>
    <x v="9"/>
    <m/>
    <s v="M250201"/>
    <s v="7-9-ZAPL0462"/>
    <s v="QC PASS &amp; BC STKR 6904399 19131 5"/>
    <s v="STKR"/>
    <s v="B"/>
    <n v="600"/>
    <s v="PC"/>
    <s v="CNY"/>
    <n v="0.10829999999999999"/>
    <n v="64.98"/>
  </r>
  <r>
    <x v="9"/>
    <x v="9"/>
    <m/>
    <s v="M250201"/>
    <s v="7-9-ZAPL0459"/>
    <s v="QC PASS 18100"/>
    <s v="STKR"/>
    <s v="B"/>
    <n v="100"/>
    <s v="PC"/>
    <s v="CNY"/>
    <n v="0.65"/>
    <n v="65"/>
  </r>
  <r>
    <x v="3"/>
    <x v="3"/>
    <m/>
    <s v="M250218"/>
    <s v="7-8-PL6192B"/>
    <s v="GLASS LID STKR MJP"/>
    <s v="STKR"/>
    <s v="B"/>
    <n v="5100"/>
    <s v="PC"/>
    <s v="CNY"/>
    <n v="3.2000000000000001E-2"/>
    <n v="163.19999999999999"/>
  </r>
  <r>
    <x v="9"/>
    <x v="9"/>
    <m/>
    <s v="M250223"/>
    <s v="7-8-PL10869"/>
    <s v="OC BC+CAT# STKR 70346"/>
    <s v="STKR"/>
    <s v="B"/>
    <n v="2270"/>
    <s v="PC"/>
    <s v="CNY"/>
    <n v="0.05"/>
    <n v="113.5"/>
  </r>
  <r>
    <x v="9"/>
    <x v="9"/>
    <m/>
    <s v="M250223"/>
    <s v="1-8-PL12769-C"/>
    <s v="TCP STKR 18885-C MTL"/>
    <s v="STKR"/>
    <s v="B"/>
    <n v="510"/>
    <s v="PC"/>
    <s v="CNY"/>
    <n v="0.05"/>
    <n v="25.5"/>
  </r>
  <r>
    <x v="9"/>
    <x v="9"/>
    <m/>
    <s v="M250223"/>
    <s v="1-8-PL12774A-C"/>
    <s v="TCP STKR 18890-C"/>
    <s v="STKR"/>
    <s v="B"/>
    <n v="1010"/>
    <s v="PC"/>
    <s v="CNY"/>
    <n v="0.05"/>
    <n v="50.5"/>
  </r>
  <r>
    <x v="3"/>
    <x v="3"/>
    <m/>
    <s v="M250218"/>
    <s v="7-8-PL12104"/>
    <s v="PRICE STKR (PMS 446C DIA.20mm f24)"/>
    <s v="STKR"/>
    <s v="B"/>
    <n v="1010"/>
    <s v="PC"/>
    <s v="CNY"/>
    <n v="7.0000000000000007E-2"/>
    <n v="70.7"/>
  </r>
  <r>
    <x v="3"/>
    <x v="3"/>
    <m/>
    <s v="M250218"/>
    <s v="7-8-PL12106"/>
    <s v="PRICE STKR (PMS 446C DIA.20mm f28)"/>
    <s v="STKR"/>
    <s v="B"/>
    <n v="1010"/>
    <s v="PC"/>
    <s v="CNY"/>
    <n v="7.0000000000000007E-2"/>
    <n v="70.7"/>
  </r>
  <r>
    <x v="9"/>
    <x v="9"/>
    <m/>
    <s v="M250223"/>
    <s v="7-8-PL1042-C"/>
    <s v="ITF+SM STKR10631899500493"/>
    <s v="STKR"/>
    <s v="B"/>
    <n v="1010"/>
    <s v="PC"/>
    <s v="CNY"/>
    <n v="0.11"/>
    <n v="111.1"/>
  </r>
  <r>
    <x v="9"/>
    <x v="9"/>
    <m/>
    <s v="M250223"/>
    <s v="7-8-PL8710-C"/>
    <s v="ITF+SM STKR 10051153701587"/>
    <s v="STKR"/>
    <s v="B"/>
    <n v="1010"/>
    <s v="PC"/>
    <s v="CNY"/>
    <n v="0.11"/>
    <n v="111.1"/>
  </r>
  <r>
    <x v="18"/>
    <x v="18"/>
    <m/>
    <s v="X250229"/>
    <s v="1-8-PL15413"/>
    <s v="DESC STKR 12079"/>
    <s v="STKR"/>
    <s v="B"/>
    <n v="3530"/>
    <s v="PC"/>
    <s v="CNY"/>
    <n v="0.28999999999999998"/>
    <n v="1023.7"/>
  </r>
  <r>
    <x v="30"/>
    <x v="30"/>
    <m/>
    <s v="C03031"/>
    <s v="1-6-GLH18-ZQ"/>
    <s v="G-LD LH 18CM ANYDAY GN36A"/>
    <s v="GLID"/>
    <s v="B"/>
    <n v="2050"/>
    <s v="PC"/>
    <s v="CNY"/>
    <n v="7.9870000000000001"/>
    <n v="16373.35"/>
  </r>
  <r>
    <x v="5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50"/>
    <x v="50"/>
    <m/>
    <s v="C03066"/>
    <s v="3-5-HOD306-DX"/>
    <s v="LG 306 GY04A POL"/>
    <s v="HDL-"/>
    <s v="B"/>
    <n v="1040"/>
    <s v="PC"/>
    <s v="CNY"/>
    <n v="8.0116999999999994"/>
    <n v="8332.17"/>
  </r>
  <r>
    <x v="5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18"/>
    <x v="18"/>
    <m/>
    <s v="X250323"/>
    <s v="7-8-C72179"/>
    <s v="COL BOX 72179"/>
    <s v="BOX-"/>
    <s v="B"/>
    <n v="1010"/>
    <s v="PC"/>
    <s v="CNY"/>
    <n v="8.08"/>
    <n v="8160.8"/>
  </r>
  <r>
    <x v="30"/>
    <x v="30"/>
    <m/>
    <s v="C03050"/>
    <s v="1-6-GLH18-ZQ"/>
    <s v="G-LD LH 18CM ANYDAY GN36A"/>
    <s v="GLID"/>
    <s v="B"/>
    <n v="1000"/>
    <s v="PC"/>
    <s v="CNY"/>
    <n v="8.15"/>
    <n v="8150"/>
  </r>
  <r>
    <x v="35"/>
    <x v="35"/>
    <m/>
    <s v="M250328"/>
    <s v="1-6-671-N"/>
    <s v="19CM SQUARE GLASS BOWL ANYDAY TRANSPARENT"/>
    <s v="GLS-"/>
    <s v="B"/>
    <n v="6000"/>
    <s v="PC"/>
    <s v="CNY"/>
    <n v="8.1858000000000004"/>
    <n v="49114.8"/>
  </r>
  <r>
    <x v="35"/>
    <x v="35"/>
    <m/>
    <s v="M250330"/>
    <s v="7-6-648"/>
    <s v="GLASS LID 24cm"/>
    <s v="GLS-"/>
    <s v="B"/>
    <n v="1960"/>
    <s v="PC"/>
    <s v="CNY"/>
    <n v="8.2035"/>
    <n v="16078.86"/>
  </r>
  <r>
    <x v="18"/>
    <x v="18"/>
    <m/>
    <s v="X250323"/>
    <s v="5-8-C50049G-C--E"/>
    <s v="5C BOX 50049-C--E"/>
    <s v="BOX-"/>
    <s v="B"/>
    <n v="1010"/>
    <s v="PC"/>
    <s v="CNY"/>
    <n v="8.2200000000000006"/>
    <n v="8302.2000000000007"/>
  </r>
  <r>
    <x v="18"/>
    <x v="18"/>
    <m/>
    <s v="X250317"/>
    <s v="1-8-C11289-C"/>
    <s v="COL BOX 11289-C"/>
    <s v="BOX-"/>
    <s v="B"/>
    <n v="505"/>
    <s v="PC"/>
    <s v="CNY"/>
    <n v="8.39"/>
    <n v="4236.95"/>
  </r>
  <r>
    <x v="5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5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38"/>
    <x v="38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38"/>
    <x v="38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38"/>
    <x v="38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33"/>
    <x v="33"/>
    <m/>
    <s v="C03064"/>
    <s v="1-6-GGV20-ZA"/>
    <s v="G-LD GV 20CM POL"/>
    <s v="GLID"/>
    <s v="B"/>
    <n v="1010"/>
    <s v="PC"/>
    <s v="CNY"/>
    <n v="8.6300000000000008"/>
    <n v="8716.2999999999993"/>
  </r>
  <r>
    <x v="38"/>
    <x v="38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38"/>
    <x v="38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38"/>
    <x v="38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38"/>
    <x v="38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35"/>
    <x v="35"/>
    <m/>
    <s v="M250328"/>
    <s v="7-6-677"/>
    <s v="GLASS FOR 7-6-GMI23"/>
    <s v="GLS-"/>
    <s v="B"/>
    <n v="120"/>
    <s v="PC"/>
    <s v="CNY"/>
    <n v="8.8053000000000008"/>
    <n v="1056.6400000000001"/>
  </r>
  <r>
    <x v="35"/>
    <x v="35"/>
    <m/>
    <s v="M250331"/>
    <s v="7-6-677"/>
    <s v="GLASS FOR 7-6-GMI23"/>
    <s v="GLS-"/>
    <s v="B"/>
    <n v="120"/>
    <s v="PC"/>
    <s v="CNY"/>
    <n v="8.8053000000000008"/>
    <n v="1056.6400000000001"/>
  </r>
  <r>
    <x v="30"/>
    <x v="30"/>
    <m/>
    <s v="C03041"/>
    <s v="1-6-GLH20-ZQ"/>
    <s v="G-LD LH 20CM ANYDAY GN36A"/>
    <s v="GLID"/>
    <s v="B"/>
    <n v="1000"/>
    <s v="PC"/>
    <s v="CNY"/>
    <n v="8.84"/>
    <n v="8840"/>
  </r>
  <r>
    <x v="30"/>
    <x v="30"/>
    <m/>
    <s v="C03050"/>
    <s v="1-6-GLH20-ZQ"/>
    <s v="G-LD LH 20CM ANYDAY GN36A"/>
    <s v="GLID"/>
    <s v="B"/>
    <n v="1050"/>
    <s v="PC"/>
    <s v="CNY"/>
    <n v="8.84"/>
    <n v="9282"/>
  </r>
  <r>
    <x v="30"/>
    <x v="30"/>
    <m/>
    <s v="C03050"/>
    <s v="1-6-GLH20-ZQ"/>
    <s v="G-LD LH 20CM ANYDAY GN36A"/>
    <s v="GLID"/>
    <s v="B"/>
    <n v="900"/>
    <s v="PC"/>
    <s v="CNY"/>
    <n v="8.84"/>
    <n v="7956"/>
  </r>
  <r>
    <x v="41"/>
    <x v="41"/>
    <m/>
    <s v="C03091"/>
    <s v="7-C-WKC38KS-002"/>
    <s v="WKC38CV----------U-P-----"/>
    <s v="LID-"/>
    <s v="S"/>
    <n v="426"/>
    <s v="PC"/>
    <s v="CNY"/>
    <n v="8.9"/>
    <n v="3791.4"/>
  </r>
  <r>
    <x v="35"/>
    <x v="35"/>
    <m/>
    <s v="M250323"/>
    <s v="1-6-623-N-CH"/>
    <s v="20CM GLASS BOWL ANYDAY TRANSPARENT CHOOSE"/>
    <s v="GLS-"/>
    <s v="B"/>
    <n v="5008"/>
    <s v="PC"/>
    <s v="CNY"/>
    <n v="9.2124000000000006"/>
    <n v="46135.7"/>
  </r>
  <r>
    <x v="35"/>
    <x v="35"/>
    <m/>
    <s v="RTV-0088"/>
    <s v="1-6-623-N-CH"/>
    <s v="20CM GLASS BOWL ANYDAY TRANSPARENT CHOOSE"/>
    <s v="GLS-"/>
    <s v="B"/>
    <n v="-7680"/>
    <s v="PC"/>
    <s v="CNY"/>
    <n v="9.2124000000000006"/>
    <n v="-70751.23"/>
  </r>
  <r>
    <x v="30"/>
    <x v="30"/>
    <m/>
    <s v="RTV-080"/>
    <s v="1-6-GLH22-ZQ"/>
    <s v="G-LD LH 22CM GN36A"/>
    <s v="GLID"/>
    <s v="B"/>
    <n v="-100"/>
    <s v="PC"/>
    <s v="CNY"/>
    <n v="9.2149999999999999"/>
    <n v="-921.5"/>
  </r>
  <r>
    <x v="30"/>
    <x v="30"/>
    <m/>
    <s v="C03097"/>
    <s v="1-6-GLH22-ZQ"/>
    <s v="G-LD LH 22CM GN36A"/>
    <s v="GLID"/>
    <s v="B"/>
    <n v="100"/>
    <s v="PC"/>
    <s v="CNY"/>
    <n v="9.2149999999999999"/>
    <n v="921.5"/>
  </r>
  <r>
    <x v="30"/>
    <x v="30"/>
    <m/>
    <s v="C03041"/>
    <s v="1-6-GLH22-ZQ"/>
    <s v="G-LD LH 22CM GN36A"/>
    <s v="GLID"/>
    <s v="B"/>
    <n v="1050"/>
    <s v="PC"/>
    <s v="CNY"/>
    <n v="9.5"/>
    <n v="9975"/>
  </r>
  <r>
    <x v="30"/>
    <x v="30"/>
    <m/>
    <s v="C03050"/>
    <s v="1-6-GLH22-ZQ"/>
    <s v="G-LD LH 22CM GN36A"/>
    <s v="GLID"/>
    <s v="B"/>
    <n v="1050"/>
    <s v="PC"/>
    <s v="CNY"/>
    <n v="9.5"/>
    <n v="9975"/>
  </r>
  <r>
    <x v="30"/>
    <x v="30"/>
    <m/>
    <s v="C03050"/>
    <s v="1-6-GLH22-ZQ"/>
    <s v="G-LD LH 22CM GN36A"/>
    <s v="GLID"/>
    <s v="B"/>
    <n v="1000"/>
    <s v="PC"/>
    <s v="CNY"/>
    <n v="9.5"/>
    <n v="9500"/>
  </r>
  <r>
    <x v="26"/>
    <x v="26"/>
    <m/>
    <s v="C03120"/>
    <s v="3-5-HKF104ADX"/>
    <s v="SH 104 CIR RD09A POL"/>
    <s v="HDL-"/>
    <s v="B"/>
    <n v="520"/>
    <s v="PC"/>
    <s v="CNY"/>
    <n v="9.6722999999999999"/>
    <n v="5029.6000000000004"/>
  </r>
  <r>
    <x v="35"/>
    <x v="35"/>
    <m/>
    <s v="M250323"/>
    <s v="1-6-624-N-CH"/>
    <s v="22CM GLASS BOWL ANYDAY TRANSPARENT CHOOSE"/>
    <s v="GLS-"/>
    <s v="B"/>
    <n v="5004"/>
    <s v="PC"/>
    <s v="CNY"/>
    <n v="9.7788000000000004"/>
    <n v="48933.120000000003"/>
  </r>
  <r>
    <x v="18"/>
    <x v="18"/>
    <m/>
    <s v="X250317"/>
    <s v="7-8-C70352A-C"/>
    <s v="COL BOX 70352-C"/>
    <s v="BOX-"/>
    <s v="B"/>
    <n v="605"/>
    <s v="PC"/>
    <s v="CNY"/>
    <n v="10.32"/>
    <n v="6243.6"/>
  </r>
  <r>
    <x v="18"/>
    <x v="18"/>
    <m/>
    <s v="X250317"/>
    <s v="5-8-C50049G-C--E"/>
    <s v="5C BOX 50049-C--E"/>
    <s v="BOX-"/>
    <s v="B"/>
    <n v="1010"/>
    <s v="PC"/>
    <s v="CNY"/>
    <n v="10.4"/>
    <n v="10504"/>
  </r>
  <r>
    <x v="18"/>
    <x v="18"/>
    <m/>
    <s v="X250317"/>
    <s v="5-8-C50049G-C--E"/>
    <s v="5C BOX 50049-C--E"/>
    <s v="BOX-"/>
    <s v="B"/>
    <n v="1010"/>
    <s v="PC"/>
    <s v="CNY"/>
    <n v="10.4"/>
    <n v="10504"/>
  </r>
  <r>
    <x v="18"/>
    <x v="18"/>
    <m/>
    <s v="X250317"/>
    <s v="3-8-C80391-C"/>
    <s v="COL BOX 80391-C"/>
    <s v="BOX-"/>
    <s v="B"/>
    <n v="505"/>
    <s v="PC"/>
    <s v="CNY"/>
    <n v="10.73"/>
    <n v="5418.65"/>
  </r>
  <r>
    <x v="35"/>
    <x v="35"/>
    <m/>
    <s v="M250328"/>
    <s v="1-6-672-N"/>
    <s v="23CM SQUARE GLASS BOWL ANYDAY TRANSPARENT"/>
    <s v="GLS-"/>
    <s v="B"/>
    <n v="2156"/>
    <s v="PC"/>
    <s v="CNY"/>
    <n v="11.672599999999999"/>
    <n v="25166.13"/>
  </r>
  <r>
    <x v="35"/>
    <x v="35"/>
    <m/>
    <s v="M250327"/>
    <s v="1-6-672-N"/>
    <s v="23CM SQUARE GLASS BOWL ANYDAY TRANSPARENT"/>
    <s v="GLS-"/>
    <s v="B"/>
    <n v="2260"/>
    <s v="PC"/>
    <s v="CNY"/>
    <n v="11.672599999999999"/>
    <n v="26380.080000000002"/>
  </r>
  <r>
    <x v="53"/>
    <x v="53"/>
    <m/>
    <s v="D250302"/>
    <s v="7-S-0801219L"/>
    <s v="304# SS COLL 0.8x1219xCmm"/>
    <s v="SSM-"/>
    <s v="B"/>
    <n v="33033"/>
    <s v="KG"/>
    <s v="CNY"/>
    <n v="11.8142"/>
    <n v="390258.47"/>
  </r>
  <r>
    <x v="53"/>
    <x v="53"/>
    <m/>
    <s v="D250301"/>
    <s v="7-S-0801219L"/>
    <s v="304# SS COLL 0.8x1219xCmm"/>
    <s v="SSM-"/>
    <s v="B"/>
    <n v="32834"/>
    <s v="KG"/>
    <s v="CNY"/>
    <n v="11.8142"/>
    <n v="387907.44"/>
  </r>
  <r>
    <x v="53"/>
    <x v="53"/>
    <m/>
    <s v="D250303"/>
    <s v="7-S-0801219L"/>
    <s v="304# SS COLL 0.8x1219xCmm"/>
    <s v="SSM-"/>
    <s v="B"/>
    <n v="43134"/>
    <s v="KG"/>
    <s v="CNY"/>
    <n v="11.8142"/>
    <n v="509593.7"/>
  </r>
  <r>
    <x v="52"/>
    <x v="52"/>
    <m/>
    <s v="D250304"/>
    <s v="7-S-0601219L"/>
    <s v="304# SS COLL 0.6x1219xCmm"/>
    <s v="SSM-"/>
    <s v="B"/>
    <n v="33398"/>
    <s v="KG"/>
    <s v="CNY"/>
    <n v="12.3009"/>
    <n v="410825.46"/>
  </r>
  <r>
    <x v="11"/>
    <x v="11"/>
    <m/>
    <s v="C03016"/>
    <s v="3-5-HPS103--Y"/>
    <s v="SH-- 103 BSH R82.3 C/C59.25 H6.5"/>
    <s v="HDL-"/>
    <s v="B"/>
    <n v="670"/>
    <s v="PC"/>
    <s v="CNY"/>
    <n v="15.564299999999999"/>
    <n v="10428.08"/>
  </r>
  <r>
    <x v="11"/>
    <x v="11"/>
    <m/>
    <s v="C03016"/>
    <s v="3-5-HPS105--Y"/>
    <s v="SH-- 105 BSH R102.3 C/C59.25 H6.5"/>
    <s v="HDL-"/>
    <s v="B"/>
    <n v="540"/>
    <s v="PC"/>
    <s v="CNY"/>
    <n v="15.564299999999999"/>
    <n v="8404.7199999999993"/>
  </r>
  <r>
    <x v="11"/>
    <x v="11"/>
    <m/>
    <s v="C03025"/>
    <s v="3-5-HPS103--Y"/>
    <s v="SH-- 103 BSH R82.3 C/C59.25 H6.5"/>
    <s v="HDL-"/>
    <s v="B"/>
    <n v="370"/>
    <s v="PC"/>
    <s v="CNY"/>
    <n v="15.564299999999999"/>
    <n v="5758.79"/>
  </r>
  <r>
    <x v="11"/>
    <x v="11"/>
    <m/>
    <s v="C03025"/>
    <s v="3-5-HPS105--Y"/>
    <s v="SH-- 105 BSH R102.3 C/C59.25 H6.5"/>
    <s v="HDL-"/>
    <s v="B"/>
    <n v="500"/>
    <s v="PC"/>
    <s v="CNY"/>
    <n v="15.564299999999999"/>
    <n v="7782.15"/>
  </r>
  <r>
    <x v="10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10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10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16"/>
    <x v="16"/>
    <m/>
    <s v="C02034"/>
    <s v="1-6-109"/>
    <s v="PLASTIC EGG CUP GLOSSY BLACK"/>
    <s v="T&amp;G-"/>
    <s v="B"/>
    <n v="20000"/>
    <s v="PC"/>
    <s v="CNY"/>
    <n v="1.0768"/>
    <n v="21536"/>
  </r>
  <r>
    <x v="10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10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31"/>
    <x v="31"/>
    <m/>
    <s v="C03037"/>
    <s v="7-6-384D"/>
    <s v="G.BACON PRESS 18CM MEYER"/>
    <s v="GLID"/>
    <s v="B"/>
    <n v="2050"/>
    <s v="PC"/>
    <s v="CNY"/>
    <n v="16.5"/>
    <n v="33825"/>
  </r>
  <r>
    <x v="10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10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10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3"/>
    <x v="3"/>
    <m/>
    <s v="M250110"/>
    <s v="1-8-PU582-C"/>
    <s v="U&amp;C MEYER X DISNEY EARTHEN"/>
    <s v="U&amp;C-"/>
    <s v="B"/>
    <n v="7100"/>
    <s v="PC"/>
    <s v="CNY"/>
    <n v="0.252"/>
    <n v="1789.2"/>
  </r>
  <r>
    <x v="3"/>
    <x v="3"/>
    <m/>
    <s v="M250110"/>
    <s v="7-8-PU780C-C"/>
    <s v="U&amp;C 70042-C"/>
    <s v="U&amp;C-"/>
    <s v="B"/>
    <n v="2020"/>
    <s v="PC"/>
    <s v="CNY"/>
    <n v="0.26700000000000002"/>
    <n v="539.34"/>
  </r>
  <r>
    <x v="3"/>
    <x v="3"/>
    <m/>
    <s v="M250110"/>
    <s v="7-8-PU826A-C"/>
    <s v="U&amp;C 77120-CJ08"/>
    <s v="U&amp;C-"/>
    <s v="B"/>
    <n v="1010"/>
    <s v="PC"/>
    <s v="CNY"/>
    <n v="0.26700000000000002"/>
    <n v="269.67"/>
  </r>
  <r>
    <x v="3"/>
    <x v="3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3"/>
    <x v="3"/>
    <m/>
    <s v="M250109"/>
    <s v="6-8-X026"/>
    <s v="PRINT MAT'L ANYDAY CLEAR GLASS DISHES"/>
    <s v="U&amp;C-"/>
    <s v="B"/>
    <n v="3020"/>
    <s v="PC"/>
    <s v="CNY"/>
    <n v="0.7"/>
    <n v="2114"/>
  </r>
  <r>
    <x v="3"/>
    <x v="3"/>
    <m/>
    <s v="M250107"/>
    <s v="6-8-X026"/>
    <s v="PRINT MAT'L ANYDAY CLEAR GLASS DISHES"/>
    <s v="U&amp;C-"/>
    <s v="B"/>
    <n v="4000"/>
    <s v="PC"/>
    <s v="CNY"/>
    <n v="0.7"/>
    <n v="2800"/>
  </r>
  <r>
    <x v="3"/>
    <x v="3"/>
    <m/>
    <s v="M250109"/>
    <s v="6-8-X025"/>
    <s v="PRINT MAT'L ANYDAY SQUARE GLASS DISHES"/>
    <s v="U&amp;C-"/>
    <s v="B"/>
    <n v="2100"/>
    <s v="PC"/>
    <s v="CNY"/>
    <n v="1.0900000000000001"/>
    <n v="2289"/>
  </r>
  <r>
    <x v="3"/>
    <x v="3"/>
    <m/>
    <s v="M250109"/>
    <s v="6-8-X024"/>
    <s v="PRINT MAT'L ANYDAY SQUARE GLASS DISHES"/>
    <s v="U&amp;C-"/>
    <s v="B"/>
    <n v="2100"/>
    <s v="PC"/>
    <s v="CNY"/>
    <n v="1.29"/>
    <n v="2709"/>
  </r>
  <r>
    <x v="3"/>
    <x v="3"/>
    <m/>
    <s v="M250109"/>
    <s v="6-8-X023"/>
    <s v="PRINT MAT'L ANYDAY SQUARE GLASS DISHES"/>
    <s v="U&amp;C-"/>
    <s v="B"/>
    <n v="2100"/>
    <s v="PC"/>
    <s v="CNY"/>
    <n v="1.29"/>
    <n v="2709"/>
  </r>
  <r>
    <x v="3"/>
    <x v="3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3"/>
    <x v="3"/>
    <m/>
    <s v="M250124"/>
    <s v="7-8-PU241L"/>
    <s v="GENERIC U&amp;C (MUS)"/>
    <s v="U&amp;C-"/>
    <s v="B"/>
    <n v="2020"/>
    <s v="PC"/>
    <s v="CNY"/>
    <n v="0.1244"/>
    <n v="251.29"/>
  </r>
  <r>
    <x v="3"/>
    <x v="3"/>
    <m/>
    <s v="M250124"/>
    <s v="7-9-ZAPU0043"/>
    <s v="U&amp;C CE NS"/>
    <s v="U&amp;C-"/>
    <s v="B"/>
    <n v="1000"/>
    <s v="PC"/>
    <s v="CNY"/>
    <n v="0.28000000000000003"/>
    <n v="280"/>
  </r>
  <r>
    <x v="3"/>
    <x v="3"/>
    <m/>
    <s v="M250123"/>
    <s v="6-8-X023"/>
    <s v="PRINT MAT'L ANYDAY SQUARE GLASS DISHES"/>
    <s v="U&amp;C-"/>
    <s v="B"/>
    <n v="1000"/>
    <s v="PC"/>
    <s v="CNY"/>
    <n v="1.29"/>
    <n v="1290"/>
  </r>
  <r>
    <x v="3"/>
    <x v="3"/>
    <m/>
    <s v="M250137"/>
    <s v="7-9-ZAPU0043"/>
    <s v="U&amp;C CE NS"/>
    <s v="U&amp;C-"/>
    <s v="B"/>
    <n v="1000"/>
    <s v="PC"/>
    <s v="CNY"/>
    <n v="0.28000000000000003"/>
    <n v="280"/>
  </r>
  <r>
    <x v="3"/>
    <x v="3"/>
    <m/>
    <s v="M250207"/>
    <s v="7-8-PU483D-C"/>
    <s v="U&amp;C MEYER SS MJP"/>
    <s v="U&amp;C-"/>
    <s v="B"/>
    <n v="4000"/>
    <s v="PC"/>
    <s v="CNY"/>
    <n v="0.22839999999999999"/>
    <n v="913.6"/>
  </r>
  <r>
    <x v="3"/>
    <x v="3"/>
    <m/>
    <s v="M250207"/>
    <s v="7-8-PU780C-C"/>
    <s v="U&amp;C 70042-C"/>
    <s v="U&amp;C-"/>
    <s v="B"/>
    <n v="2020"/>
    <s v="PC"/>
    <s v="CNY"/>
    <n v="0.26700000000000002"/>
    <n v="539.34"/>
  </r>
  <r>
    <x v="3"/>
    <x v="3"/>
    <m/>
    <s v="M250210"/>
    <s v="7-8-PU656"/>
    <s v="U&amp;C RACO"/>
    <s v="U&amp;C-"/>
    <s v="B"/>
    <n v="1510"/>
    <s v="PC"/>
    <s v="CNY"/>
    <n v="0.27500000000000002"/>
    <n v="415.25"/>
  </r>
  <r>
    <x v="3"/>
    <x v="3"/>
    <m/>
    <s v="M250210"/>
    <s v="3-8-PU453D"/>
    <s v="U&amp;C ANOLON ENDURANCE + (MCA)"/>
    <s v="U&amp;C-"/>
    <s v="B"/>
    <n v="1200"/>
    <s v="PC"/>
    <s v="CNY"/>
    <n v="0.32300000000000001"/>
    <n v="387.6"/>
  </r>
  <r>
    <x v="3"/>
    <x v="3"/>
    <m/>
    <s v="M250209"/>
    <s v="6-8-X023"/>
    <s v="PRINT MAT'L ANYDAY SQUARE GLASS DISHES"/>
    <s v="U&amp;C-"/>
    <s v="B"/>
    <n v="2020"/>
    <s v="PC"/>
    <s v="CNY"/>
    <n v="1.29"/>
    <n v="2605.8000000000002"/>
  </r>
  <r>
    <x v="3"/>
    <x v="3"/>
    <m/>
    <s v="M250209"/>
    <s v="6-8-X024"/>
    <s v="PRINT MAT'L ANYDAY SQUARE GLASS DISHES"/>
    <s v="U&amp;C-"/>
    <s v="B"/>
    <n v="2020"/>
    <s v="PC"/>
    <s v="CNY"/>
    <n v="1.29"/>
    <n v="2605.8000000000002"/>
  </r>
  <r>
    <x v="3"/>
    <x v="3"/>
    <m/>
    <s v="M250219"/>
    <s v="6-8-X022"/>
    <s v="PRINT MAT'L ANYDAY SQUARE GLASS DISHES"/>
    <s v="U&amp;C-"/>
    <s v="B"/>
    <n v="3000"/>
    <s v="PC"/>
    <s v="CNY"/>
    <n v="1.53"/>
    <n v="4590"/>
  </r>
  <r>
    <x v="18"/>
    <x v="18"/>
    <m/>
    <s v="X250232"/>
    <s v="1-8-PU509"/>
    <s v="U&amp;C MEYER (MCA)"/>
    <s v="U&amp;C-"/>
    <s v="B"/>
    <n v="1000"/>
    <s v="PC"/>
    <s v="CNY"/>
    <n v="0.69"/>
    <n v="690"/>
  </r>
  <r>
    <x v="10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35"/>
    <x v="35"/>
    <m/>
    <s v="M250326"/>
    <s v="1-6-661"/>
    <s v="24CM GLASS BOWL ANYDAY FROSTED"/>
    <s v="GLS-"/>
    <s v="B"/>
    <n v="820"/>
    <s v="PC"/>
    <s v="CNY"/>
    <n v="17.805299999999999"/>
    <n v="14600.35"/>
  </r>
  <r>
    <x v="35"/>
    <x v="35"/>
    <m/>
    <s v="M250327"/>
    <s v="1-6-661"/>
    <s v="24CM GLASS BOWL ANYDAY FROSTED"/>
    <s v="GLS-"/>
    <s v="B"/>
    <n v="188"/>
    <s v="PC"/>
    <s v="CNY"/>
    <n v="17.805299999999999"/>
    <n v="3347.4"/>
  </r>
  <r>
    <x v="54"/>
    <x v="54"/>
    <m/>
    <s v="B250302"/>
    <s v="7-A-5AD23495C"/>
    <s v="5P 304-AL-430 2.3x495mm"/>
    <s v="CDM-"/>
    <s v="B"/>
    <n v="550"/>
    <s v="PC"/>
    <s v="CNY"/>
    <n v="43.610599999999998"/>
    <n v="23985.83"/>
  </r>
  <r>
    <x v="55"/>
    <x v="55"/>
    <m/>
    <s v="X250315"/>
    <s v="7-9-ZCW0080160070"/>
    <s v="CHIBA WHELL 80# 160x70x25"/>
    <s v="MISC"/>
    <s v="B"/>
    <n v="100"/>
    <s v="PC"/>
    <s v="CNY"/>
    <n v="52"/>
    <n v="5200"/>
  </r>
  <r>
    <x v="25"/>
    <x v="25"/>
    <m/>
    <s v="M250339"/>
    <s v="1-4-T968218094"/>
    <s v="9682/K18094 TOPCOAT METALLIC BLACK"/>
    <s v="INM-"/>
    <s v="B"/>
    <n v="50"/>
    <s v="KG"/>
    <s v="CNY"/>
    <n v="63.008800000000001"/>
    <n v="3150.44"/>
  </r>
  <r>
    <x v="25"/>
    <x v="25"/>
    <m/>
    <s v="M250352"/>
    <s v="1-4-T968218094"/>
    <s v="9682/K18094 TOPCOAT METALLIC BLACK"/>
    <s v="INM-"/>
    <s v="B"/>
    <n v="25"/>
    <s v="KG"/>
    <s v="CNY"/>
    <n v="63.008800000000001"/>
    <n v="1575.22"/>
  </r>
  <r>
    <x v="25"/>
    <x v="25"/>
    <m/>
    <s v="M250354"/>
    <s v="1-4-T968218094"/>
    <s v="9682/K18094 TOPCOAT METALLIC BLACK"/>
    <s v="INM-"/>
    <s v="B"/>
    <n v="75"/>
    <s v="KG"/>
    <s v="CNY"/>
    <n v="63.008800000000001"/>
    <n v="4725.66"/>
  </r>
  <r>
    <x v="55"/>
    <x v="55"/>
    <m/>
    <s v="X250315"/>
    <s v="7-9-ZCW0080180070"/>
    <s v="CHIBA WHELL 80# 180x70x25"/>
    <s v="MISC"/>
    <s v="B"/>
    <n v="200"/>
    <s v="PC"/>
    <s v="CNY"/>
    <n v="64"/>
    <n v="12800"/>
  </r>
  <r>
    <x v="25"/>
    <x v="25"/>
    <m/>
    <s v="M250352"/>
    <s v="1-4-P968218093"/>
    <s v="9682/K18093 PRIMER BLACK"/>
    <s v="INM-"/>
    <s v="B"/>
    <n v="25"/>
    <s v="KG"/>
    <s v="CNY"/>
    <n v="64.778800000000004"/>
    <n v="1619.47"/>
  </r>
  <r>
    <x v="25"/>
    <x v="25"/>
    <m/>
    <s v="M250355"/>
    <s v="1-4-P968218093"/>
    <s v="9682/K18093 PRIMER BLACK"/>
    <s v="INM-"/>
    <s v="B"/>
    <n v="50"/>
    <s v="KG"/>
    <s v="CNY"/>
    <n v="64.778800000000004"/>
    <n v="3238.94"/>
  </r>
  <r>
    <x v="25"/>
    <x v="25"/>
    <m/>
    <s v="M250355"/>
    <s v="1-4-P9582N204110"/>
    <s v="9582/N204110-G05 BLACK PRIMER"/>
    <s v="INM-"/>
    <s v="B"/>
    <n v="25"/>
    <s v="KG"/>
    <s v="CNY"/>
    <n v="69.026499999999999"/>
    <n v="1725.66"/>
  </r>
  <r>
    <x v="25"/>
    <x v="25"/>
    <m/>
    <s v="M250355"/>
    <s v="1-4-T9682N204111"/>
    <s v="9682/N204111-G05 CLEAR METALLIC TOPCOAT"/>
    <s v="INM-"/>
    <s v="B"/>
    <n v="50"/>
    <s v="KG"/>
    <s v="CNY"/>
    <n v="69.026499999999999"/>
    <n v="3451.33"/>
  </r>
  <r>
    <x v="56"/>
    <x v="56"/>
    <m/>
    <s v="M250333"/>
    <s v="3-4-P459GE1190"/>
    <s v="459G-E1190 PRIMER BLACK"/>
    <s v="INM-"/>
    <s v="B"/>
    <n v="150"/>
    <s v="KG"/>
    <s v="CNY"/>
    <n v="81"/>
    <n v="12150"/>
  </r>
  <r>
    <x v="25"/>
    <x v="25"/>
    <m/>
    <s v="M250342"/>
    <s v="1-4-4770N213105"/>
    <s v="4770/N213105-G05 ROSYBROWN METALLIC"/>
    <s v="EXM-"/>
    <s v="B"/>
    <n v="25"/>
    <s v="KG"/>
    <s v="CNY"/>
    <n v="88.495599999999996"/>
    <n v="2212.39"/>
  </r>
  <r>
    <x v="25"/>
    <x v="25"/>
    <m/>
    <s v="M250357"/>
    <s v="1-4-4770N213105"/>
    <s v="4770/N213105-G05 ROSYBROWN METALLIC"/>
    <s v="EXM-"/>
    <s v="B"/>
    <n v="25"/>
    <s v="KG"/>
    <s v="CNY"/>
    <n v="88.495599999999996"/>
    <n v="2212.39"/>
  </r>
  <r>
    <x v="3"/>
    <x v="3"/>
    <m/>
    <s v="M250110"/>
    <s v="6-8-PG01"/>
    <s v="WARR CARD ANYDAY MCA"/>
    <s v="WACD"/>
    <s v="B"/>
    <n v="1000"/>
    <s v="PC"/>
    <s v="CNY"/>
    <n v="0.26800000000000002"/>
    <n v="268"/>
  </r>
  <r>
    <x v="3"/>
    <x v="3"/>
    <m/>
    <s v="M250124"/>
    <s v="7-8-PG65B"/>
    <s v="ANOLON LT LTD WARR"/>
    <s v="WACD"/>
    <s v="B"/>
    <n v="2010"/>
    <s v="PC"/>
    <s v="CNY"/>
    <n v="6.5000000000000002E-2"/>
    <n v="130.65"/>
  </r>
  <r>
    <x v="3"/>
    <x v="3"/>
    <m/>
    <s v="M250124"/>
    <s v="7-8-PG122"/>
    <s v="GUAR CARD PRESTIGE"/>
    <s v="WACD"/>
    <s v="B"/>
    <n v="710"/>
    <s v="PC"/>
    <s v="CNY"/>
    <n v="0.315"/>
    <n v="223.65"/>
  </r>
  <r>
    <x v="3"/>
    <x v="3"/>
    <m/>
    <s v="M250220"/>
    <s v="1-8-PG72A"/>
    <s v="WARR CARD MEYER (MCA)"/>
    <s v="WACD"/>
    <s v="B"/>
    <n v="1000"/>
    <s v="PC"/>
    <s v="CNY"/>
    <n v="0.252"/>
    <n v="252"/>
  </r>
  <r>
    <x v="3"/>
    <x v="3"/>
    <m/>
    <s v="M250220"/>
    <s v="1-8-PG61D"/>
    <s v="WARR CARD RACO (MCA)"/>
    <s v="WACD"/>
    <s v="B"/>
    <n v="1500"/>
    <s v="PC"/>
    <s v="CNY"/>
    <n v="0.39200000000000002"/>
    <n v="588"/>
  </r>
  <r>
    <x v="25"/>
    <x v="25"/>
    <m/>
    <s v="M250339"/>
    <s v="1-4-T7353J2002Z"/>
    <s v="BLACK MET.TOP 7353/J2002Z"/>
    <s v="INM-"/>
    <s v="B"/>
    <n v="75"/>
    <s v="KG"/>
    <s v="CNY"/>
    <n v="92.743399999999994"/>
    <n v="6955.76"/>
  </r>
  <r>
    <x v="25"/>
    <x v="25"/>
    <m/>
    <s v="M250352"/>
    <s v="1-4-T7353J2002Z"/>
    <s v="BLACK MET.TOP 7353/J2002Z"/>
    <s v="INM-"/>
    <s v="B"/>
    <n v="75"/>
    <s v="KG"/>
    <s v="CNY"/>
    <n v="92.743399999999994"/>
    <n v="6955.76"/>
  </r>
  <r>
    <x v="11"/>
    <x v="11"/>
    <m/>
    <s v="C01006"/>
    <s v="1-6-145"/>
    <s v="Ru GASKET ID5.8mm G-LD"/>
    <s v="WHR-"/>
    <s v="B"/>
    <n v="4000"/>
    <s v="PC"/>
    <s v="CNY"/>
    <n v="6.2E-2"/>
    <n v="248"/>
  </r>
  <r>
    <x v="11"/>
    <x v="11"/>
    <m/>
    <s v="C01006"/>
    <s v="1-6-145"/>
    <s v="Ru GASKET ID5.8mm G-LD"/>
    <s v="WHR-"/>
    <s v="B"/>
    <n v="2000"/>
    <s v="PC"/>
    <s v="CNY"/>
    <n v="6.2E-2"/>
    <n v="124"/>
  </r>
  <r>
    <x v="11"/>
    <x v="11"/>
    <m/>
    <s v="C01006"/>
    <s v="1-6-145"/>
    <s v="Ru GASKET ID5.8mm G-LD"/>
    <s v="WHR-"/>
    <s v="B"/>
    <n v="2000"/>
    <s v="PC"/>
    <s v="CNY"/>
    <n v="6.2E-2"/>
    <n v="124"/>
  </r>
  <r>
    <x v="11"/>
    <x v="11"/>
    <m/>
    <s v="C01005"/>
    <s v="3-6-539"/>
    <s v="Si GROMMET CLEAR 500F"/>
    <s v="WHR-"/>
    <s v="B"/>
    <n v="2500"/>
    <s v="PC"/>
    <s v="CNY"/>
    <n v="8.9499999999999996E-2"/>
    <n v="223.75"/>
  </r>
  <r>
    <x v="11"/>
    <x v="11"/>
    <m/>
    <s v="C01005"/>
    <s v="3-6-539"/>
    <s v="Si GROMMET CLEAR 500F"/>
    <s v="WHR-"/>
    <s v="B"/>
    <n v="9000"/>
    <s v="PC"/>
    <s v="CNY"/>
    <n v="8.9499999999999996E-2"/>
    <n v="805.5"/>
  </r>
  <r>
    <x v="11"/>
    <x v="11"/>
    <m/>
    <s v="C01005"/>
    <s v="1-6-576A"/>
    <s v="POSTCURED SILICONE GROMMET CLEAR 500F"/>
    <s v="WHR-"/>
    <s v="B"/>
    <n v="2300"/>
    <s v="PC"/>
    <s v="CNY"/>
    <n v="0.1096"/>
    <n v="252.08"/>
  </r>
  <r>
    <x v="12"/>
    <x v="12"/>
    <m/>
    <s v="C01004"/>
    <s v="1-6-585"/>
    <s v="SILICONE GASKET"/>
    <s v="WHR-"/>
    <s v="B"/>
    <n v="2560"/>
    <s v="PC"/>
    <s v="CNY"/>
    <n v="0.1176"/>
    <n v="301.06"/>
  </r>
  <r>
    <x v="11"/>
    <x v="11"/>
    <m/>
    <s v="C01006"/>
    <s v="1-6-460A"/>
    <s v="SiRu GASKET GY04A"/>
    <s v="WHR-"/>
    <s v="B"/>
    <n v="500"/>
    <s v="PC"/>
    <s v="CNY"/>
    <n v="0.14000000000000001"/>
    <n v="70"/>
  </r>
  <r>
    <x v="12"/>
    <x v="12"/>
    <m/>
    <s v="C01004"/>
    <s v="1-6-175"/>
    <s v="SI RU GASKET BK01A"/>
    <s v="WHR-"/>
    <s v="B"/>
    <n v="2100"/>
    <s v="PC"/>
    <s v="CNY"/>
    <n v="0.441"/>
    <n v="926.1"/>
  </r>
  <r>
    <x v="11"/>
    <x v="11"/>
    <m/>
    <s v="C01034"/>
    <s v="1-6-145"/>
    <s v="Ru GASKET ID5.8mm G-LD"/>
    <s v="WHR-"/>
    <s v="B"/>
    <n v="1000"/>
    <s v="PC"/>
    <s v="CNY"/>
    <n v="6.2E-2"/>
    <n v="62"/>
  </r>
  <r>
    <x v="11"/>
    <x v="11"/>
    <m/>
    <s v="C01034"/>
    <s v="1-6-145"/>
    <s v="Ru GASKET ID5.8mm G-LD"/>
    <s v="WHR-"/>
    <s v="B"/>
    <n v="9800"/>
    <s v="PC"/>
    <s v="CNY"/>
    <n v="6.2E-2"/>
    <n v="607.6"/>
  </r>
  <r>
    <x v="12"/>
    <x v="12"/>
    <m/>
    <s v="C01046"/>
    <s v="1-6-175"/>
    <s v="SI RU GASKET BK01A"/>
    <s v="WHR-"/>
    <s v="B"/>
    <n v="9200"/>
    <s v="PC"/>
    <s v="CNY"/>
    <n v="0.4365"/>
    <n v="4015.8"/>
  </r>
  <r>
    <x v="5"/>
    <x v="5"/>
    <m/>
    <s v="C01058"/>
    <s v="7-6-W03"/>
    <s v="SS WHR M6 DIA 17mm"/>
    <s v="WHR-"/>
    <s v="B"/>
    <n v="5000"/>
    <s v="PC"/>
    <s v="CNY"/>
    <n v="3.9800000000000002E-2"/>
    <n v="199"/>
  </r>
  <r>
    <x v="5"/>
    <x v="5"/>
    <m/>
    <s v="C01058"/>
    <s v="7-6-W03"/>
    <s v="SS WHR M6 DIA 17mm"/>
    <s v="WHR-"/>
    <s v="B"/>
    <n v="1400"/>
    <s v="PC"/>
    <s v="CNY"/>
    <n v="3.9800000000000002E-2"/>
    <n v="55.72"/>
  </r>
  <r>
    <x v="5"/>
    <x v="5"/>
    <m/>
    <s v="C01058"/>
    <s v="7-6-W03"/>
    <s v="SS WHR M6 DIA 17mm"/>
    <s v="WHR-"/>
    <s v="B"/>
    <n v="1000"/>
    <s v="PC"/>
    <s v="CNY"/>
    <n v="3.9800000000000002E-2"/>
    <n v="39.799999999999997"/>
  </r>
  <r>
    <x v="5"/>
    <x v="5"/>
    <m/>
    <s v="C01057"/>
    <s v="1-6-W22"/>
    <s v="WHR SS 25mm G-LD"/>
    <s v="WHR-"/>
    <s v="B"/>
    <n v="9800"/>
    <s v="PC"/>
    <s v="CNY"/>
    <n v="4.1000000000000002E-2"/>
    <n v="401.8"/>
  </r>
  <r>
    <x v="5"/>
    <x v="5"/>
    <m/>
    <s v="C01057"/>
    <s v="1-6-W22"/>
    <s v="WHR SS 25mm G-LD"/>
    <s v="WHR-"/>
    <s v="B"/>
    <n v="3900"/>
    <s v="PC"/>
    <s v="CNY"/>
    <n v="4.1000000000000002E-2"/>
    <n v="159.9"/>
  </r>
  <r>
    <x v="5"/>
    <x v="5"/>
    <m/>
    <s v="C01058"/>
    <s v="3-6-141"/>
    <s v="Ru GASKET FOR G-LD BK01A"/>
    <s v="WHR-"/>
    <s v="B"/>
    <n v="1000"/>
    <s v="PC"/>
    <s v="CNY"/>
    <n v="4.2999999999999997E-2"/>
    <n v="43"/>
  </r>
  <r>
    <x v="5"/>
    <x v="5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5"/>
    <x v="5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11"/>
    <x v="11"/>
    <m/>
    <s v="C01066"/>
    <s v="1-6-576A"/>
    <s v="POSTCURED SILICONE GROMMET CLEAR 500F"/>
    <s v="WHR-"/>
    <s v="B"/>
    <n v="9000"/>
    <s v="PC"/>
    <s v="CNY"/>
    <n v="0.1096"/>
    <n v="986.4"/>
  </r>
  <r>
    <x v="12"/>
    <x v="12"/>
    <m/>
    <s v="C02003"/>
    <s v="1-6-585"/>
    <s v="SILICONE GASKET"/>
    <s v="WHR-"/>
    <s v="B"/>
    <n v="500"/>
    <s v="PC"/>
    <s v="CNY"/>
    <n v="0.12"/>
    <n v="60"/>
  </r>
  <r>
    <x v="12"/>
    <x v="12"/>
    <m/>
    <s v="C02003"/>
    <s v="1-6-175"/>
    <s v="SI RU GASKET BK01A"/>
    <s v="WHR-"/>
    <s v="B"/>
    <n v="1300"/>
    <s v="PC"/>
    <s v="CNY"/>
    <n v="0.45"/>
    <n v="585"/>
  </r>
  <r>
    <x v="11"/>
    <x v="11"/>
    <m/>
    <s v="C02009"/>
    <s v="1-6-576A"/>
    <s v="POSTCURED SILICONE GROMMET CLEAR 500F"/>
    <s v="WHR-"/>
    <s v="B"/>
    <n v="4000"/>
    <s v="PC"/>
    <s v="CNY"/>
    <n v="0.1096"/>
    <n v="438.4"/>
  </r>
  <r>
    <x v="11"/>
    <x v="11"/>
    <m/>
    <s v="C02009"/>
    <s v="1-6-576A"/>
    <s v="POSTCURED SILICONE GROMMET CLEAR 500F"/>
    <s v="WHR-"/>
    <s v="B"/>
    <n v="10000"/>
    <s v="PC"/>
    <s v="CNY"/>
    <n v="0.1096"/>
    <n v="1096"/>
  </r>
  <r>
    <x v="25"/>
    <x v="25"/>
    <m/>
    <s v="M250353"/>
    <s v="1-4-T7353J2002Z"/>
    <s v="BLACK MET.TOP 7353/J2002Z"/>
    <s v="INM-"/>
    <s v="B"/>
    <n v="75"/>
    <s v="KG"/>
    <s v="CNY"/>
    <n v="92.743399999999994"/>
    <n v="6955.76"/>
  </r>
  <r>
    <x v="25"/>
    <x v="25"/>
    <m/>
    <s v="M250356"/>
    <s v="1-4-4700N1776"/>
    <s v="4700/N1776 BLACK"/>
    <s v="EXM-"/>
    <s v="B"/>
    <n v="25"/>
    <s v="KG"/>
    <s v="CNY"/>
    <n v="102.0354"/>
    <n v="2550.89"/>
  </r>
  <r>
    <x v="25"/>
    <x v="25"/>
    <m/>
    <s v="M250352"/>
    <s v="1-4-M7252J2031Z"/>
    <s v="7252/J2031Z MIDCOAT"/>
    <s v="INM-"/>
    <s v="B"/>
    <n v="50"/>
    <s v="KG"/>
    <s v="CNY"/>
    <n v="110.17700000000001"/>
    <n v="5508.85"/>
  </r>
  <r>
    <x v="25"/>
    <x v="25"/>
    <m/>
    <s v="M250353"/>
    <s v="1-4-M7252J2031Z"/>
    <s v="7252/J2031Z MIDCOAT"/>
    <s v="INM-"/>
    <s v="B"/>
    <n v="50"/>
    <s v="KG"/>
    <s v="CNY"/>
    <n v="110.17700000000001"/>
    <n v="5508.85"/>
  </r>
  <r>
    <x v="25"/>
    <x v="25"/>
    <m/>
    <s v="M250358"/>
    <s v="1-4-P4770N20555"/>
    <s v="4770/N20555-G05 DUSTY CLAY RED"/>
    <s v="EXM-"/>
    <s v="B"/>
    <n v="25"/>
    <s v="KG"/>
    <s v="CNY"/>
    <n v="110.6195"/>
    <n v="2765.49"/>
  </r>
  <r>
    <x v="56"/>
    <x v="56"/>
    <m/>
    <s v="M250333"/>
    <s v="1-4-M456G72280"/>
    <s v="MIDCOAT DARK PEWTER 456G-72280"/>
    <s v="INM-"/>
    <s v="B"/>
    <n v="150"/>
    <s v="KG"/>
    <s v="CNY"/>
    <n v="120.4248"/>
    <n v="18063.72"/>
  </r>
  <r>
    <x v="56"/>
    <x v="56"/>
    <m/>
    <s v="AQ-M250333"/>
    <s v="1-4-M456G72280"/>
    <s v="MIDCOAT DARK PEWTER 456G-72280"/>
    <s v="INM-"/>
    <s v="B"/>
    <n v="-150"/>
    <s v="KG"/>
    <s v="CNY"/>
    <n v="120.4248"/>
    <n v="-18063.72"/>
  </r>
  <r>
    <x v="56"/>
    <x v="56"/>
    <m/>
    <s v="M250333"/>
    <s v="1-4-M456G72280"/>
    <s v="MIDCOAT DARK PEWTER 456G-72280"/>
    <s v="INM-"/>
    <s v="B"/>
    <n v="150"/>
    <s v="KG"/>
    <s v="CNY"/>
    <n v="120.4248"/>
    <n v="18063.72"/>
  </r>
  <r>
    <x v="57"/>
    <x v="57"/>
    <m/>
    <s v="M250338"/>
    <s v="6-4-TNR10017"/>
    <s v="INNOTEK XYNFLON NR-10017 CLEAR GREY"/>
    <s v="EXM-"/>
    <s v="B"/>
    <n v="20"/>
    <s v="KG"/>
    <s v="CNY"/>
    <n v="123.8938"/>
    <n v="2477.88"/>
  </r>
  <r>
    <x v="56"/>
    <x v="56"/>
    <m/>
    <s v="M250333"/>
    <s v="1-4-T455G73300"/>
    <s v="TOPCOAT CLEAR 455G-73300"/>
    <s v="INM-"/>
    <s v="B"/>
    <n v="30"/>
    <s v="KG"/>
    <s v="CNY"/>
    <n v="129.82300000000001"/>
    <n v="3894.69"/>
  </r>
  <r>
    <x v="55"/>
    <x v="55"/>
    <m/>
    <s v="X250315"/>
    <s v="7-9-ZCW0600350075"/>
    <s v="CHIBA WHELL 600# 350x75x45"/>
    <s v="MISC"/>
    <s v="B"/>
    <n v="50"/>
    <s v="PC"/>
    <s v="CNY"/>
    <n v="276.60000000000002"/>
    <n v="138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4:B8" firstHeaderRow="1" firstDataRow="1" firstDataCol="1"/>
  <pivotFields count="13">
    <pivotField numFmtId="166" showAll="0">
      <items count="59">
        <item x="52"/>
        <item x="38"/>
        <item x="16"/>
        <item x="55"/>
        <item x="27"/>
        <item x="40"/>
        <item x="4"/>
        <item x="5"/>
        <item x="17"/>
        <item x="25"/>
        <item x="30"/>
        <item x="3"/>
        <item x="56"/>
        <item x="43"/>
        <item x="39"/>
        <item x="57"/>
        <item x="37"/>
        <item x="15"/>
        <item x="10"/>
        <item x="51"/>
        <item x="47"/>
        <item x="0"/>
        <item x="35"/>
        <item x="46"/>
        <item x="20"/>
        <item x="44"/>
        <item x="13"/>
        <item x="7"/>
        <item x="18"/>
        <item x="1"/>
        <item x="24"/>
        <item x="19"/>
        <item x="34"/>
        <item x="49"/>
        <item x="22"/>
        <item x="36"/>
        <item x="14"/>
        <item x="8"/>
        <item x="50"/>
        <item x="21"/>
        <item x="32"/>
        <item x="54"/>
        <item x="9"/>
        <item x="6"/>
        <item x="11"/>
        <item x="33"/>
        <item x="12"/>
        <item x="29"/>
        <item x="2"/>
        <item x="23"/>
        <item x="31"/>
        <item x="41"/>
        <item x="48"/>
        <item x="53"/>
        <item x="26"/>
        <item x="42"/>
        <item x="28"/>
        <item x="45"/>
        <item t="default"/>
      </items>
    </pivotField>
    <pivotField axis="axisRow" numFmtId="166" showAll="0">
      <items count="59">
        <item h="1" x="37"/>
        <item h="1" x="55"/>
        <item h="1" x="38"/>
        <item h="1" x="19"/>
        <item h="1" x="41"/>
        <item h="1" x="27"/>
        <item h="1" x="52"/>
        <item h="1" x="5"/>
        <item h="1" x="8"/>
        <item h="1" x="51"/>
        <item h="1" x="54"/>
        <item h="1" x="29"/>
        <item x="28"/>
        <item h="1" x="4"/>
        <item h="1" x="53"/>
        <item h="1" x="30"/>
        <item h="1" x="17"/>
        <item h="1" x="2"/>
        <item h="1" x="21"/>
        <item h="1" x="43"/>
        <item h="1" x="3"/>
        <item h="1" x="57"/>
        <item h="1" x="15"/>
        <item h="1" x="12"/>
        <item h="1" x="40"/>
        <item h="1" x="46"/>
        <item h="1" x="36"/>
        <item h="1" x="18"/>
        <item h="1" x="13"/>
        <item h="1" x="7"/>
        <item h="1" x="32"/>
        <item h="1" x="24"/>
        <item h="1" x="20"/>
        <item h="1" x="49"/>
        <item h="1" x="34"/>
        <item x="22"/>
        <item h="1" x="26"/>
        <item h="1" x="35"/>
        <item h="1" x="47"/>
        <item h="1" x="44"/>
        <item h="1" x="56"/>
        <item h="1" x="9"/>
        <item h="1" x="6"/>
        <item h="1" x="25"/>
        <item x="11"/>
        <item h="1" x="33"/>
        <item h="1" x="1"/>
        <item h="1" x="16"/>
        <item h="1" x="23"/>
        <item h="1" x="48"/>
        <item h="1" x="42"/>
        <item h="1" x="31"/>
        <item h="1" x="0"/>
        <item h="1" x="45"/>
        <item h="1" x="14"/>
        <item h="1" x="50"/>
        <item h="1" x="10"/>
        <item h="1" x="39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5" showAll="0" defaultSubtotal="0"/>
  </pivotFields>
  <rowFields count="1">
    <field x="1"/>
  </rowFields>
  <rowItems count="4">
    <i>
      <x v="12"/>
    </i>
    <i>
      <x v="35"/>
    </i>
    <i>
      <x v="44"/>
    </i>
    <i t="grand">
      <x/>
    </i>
  </rowItems>
  <colItems count="1">
    <i/>
  </colItems>
  <dataFields count="1">
    <dataField name="求和项:Total_PO_Price_PO CUR" fld="12" baseField="0" baseItem="0" numFmtId="168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M71" totalsRowShown="0">
  <autoFilter ref="A1:M71" xr:uid="{00000000-0009-0000-0100-000001000000}"/>
  <tableColumns count="13">
    <tableColumn id="1" xr3:uid="{00000000-0010-0000-0000-000001000000}" name="SUPPLY"/>
    <tableColumn id="2" xr3:uid="{00000000-0010-0000-0000-000002000000}" name="VENDORNAME"/>
    <tableColumn id="3" xr3:uid="{00000000-0010-0000-0000-000003000000}" name="Vendor_Invoice_No"/>
    <tableColumn id="4" xr3:uid="{00000000-0010-0000-0000-000004000000}" name="REF_NO"/>
    <tableColumn id="5" xr3:uid="{00000000-0010-0000-0000-000005000000}" name="ITEM"/>
    <tableColumn id="6" xr3:uid="{00000000-0010-0000-0000-000006000000}" name="DESC"/>
    <tableColumn id="7" xr3:uid="{00000000-0010-0000-0000-000007000000}" name="COMMODITY"/>
    <tableColumn id="8" xr3:uid="{00000000-0010-0000-0000-000008000000}" name="DIV"/>
    <tableColumn id="9" xr3:uid="{00000000-0010-0000-0000-000009000000}" name="QNTY"/>
    <tableColumn id="10" xr3:uid="{00000000-0010-0000-0000-00000A000000}" name="UNIT"/>
    <tableColumn id="11" xr3:uid="{00000000-0010-0000-0000-00000B000000}" name="PO_Price_PO CUR"/>
    <tableColumn id="12" xr3:uid="{00000000-0010-0000-0000-00000C000000}" name="PO UNIT PRICE OI_CUR"/>
    <tableColumn id="13" xr3:uid="{00000000-0010-0000-0000-00000D000000}" name="Total_PO_Price_PO C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10"/>
  <sheetViews>
    <sheetView workbookViewId="0">
      <pane xSplit="8" ySplit="1" topLeftCell="L2105" activePane="bottomRight" state="frozen"/>
      <selection pane="topRight" activeCell="I1" sqref="I1"/>
      <selection pane="bottomLeft" activeCell="A2" sqref="A2"/>
      <selection pane="bottomRight" activeCell="C2109" sqref="C2109"/>
    </sheetView>
  </sheetViews>
  <sheetFormatPr defaultColWidth="9.109375" defaultRowHeight="13.2"/>
  <cols>
    <col min="1" max="1" width="14.109375" style="15" customWidth="1"/>
    <col min="2" max="2" width="9.88671875" style="15" bestFit="1" customWidth="1"/>
    <col min="3" max="3" width="10.44140625" style="15" customWidth="1"/>
    <col min="4" max="5" width="9.109375" style="15"/>
    <col min="6" max="6" width="13.109375" style="19" customWidth="1"/>
    <col min="7" max="7" width="9.109375" style="15"/>
    <col min="8" max="8" width="18.6640625" style="15" customWidth="1"/>
    <col min="9" max="9" width="32.6640625" style="15" customWidth="1"/>
    <col min="10" max="10" width="11.33203125" style="15" customWidth="1"/>
    <col min="11" max="11" width="9.109375" style="15"/>
    <col min="12" max="12" width="12.33203125" style="46" customWidth="1"/>
    <col min="13" max="14" width="9.109375" style="15"/>
    <col min="15" max="15" width="11.44140625" style="49" customWidth="1"/>
    <col min="16" max="16" width="12.33203125" style="15" bestFit="1" customWidth="1"/>
    <col min="17" max="18" width="9.33203125" style="15" bestFit="1" customWidth="1"/>
    <col min="19" max="19" width="10.44140625" style="15" bestFit="1" customWidth="1"/>
    <col min="20" max="16384" width="9.109375" style="15"/>
  </cols>
  <sheetData>
    <row r="1" spans="1:22" s="7" customFormat="1" ht="36" customHeight="1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2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45" t="s">
        <v>1463</v>
      </c>
      <c r="M1" s="1" t="s">
        <v>1464</v>
      </c>
      <c r="N1" s="3" t="s">
        <v>1465</v>
      </c>
      <c r="O1" s="48" t="s">
        <v>1466</v>
      </c>
      <c r="P1" s="4" t="s">
        <v>1467</v>
      </c>
      <c r="Q1" s="3" t="s">
        <v>1468</v>
      </c>
      <c r="R1" s="5" t="s">
        <v>1469</v>
      </c>
      <c r="S1" s="6" t="s">
        <v>1470</v>
      </c>
      <c r="T1" s="7" t="s">
        <v>1471</v>
      </c>
      <c r="V1" s="7" t="s">
        <v>1560</v>
      </c>
    </row>
    <row r="2" spans="1:22" s="18" customFormat="1">
      <c r="A2" t="s">
        <v>3955</v>
      </c>
      <c r="B2" s="20">
        <v>45777</v>
      </c>
      <c r="C2" s="20">
        <v>45705</v>
      </c>
      <c r="D2" t="s">
        <v>2817</v>
      </c>
      <c r="E2" t="s">
        <v>2818</v>
      </c>
      <c r="F2" s="19"/>
      <c r="G2" t="s">
        <v>4388</v>
      </c>
      <c r="H2" t="s">
        <v>3579</v>
      </c>
      <c r="I2" t="s">
        <v>3580</v>
      </c>
      <c r="J2" s="8" t="str">
        <f>+LEFT(U2,4)</f>
        <v>ALM-</v>
      </c>
      <c r="K2" t="s">
        <v>10</v>
      </c>
      <c r="L2" s="46">
        <v>3800</v>
      </c>
      <c r="M2" t="s">
        <v>1472</v>
      </c>
      <c r="N2" t="s">
        <v>2246</v>
      </c>
      <c r="O2" s="49">
        <v>0.5</v>
      </c>
      <c r="P2" s="9">
        <f>ROUND(O2*L2,2)</f>
        <v>1900</v>
      </c>
      <c r="Q2" s="10">
        <f>IF(N2="HKD",7.8,IF(N2="CNY",7.30034,1))</f>
        <v>1</v>
      </c>
      <c r="R2" s="10">
        <f>+ROUND(O2/Q2,4)</f>
        <v>0.5</v>
      </c>
      <c r="S2" s="11">
        <f>ROUND(R2*L2,2)</f>
        <v>1900</v>
      </c>
      <c r="T2" s="10" t="s">
        <v>349</v>
      </c>
      <c r="U2" t="s">
        <v>191</v>
      </c>
      <c r="V2" s="15"/>
    </row>
    <row r="3" spans="1:22" s="18" customFormat="1">
      <c r="A3" t="s">
        <v>4063</v>
      </c>
      <c r="B3" s="20">
        <v>45777</v>
      </c>
      <c r="C3" s="20">
        <v>45763</v>
      </c>
      <c r="D3" t="s">
        <v>1006</v>
      </c>
      <c r="E3" t="s">
        <v>1007</v>
      </c>
      <c r="F3" s="19"/>
      <c r="G3" t="s">
        <v>4427</v>
      </c>
      <c r="H3" t="s">
        <v>1010</v>
      </c>
      <c r="I3" t="s">
        <v>1011</v>
      </c>
      <c r="J3" s="8" t="str">
        <f>+LEFT(U3,4)</f>
        <v>ALM-</v>
      </c>
      <c r="K3" t="s">
        <v>98</v>
      </c>
      <c r="L3" s="46">
        <v>955</v>
      </c>
      <c r="M3" t="s">
        <v>186</v>
      </c>
      <c r="N3" t="s">
        <v>11</v>
      </c>
      <c r="O3" s="49">
        <v>2.9203999999999999</v>
      </c>
      <c r="P3" s="9">
        <f>ROUND(O3*L3,2)</f>
        <v>2788.98</v>
      </c>
      <c r="Q3" s="10">
        <f>IF(N3="HKD",7.8,IF(N3="CNY",7.30034,1))</f>
        <v>7.3003400000000003</v>
      </c>
      <c r="R3" s="10">
        <f>+ROUND(O3/Q3,4)</f>
        <v>0.4</v>
      </c>
      <c r="S3" s="11">
        <f>ROUND(R3*L3,2)</f>
        <v>382</v>
      </c>
      <c r="T3" s="10" t="s">
        <v>349</v>
      </c>
      <c r="U3" t="s">
        <v>191</v>
      </c>
      <c r="V3" s="15"/>
    </row>
    <row r="4" spans="1:22" s="18" customFormat="1">
      <c r="A4" t="s">
        <v>4064</v>
      </c>
      <c r="B4" s="20">
        <v>45777</v>
      </c>
      <c r="C4" s="20">
        <v>45763</v>
      </c>
      <c r="D4" t="s">
        <v>1006</v>
      </c>
      <c r="E4" t="s">
        <v>1007</v>
      </c>
      <c r="F4" s="19"/>
      <c r="G4" t="s">
        <v>4427</v>
      </c>
      <c r="H4" t="s">
        <v>3664</v>
      </c>
      <c r="I4" t="s">
        <v>3665</v>
      </c>
      <c r="J4" s="8" t="str">
        <f>+LEFT(U4,4)</f>
        <v>ALM-</v>
      </c>
      <c r="K4" t="s">
        <v>98</v>
      </c>
      <c r="L4" s="46">
        <v>1364</v>
      </c>
      <c r="M4" t="s">
        <v>186</v>
      </c>
      <c r="N4" t="s">
        <v>11</v>
      </c>
      <c r="O4" s="49">
        <v>2.9203999999999999</v>
      </c>
      <c r="P4" s="9">
        <f>ROUND(O4*L4,2)</f>
        <v>3983.43</v>
      </c>
      <c r="Q4" s="10">
        <f>IF(N4="HKD",7.8,IF(N4="CNY",7.30034,1))</f>
        <v>7.3003400000000003</v>
      </c>
      <c r="R4" s="10">
        <f>+ROUND(O4/Q4,4)</f>
        <v>0.4</v>
      </c>
      <c r="S4" s="11">
        <f>ROUND(R4*L4,2)</f>
        <v>545.6</v>
      </c>
      <c r="T4" s="10" t="s">
        <v>349</v>
      </c>
      <c r="U4" t="s">
        <v>191</v>
      </c>
      <c r="V4" s="15"/>
    </row>
    <row r="5" spans="1:22">
      <c r="A5" t="s">
        <v>4065</v>
      </c>
      <c r="B5" s="20">
        <v>45777</v>
      </c>
      <c r="C5" s="20">
        <v>45763</v>
      </c>
      <c r="D5" t="s">
        <v>1006</v>
      </c>
      <c r="E5" t="s">
        <v>1007</v>
      </c>
      <c r="G5" t="s">
        <v>4427</v>
      </c>
      <c r="H5" t="s">
        <v>3257</v>
      </c>
      <c r="I5" t="s">
        <v>3464</v>
      </c>
      <c r="J5" s="8" t="str">
        <f>+LEFT(U5,4)</f>
        <v>ALM-</v>
      </c>
      <c r="K5" t="s">
        <v>98</v>
      </c>
      <c r="L5" s="46">
        <v>559</v>
      </c>
      <c r="M5" t="s">
        <v>186</v>
      </c>
      <c r="N5" t="s">
        <v>11</v>
      </c>
      <c r="O5" s="49">
        <v>2.9203999999999999</v>
      </c>
      <c r="P5" s="9">
        <f>ROUND(O5*L5,2)</f>
        <v>1632.5</v>
      </c>
      <c r="Q5" s="10">
        <f>IF(N5="HKD",7.8,IF(N5="CNY",7.30034,1))</f>
        <v>7.3003400000000003</v>
      </c>
      <c r="R5" s="10">
        <f>+ROUND(O5/Q5,4)</f>
        <v>0.4</v>
      </c>
      <c r="S5" s="11">
        <f>ROUND(R5*L5,2)</f>
        <v>223.6</v>
      </c>
      <c r="T5" s="10" t="s">
        <v>349</v>
      </c>
      <c r="U5" t="s">
        <v>191</v>
      </c>
    </row>
    <row r="6" spans="1:22">
      <c r="A6" t="s">
        <v>4066</v>
      </c>
      <c r="B6" s="20">
        <v>45777</v>
      </c>
      <c r="C6" s="20">
        <v>45763</v>
      </c>
      <c r="D6" t="s">
        <v>1006</v>
      </c>
      <c r="E6" t="s">
        <v>1007</v>
      </c>
      <c r="G6" t="s">
        <v>4427</v>
      </c>
      <c r="H6" t="s">
        <v>3196</v>
      </c>
      <c r="I6" t="s">
        <v>3403</v>
      </c>
      <c r="J6" s="8" t="str">
        <f>+LEFT(U6,4)</f>
        <v>ALM-</v>
      </c>
      <c r="K6" t="s">
        <v>98</v>
      </c>
      <c r="L6" s="46">
        <v>1873</v>
      </c>
      <c r="M6" t="s">
        <v>186</v>
      </c>
      <c r="N6" t="s">
        <v>11</v>
      </c>
      <c r="O6" s="49">
        <v>2.9203999999999999</v>
      </c>
      <c r="P6" s="9">
        <f>ROUND(O6*L6,2)</f>
        <v>5469.91</v>
      </c>
      <c r="Q6" s="10">
        <f>IF(N6="HKD",7.8,IF(N6="CNY",7.30034,1))</f>
        <v>7.3003400000000003</v>
      </c>
      <c r="R6" s="10">
        <f>+ROUND(O6/Q6,4)</f>
        <v>0.4</v>
      </c>
      <c r="S6" s="11">
        <f>ROUND(R6*L6,2)</f>
        <v>749.2</v>
      </c>
      <c r="T6" s="10" t="s">
        <v>349</v>
      </c>
      <c r="U6" t="s">
        <v>191</v>
      </c>
    </row>
    <row r="7" spans="1:22">
      <c r="A7" t="s">
        <v>4067</v>
      </c>
      <c r="B7" s="20">
        <v>45777</v>
      </c>
      <c r="C7" s="20">
        <v>45763</v>
      </c>
      <c r="D7" t="s">
        <v>1006</v>
      </c>
      <c r="E7" t="s">
        <v>1007</v>
      </c>
      <c r="G7" t="s">
        <v>4427</v>
      </c>
      <c r="H7" t="s">
        <v>3668</v>
      </c>
      <c r="I7" t="s">
        <v>3669</v>
      </c>
      <c r="J7" s="8" t="str">
        <f>+LEFT(U7,4)</f>
        <v>ALM-</v>
      </c>
      <c r="K7" t="s">
        <v>98</v>
      </c>
      <c r="L7" s="46">
        <v>545</v>
      </c>
      <c r="M7" t="s">
        <v>186</v>
      </c>
      <c r="N7" t="s">
        <v>11</v>
      </c>
      <c r="O7" s="49">
        <v>2.9203999999999999</v>
      </c>
      <c r="P7" s="9">
        <f>ROUND(O7*L7,2)</f>
        <v>1591.62</v>
      </c>
      <c r="Q7" s="10">
        <f>IF(N7="HKD",7.8,IF(N7="CNY",7.30034,1))</f>
        <v>7.3003400000000003</v>
      </c>
      <c r="R7" s="10">
        <f>+ROUND(O7/Q7,4)</f>
        <v>0.4</v>
      </c>
      <c r="S7" s="11">
        <f>ROUND(R7*L7,2)</f>
        <v>218</v>
      </c>
      <c r="T7" s="10" t="s">
        <v>349</v>
      </c>
      <c r="U7" t="s">
        <v>191</v>
      </c>
    </row>
    <row r="8" spans="1:22">
      <c r="A8" t="s">
        <v>4068</v>
      </c>
      <c r="B8" s="20">
        <v>45777</v>
      </c>
      <c r="C8" s="20">
        <v>45763</v>
      </c>
      <c r="D8" t="s">
        <v>1006</v>
      </c>
      <c r="E8" t="s">
        <v>1007</v>
      </c>
      <c r="G8" t="s">
        <v>4427</v>
      </c>
      <c r="H8" t="s">
        <v>3268</v>
      </c>
      <c r="I8" t="s">
        <v>3475</v>
      </c>
      <c r="J8" s="8" t="str">
        <f>+LEFT(U8,4)</f>
        <v>ALM-</v>
      </c>
      <c r="K8" t="s">
        <v>98</v>
      </c>
      <c r="L8" s="46">
        <v>1004</v>
      </c>
      <c r="M8" t="s">
        <v>186</v>
      </c>
      <c r="N8" t="s">
        <v>11</v>
      </c>
      <c r="O8" s="49">
        <v>2.9203999999999999</v>
      </c>
      <c r="P8" s="9">
        <f>ROUND(O8*L8,2)</f>
        <v>2932.08</v>
      </c>
      <c r="Q8" s="10">
        <f>IF(N8="HKD",7.8,IF(N8="CNY",7.30034,1))</f>
        <v>7.3003400000000003</v>
      </c>
      <c r="R8" s="10">
        <f>+ROUND(O8/Q8,4)</f>
        <v>0.4</v>
      </c>
      <c r="S8" s="11">
        <f>ROUND(R8*L8,2)</f>
        <v>401.6</v>
      </c>
      <c r="T8" s="10" t="s">
        <v>349</v>
      </c>
      <c r="U8" t="s">
        <v>191</v>
      </c>
    </row>
    <row r="9" spans="1:22">
      <c r="A9" t="s">
        <v>4069</v>
      </c>
      <c r="B9" s="20">
        <v>45777</v>
      </c>
      <c r="C9" s="20">
        <v>45763</v>
      </c>
      <c r="D9" t="s">
        <v>1006</v>
      </c>
      <c r="E9" t="s">
        <v>1007</v>
      </c>
      <c r="G9" t="s">
        <v>4427</v>
      </c>
      <c r="H9" t="s">
        <v>3198</v>
      </c>
      <c r="I9" t="s">
        <v>3405</v>
      </c>
      <c r="J9" s="8" t="str">
        <f>+LEFT(U9,4)</f>
        <v>ALM-</v>
      </c>
      <c r="K9" t="s">
        <v>98</v>
      </c>
      <c r="L9" s="46">
        <v>707</v>
      </c>
      <c r="M9" t="s">
        <v>186</v>
      </c>
      <c r="N9" t="s">
        <v>11</v>
      </c>
      <c r="O9" s="49">
        <v>2.9203999999999999</v>
      </c>
      <c r="P9" s="9">
        <f>ROUND(O9*L9,2)</f>
        <v>2064.7199999999998</v>
      </c>
      <c r="Q9" s="10">
        <f>IF(N9="HKD",7.8,IF(N9="CNY",7.30034,1))</f>
        <v>7.3003400000000003</v>
      </c>
      <c r="R9" s="10">
        <f>+ROUND(O9/Q9,4)</f>
        <v>0.4</v>
      </c>
      <c r="S9" s="11">
        <f>ROUND(R9*L9,2)</f>
        <v>282.8</v>
      </c>
      <c r="T9" s="10" t="s">
        <v>349</v>
      </c>
      <c r="U9" t="s">
        <v>191</v>
      </c>
    </row>
    <row r="10" spans="1:22">
      <c r="A10" t="s">
        <v>4070</v>
      </c>
      <c r="B10" s="20">
        <v>45777</v>
      </c>
      <c r="C10" s="20">
        <v>45763</v>
      </c>
      <c r="D10" t="s">
        <v>1006</v>
      </c>
      <c r="E10" t="s">
        <v>1007</v>
      </c>
      <c r="G10" t="s">
        <v>4427</v>
      </c>
      <c r="H10" t="s">
        <v>3670</v>
      </c>
      <c r="I10" t="s">
        <v>3671</v>
      </c>
      <c r="J10" s="8" t="str">
        <f>+LEFT(U10,4)</f>
        <v>ALM-</v>
      </c>
      <c r="K10" t="s">
        <v>98</v>
      </c>
      <c r="L10" s="46">
        <v>984</v>
      </c>
      <c r="M10" t="s">
        <v>186</v>
      </c>
      <c r="N10" t="s">
        <v>11</v>
      </c>
      <c r="O10" s="49">
        <v>2.9203999999999999</v>
      </c>
      <c r="P10" s="9">
        <f>ROUND(O10*L10,2)</f>
        <v>2873.67</v>
      </c>
      <c r="Q10" s="10">
        <f>IF(N10="HKD",7.8,IF(N10="CNY",7.30034,1))</f>
        <v>7.3003400000000003</v>
      </c>
      <c r="R10" s="10">
        <f>+ROUND(O10/Q10,4)</f>
        <v>0.4</v>
      </c>
      <c r="S10" s="11">
        <f>ROUND(R10*L10,2)</f>
        <v>393.6</v>
      </c>
      <c r="T10" s="10" t="s">
        <v>349</v>
      </c>
      <c r="U10" t="s">
        <v>191</v>
      </c>
    </row>
    <row r="11" spans="1:22">
      <c r="A11" t="s">
        <v>4081</v>
      </c>
      <c r="B11" s="20">
        <v>45777</v>
      </c>
      <c r="C11" s="20">
        <v>45763</v>
      </c>
      <c r="D11" t="s">
        <v>1006</v>
      </c>
      <c r="E11" t="s">
        <v>1007</v>
      </c>
      <c r="G11" t="s">
        <v>4427</v>
      </c>
      <c r="H11" t="s">
        <v>3678</v>
      </c>
      <c r="I11" t="s">
        <v>3679</v>
      </c>
      <c r="J11" s="8" t="str">
        <f>+LEFT(U11,4)</f>
        <v>ALM-</v>
      </c>
      <c r="K11" t="s">
        <v>98</v>
      </c>
      <c r="L11" s="46">
        <v>865</v>
      </c>
      <c r="M11" t="s">
        <v>186</v>
      </c>
      <c r="N11" t="s">
        <v>11</v>
      </c>
      <c r="O11" s="49">
        <v>3.0973000000000002</v>
      </c>
      <c r="P11" s="9">
        <f>ROUND(O11*L11,2)</f>
        <v>2679.16</v>
      </c>
      <c r="Q11" s="10">
        <f>IF(N11="HKD",7.8,IF(N11="CNY",7.30034,1))</f>
        <v>7.3003400000000003</v>
      </c>
      <c r="R11" s="10">
        <f>+ROUND(O11/Q11,4)</f>
        <v>0.42430000000000001</v>
      </c>
      <c r="S11" s="11">
        <f>ROUND(R11*L11,2)</f>
        <v>367.02</v>
      </c>
      <c r="T11" s="10" t="s">
        <v>349</v>
      </c>
      <c r="U11" t="s">
        <v>191</v>
      </c>
    </row>
    <row r="12" spans="1:22">
      <c r="A12" t="s">
        <v>4082</v>
      </c>
      <c r="B12" s="20">
        <v>45777</v>
      </c>
      <c r="C12" s="20">
        <v>45763</v>
      </c>
      <c r="D12" t="s">
        <v>1006</v>
      </c>
      <c r="E12" t="s">
        <v>1007</v>
      </c>
      <c r="G12" t="s">
        <v>4427</v>
      </c>
      <c r="H12" t="s">
        <v>1016</v>
      </c>
      <c r="I12" t="s">
        <v>1017</v>
      </c>
      <c r="J12" s="8" t="str">
        <f>+LEFT(U12,4)</f>
        <v>ALM-</v>
      </c>
      <c r="K12" t="s">
        <v>98</v>
      </c>
      <c r="L12" s="46">
        <v>748</v>
      </c>
      <c r="M12" t="s">
        <v>186</v>
      </c>
      <c r="N12" t="s">
        <v>11</v>
      </c>
      <c r="O12" s="49">
        <v>3.0973000000000002</v>
      </c>
      <c r="P12" s="9">
        <f>ROUND(O12*L12,2)</f>
        <v>2316.7800000000002</v>
      </c>
      <c r="Q12" s="10">
        <f>IF(N12="HKD",7.8,IF(N12="CNY",7.30034,1))</f>
        <v>7.3003400000000003</v>
      </c>
      <c r="R12" s="10">
        <f>+ROUND(O12/Q12,4)</f>
        <v>0.42430000000000001</v>
      </c>
      <c r="S12" s="11">
        <f>ROUND(R12*L12,2)</f>
        <v>317.38</v>
      </c>
      <c r="T12" s="10" t="s">
        <v>349</v>
      </c>
      <c r="U12" t="s">
        <v>191</v>
      </c>
    </row>
    <row r="13" spans="1:22">
      <c r="A13" t="s">
        <v>4298</v>
      </c>
      <c r="B13" s="20">
        <v>45777</v>
      </c>
      <c r="C13" s="20">
        <v>45749</v>
      </c>
      <c r="D13" t="s">
        <v>4332</v>
      </c>
      <c r="E13" t="s">
        <v>4333</v>
      </c>
      <c r="G13" t="s">
        <v>4544</v>
      </c>
      <c r="H13" t="s">
        <v>3812</v>
      </c>
      <c r="I13" t="s">
        <v>3813</v>
      </c>
      <c r="J13" s="8" t="str">
        <f>+LEFT(U13,4)</f>
        <v>CDM-</v>
      </c>
      <c r="K13" t="s">
        <v>10</v>
      </c>
      <c r="L13" s="46">
        <v>530</v>
      </c>
      <c r="M13" t="s">
        <v>1472</v>
      </c>
      <c r="N13" t="s">
        <v>11</v>
      </c>
      <c r="O13" s="49">
        <v>39.079599999999999</v>
      </c>
      <c r="P13" s="9">
        <f>ROUND(O13*L13,2)</f>
        <v>20712.189999999999</v>
      </c>
      <c r="Q13" s="10">
        <f>IF(N13="HKD",7.8,IF(N13="CNY",7.30034,1))</f>
        <v>7.3003400000000003</v>
      </c>
      <c r="R13" s="10">
        <f>+ROUND(O13/Q13,4)</f>
        <v>5.3531000000000004</v>
      </c>
      <c r="S13" s="11">
        <f>ROUND(R13*L13,2)</f>
        <v>2837.14</v>
      </c>
      <c r="T13" s="10" t="s">
        <v>349</v>
      </c>
      <c r="U13" t="s">
        <v>3484</v>
      </c>
    </row>
    <row r="14" spans="1:22">
      <c r="A14" t="s">
        <v>4316</v>
      </c>
      <c r="B14" s="20">
        <v>45777</v>
      </c>
      <c r="C14" s="20">
        <v>45765</v>
      </c>
      <c r="D14" t="s">
        <v>311</v>
      </c>
      <c r="E14" t="s">
        <v>312</v>
      </c>
      <c r="G14" t="s">
        <v>4555</v>
      </c>
      <c r="H14" t="s">
        <v>309</v>
      </c>
      <c r="I14" t="s">
        <v>310</v>
      </c>
      <c r="J14" s="8" t="str">
        <f>+LEFT(U14,4)</f>
        <v>EXM-</v>
      </c>
      <c r="K14" t="s">
        <v>10</v>
      </c>
      <c r="L14" s="46">
        <v>25</v>
      </c>
      <c r="M14" t="s">
        <v>186</v>
      </c>
      <c r="N14" t="s">
        <v>11</v>
      </c>
      <c r="O14" s="49">
        <v>102.0354</v>
      </c>
      <c r="P14" s="9">
        <f>ROUND(O14*L14,2)</f>
        <v>2550.89</v>
      </c>
      <c r="Q14" s="10">
        <f>IF(N14="HKD",7.8,IF(N14="CNY",7.30034,1))</f>
        <v>7.3003400000000003</v>
      </c>
      <c r="R14" s="10">
        <f>+ROUND(O14/Q14,4)</f>
        <v>13.976800000000001</v>
      </c>
      <c r="S14" s="11">
        <f>ROUND(R14*L14,2)</f>
        <v>349.42</v>
      </c>
      <c r="T14" s="10" t="s">
        <v>349</v>
      </c>
      <c r="U14" t="s">
        <v>315</v>
      </c>
    </row>
    <row r="15" spans="1:22">
      <c r="A15" t="s">
        <v>4326</v>
      </c>
      <c r="B15" s="20">
        <v>45777</v>
      </c>
      <c r="C15" s="20">
        <v>45765</v>
      </c>
      <c r="D15" t="s">
        <v>311</v>
      </c>
      <c r="E15" t="s">
        <v>312</v>
      </c>
      <c r="G15" t="s">
        <v>4555</v>
      </c>
      <c r="H15" t="s">
        <v>316</v>
      </c>
      <c r="I15" t="s">
        <v>317</v>
      </c>
      <c r="J15" s="8" t="str">
        <f>+LEFT(U15,4)</f>
        <v>EXM-</v>
      </c>
      <c r="K15" t="s">
        <v>10</v>
      </c>
      <c r="L15" s="46">
        <v>100</v>
      </c>
      <c r="M15" t="s">
        <v>186</v>
      </c>
      <c r="N15" t="s">
        <v>11</v>
      </c>
      <c r="O15" s="49">
        <v>117.3451</v>
      </c>
      <c r="P15" s="9">
        <f>ROUND(O15*L15,2)</f>
        <v>11734.51</v>
      </c>
      <c r="Q15" s="10">
        <f>IF(N15="HKD",7.8,IF(N15="CNY",7.30034,1))</f>
        <v>7.3003400000000003</v>
      </c>
      <c r="R15" s="10">
        <f>+ROUND(O15/Q15,4)</f>
        <v>16.073899999999998</v>
      </c>
      <c r="S15" s="11">
        <f>ROUND(R15*L15,2)</f>
        <v>1607.39</v>
      </c>
      <c r="T15" s="10" t="s">
        <v>349</v>
      </c>
      <c r="U15" t="s">
        <v>315</v>
      </c>
    </row>
    <row r="16" spans="1:22">
      <c r="A16" t="s">
        <v>3828</v>
      </c>
      <c r="B16" s="20">
        <v>45777</v>
      </c>
      <c r="C16" s="20">
        <v>45716</v>
      </c>
      <c r="D16" t="s">
        <v>143</v>
      </c>
      <c r="E16" t="s">
        <v>144</v>
      </c>
      <c r="G16" t="s">
        <v>4337</v>
      </c>
      <c r="H16" t="s">
        <v>3152</v>
      </c>
      <c r="I16" t="s">
        <v>3362</v>
      </c>
      <c r="J16" s="8" t="str">
        <f>+LEFT(U16,4)</f>
        <v>HDL-</v>
      </c>
      <c r="K16" t="s">
        <v>10</v>
      </c>
      <c r="L16" s="46">
        <v>1200</v>
      </c>
      <c r="M16" t="s">
        <v>1472</v>
      </c>
      <c r="N16" t="s">
        <v>11</v>
      </c>
      <c r="O16" s="49">
        <v>0</v>
      </c>
      <c r="P16" s="9">
        <f>ROUND(O16*L16,2)</f>
        <v>0</v>
      </c>
      <c r="Q16" s="10">
        <f>IF(N16="HKD",7.8,IF(N16="CNY",7.30034,1))</f>
        <v>7.3003400000000003</v>
      </c>
      <c r="R16" s="10">
        <f>+ROUND(O16/Q16,4)</f>
        <v>0</v>
      </c>
      <c r="S16" s="11">
        <f>ROUND(R16*L16,2)</f>
        <v>0</v>
      </c>
      <c r="T16" s="10" t="s">
        <v>349</v>
      </c>
      <c r="U16" t="s">
        <v>228</v>
      </c>
    </row>
    <row r="17" spans="1:21">
      <c r="A17" t="s">
        <v>4138</v>
      </c>
      <c r="B17" s="20">
        <v>45777</v>
      </c>
      <c r="C17" s="20">
        <v>45775</v>
      </c>
      <c r="D17" t="s">
        <v>121</v>
      </c>
      <c r="E17" t="s">
        <v>122</v>
      </c>
      <c r="G17" t="s">
        <v>4447</v>
      </c>
      <c r="H17" t="s">
        <v>357</v>
      </c>
      <c r="I17" t="s">
        <v>358</v>
      </c>
      <c r="J17" s="8" t="str">
        <f>+LEFT(U17,4)</f>
        <v>HDL-</v>
      </c>
      <c r="K17" t="s">
        <v>10</v>
      </c>
      <c r="L17" s="46">
        <v>150</v>
      </c>
      <c r="M17" t="s">
        <v>1472</v>
      </c>
      <c r="N17" t="s">
        <v>11</v>
      </c>
      <c r="O17" s="49">
        <v>3.5398000000000001</v>
      </c>
      <c r="P17" s="9">
        <f>ROUND(O17*L17,2)</f>
        <v>530.97</v>
      </c>
      <c r="Q17" s="10">
        <f>IF(N17="HKD",7.8,IF(N17="CNY",7.30034,1))</f>
        <v>7.3003400000000003</v>
      </c>
      <c r="R17" s="10">
        <f>+ROUND(O17/Q17,4)</f>
        <v>0.4849</v>
      </c>
      <c r="S17" s="11">
        <f>ROUND(R17*L17,2)</f>
        <v>72.739999999999995</v>
      </c>
      <c r="T17" s="10" t="s">
        <v>349</v>
      </c>
      <c r="U17" t="s">
        <v>228</v>
      </c>
    </row>
    <row r="18" spans="1:21">
      <c r="A18" t="s">
        <v>4243</v>
      </c>
      <c r="B18" s="20">
        <v>45777</v>
      </c>
      <c r="C18" s="20">
        <v>45712</v>
      </c>
      <c r="D18" t="s">
        <v>2257</v>
      </c>
      <c r="E18" t="s">
        <v>2258</v>
      </c>
      <c r="G18" t="s">
        <v>4526</v>
      </c>
      <c r="H18" t="s">
        <v>3148</v>
      </c>
      <c r="I18" t="s">
        <v>3358</v>
      </c>
      <c r="J18" s="8" t="str">
        <f>+LEFT(U18,4)</f>
        <v>HDL-</v>
      </c>
      <c r="K18" t="s">
        <v>10</v>
      </c>
      <c r="L18" s="46">
        <v>3600</v>
      </c>
      <c r="M18" t="s">
        <v>1472</v>
      </c>
      <c r="N18" t="s">
        <v>11</v>
      </c>
      <c r="O18" s="49">
        <v>7.4931000000000001</v>
      </c>
      <c r="P18" s="9">
        <f>ROUND(O18*L18,2)</f>
        <v>26975.16</v>
      </c>
      <c r="Q18" s="10">
        <f>IF(N18="HKD",7.8,IF(N18="CNY",7.30034,1))</f>
        <v>7.3003400000000003</v>
      </c>
      <c r="R18" s="10">
        <f>+ROUND(O18/Q18,4)</f>
        <v>1.0264</v>
      </c>
      <c r="S18" s="11">
        <f>ROUND(R18*L18,2)</f>
        <v>3695.04</v>
      </c>
      <c r="T18" s="10" t="s">
        <v>349</v>
      </c>
      <c r="U18" t="s">
        <v>228</v>
      </c>
    </row>
    <row r="19" spans="1:21">
      <c r="A19" t="s">
        <v>4246</v>
      </c>
      <c r="B19" s="20">
        <v>45777</v>
      </c>
      <c r="C19" s="20">
        <v>45713</v>
      </c>
      <c r="D19" t="s">
        <v>2257</v>
      </c>
      <c r="E19" t="s">
        <v>2258</v>
      </c>
      <c r="G19" t="s">
        <v>4526</v>
      </c>
      <c r="H19" t="s">
        <v>1798</v>
      </c>
      <c r="I19" t="s">
        <v>1799</v>
      </c>
      <c r="J19" s="8" t="str">
        <f>+LEFT(U19,4)</f>
        <v>HDL-</v>
      </c>
      <c r="K19" t="s">
        <v>10</v>
      </c>
      <c r="L19" s="46">
        <v>3000</v>
      </c>
      <c r="M19" t="s">
        <v>1472</v>
      </c>
      <c r="N19" t="s">
        <v>11</v>
      </c>
      <c r="O19" s="49">
        <v>7.4931000000000001</v>
      </c>
      <c r="P19" s="9">
        <f>ROUND(O19*L19,2)</f>
        <v>22479.3</v>
      </c>
      <c r="Q19" s="10">
        <f>IF(N19="HKD",7.8,IF(N19="CNY",7.30034,1))</f>
        <v>7.3003400000000003</v>
      </c>
      <c r="R19" s="10">
        <f>+ROUND(O19/Q19,4)</f>
        <v>1.0264</v>
      </c>
      <c r="S19" s="11">
        <f>ROUND(R19*L19,2)</f>
        <v>3079.2</v>
      </c>
      <c r="T19" s="10" t="s">
        <v>349</v>
      </c>
      <c r="U19" t="s">
        <v>228</v>
      </c>
    </row>
    <row r="20" spans="1:21">
      <c r="A20" t="s">
        <v>4249</v>
      </c>
      <c r="B20" s="20">
        <v>45777</v>
      </c>
      <c r="C20" s="20">
        <v>45713</v>
      </c>
      <c r="D20" t="s">
        <v>2257</v>
      </c>
      <c r="E20" t="s">
        <v>2258</v>
      </c>
      <c r="G20" t="s">
        <v>4526</v>
      </c>
      <c r="H20" t="s">
        <v>1800</v>
      </c>
      <c r="I20" t="s">
        <v>1801</v>
      </c>
      <c r="J20" s="8" t="str">
        <f>+LEFT(U20,4)</f>
        <v>HDL-</v>
      </c>
      <c r="K20" t="s">
        <v>10</v>
      </c>
      <c r="L20" s="46">
        <v>4530</v>
      </c>
      <c r="M20" t="s">
        <v>1472</v>
      </c>
      <c r="N20" t="s">
        <v>11</v>
      </c>
      <c r="O20" s="49">
        <v>7.4931000000000001</v>
      </c>
      <c r="P20" s="9">
        <f>ROUND(O20*L20,2)</f>
        <v>33943.74</v>
      </c>
      <c r="Q20" s="10">
        <f>IF(N20="HKD",7.8,IF(N20="CNY",7.30034,1))</f>
        <v>7.3003400000000003</v>
      </c>
      <c r="R20" s="10">
        <f>+ROUND(O20/Q20,4)</f>
        <v>1.0264</v>
      </c>
      <c r="S20" s="11">
        <f>ROUND(R20*L20,2)</f>
        <v>4649.59</v>
      </c>
      <c r="T20" s="10" t="s">
        <v>349</v>
      </c>
      <c r="U20" t="s">
        <v>228</v>
      </c>
    </row>
    <row r="21" spans="1:21">
      <c r="A21" t="s">
        <v>4268</v>
      </c>
      <c r="B21" s="20">
        <v>45777</v>
      </c>
      <c r="C21" s="20">
        <v>45727</v>
      </c>
      <c r="D21" t="s">
        <v>2257</v>
      </c>
      <c r="E21" t="s">
        <v>2258</v>
      </c>
      <c r="G21" t="s">
        <v>4526</v>
      </c>
      <c r="H21" t="s">
        <v>3147</v>
      </c>
      <c r="I21" t="s">
        <v>3357</v>
      </c>
      <c r="J21" s="8" t="str">
        <f>+LEFT(U21,4)</f>
        <v>HDL-</v>
      </c>
      <c r="K21" t="s">
        <v>10</v>
      </c>
      <c r="L21" s="46">
        <v>200</v>
      </c>
      <c r="M21" t="s">
        <v>1472</v>
      </c>
      <c r="N21" t="s">
        <v>11</v>
      </c>
      <c r="O21" s="49">
        <v>8.5710999999999995</v>
      </c>
      <c r="P21" s="9">
        <f>ROUND(O21*L21,2)</f>
        <v>1714.22</v>
      </c>
      <c r="Q21" s="10">
        <f>IF(N21="HKD",7.8,IF(N21="CNY",7.30034,1))</f>
        <v>7.3003400000000003</v>
      </c>
      <c r="R21" s="10">
        <f>+ROUND(O21/Q21,4)</f>
        <v>1.1740999999999999</v>
      </c>
      <c r="S21" s="11">
        <f>ROUND(R21*L21,2)</f>
        <v>234.82</v>
      </c>
      <c r="T21" s="10" t="s">
        <v>349</v>
      </c>
      <c r="U21" t="s">
        <v>228</v>
      </c>
    </row>
    <row r="22" spans="1:21">
      <c r="A22" t="s">
        <v>4269</v>
      </c>
      <c r="B22" s="20">
        <v>45777</v>
      </c>
      <c r="C22" s="20">
        <v>45727</v>
      </c>
      <c r="D22" t="s">
        <v>2257</v>
      </c>
      <c r="E22" t="s">
        <v>2258</v>
      </c>
      <c r="G22" t="s">
        <v>4526</v>
      </c>
      <c r="H22" t="s">
        <v>3149</v>
      </c>
      <c r="I22" t="s">
        <v>3359</v>
      </c>
      <c r="J22" s="8" t="str">
        <f>+LEFT(U22,4)</f>
        <v>HDL-</v>
      </c>
      <c r="K22" t="s">
        <v>10</v>
      </c>
      <c r="L22" s="46">
        <v>4020</v>
      </c>
      <c r="M22" t="s">
        <v>1472</v>
      </c>
      <c r="N22" t="s">
        <v>11</v>
      </c>
      <c r="O22" s="49">
        <v>8.5710999999999995</v>
      </c>
      <c r="P22" s="9">
        <f>ROUND(O22*L22,2)</f>
        <v>34455.82</v>
      </c>
      <c r="Q22" s="10">
        <f>IF(N22="HKD",7.8,IF(N22="CNY",7.30034,1))</f>
        <v>7.3003400000000003</v>
      </c>
      <c r="R22" s="10">
        <f>+ROUND(O22/Q22,4)</f>
        <v>1.1740999999999999</v>
      </c>
      <c r="S22" s="11">
        <f>ROUND(R22*L22,2)</f>
        <v>4719.88</v>
      </c>
      <c r="T22" s="10" t="s">
        <v>349</v>
      </c>
      <c r="U22" t="s">
        <v>228</v>
      </c>
    </row>
    <row r="23" spans="1:21">
      <c r="A23" t="s">
        <v>4272</v>
      </c>
      <c r="B23" s="20">
        <v>45777</v>
      </c>
      <c r="C23" s="20">
        <v>45727</v>
      </c>
      <c r="D23" t="s">
        <v>2257</v>
      </c>
      <c r="E23" t="s">
        <v>2258</v>
      </c>
      <c r="G23" t="s">
        <v>4526</v>
      </c>
      <c r="H23" t="s">
        <v>3151</v>
      </c>
      <c r="I23" t="s">
        <v>3361</v>
      </c>
      <c r="J23" s="8" t="str">
        <f>+LEFT(U23,4)</f>
        <v>HDL-</v>
      </c>
      <c r="K23" t="s">
        <v>10</v>
      </c>
      <c r="L23" s="46">
        <v>1000</v>
      </c>
      <c r="M23" t="s">
        <v>1472</v>
      </c>
      <c r="N23" t="s">
        <v>11</v>
      </c>
      <c r="O23" s="49">
        <v>8.7460000000000004</v>
      </c>
      <c r="P23" s="9">
        <f>ROUND(O23*L23,2)</f>
        <v>8746</v>
      </c>
      <c r="Q23" s="10">
        <f>IF(N23="HKD",7.8,IF(N23="CNY",7.30034,1))</f>
        <v>7.3003400000000003</v>
      </c>
      <c r="R23" s="10">
        <f>+ROUND(O23/Q23,4)</f>
        <v>1.198</v>
      </c>
      <c r="S23" s="11">
        <f>ROUND(R23*L23,2)</f>
        <v>1198</v>
      </c>
      <c r="T23" s="10" t="s">
        <v>349</v>
      </c>
      <c r="U23" t="s">
        <v>228</v>
      </c>
    </row>
    <row r="24" spans="1:21">
      <c r="A24" t="s">
        <v>4273</v>
      </c>
      <c r="B24" s="20">
        <v>45777</v>
      </c>
      <c r="C24" s="20">
        <v>45727</v>
      </c>
      <c r="D24" t="s">
        <v>2257</v>
      </c>
      <c r="E24" t="s">
        <v>2258</v>
      </c>
      <c r="G24" t="s">
        <v>4526</v>
      </c>
      <c r="H24" t="s">
        <v>3151</v>
      </c>
      <c r="I24" t="s">
        <v>3361</v>
      </c>
      <c r="J24" s="8" t="str">
        <f>+LEFT(U24,4)</f>
        <v>HDL-</v>
      </c>
      <c r="K24" t="s">
        <v>10</v>
      </c>
      <c r="L24" s="46">
        <v>3700</v>
      </c>
      <c r="M24" t="s">
        <v>1472</v>
      </c>
      <c r="N24" t="s">
        <v>11</v>
      </c>
      <c r="O24" s="49">
        <v>8.7460000000000004</v>
      </c>
      <c r="P24" s="9">
        <f>ROUND(O24*L24,2)</f>
        <v>32360.2</v>
      </c>
      <c r="Q24" s="10">
        <f>IF(N24="HKD",7.8,IF(N24="CNY",7.30034,1))</f>
        <v>7.3003400000000003</v>
      </c>
      <c r="R24" s="10">
        <f>+ROUND(O24/Q24,4)</f>
        <v>1.198</v>
      </c>
      <c r="S24" s="11">
        <f>ROUND(R24*L24,2)</f>
        <v>4432.6000000000004</v>
      </c>
      <c r="T24" s="10" t="s">
        <v>349</v>
      </c>
      <c r="U24" t="s">
        <v>228</v>
      </c>
    </row>
    <row r="25" spans="1:21">
      <c r="A25" t="s">
        <v>4178</v>
      </c>
      <c r="B25" s="20">
        <v>45777</v>
      </c>
      <c r="C25" s="20">
        <v>45763</v>
      </c>
      <c r="D25" t="s">
        <v>830</v>
      </c>
      <c r="E25" t="s">
        <v>831</v>
      </c>
      <c r="G25" t="s">
        <v>4476</v>
      </c>
      <c r="H25" t="s">
        <v>3744</v>
      </c>
      <c r="I25" t="s">
        <v>3745</v>
      </c>
      <c r="J25" s="8" t="str">
        <f>+LEFT(U25,4)</f>
        <v>LID-</v>
      </c>
      <c r="K25" t="s">
        <v>98</v>
      </c>
      <c r="L25" s="46">
        <v>-1010</v>
      </c>
      <c r="M25" t="s">
        <v>1472</v>
      </c>
      <c r="N25" t="s">
        <v>11</v>
      </c>
      <c r="O25" s="49">
        <v>4.25</v>
      </c>
      <c r="P25" s="9">
        <f>ROUND(O25*L25,2)</f>
        <v>-4292.5</v>
      </c>
      <c r="Q25" s="10">
        <f>IF(N25="HKD",7.8,IF(N25="CNY",7.30034,1))</f>
        <v>7.3003400000000003</v>
      </c>
      <c r="R25" s="10">
        <f>+ROUND(O25/Q25,4)</f>
        <v>0.58220000000000005</v>
      </c>
      <c r="S25" s="11">
        <f>ROUND(R25*L25,2)</f>
        <v>-588.02</v>
      </c>
      <c r="T25" s="10" t="s">
        <v>349</v>
      </c>
      <c r="U25" t="s">
        <v>368</v>
      </c>
    </row>
    <row r="26" spans="1:21">
      <c r="A26" t="s">
        <v>3829</v>
      </c>
      <c r="B26" s="20">
        <v>45776</v>
      </c>
      <c r="C26" s="20">
        <v>45727</v>
      </c>
      <c r="D26" t="s">
        <v>149</v>
      </c>
      <c r="E26" t="s">
        <v>150</v>
      </c>
      <c r="G26" t="s">
        <v>4338</v>
      </c>
      <c r="H26" t="s">
        <v>79</v>
      </c>
      <c r="I26" t="s">
        <v>80</v>
      </c>
      <c r="J26" s="8" t="s">
        <v>1478</v>
      </c>
      <c r="K26" t="s">
        <v>10</v>
      </c>
      <c r="L26" s="46">
        <v>-1028</v>
      </c>
      <c r="M26" t="s">
        <v>1472</v>
      </c>
      <c r="N26" t="s">
        <v>11</v>
      </c>
      <c r="O26" s="49">
        <v>0</v>
      </c>
      <c r="P26" s="9">
        <f>ROUND(O26*L26,2)</f>
        <v>0</v>
      </c>
      <c r="Q26" s="10">
        <f>IF(N26="HKD",7.8,IF(N26="CNY",7.30034,1))</f>
        <v>7.3003400000000003</v>
      </c>
      <c r="R26" s="10">
        <f>+ROUND(O26/Q26,4)</f>
        <v>0</v>
      </c>
      <c r="S26" s="11">
        <f>ROUND(R26*L26,2)</f>
        <v>0</v>
      </c>
      <c r="T26" s="10" t="s">
        <v>349</v>
      </c>
      <c r="U26" t="s">
        <v>36</v>
      </c>
    </row>
    <row r="27" spans="1:21">
      <c r="A27" t="s">
        <v>4073</v>
      </c>
      <c r="B27" s="20">
        <v>45776</v>
      </c>
      <c r="C27" s="20">
        <v>45748</v>
      </c>
      <c r="D27" t="s">
        <v>569</v>
      </c>
      <c r="E27" t="s">
        <v>570</v>
      </c>
      <c r="G27" t="s">
        <v>4386</v>
      </c>
      <c r="H27" t="s">
        <v>1521</v>
      </c>
      <c r="I27" t="s">
        <v>1522</v>
      </c>
      <c r="J27" s="8" t="s">
        <v>1505</v>
      </c>
      <c r="K27" t="s">
        <v>10</v>
      </c>
      <c r="L27" s="46">
        <v>8000</v>
      </c>
      <c r="M27" t="s">
        <v>1472</v>
      </c>
      <c r="N27" t="s">
        <v>11</v>
      </c>
      <c r="O27" s="49">
        <v>3.0070000000000001</v>
      </c>
      <c r="P27" s="9">
        <f>ROUND(O27*L27,2)</f>
        <v>24056</v>
      </c>
      <c r="Q27" s="10">
        <f>IF(N27="HKD",7.8,IF(N27="CNY",7.30034,1))</f>
        <v>7.3003400000000003</v>
      </c>
      <c r="R27" s="10">
        <f>+ROUND(O27/Q27,4)</f>
        <v>0.41189999999999999</v>
      </c>
      <c r="S27" s="11">
        <f>ROUND(R27*L27,2)</f>
        <v>3295.2</v>
      </c>
      <c r="T27" s="10" t="s">
        <v>349</v>
      </c>
      <c r="U27" t="s">
        <v>36</v>
      </c>
    </row>
    <row r="28" spans="1:21">
      <c r="A28" t="s">
        <v>4306</v>
      </c>
      <c r="B28" s="20">
        <v>45776</v>
      </c>
      <c r="C28" s="20">
        <v>45749</v>
      </c>
      <c r="D28" t="s">
        <v>4332</v>
      </c>
      <c r="E28" t="s">
        <v>4333</v>
      </c>
      <c r="G28" t="s">
        <v>4548</v>
      </c>
      <c r="H28" t="s">
        <v>3814</v>
      </c>
      <c r="I28" t="s">
        <v>3815</v>
      </c>
      <c r="J28" s="8" t="str">
        <f>+LEFT(U28,4)</f>
        <v>CDM-</v>
      </c>
      <c r="K28" t="s">
        <v>10</v>
      </c>
      <c r="L28" s="46">
        <v>400</v>
      </c>
      <c r="M28" t="s">
        <v>1472</v>
      </c>
      <c r="N28" t="s">
        <v>11</v>
      </c>
      <c r="O28" s="49">
        <v>72.345100000000002</v>
      </c>
      <c r="P28" s="9">
        <f>ROUND(O28*L28,2)</f>
        <v>28938.04</v>
      </c>
      <c r="Q28" s="10">
        <f>IF(N28="HKD",7.8,IF(N28="CNY",7.30034,1))</f>
        <v>7.3003400000000003</v>
      </c>
      <c r="R28" s="10">
        <f>+ROUND(O28/Q28,4)</f>
        <v>9.9098000000000006</v>
      </c>
      <c r="S28" s="11">
        <f>ROUND(R28*L28,2)</f>
        <v>3963.92</v>
      </c>
      <c r="T28" s="10" t="s">
        <v>349</v>
      </c>
      <c r="U28" t="s">
        <v>3484</v>
      </c>
    </row>
    <row r="29" spans="1:21">
      <c r="A29" t="s">
        <v>4306</v>
      </c>
      <c r="B29" s="20">
        <v>45776</v>
      </c>
      <c r="C29" s="20">
        <v>45749</v>
      </c>
      <c r="D29" t="s">
        <v>4332</v>
      </c>
      <c r="E29" t="s">
        <v>4333</v>
      </c>
      <c r="G29" t="s">
        <v>4548</v>
      </c>
      <c r="H29" t="s">
        <v>3814</v>
      </c>
      <c r="I29" t="s">
        <v>3815</v>
      </c>
      <c r="J29" s="8" t="str">
        <f>+LEFT(U29,4)</f>
        <v>CDM-</v>
      </c>
      <c r="K29" t="s">
        <v>10</v>
      </c>
      <c r="L29" s="46">
        <v>400</v>
      </c>
      <c r="M29" t="s">
        <v>1472</v>
      </c>
      <c r="N29" t="s">
        <v>11</v>
      </c>
      <c r="O29" s="49">
        <v>72.345100000000002</v>
      </c>
      <c r="P29" s="9">
        <f>ROUND(O29*L29,2)</f>
        <v>28938.04</v>
      </c>
      <c r="Q29" s="10">
        <f>IF(N29="HKD",7.8,IF(N29="CNY",7.30034,1))</f>
        <v>7.3003400000000003</v>
      </c>
      <c r="R29" s="10">
        <f>+ROUND(O29/Q29,4)</f>
        <v>9.9098000000000006</v>
      </c>
      <c r="S29" s="11">
        <f>ROUND(R29*L29,2)</f>
        <v>3963.92</v>
      </c>
      <c r="T29" s="10" t="s">
        <v>349</v>
      </c>
      <c r="U29" t="s">
        <v>3484</v>
      </c>
    </row>
    <row r="30" spans="1:21">
      <c r="A30" t="s">
        <v>4306</v>
      </c>
      <c r="B30" s="20">
        <v>45776</v>
      </c>
      <c r="C30" s="20">
        <v>45749</v>
      </c>
      <c r="D30" t="s">
        <v>4332</v>
      </c>
      <c r="E30" t="s">
        <v>4333</v>
      </c>
      <c r="G30" t="s">
        <v>4548</v>
      </c>
      <c r="H30" t="s">
        <v>3814</v>
      </c>
      <c r="I30" t="s">
        <v>3815</v>
      </c>
      <c r="J30" s="8" t="str">
        <f>+LEFT(U30,4)</f>
        <v>CDM-</v>
      </c>
      <c r="K30" t="s">
        <v>10</v>
      </c>
      <c r="L30" s="46">
        <v>300</v>
      </c>
      <c r="M30" t="s">
        <v>1472</v>
      </c>
      <c r="N30" t="s">
        <v>11</v>
      </c>
      <c r="O30" s="49">
        <v>72.345100000000002</v>
      </c>
      <c r="P30" s="9">
        <f>ROUND(O30*L30,2)</f>
        <v>21703.53</v>
      </c>
      <c r="Q30" s="10">
        <f>IF(N30="HKD",7.8,IF(N30="CNY",7.30034,1))</f>
        <v>7.3003400000000003</v>
      </c>
      <c r="R30" s="10">
        <f>+ROUND(O30/Q30,4)</f>
        <v>9.9098000000000006</v>
      </c>
      <c r="S30" s="11">
        <f>ROUND(R30*L30,2)</f>
        <v>2972.94</v>
      </c>
      <c r="T30" s="10" t="s">
        <v>349</v>
      </c>
      <c r="U30" t="s">
        <v>3484</v>
      </c>
    </row>
    <row r="31" spans="1:21">
      <c r="A31" t="s">
        <v>4307</v>
      </c>
      <c r="B31" s="20">
        <v>45776</v>
      </c>
      <c r="C31" s="20">
        <v>45749</v>
      </c>
      <c r="D31" t="s">
        <v>4332</v>
      </c>
      <c r="E31" t="s">
        <v>4333</v>
      </c>
      <c r="G31" t="s">
        <v>4548</v>
      </c>
      <c r="H31" t="s">
        <v>3814</v>
      </c>
      <c r="I31" t="s">
        <v>3815</v>
      </c>
      <c r="J31" s="8" t="str">
        <f>+LEFT(U31,4)</f>
        <v>CDM-</v>
      </c>
      <c r="K31" t="s">
        <v>10</v>
      </c>
      <c r="L31" s="46">
        <v>500</v>
      </c>
      <c r="M31" t="s">
        <v>1472</v>
      </c>
      <c r="N31" t="s">
        <v>11</v>
      </c>
      <c r="O31" s="49">
        <v>72.345100000000002</v>
      </c>
      <c r="P31" s="9">
        <f>ROUND(O31*L31,2)</f>
        <v>36172.550000000003</v>
      </c>
      <c r="Q31" s="10">
        <f>IF(N31="HKD",7.8,IF(N31="CNY",7.30034,1))</f>
        <v>7.3003400000000003</v>
      </c>
      <c r="R31" s="10">
        <f>+ROUND(O31/Q31,4)</f>
        <v>9.9098000000000006</v>
      </c>
      <c r="S31" s="11">
        <f>ROUND(R31*L31,2)</f>
        <v>4954.8999999999996</v>
      </c>
      <c r="T31" s="10" t="s">
        <v>349</v>
      </c>
      <c r="U31" t="s">
        <v>3484</v>
      </c>
    </row>
    <row r="32" spans="1:21">
      <c r="A32" t="s">
        <v>3986</v>
      </c>
      <c r="B32" s="20">
        <v>45776</v>
      </c>
      <c r="C32" s="20">
        <v>45750</v>
      </c>
      <c r="D32" t="s">
        <v>372</v>
      </c>
      <c r="E32" t="s">
        <v>373</v>
      </c>
      <c r="G32" t="s">
        <v>4402</v>
      </c>
      <c r="H32" t="s">
        <v>1037</v>
      </c>
      <c r="I32" t="s">
        <v>1038</v>
      </c>
      <c r="J32" s="8" t="str">
        <f>+LEFT(U32,4)</f>
        <v>FG--</v>
      </c>
      <c r="K32" t="s">
        <v>98</v>
      </c>
      <c r="L32" s="46">
        <v>4050</v>
      </c>
      <c r="M32" t="s">
        <v>1472</v>
      </c>
      <c r="N32" t="s">
        <v>11</v>
      </c>
      <c r="O32" s="49">
        <v>0.97450000000000003</v>
      </c>
      <c r="P32" s="9">
        <f>ROUND(O32*L32,2)</f>
        <v>3946.73</v>
      </c>
      <c r="Q32" s="10">
        <f>IF(N32="HKD",7.8,IF(N32="CNY",7.30034,1))</f>
        <v>7.3003400000000003</v>
      </c>
      <c r="R32" s="10">
        <f>+ROUND(O32/Q32,4)</f>
        <v>0.13350000000000001</v>
      </c>
      <c r="S32" s="11">
        <f>ROUND(R32*L32,2)</f>
        <v>540.67999999999995</v>
      </c>
      <c r="T32" s="10" t="s">
        <v>349</v>
      </c>
      <c r="U32" t="s">
        <v>64</v>
      </c>
    </row>
    <row r="33" spans="1:21">
      <c r="A33" t="s">
        <v>4141</v>
      </c>
      <c r="B33" s="20">
        <v>45776</v>
      </c>
      <c r="C33" s="20">
        <v>45758</v>
      </c>
      <c r="D33" t="s">
        <v>149</v>
      </c>
      <c r="E33" t="s">
        <v>150</v>
      </c>
      <c r="G33" t="s">
        <v>4448</v>
      </c>
      <c r="H33" t="s">
        <v>3716</v>
      </c>
      <c r="I33" t="s">
        <v>3717</v>
      </c>
      <c r="J33" s="8" t="str">
        <f>+LEFT(U33,4)</f>
        <v>GLID</v>
      </c>
      <c r="K33" t="s">
        <v>10</v>
      </c>
      <c r="L33" s="46">
        <v>500</v>
      </c>
      <c r="M33" t="s">
        <v>1472</v>
      </c>
      <c r="N33" t="s">
        <v>11</v>
      </c>
      <c r="O33" s="49">
        <v>3.6152000000000002</v>
      </c>
      <c r="P33" s="9">
        <f>ROUND(O33*L33,2)</f>
        <v>1807.6</v>
      </c>
      <c r="Q33" s="10">
        <f>IF(N33="HKD",7.8,IF(N33="CNY",7.30034,1))</f>
        <v>7.3003400000000003</v>
      </c>
      <c r="R33" s="10">
        <f>+ROUND(O33/Q33,4)</f>
        <v>0.49519999999999997</v>
      </c>
      <c r="S33" s="11">
        <f>ROUND(R33*L33,2)</f>
        <v>247.6</v>
      </c>
      <c r="T33" s="10" t="s">
        <v>349</v>
      </c>
      <c r="U33" t="s">
        <v>78</v>
      </c>
    </row>
    <row r="34" spans="1:21">
      <c r="A34" t="s">
        <v>4167</v>
      </c>
      <c r="B34" s="20">
        <v>45776</v>
      </c>
      <c r="C34" s="20">
        <v>45758</v>
      </c>
      <c r="D34" t="s">
        <v>149</v>
      </c>
      <c r="E34" t="s">
        <v>150</v>
      </c>
      <c r="G34" t="s">
        <v>4448</v>
      </c>
      <c r="H34" t="s">
        <v>3736</v>
      </c>
      <c r="I34" t="s">
        <v>3737</v>
      </c>
      <c r="J34" s="8" t="str">
        <f>+LEFT(U34,4)</f>
        <v>GLID</v>
      </c>
      <c r="K34" t="s">
        <v>10</v>
      </c>
      <c r="L34" s="46">
        <v>400</v>
      </c>
      <c r="M34" t="s">
        <v>1472</v>
      </c>
      <c r="N34" t="s">
        <v>11</v>
      </c>
      <c r="O34" s="49">
        <v>4.0202</v>
      </c>
      <c r="P34" s="9">
        <f>ROUND(O34*L34,2)</f>
        <v>1608.08</v>
      </c>
      <c r="Q34" s="10">
        <f>IF(N34="HKD",7.8,IF(N34="CNY",7.30034,1))</f>
        <v>7.3003400000000003</v>
      </c>
      <c r="R34" s="10">
        <f>+ROUND(O34/Q34,4)</f>
        <v>0.55069999999999997</v>
      </c>
      <c r="S34" s="11">
        <f>ROUND(R34*L34,2)</f>
        <v>220.28</v>
      </c>
      <c r="T34" s="10" t="s">
        <v>349</v>
      </c>
      <c r="U34" t="s">
        <v>78</v>
      </c>
    </row>
    <row r="35" spans="1:21">
      <c r="A35" t="s">
        <v>4192</v>
      </c>
      <c r="B35" s="20">
        <v>45776</v>
      </c>
      <c r="C35" s="20">
        <v>45769</v>
      </c>
      <c r="D35" t="s">
        <v>149</v>
      </c>
      <c r="E35" t="s">
        <v>150</v>
      </c>
      <c r="G35" t="s">
        <v>4448</v>
      </c>
      <c r="H35" t="s">
        <v>3752</v>
      </c>
      <c r="I35" t="s">
        <v>3753</v>
      </c>
      <c r="J35" s="8" t="str">
        <f>+LEFT(U35,4)</f>
        <v>GLID</v>
      </c>
      <c r="K35" t="s">
        <v>10</v>
      </c>
      <c r="L35" s="46">
        <v>810</v>
      </c>
      <c r="M35" t="s">
        <v>1472</v>
      </c>
      <c r="N35" t="s">
        <v>11</v>
      </c>
      <c r="O35" s="49">
        <v>4.6165000000000003</v>
      </c>
      <c r="P35" s="9">
        <f>ROUND(O35*L35,2)</f>
        <v>3739.37</v>
      </c>
      <c r="Q35" s="10">
        <f>IF(N35="HKD",7.8,IF(N35="CNY",7.30034,1))</f>
        <v>7.3003400000000003</v>
      </c>
      <c r="R35" s="10">
        <f>+ROUND(O35/Q35,4)</f>
        <v>0.63239999999999996</v>
      </c>
      <c r="S35" s="11">
        <f>ROUND(R35*L35,2)</f>
        <v>512.24</v>
      </c>
      <c r="T35" s="10" t="s">
        <v>349</v>
      </c>
      <c r="U35" t="s">
        <v>78</v>
      </c>
    </row>
    <row r="36" spans="1:21">
      <c r="A36" t="s">
        <v>4196</v>
      </c>
      <c r="B36" s="20">
        <v>45776</v>
      </c>
      <c r="C36" s="20">
        <v>45756</v>
      </c>
      <c r="D36" t="s">
        <v>149</v>
      </c>
      <c r="E36" t="s">
        <v>150</v>
      </c>
      <c r="G36" t="s">
        <v>4448</v>
      </c>
      <c r="H36" t="s">
        <v>3102</v>
      </c>
      <c r="I36" t="s">
        <v>3317</v>
      </c>
      <c r="J36" s="8" t="str">
        <f>+LEFT(U36,4)</f>
        <v>GLID</v>
      </c>
      <c r="K36" t="s">
        <v>10</v>
      </c>
      <c r="L36" s="46">
        <v>1020</v>
      </c>
      <c r="M36" t="s">
        <v>1472</v>
      </c>
      <c r="N36" t="s">
        <v>11</v>
      </c>
      <c r="O36" s="49">
        <v>4.8014000000000001</v>
      </c>
      <c r="P36" s="9">
        <f>ROUND(O36*L36,2)</f>
        <v>4897.43</v>
      </c>
      <c r="Q36" s="10">
        <f>IF(N36="HKD",7.8,IF(N36="CNY",7.30034,1))</f>
        <v>7.3003400000000003</v>
      </c>
      <c r="R36" s="10">
        <f>+ROUND(O36/Q36,4)</f>
        <v>0.65769999999999995</v>
      </c>
      <c r="S36" s="11">
        <f>ROUND(R36*L36,2)</f>
        <v>670.85</v>
      </c>
      <c r="T36" s="10" t="s">
        <v>349</v>
      </c>
      <c r="U36" t="s">
        <v>78</v>
      </c>
    </row>
    <row r="37" spans="1:21">
      <c r="A37" t="s">
        <v>4274</v>
      </c>
      <c r="B37" s="20">
        <v>45776</v>
      </c>
      <c r="C37" s="20">
        <v>45706</v>
      </c>
      <c r="D37" t="s">
        <v>569</v>
      </c>
      <c r="E37" t="s">
        <v>570</v>
      </c>
      <c r="G37" t="s">
        <v>4386</v>
      </c>
      <c r="H37" t="s">
        <v>256</v>
      </c>
      <c r="I37" t="s">
        <v>257</v>
      </c>
      <c r="J37" s="8" t="str">
        <f>+LEFT(U37,4)</f>
        <v>GLID</v>
      </c>
      <c r="K37" t="s">
        <v>10</v>
      </c>
      <c r="L37" s="46">
        <v>1410</v>
      </c>
      <c r="M37" t="s">
        <v>1472</v>
      </c>
      <c r="N37" t="s">
        <v>11</v>
      </c>
      <c r="O37" s="49">
        <v>8.8800000000000008</v>
      </c>
      <c r="P37" s="9">
        <f>ROUND(O37*L37,2)</f>
        <v>12520.8</v>
      </c>
      <c r="Q37" s="10">
        <f>IF(N37="HKD",7.8,IF(N37="CNY",7.30034,1))</f>
        <v>7.3003400000000003</v>
      </c>
      <c r="R37" s="10">
        <f>+ROUND(O37/Q37,4)</f>
        <v>1.2163999999999999</v>
      </c>
      <c r="S37" s="11">
        <f>ROUND(R37*L37,2)</f>
        <v>1715.12</v>
      </c>
      <c r="T37" s="10" t="s">
        <v>349</v>
      </c>
      <c r="U37" t="s">
        <v>78</v>
      </c>
    </row>
    <row r="38" spans="1:21">
      <c r="A38" t="s">
        <v>4289</v>
      </c>
      <c r="B38" s="20">
        <v>45776</v>
      </c>
      <c r="C38" s="20">
        <v>45706</v>
      </c>
      <c r="D38" t="s">
        <v>569</v>
      </c>
      <c r="E38" t="s">
        <v>570</v>
      </c>
      <c r="G38" t="s">
        <v>4386</v>
      </c>
      <c r="H38" t="s">
        <v>775</v>
      </c>
      <c r="I38" t="s">
        <v>776</v>
      </c>
      <c r="J38" s="8" t="str">
        <f>+LEFT(U38,4)</f>
        <v>GLID</v>
      </c>
      <c r="K38" t="s">
        <v>10</v>
      </c>
      <c r="L38" s="46">
        <v>505</v>
      </c>
      <c r="M38" t="s">
        <v>1472</v>
      </c>
      <c r="N38" t="s">
        <v>11</v>
      </c>
      <c r="O38" s="49">
        <v>14.1</v>
      </c>
      <c r="P38" s="9">
        <f>ROUND(O38*L38,2)</f>
        <v>7120.5</v>
      </c>
      <c r="Q38" s="10">
        <f>IF(N38="HKD",7.8,IF(N38="CNY",7.30034,1))</f>
        <v>7.3003400000000003</v>
      </c>
      <c r="R38" s="10">
        <f>+ROUND(O38/Q38,4)</f>
        <v>1.9314</v>
      </c>
      <c r="S38" s="11">
        <f>ROUND(R38*L38,2)</f>
        <v>975.36</v>
      </c>
      <c r="T38" s="10" t="s">
        <v>349</v>
      </c>
      <c r="U38" t="s">
        <v>78</v>
      </c>
    </row>
    <row r="39" spans="1:21">
      <c r="A39" t="s">
        <v>4321</v>
      </c>
      <c r="B39" s="20">
        <v>45776</v>
      </c>
      <c r="C39" s="20">
        <v>45761</v>
      </c>
      <c r="D39" t="s">
        <v>311</v>
      </c>
      <c r="E39" t="s">
        <v>312</v>
      </c>
      <c r="G39" t="s">
        <v>4557</v>
      </c>
      <c r="H39" t="s">
        <v>669</v>
      </c>
      <c r="I39" t="s">
        <v>670</v>
      </c>
      <c r="J39" s="8" t="str">
        <f>+LEFT(U39,4)</f>
        <v>INM-</v>
      </c>
      <c r="K39" t="s">
        <v>10</v>
      </c>
      <c r="L39" s="46">
        <v>50</v>
      </c>
      <c r="M39" t="s">
        <v>186</v>
      </c>
      <c r="N39" t="s">
        <v>11</v>
      </c>
      <c r="O39" s="49">
        <v>110.17700000000001</v>
      </c>
      <c r="P39" s="9">
        <f>ROUND(O39*L39,2)</f>
        <v>5508.85</v>
      </c>
      <c r="Q39" s="10">
        <f>IF(N39="HKD",7.8,IF(N39="CNY",7.30034,1))</f>
        <v>7.3003400000000003</v>
      </c>
      <c r="R39" s="10">
        <f>+ROUND(O39/Q39,4)</f>
        <v>15.092000000000001</v>
      </c>
      <c r="S39" s="11">
        <f>ROUND(R39*L39,2)</f>
        <v>754.6</v>
      </c>
      <c r="T39" s="10" t="s">
        <v>349</v>
      </c>
      <c r="U39" t="s">
        <v>327</v>
      </c>
    </row>
    <row r="40" spans="1:21">
      <c r="A40" t="s">
        <v>4044</v>
      </c>
      <c r="B40" s="20">
        <v>45776</v>
      </c>
      <c r="C40" s="20">
        <v>45729</v>
      </c>
      <c r="D40" t="s">
        <v>709</v>
      </c>
      <c r="E40" t="s">
        <v>710</v>
      </c>
      <c r="G40" t="s">
        <v>4423</v>
      </c>
      <c r="H40" t="s">
        <v>1682</v>
      </c>
      <c r="I40" t="s">
        <v>1683</v>
      </c>
      <c r="J40" s="8" t="str">
        <f>+LEFT(U40,4)</f>
        <v>LHDL</v>
      </c>
      <c r="K40" t="s">
        <v>10</v>
      </c>
      <c r="L40" s="46">
        <v>1010</v>
      </c>
      <c r="M40" t="s">
        <v>1472</v>
      </c>
      <c r="N40" t="s">
        <v>11</v>
      </c>
      <c r="O40" s="49">
        <v>2.6436000000000002</v>
      </c>
      <c r="P40" s="9">
        <f>ROUND(O40*L40,2)</f>
        <v>2670.04</v>
      </c>
      <c r="Q40" s="10">
        <f>IF(N40="HKD",7.8,IF(N40="CNY",7.30034,1))</f>
        <v>7.3003400000000003</v>
      </c>
      <c r="R40" s="10">
        <f>+ROUND(O40/Q40,4)</f>
        <v>0.36209999999999998</v>
      </c>
      <c r="S40" s="11">
        <f>ROUND(R40*L40,2)</f>
        <v>365.72</v>
      </c>
      <c r="T40" s="10" t="s">
        <v>349</v>
      </c>
      <c r="U40" t="s">
        <v>125</v>
      </c>
    </row>
    <row r="41" spans="1:21">
      <c r="A41" t="s">
        <v>4045</v>
      </c>
      <c r="B41" s="20">
        <v>45776</v>
      </c>
      <c r="C41" s="20">
        <v>45729</v>
      </c>
      <c r="D41" t="s">
        <v>709</v>
      </c>
      <c r="E41" t="s">
        <v>710</v>
      </c>
      <c r="G41" t="s">
        <v>4423</v>
      </c>
      <c r="H41" t="s">
        <v>3646</v>
      </c>
      <c r="I41" t="s">
        <v>3647</v>
      </c>
      <c r="J41" s="8" t="str">
        <f>+LEFT(U41,4)</f>
        <v>LHDL</v>
      </c>
      <c r="K41" t="s">
        <v>10</v>
      </c>
      <c r="L41" s="46">
        <v>1000</v>
      </c>
      <c r="M41" t="s">
        <v>1472</v>
      </c>
      <c r="N41" t="s">
        <v>11</v>
      </c>
      <c r="O41" s="49">
        <v>2.6436000000000002</v>
      </c>
      <c r="P41" s="9">
        <f>ROUND(O41*L41,2)</f>
        <v>2643.6</v>
      </c>
      <c r="Q41" s="10">
        <f>IF(N41="HKD",7.8,IF(N41="CNY",7.30034,1))</f>
        <v>7.3003400000000003</v>
      </c>
      <c r="R41" s="10">
        <f>+ROUND(O41/Q41,4)</f>
        <v>0.36209999999999998</v>
      </c>
      <c r="S41" s="11">
        <f>ROUND(R41*L41,2)</f>
        <v>362.1</v>
      </c>
      <c r="T41" s="10" t="s">
        <v>349</v>
      </c>
      <c r="U41" t="s">
        <v>125</v>
      </c>
    </row>
    <row r="42" spans="1:21">
      <c r="A42" t="s">
        <v>4129</v>
      </c>
      <c r="B42" s="20">
        <v>45776</v>
      </c>
      <c r="C42" s="20">
        <v>45734</v>
      </c>
      <c r="D42" t="s">
        <v>94</v>
      </c>
      <c r="E42" t="s">
        <v>95</v>
      </c>
      <c r="G42" t="s">
        <v>4437</v>
      </c>
      <c r="H42" t="s">
        <v>3061</v>
      </c>
      <c r="I42" t="s">
        <v>3277</v>
      </c>
      <c r="J42" s="8" t="str">
        <f>+LEFT(U42,4)</f>
        <v>LID-</v>
      </c>
      <c r="K42" t="s">
        <v>98</v>
      </c>
      <c r="L42" s="46">
        <v>710</v>
      </c>
      <c r="M42" t="s">
        <v>1472</v>
      </c>
      <c r="N42" t="s">
        <v>11</v>
      </c>
      <c r="O42" s="49">
        <v>3.4</v>
      </c>
      <c r="P42" s="9">
        <f>ROUND(O42*L42,2)</f>
        <v>2414</v>
      </c>
      <c r="Q42" s="10">
        <f>IF(N42="HKD",7.8,IF(N42="CNY",7.30034,1))</f>
        <v>7.3003400000000003</v>
      </c>
      <c r="R42" s="10">
        <f>+ROUND(O42/Q42,4)</f>
        <v>0.4657</v>
      </c>
      <c r="S42" s="11">
        <f>ROUND(R42*L42,2)</f>
        <v>330.65</v>
      </c>
      <c r="T42" s="10" t="s">
        <v>349</v>
      </c>
      <c r="U42" t="s">
        <v>368</v>
      </c>
    </row>
    <row r="43" spans="1:21">
      <c r="A43" t="s">
        <v>4134</v>
      </c>
      <c r="B43" s="20">
        <v>45776</v>
      </c>
      <c r="C43" s="20">
        <v>45734</v>
      </c>
      <c r="D43" t="s">
        <v>94</v>
      </c>
      <c r="E43" t="s">
        <v>95</v>
      </c>
      <c r="G43" t="s">
        <v>4437</v>
      </c>
      <c r="H43" t="s">
        <v>3062</v>
      </c>
      <c r="I43" t="s">
        <v>3278</v>
      </c>
      <c r="J43" s="8" t="str">
        <f>+LEFT(U43,4)</f>
        <v>LID-</v>
      </c>
      <c r="K43" t="s">
        <v>98</v>
      </c>
      <c r="L43" s="46">
        <v>810</v>
      </c>
      <c r="M43" t="s">
        <v>1472</v>
      </c>
      <c r="N43" t="s">
        <v>11</v>
      </c>
      <c r="O43" s="49">
        <v>3.5</v>
      </c>
      <c r="P43" s="9">
        <f>ROUND(O43*L43,2)</f>
        <v>2835</v>
      </c>
      <c r="Q43" s="10">
        <f>IF(N43="HKD",7.8,IF(N43="CNY",7.30034,1))</f>
        <v>7.3003400000000003</v>
      </c>
      <c r="R43" s="10">
        <f>+ROUND(O43/Q43,4)</f>
        <v>0.47939999999999999</v>
      </c>
      <c r="S43" s="11">
        <f>ROUND(R43*L43,2)</f>
        <v>388.31</v>
      </c>
      <c r="T43" s="10" t="s">
        <v>349</v>
      </c>
      <c r="U43" t="s">
        <v>368</v>
      </c>
    </row>
    <row r="44" spans="1:21">
      <c r="A44" t="s">
        <v>4177</v>
      </c>
      <c r="B44" s="20">
        <v>45776</v>
      </c>
      <c r="C44" s="20">
        <v>45714</v>
      </c>
      <c r="D44" t="s">
        <v>830</v>
      </c>
      <c r="E44" t="s">
        <v>831</v>
      </c>
      <c r="G44" t="s">
        <v>4473</v>
      </c>
      <c r="H44" t="s">
        <v>3166</v>
      </c>
      <c r="I44" t="s">
        <v>3376</v>
      </c>
      <c r="J44" s="8" t="str">
        <f>+LEFT(U44,4)</f>
        <v>LID-</v>
      </c>
      <c r="K44" t="s">
        <v>98</v>
      </c>
      <c r="L44" s="46">
        <v>1000</v>
      </c>
      <c r="M44" t="s">
        <v>1472</v>
      </c>
      <c r="N44" t="s">
        <v>11</v>
      </c>
      <c r="O44" s="49">
        <v>4.2</v>
      </c>
      <c r="P44" s="9">
        <f>ROUND(O44*L44,2)</f>
        <v>4200</v>
      </c>
      <c r="Q44" s="10">
        <f>IF(N44="HKD",7.8,IF(N44="CNY",7.30034,1))</f>
        <v>7.3003400000000003</v>
      </c>
      <c r="R44" s="10">
        <f>+ROUND(O44/Q44,4)</f>
        <v>0.57530000000000003</v>
      </c>
      <c r="S44" s="11">
        <f>ROUND(R44*L44,2)</f>
        <v>575.29999999999995</v>
      </c>
      <c r="T44" s="10" t="s">
        <v>349</v>
      </c>
      <c r="U44" t="s">
        <v>368</v>
      </c>
    </row>
    <row r="45" spans="1:21">
      <c r="A45" t="s">
        <v>4178</v>
      </c>
      <c r="B45" s="20">
        <v>45776</v>
      </c>
      <c r="C45" s="20">
        <v>45763</v>
      </c>
      <c r="D45" t="s">
        <v>830</v>
      </c>
      <c r="E45" t="s">
        <v>831</v>
      </c>
      <c r="G45" t="s">
        <v>4477</v>
      </c>
      <c r="H45" t="s">
        <v>3744</v>
      </c>
      <c r="I45" t="s">
        <v>3745</v>
      </c>
      <c r="J45" s="8" t="str">
        <f>+LEFT(U45,4)</f>
        <v>LID-</v>
      </c>
      <c r="K45" t="s">
        <v>98</v>
      </c>
      <c r="L45" s="46">
        <v>1010</v>
      </c>
      <c r="M45" t="s">
        <v>1472</v>
      </c>
      <c r="N45" t="s">
        <v>11</v>
      </c>
      <c r="O45" s="49">
        <v>4.25</v>
      </c>
      <c r="P45" s="9">
        <f>ROUND(O45*L45,2)</f>
        <v>4292.5</v>
      </c>
      <c r="Q45" s="10">
        <f>IF(N45="HKD",7.8,IF(N45="CNY",7.30034,1))</f>
        <v>7.3003400000000003</v>
      </c>
      <c r="R45" s="10">
        <f>+ROUND(O45/Q45,4)</f>
        <v>0.58220000000000005</v>
      </c>
      <c r="S45" s="11">
        <f>ROUND(R45*L45,2)</f>
        <v>588.02</v>
      </c>
      <c r="T45" s="10" t="s">
        <v>349</v>
      </c>
      <c r="U45" t="s">
        <v>368</v>
      </c>
    </row>
    <row r="46" spans="1:21">
      <c r="A46" t="s">
        <v>4195</v>
      </c>
      <c r="B46" s="20">
        <v>45776</v>
      </c>
      <c r="C46" s="20">
        <v>45695</v>
      </c>
      <c r="D46" t="s">
        <v>569</v>
      </c>
      <c r="E46" t="s">
        <v>570</v>
      </c>
      <c r="G46" t="s">
        <v>4386</v>
      </c>
      <c r="H46" t="s">
        <v>1764</v>
      </c>
      <c r="I46" t="s">
        <v>1765</v>
      </c>
      <c r="J46" s="8" t="str">
        <f>+LEFT(U46,4)</f>
        <v>MISC</v>
      </c>
      <c r="K46" t="s">
        <v>10</v>
      </c>
      <c r="L46" s="46">
        <v>1100</v>
      </c>
      <c r="M46" t="s">
        <v>1472</v>
      </c>
      <c r="N46" t="s">
        <v>11</v>
      </c>
      <c r="O46" s="49">
        <v>4.6900000000000004</v>
      </c>
      <c r="P46" s="9">
        <f>ROUND(O46*L46,2)</f>
        <v>5159</v>
      </c>
      <c r="Q46" s="10">
        <f>IF(N46="HKD",7.8,IF(N46="CNY",7.30034,1))</f>
        <v>7.3003400000000003</v>
      </c>
      <c r="R46" s="10">
        <f>+ROUND(O46/Q46,4)</f>
        <v>0.64239999999999997</v>
      </c>
      <c r="S46" s="11">
        <f>ROUND(R46*L46,2)</f>
        <v>706.64</v>
      </c>
      <c r="T46" s="10" t="s">
        <v>349</v>
      </c>
      <c r="U46" t="s">
        <v>25</v>
      </c>
    </row>
    <row r="47" spans="1:21">
      <c r="A47" t="s">
        <v>4218</v>
      </c>
      <c r="B47" s="20">
        <v>45776</v>
      </c>
      <c r="C47" s="20">
        <v>45695</v>
      </c>
      <c r="D47" t="s">
        <v>569</v>
      </c>
      <c r="E47" t="s">
        <v>570</v>
      </c>
      <c r="G47" t="s">
        <v>4386</v>
      </c>
      <c r="H47" t="s">
        <v>1780</v>
      </c>
      <c r="I47" t="s">
        <v>1781</v>
      </c>
      <c r="J47" s="8" t="str">
        <f>+LEFT(U47,4)</f>
        <v>MISC</v>
      </c>
      <c r="K47" t="s">
        <v>10</v>
      </c>
      <c r="L47" s="46">
        <v>2620</v>
      </c>
      <c r="M47" t="s">
        <v>1472</v>
      </c>
      <c r="N47" t="s">
        <v>11</v>
      </c>
      <c r="O47" s="49">
        <v>5.8996000000000004</v>
      </c>
      <c r="P47" s="9">
        <f>ROUND(O47*L47,2)</f>
        <v>15456.95</v>
      </c>
      <c r="Q47" s="10">
        <f>IF(N47="HKD",7.8,IF(N47="CNY",7.30034,1))</f>
        <v>7.3003400000000003</v>
      </c>
      <c r="R47" s="10">
        <f>+ROUND(O47/Q47,4)</f>
        <v>0.80810000000000004</v>
      </c>
      <c r="S47" s="11">
        <f>ROUND(R47*L47,2)</f>
        <v>2117.2199999999998</v>
      </c>
      <c r="T47" s="10" t="s">
        <v>349</v>
      </c>
      <c r="U47" t="s">
        <v>25</v>
      </c>
    </row>
    <row r="48" spans="1:21">
      <c r="A48" t="s">
        <v>3899</v>
      </c>
      <c r="B48" s="20">
        <v>45776</v>
      </c>
      <c r="C48" s="20">
        <v>45744</v>
      </c>
      <c r="D48" t="s">
        <v>235</v>
      </c>
      <c r="E48" t="s">
        <v>236</v>
      </c>
      <c r="G48" t="s">
        <v>4369</v>
      </c>
      <c r="H48" t="s">
        <v>1352</v>
      </c>
      <c r="I48" t="s">
        <v>1353</v>
      </c>
      <c r="J48" s="8" t="str">
        <f>+LEFT(U48,4)</f>
        <v>RIV-</v>
      </c>
      <c r="K48" t="s">
        <v>10</v>
      </c>
      <c r="L48" s="46">
        <v>111000</v>
      </c>
      <c r="M48" t="s">
        <v>1472</v>
      </c>
      <c r="N48" t="s">
        <v>11</v>
      </c>
      <c r="O48" s="49">
        <v>0.13150000000000001</v>
      </c>
      <c r="P48" s="9">
        <f>ROUND(O48*L48,2)</f>
        <v>14596.5</v>
      </c>
      <c r="Q48" s="10">
        <f>IF(N48="HKD",7.8,IF(N48="CNY",7.30034,1))</f>
        <v>7.3003400000000003</v>
      </c>
      <c r="R48" s="10">
        <f>+ROUND(O48/Q48,4)</f>
        <v>1.7999999999999999E-2</v>
      </c>
      <c r="S48" s="11">
        <f>ROUND(R48*L48,2)</f>
        <v>1998</v>
      </c>
      <c r="T48" s="10" t="s">
        <v>349</v>
      </c>
      <c r="U48" t="s">
        <v>132</v>
      </c>
    </row>
    <row r="49" spans="1:21">
      <c r="A49" t="s">
        <v>3916</v>
      </c>
      <c r="B49" s="20">
        <v>45776</v>
      </c>
      <c r="C49" s="20">
        <v>45769</v>
      </c>
      <c r="D49" t="s">
        <v>235</v>
      </c>
      <c r="E49" t="s">
        <v>236</v>
      </c>
      <c r="G49" t="s">
        <v>4369</v>
      </c>
      <c r="H49" t="s">
        <v>1361</v>
      </c>
      <c r="I49" t="s">
        <v>1362</v>
      </c>
      <c r="J49" s="8" t="str">
        <f>+LEFT(U49,4)</f>
        <v>RIV-</v>
      </c>
      <c r="K49" t="s">
        <v>10</v>
      </c>
      <c r="L49" s="46">
        <v>37000</v>
      </c>
      <c r="M49" t="s">
        <v>1472</v>
      </c>
      <c r="N49" t="s">
        <v>11</v>
      </c>
      <c r="O49" s="49">
        <v>0.17299999999999999</v>
      </c>
      <c r="P49" s="9">
        <f>ROUND(O49*L49,2)</f>
        <v>6401</v>
      </c>
      <c r="Q49" s="10">
        <f>IF(N49="HKD",7.8,IF(N49="CNY",7.30034,1))</f>
        <v>7.3003400000000003</v>
      </c>
      <c r="R49" s="10">
        <f>+ROUND(O49/Q49,4)</f>
        <v>2.3699999999999999E-2</v>
      </c>
      <c r="S49" s="11">
        <f>ROUND(R49*L49,2)</f>
        <v>876.9</v>
      </c>
      <c r="T49" s="10" t="s">
        <v>349</v>
      </c>
      <c r="U49" t="s">
        <v>132</v>
      </c>
    </row>
    <row r="50" spans="1:21">
      <c r="A50" t="s">
        <v>3923</v>
      </c>
      <c r="B50" s="20">
        <v>45776</v>
      </c>
      <c r="C50" s="20">
        <v>45756</v>
      </c>
      <c r="D50" t="s">
        <v>235</v>
      </c>
      <c r="E50" t="s">
        <v>236</v>
      </c>
      <c r="G50" t="s">
        <v>4369</v>
      </c>
      <c r="H50" t="s">
        <v>242</v>
      </c>
      <c r="I50" t="s">
        <v>243</v>
      </c>
      <c r="J50" s="8" t="str">
        <f>+LEFT(U50,4)</f>
        <v>RIV-</v>
      </c>
      <c r="K50" t="s">
        <v>10</v>
      </c>
      <c r="L50" s="46">
        <v>3350</v>
      </c>
      <c r="M50" t="s">
        <v>1472</v>
      </c>
      <c r="N50" t="s">
        <v>11</v>
      </c>
      <c r="O50" s="49">
        <v>0.1865</v>
      </c>
      <c r="P50" s="9">
        <f>ROUND(O50*L50,2)</f>
        <v>624.78</v>
      </c>
      <c r="Q50" s="10">
        <f>IF(N50="HKD",7.8,IF(N50="CNY",7.30034,1))</f>
        <v>7.3003400000000003</v>
      </c>
      <c r="R50" s="10">
        <f>+ROUND(O50/Q50,4)</f>
        <v>2.5499999999999998E-2</v>
      </c>
      <c r="S50" s="11">
        <f>ROUND(R50*L50,2)</f>
        <v>85.43</v>
      </c>
      <c r="T50" s="10" t="s">
        <v>349</v>
      </c>
      <c r="U50" t="s">
        <v>132</v>
      </c>
    </row>
    <row r="51" spans="1:21">
      <c r="A51" t="s">
        <v>3953</v>
      </c>
      <c r="B51" s="20">
        <v>45776</v>
      </c>
      <c r="C51" s="20">
        <v>45758</v>
      </c>
      <c r="D51" t="s">
        <v>569</v>
      </c>
      <c r="E51" t="s">
        <v>570</v>
      </c>
      <c r="G51" t="s">
        <v>4386</v>
      </c>
      <c r="H51" t="s">
        <v>3577</v>
      </c>
      <c r="I51" t="s">
        <v>3578</v>
      </c>
      <c r="J51" s="8" t="str">
        <f>+LEFT(U51,4)</f>
        <v>WHR-</v>
      </c>
      <c r="K51" t="s">
        <v>10</v>
      </c>
      <c r="L51" s="46">
        <v>520</v>
      </c>
      <c r="M51" t="s">
        <v>1472</v>
      </c>
      <c r="N51" t="s">
        <v>11</v>
      </c>
      <c r="O51" s="49">
        <v>0.43</v>
      </c>
      <c r="P51" s="9">
        <f>ROUND(O51*L51,2)</f>
        <v>223.6</v>
      </c>
      <c r="Q51" s="10">
        <f>IF(N51="HKD",7.8,IF(N51="CNY",7.30034,1))</f>
        <v>7.3003400000000003</v>
      </c>
      <c r="R51" s="10">
        <f>+ROUND(O51/Q51,4)</f>
        <v>5.8900000000000001E-2</v>
      </c>
      <c r="S51" s="11">
        <f>ROUND(R51*L51,2)</f>
        <v>30.63</v>
      </c>
      <c r="T51" s="10" t="s">
        <v>349</v>
      </c>
      <c r="U51" t="s">
        <v>248</v>
      </c>
    </row>
    <row r="52" spans="1:21">
      <c r="A52" t="s">
        <v>4085</v>
      </c>
      <c r="B52" s="20">
        <v>45775</v>
      </c>
      <c r="C52" s="20">
        <v>45736</v>
      </c>
      <c r="D52" t="s">
        <v>187</v>
      </c>
      <c r="E52" t="s">
        <v>188</v>
      </c>
      <c r="G52" t="s">
        <v>4429</v>
      </c>
      <c r="H52" t="s">
        <v>214</v>
      </c>
      <c r="I52" t="s">
        <v>215</v>
      </c>
      <c r="J52" s="8" t="str">
        <f>+LEFT(U52,4)</f>
        <v>ALM-</v>
      </c>
      <c r="K52" t="s">
        <v>98</v>
      </c>
      <c r="L52" s="46">
        <v>150</v>
      </c>
      <c r="M52" t="s">
        <v>186</v>
      </c>
      <c r="N52" t="s">
        <v>11</v>
      </c>
      <c r="O52" s="49">
        <v>3.1415999999999999</v>
      </c>
      <c r="P52" s="9">
        <f>ROUND(O52*L52,2)</f>
        <v>471.24</v>
      </c>
      <c r="Q52" s="10">
        <f>IF(N52="HKD",7.8,IF(N52="CNY",7.30034,1))</f>
        <v>7.3003400000000003</v>
      </c>
      <c r="R52" s="10">
        <f>+ROUND(O52/Q52,4)</f>
        <v>0.43030000000000002</v>
      </c>
      <c r="S52" s="11">
        <f>ROUND(R52*L52,2)</f>
        <v>64.55</v>
      </c>
      <c r="T52" s="10" t="s">
        <v>349</v>
      </c>
      <c r="U52" t="s">
        <v>191</v>
      </c>
    </row>
    <row r="53" spans="1:21">
      <c r="A53" t="s">
        <v>4086</v>
      </c>
      <c r="B53" s="20">
        <v>45775</v>
      </c>
      <c r="C53" s="20">
        <v>45736</v>
      </c>
      <c r="D53" t="s">
        <v>187</v>
      </c>
      <c r="E53" t="s">
        <v>188</v>
      </c>
      <c r="G53" t="s">
        <v>4429</v>
      </c>
      <c r="H53" t="s">
        <v>199</v>
      </c>
      <c r="I53" t="s">
        <v>200</v>
      </c>
      <c r="J53" s="8" t="str">
        <f>+LEFT(U53,4)</f>
        <v>ALM-</v>
      </c>
      <c r="K53" t="s">
        <v>98</v>
      </c>
      <c r="L53" s="46">
        <v>300</v>
      </c>
      <c r="M53" t="s">
        <v>186</v>
      </c>
      <c r="N53" t="s">
        <v>11</v>
      </c>
      <c r="O53" s="49">
        <v>3.1415999999999999</v>
      </c>
      <c r="P53" s="9">
        <f>ROUND(O53*L53,2)</f>
        <v>942.48</v>
      </c>
      <c r="Q53" s="10">
        <f>IF(N53="HKD",7.8,IF(N53="CNY",7.30034,1))</f>
        <v>7.3003400000000003</v>
      </c>
      <c r="R53" s="10">
        <f>+ROUND(O53/Q53,4)</f>
        <v>0.43030000000000002</v>
      </c>
      <c r="S53" s="11">
        <f>ROUND(R53*L53,2)</f>
        <v>129.09</v>
      </c>
      <c r="T53" s="10" t="s">
        <v>349</v>
      </c>
      <c r="U53" t="s">
        <v>191</v>
      </c>
    </row>
    <row r="54" spans="1:21">
      <c r="A54" t="s">
        <v>4099</v>
      </c>
      <c r="B54" s="20">
        <v>45775</v>
      </c>
      <c r="C54" s="20">
        <v>45747</v>
      </c>
      <c r="D54" t="s">
        <v>187</v>
      </c>
      <c r="E54" t="s">
        <v>188</v>
      </c>
      <c r="G54" t="s">
        <v>4429</v>
      </c>
      <c r="H54" t="s">
        <v>3226</v>
      </c>
      <c r="I54" t="s">
        <v>3433</v>
      </c>
      <c r="J54" s="8" t="str">
        <f>+LEFT(U54,4)</f>
        <v>ALM-</v>
      </c>
      <c r="K54" t="s">
        <v>98</v>
      </c>
      <c r="L54" s="46">
        <v>450</v>
      </c>
      <c r="M54" t="s">
        <v>186</v>
      </c>
      <c r="N54" t="s">
        <v>11</v>
      </c>
      <c r="O54" s="49">
        <v>3.1415999999999999</v>
      </c>
      <c r="P54" s="9">
        <f>ROUND(O54*L54,2)</f>
        <v>1413.72</v>
      </c>
      <c r="Q54" s="10">
        <f>IF(N54="HKD",7.8,IF(N54="CNY",7.30034,1))</f>
        <v>7.3003400000000003</v>
      </c>
      <c r="R54" s="10">
        <f>+ROUND(O54/Q54,4)</f>
        <v>0.43030000000000002</v>
      </c>
      <c r="S54" s="11">
        <f>ROUND(R54*L54,2)</f>
        <v>193.64</v>
      </c>
      <c r="T54" s="10" t="s">
        <v>349</v>
      </c>
      <c r="U54" t="s">
        <v>191</v>
      </c>
    </row>
    <row r="55" spans="1:21">
      <c r="A55" t="s">
        <v>4100</v>
      </c>
      <c r="B55" s="20">
        <v>45775</v>
      </c>
      <c r="C55" s="20">
        <v>45757</v>
      </c>
      <c r="D55" t="s">
        <v>187</v>
      </c>
      <c r="E55" t="s">
        <v>188</v>
      </c>
      <c r="G55" t="s">
        <v>4429</v>
      </c>
      <c r="H55" t="s">
        <v>211</v>
      </c>
      <c r="I55" t="s">
        <v>212</v>
      </c>
      <c r="J55" s="8" t="str">
        <f>+LEFT(U55,4)</f>
        <v>ALM-</v>
      </c>
      <c r="K55" t="s">
        <v>98</v>
      </c>
      <c r="L55" s="46">
        <v>50</v>
      </c>
      <c r="M55" t="s">
        <v>186</v>
      </c>
      <c r="N55" t="s">
        <v>11</v>
      </c>
      <c r="O55" s="49">
        <v>3.1415999999999999</v>
      </c>
      <c r="P55" s="9">
        <f>ROUND(O55*L55,2)</f>
        <v>157.08000000000001</v>
      </c>
      <c r="Q55" s="10">
        <f>IF(N55="HKD",7.8,IF(N55="CNY",7.30034,1))</f>
        <v>7.3003400000000003</v>
      </c>
      <c r="R55" s="10">
        <f>+ROUND(O55/Q55,4)</f>
        <v>0.43030000000000002</v>
      </c>
      <c r="S55" s="11">
        <f>ROUND(R55*L55,2)</f>
        <v>21.52</v>
      </c>
      <c r="T55" s="10" t="s">
        <v>349</v>
      </c>
      <c r="U55" t="s">
        <v>191</v>
      </c>
    </row>
    <row r="56" spans="1:21">
      <c r="A56" t="s">
        <v>4101</v>
      </c>
      <c r="B56" s="20">
        <v>45775</v>
      </c>
      <c r="C56" s="20">
        <v>45757</v>
      </c>
      <c r="D56" t="s">
        <v>187</v>
      </c>
      <c r="E56" t="s">
        <v>188</v>
      </c>
      <c r="G56" t="s">
        <v>4429</v>
      </c>
      <c r="H56" t="s">
        <v>3692</v>
      </c>
      <c r="I56" t="s">
        <v>3693</v>
      </c>
      <c r="J56" s="8" t="str">
        <f>+LEFT(U56,4)</f>
        <v>ALM-</v>
      </c>
      <c r="K56" t="s">
        <v>98</v>
      </c>
      <c r="L56" s="46">
        <v>300</v>
      </c>
      <c r="M56" t="s">
        <v>186</v>
      </c>
      <c r="N56" t="s">
        <v>11</v>
      </c>
      <c r="O56" s="49">
        <v>3.1415999999999999</v>
      </c>
      <c r="P56" s="9">
        <f>ROUND(O56*L56,2)</f>
        <v>942.48</v>
      </c>
      <c r="Q56" s="10">
        <f>IF(N56="HKD",7.8,IF(N56="CNY",7.30034,1))</f>
        <v>7.3003400000000003</v>
      </c>
      <c r="R56" s="10">
        <f>+ROUND(O56/Q56,4)</f>
        <v>0.43030000000000002</v>
      </c>
      <c r="S56" s="11">
        <f>ROUND(R56*L56,2)</f>
        <v>129.09</v>
      </c>
      <c r="T56" s="10" t="s">
        <v>349</v>
      </c>
      <c r="U56" t="s">
        <v>191</v>
      </c>
    </row>
    <row r="57" spans="1:21">
      <c r="A57" t="s">
        <v>4102</v>
      </c>
      <c r="B57" s="20">
        <v>45775</v>
      </c>
      <c r="C57" s="20">
        <v>45757</v>
      </c>
      <c r="D57" t="s">
        <v>187</v>
      </c>
      <c r="E57" t="s">
        <v>188</v>
      </c>
      <c r="G57" t="s">
        <v>4429</v>
      </c>
      <c r="H57" t="s">
        <v>3684</v>
      </c>
      <c r="I57" t="s">
        <v>3685</v>
      </c>
      <c r="J57" s="8" t="str">
        <f>+LEFT(U57,4)</f>
        <v>ALM-</v>
      </c>
      <c r="K57" t="s">
        <v>98</v>
      </c>
      <c r="L57" s="46">
        <v>150</v>
      </c>
      <c r="M57" t="s">
        <v>186</v>
      </c>
      <c r="N57" t="s">
        <v>11</v>
      </c>
      <c r="O57" s="49">
        <v>3.1415999999999999</v>
      </c>
      <c r="P57" s="9">
        <f>ROUND(O57*L57,2)</f>
        <v>471.24</v>
      </c>
      <c r="Q57" s="10">
        <f>IF(N57="HKD",7.8,IF(N57="CNY",7.30034,1))</f>
        <v>7.3003400000000003</v>
      </c>
      <c r="R57" s="10">
        <f>+ROUND(O57/Q57,4)</f>
        <v>0.43030000000000002</v>
      </c>
      <c r="S57" s="11">
        <f>ROUND(R57*L57,2)</f>
        <v>64.55</v>
      </c>
      <c r="T57" s="10" t="s">
        <v>349</v>
      </c>
      <c r="U57" t="s">
        <v>191</v>
      </c>
    </row>
    <row r="58" spans="1:21">
      <c r="A58" t="s">
        <v>4103</v>
      </c>
      <c r="B58" s="20">
        <v>45775</v>
      </c>
      <c r="C58" s="20">
        <v>45757</v>
      </c>
      <c r="D58" t="s">
        <v>187</v>
      </c>
      <c r="E58" t="s">
        <v>188</v>
      </c>
      <c r="G58" t="s">
        <v>4429</v>
      </c>
      <c r="H58" t="s">
        <v>199</v>
      </c>
      <c r="I58" t="s">
        <v>200</v>
      </c>
      <c r="J58" s="8" t="str">
        <f>+LEFT(U58,4)</f>
        <v>ALM-</v>
      </c>
      <c r="K58" t="s">
        <v>98</v>
      </c>
      <c r="L58" s="46">
        <v>190</v>
      </c>
      <c r="M58" t="s">
        <v>186</v>
      </c>
      <c r="N58" t="s">
        <v>11</v>
      </c>
      <c r="O58" s="49">
        <v>3.1415999999999999</v>
      </c>
      <c r="P58" s="9">
        <f>ROUND(O58*L58,2)</f>
        <v>596.9</v>
      </c>
      <c r="Q58" s="10">
        <f>IF(N58="HKD",7.8,IF(N58="CNY",7.30034,1))</f>
        <v>7.3003400000000003</v>
      </c>
      <c r="R58" s="10">
        <f>+ROUND(O58/Q58,4)</f>
        <v>0.43030000000000002</v>
      </c>
      <c r="S58" s="11">
        <f>ROUND(R58*L58,2)</f>
        <v>81.760000000000005</v>
      </c>
      <c r="T58" s="10" t="s">
        <v>349</v>
      </c>
      <c r="U58" t="s">
        <v>191</v>
      </c>
    </row>
    <row r="59" spans="1:21">
      <c r="A59" t="s">
        <v>4104</v>
      </c>
      <c r="B59" s="20">
        <v>45775</v>
      </c>
      <c r="C59" s="20">
        <v>45761</v>
      </c>
      <c r="D59" t="s">
        <v>187</v>
      </c>
      <c r="E59" t="s">
        <v>188</v>
      </c>
      <c r="G59" t="s">
        <v>4429</v>
      </c>
      <c r="H59" t="s">
        <v>211</v>
      </c>
      <c r="I59" t="s">
        <v>212</v>
      </c>
      <c r="J59" s="8" t="str">
        <f>+LEFT(U59,4)</f>
        <v>ALM-</v>
      </c>
      <c r="K59" t="s">
        <v>98</v>
      </c>
      <c r="L59" s="46">
        <v>450</v>
      </c>
      <c r="M59" t="s">
        <v>186</v>
      </c>
      <c r="N59" t="s">
        <v>11</v>
      </c>
      <c r="O59" s="49">
        <v>3.1415999999999999</v>
      </c>
      <c r="P59" s="9">
        <f>ROUND(O59*L59,2)</f>
        <v>1413.72</v>
      </c>
      <c r="Q59" s="10">
        <f>IF(N59="HKD",7.8,IF(N59="CNY",7.30034,1))</f>
        <v>7.3003400000000003</v>
      </c>
      <c r="R59" s="10">
        <f>+ROUND(O59/Q59,4)</f>
        <v>0.43030000000000002</v>
      </c>
      <c r="S59" s="11">
        <f>ROUND(R59*L59,2)</f>
        <v>193.64</v>
      </c>
      <c r="T59" s="10" t="s">
        <v>349</v>
      </c>
      <c r="U59" t="s">
        <v>191</v>
      </c>
    </row>
    <row r="60" spans="1:21">
      <c r="A60" t="s">
        <v>4105</v>
      </c>
      <c r="B60" s="20">
        <v>45775</v>
      </c>
      <c r="C60" s="20">
        <v>45761</v>
      </c>
      <c r="D60" t="s">
        <v>187</v>
      </c>
      <c r="E60" t="s">
        <v>188</v>
      </c>
      <c r="G60" t="s">
        <v>4429</v>
      </c>
      <c r="H60" t="s">
        <v>202</v>
      </c>
      <c r="I60" t="s">
        <v>203</v>
      </c>
      <c r="J60" s="8" t="str">
        <f>+LEFT(U60,4)</f>
        <v>ALM-</v>
      </c>
      <c r="K60" t="s">
        <v>98</v>
      </c>
      <c r="L60" s="46">
        <v>380</v>
      </c>
      <c r="M60" t="s">
        <v>186</v>
      </c>
      <c r="N60" t="s">
        <v>11</v>
      </c>
      <c r="O60" s="49">
        <v>3.1415999999999999</v>
      </c>
      <c r="P60" s="9">
        <f>ROUND(O60*L60,2)</f>
        <v>1193.81</v>
      </c>
      <c r="Q60" s="10">
        <f>IF(N60="HKD",7.8,IF(N60="CNY",7.30034,1))</f>
        <v>7.3003400000000003</v>
      </c>
      <c r="R60" s="10">
        <f>+ROUND(O60/Q60,4)</f>
        <v>0.43030000000000002</v>
      </c>
      <c r="S60" s="11">
        <f>ROUND(R60*L60,2)</f>
        <v>163.51</v>
      </c>
      <c r="T60" s="10" t="s">
        <v>349</v>
      </c>
      <c r="U60" t="s">
        <v>191</v>
      </c>
    </row>
    <row r="61" spans="1:21">
      <c r="A61" t="s">
        <v>4106</v>
      </c>
      <c r="B61" s="20">
        <v>45775</v>
      </c>
      <c r="C61" s="20">
        <v>45761</v>
      </c>
      <c r="D61" t="s">
        <v>187</v>
      </c>
      <c r="E61" t="s">
        <v>188</v>
      </c>
      <c r="G61" t="s">
        <v>4429</v>
      </c>
      <c r="H61" t="s">
        <v>199</v>
      </c>
      <c r="I61" t="s">
        <v>200</v>
      </c>
      <c r="J61" s="8" t="str">
        <f>+LEFT(U61,4)</f>
        <v>ALM-</v>
      </c>
      <c r="K61" t="s">
        <v>98</v>
      </c>
      <c r="L61" s="46">
        <v>1500</v>
      </c>
      <c r="M61" t="s">
        <v>186</v>
      </c>
      <c r="N61" t="s">
        <v>11</v>
      </c>
      <c r="O61" s="49">
        <v>3.1415999999999999</v>
      </c>
      <c r="P61" s="9">
        <f>ROUND(O61*L61,2)</f>
        <v>4712.3999999999996</v>
      </c>
      <c r="Q61" s="10">
        <f>IF(N61="HKD",7.8,IF(N61="CNY",7.30034,1))</f>
        <v>7.3003400000000003</v>
      </c>
      <c r="R61" s="10">
        <f>+ROUND(O61/Q61,4)</f>
        <v>0.43030000000000002</v>
      </c>
      <c r="S61" s="11">
        <f>ROUND(R61*L61,2)</f>
        <v>645.45000000000005</v>
      </c>
      <c r="T61" s="10" t="s">
        <v>349</v>
      </c>
      <c r="U61" t="s">
        <v>191</v>
      </c>
    </row>
    <row r="62" spans="1:21">
      <c r="A62" t="s">
        <v>4107</v>
      </c>
      <c r="B62" s="20">
        <v>45775</v>
      </c>
      <c r="C62" s="20">
        <v>45762</v>
      </c>
      <c r="D62" t="s">
        <v>187</v>
      </c>
      <c r="E62" t="s">
        <v>188</v>
      </c>
      <c r="G62" t="s">
        <v>4429</v>
      </c>
      <c r="H62" t="s">
        <v>214</v>
      </c>
      <c r="I62" t="s">
        <v>215</v>
      </c>
      <c r="J62" s="8" t="str">
        <f>+LEFT(U62,4)</f>
        <v>ALM-</v>
      </c>
      <c r="K62" t="s">
        <v>98</v>
      </c>
      <c r="L62" s="46">
        <v>150</v>
      </c>
      <c r="M62" t="s">
        <v>186</v>
      </c>
      <c r="N62" t="s">
        <v>11</v>
      </c>
      <c r="O62" s="49">
        <v>3.1415999999999999</v>
      </c>
      <c r="P62" s="9">
        <f>ROUND(O62*L62,2)</f>
        <v>471.24</v>
      </c>
      <c r="Q62" s="10">
        <f>IF(N62="HKD",7.8,IF(N62="CNY",7.30034,1))</f>
        <v>7.3003400000000003</v>
      </c>
      <c r="R62" s="10">
        <f>+ROUND(O62/Q62,4)</f>
        <v>0.43030000000000002</v>
      </c>
      <c r="S62" s="11">
        <f>ROUND(R62*L62,2)</f>
        <v>64.55</v>
      </c>
      <c r="T62" s="10" t="s">
        <v>349</v>
      </c>
      <c r="U62" t="s">
        <v>191</v>
      </c>
    </row>
    <row r="63" spans="1:21">
      <c r="A63" t="s">
        <v>4108</v>
      </c>
      <c r="B63" s="20">
        <v>45775</v>
      </c>
      <c r="C63" s="20">
        <v>45762</v>
      </c>
      <c r="D63" t="s">
        <v>187</v>
      </c>
      <c r="E63" t="s">
        <v>188</v>
      </c>
      <c r="G63" t="s">
        <v>4429</v>
      </c>
      <c r="H63" t="s">
        <v>208</v>
      </c>
      <c r="I63" t="s">
        <v>209</v>
      </c>
      <c r="J63" s="8" t="str">
        <f>+LEFT(U63,4)</f>
        <v>ALM-</v>
      </c>
      <c r="K63" t="s">
        <v>98</v>
      </c>
      <c r="L63" s="46">
        <v>60</v>
      </c>
      <c r="M63" t="s">
        <v>186</v>
      </c>
      <c r="N63" t="s">
        <v>11</v>
      </c>
      <c r="O63" s="49">
        <v>3.1415999999999999</v>
      </c>
      <c r="P63" s="9">
        <f>ROUND(O63*L63,2)</f>
        <v>188.5</v>
      </c>
      <c r="Q63" s="10">
        <f>IF(N63="HKD",7.8,IF(N63="CNY",7.30034,1))</f>
        <v>7.3003400000000003</v>
      </c>
      <c r="R63" s="10">
        <f>+ROUND(O63/Q63,4)</f>
        <v>0.43030000000000002</v>
      </c>
      <c r="S63" s="11">
        <f>ROUND(R63*L63,2)</f>
        <v>25.82</v>
      </c>
      <c r="T63" s="10" t="s">
        <v>349</v>
      </c>
      <c r="U63" t="s">
        <v>191</v>
      </c>
    </row>
    <row r="64" spans="1:21">
      <c r="A64" t="s">
        <v>4109</v>
      </c>
      <c r="B64" s="20">
        <v>45775</v>
      </c>
      <c r="C64" s="20">
        <v>45762</v>
      </c>
      <c r="D64" t="s">
        <v>187</v>
      </c>
      <c r="E64" t="s">
        <v>188</v>
      </c>
      <c r="G64" t="s">
        <v>4429</v>
      </c>
      <c r="H64" t="s">
        <v>1210</v>
      </c>
      <c r="I64" t="s">
        <v>1211</v>
      </c>
      <c r="J64" s="8" t="str">
        <f>+LEFT(U64,4)</f>
        <v>ALM-</v>
      </c>
      <c r="K64" t="s">
        <v>98</v>
      </c>
      <c r="L64" s="46">
        <v>660</v>
      </c>
      <c r="M64" t="s">
        <v>186</v>
      </c>
      <c r="N64" t="s">
        <v>11</v>
      </c>
      <c r="O64" s="49">
        <v>3.1415999999999999</v>
      </c>
      <c r="P64" s="9">
        <f>ROUND(O64*L64,2)</f>
        <v>2073.46</v>
      </c>
      <c r="Q64" s="10">
        <f>IF(N64="HKD",7.8,IF(N64="CNY",7.30034,1))</f>
        <v>7.3003400000000003</v>
      </c>
      <c r="R64" s="10">
        <f>+ROUND(O64/Q64,4)</f>
        <v>0.43030000000000002</v>
      </c>
      <c r="S64" s="11">
        <f>ROUND(R64*L64,2)</f>
        <v>284</v>
      </c>
      <c r="T64" s="10" t="s">
        <v>349</v>
      </c>
      <c r="U64" t="s">
        <v>191</v>
      </c>
    </row>
    <row r="65" spans="1:21">
      <c r="A65" t="s">
        <v>4110</v>
      </c>
      <c r="B65" s="20">
        <v>45775</v>
      </c>
      <c r="C65" s="20">
        <v>45765</v>
      </c>
      <c r="D65" t="s">
        <v>187</v>
      </c>
      <c r="E65" t="s">
        <v>188</v>
      </c>
      <c r="G65" t="s">
        <v>4429</v>
      </c>
      <c r="H65" t="s">
        <v>214</v>
      </c>
      <c r="I65" t="s">
        <v>215</v>
      </c>
      <c r="J65" s="8" t="str">
        <f>+LEFT(U65,4)</f>
        <v>ALM-</v>
      </c>
      <c r="K65" t="s">
        <v>98</v>
      </c>
      <c r="L65" s="46">
        <v>100</v>
      </c>
      <c r="M65" t="s">
        <v>186</v>
      </c>
      <c r="N65" t="s">
        <v>11</v>
      </c>
      <c r="O65" s="49">
        <v>3.1415999999999999</v>
      </c>
      <c r="P65" s="9">
        <f>ROUND(O65*L65,2)</f>
        <v>314.16000000000003</v>
      </c>
      <c r="Q65" s="10">
        <f>IF(N65="HKD",7.8,IF(N65="CNY",7.30034,1))</f>
        <v>7.3003400000000003</v>
      </c>
      <c r="R65" s="10">
        <f>+ROUND(O65/Q65,4)</f>
        <v>0.43030000000000002</v>
      </c>
      <c r="S65" s="11">
        <f>ROUND(R65*L65,2)</f>
        <v>43.03</v>
      </c>
      <c r="T65" s="10" t="s">
        <v>349</v>
      </c>
      <c r="U65" t="s">
        <v>191</v>
      </c>
    </row>
    <row r="66" spans="1:21">
      <c r="A66" t="s">
        <v>4111</v>
      </c>
      <c r="B66" s="20">
        <v>45775</v>
      </c>
      <c r="C66" s="20">
        <v>45765</v>
      </c>
      <c r="D66" t="s">
        <v>187</v>
      </c>
      <c r="E66" t="s">
        <v>188</v>
      </c>
      <c r="G66" t="s">
        <v>4429</v>
      </c>
      <c r="H66" t="s">
        <v>211</v>
      </c>
      <c r="I66" t="s">
        <v>212</v>
      </c>
      <c r="J66" s="8" t="str">
        <f>+LEFT(U66,4)</f>
        <v>ALM-</v>
      </c>
      <c r="K66" t="s">
        <v>98</v>
      </c>
      <c r="L66" s="46">
        <v>150</v>
      </c>
      <c r="M66" t="s">
        <v>186</v>
      </c>
      <c r="N66" t="s">
        <v>11</v>
      </c>
      <c r="O66" s="49">
        <v>3.1415999999999999</v>
      </c>
      <c r="P66" s="9">
        <f>ROUND(O66*L66,2)</f>
        <v>471.24</v>
      </c>
      <c r="Q66" s="10">
        <f>IF(N66="HKD",7.8,IF(N66="CNY",7.30034,1))</f>
        <v>7.3003400000000003</v>
      </c>
      <c r="R66" s="10">
        <f>+ROUND(O66/Q66,4)</f>
        <v>0.43030000000000002</v>
      </c>
      <c r="S66" s="11">
        <f>ROUND(R66*L66,2)</f>
        <v>64.55</v>
      </c>
      <c r="T66" s="10" t="s">
        <v>349</v>
      </c>
      <c r="U66" t="s">
        <v>191</v>
      </c>
    </row>
    <row r="67" spans="1:21">
      <c r="A67" t="s">
        <v>4112</v>
      </c>
      <c r="B67" s="20">
        <v>45775</v>
      </c>
      <c r="C67" s="20">
        <v>45765</v>
      </c>
      <c r="D67" t="s">
        <v>187</v>
      </c>
      <c r="E67" t="s">
        <v>188</v>
      </c>
      <c r="G67" t="s">
        <v>4429</v>
      </c>
      <c r="H67" t="s">
        <v>208</v>
      </c>
      <c r="I67" t="s">
        <v>209</v>
      </c>
      <c r="J67" s="8" t="str">
        <f>+LEFT(U67,4)</f>
        <v>ALM-</v>
      </c>
      <c r="K67" t="s">
        <v>98</v>
      </c>
      <c r="L67" s="46">
        <v>170</v>
      </c>
      <c r="M67" t="s">
        <v>186</v>
      </c>
      <c r="N67" t="s">
        <v>11</v>
      </c>
      <c r="O67" s="49">
        <v>3.1415999999999999</v>
      </c>
      <c r="P67" s="9">
        <f>ROUND(O67*L67,2)</f>
        <v>534.07000000000005</v>
      </c>
      <c r="Q67" s="10">
        <f>IF(N67="HKD",7.8,IF(N67="CNY",7.30034,1))</f>
        <v>7.3003400000000003</v>
      </c>
      <c r="R67" s="10">
        <f>+ROUND(O67/Q67,4)</f>
        <v>0.43030000000000002</v>
      </c>
      <c r="S67" s="11">
        <f>ROUND(R67*L67,2)</f>
        <v>73.150000000000006</v>
      </c>
      <c r="T67" s="10" t="s">
        <v>349</v>
      </c>
      <c r="U67" t="s">
        <v>191</v>
      </c>
    </row>
    <row r="68" spans="1:21">
      <c r="A68" t="s">
        <v>4113</v>
      </c>
      <c r="B68" s="20">
        <v>45775</v>
      </c>
      <c r="C68" s="20">
        <v>45765</v>
      </c>
      <c r="D68" t="s">
        <v>187</v>
      </c>
      <c r="E68" t="s">
        <v>188</v>
      </c>
      <c r="G68" t="s">
        <v>4429</v>
      </c>
      <c r="H68" t="s">
        <v>3694</v>
      </c>
      <c r="I68" t="s">
        <v>3695</v>
      </c>
      <c r="J68" s="8" t="str">
        <f>+LEFT(U68,4)</f>
        <v>ALM-</v>
      </c>
      <c r="K68" t="s">
        <v>98</v>
      </c>
      <c r="L68" s="46">
        <v>330</v>
      </c>
      <c r="M68" t="s">
        <v>186</v>
      </c>
      <c r="N68" t="s">
        <v>11</v>
      </c>
      <c r="O68" s="49">
        <v>3.1415999999999999</v>
      </c>
      <c r="P68" s="9">
        <f>ROUND(O68*L68,2)</f>
        <v>1036.73</v>
      </c>
      <c r="Q68" s="10">
        <f>IF(N68="HKD",7.8,IF(N68="CNY",7.30034,1))</f>
        <v>7.3003400000000003</v>
      </c>
      <c r="R68" s="10">
        <f>+ROUND(O68/Q68,4)</f>
        <v>0.43030000000000002</v>
      </c>
      <c r="S68" s="11">
        <f>ROUND(R68*L68,2)</f>
        <v>142</v>
      </c>
      <c r="T68" s="10" t="s">
        <v>349</v>
      </c>
      <c r="U68" t="s">
        <v>191</v>
      </c>
    </row>
    <row r="69" spans="1:21">
      <c r="A69" t="s">
        <v>4114</v>
      </c>
      <c r="B69" s="20">
        <v>45775</v>
      </c>
      <c r="C69" s="20">
        <v>45765</v>
      </c>
      <c r="D69" t="s">
        <v>187</v>
      </c>
      <c r="E69" t="s">
        <v>188</v>
      </c>
      <c r="G69" t="s">
        <v>4429</v>
      </c>
      <c r="H69" t="s">
        <v>3191</v>
      </c>
      <c r="I69" t="s">
        <v>3398</v>
      </c>
      <c r="J69" s="8" t="str">
        <f>+LEFT(U69,4)</f>
        <v>ALM-</v>
      </c>
      <c r="K69" t="s">
        <v>98</v>
      </c>
      <c r="L69" s="46">
        <v>380</v>
      </c>
      <c r="M69" t="s">
        <v>186</v>
      </c>
      <c r="N69" t="s">
        <v>11</v>
      </c>
      <c r="O69" s="49">
        <v>3.1415999999999999</v>
      </c>
      <c r="P69" s="9">
        <f>ROUND(O69*L69,2)</f>
        <v>1193.81</v>
      </c>
      <c r="Q69" s="10">
        <f>IF(N69="HKD",7.8,IF(N69="CNY",7.30034,1))</f>
        <v>7.3003400000000003</v>
      </c>
      <c r="R69" s="10">
        <f>+ROUND(O69/Q69,4)</f>
        <v>0.43030000000000002</v>
      </c>
      <c r="S69" s="11">
        <f>ROUND(R69*L69,2)</f>
        <v>163.51</v>
      </c>
      <c r="T69" s="10" t="s">
        <v>349</v>
      </c>
      <c r="U69" t="s">
        <v>191</v>
      </c>
    </row>
    <row r="70" spans="1:21">
      <c r="A70" t="s">
        <v>4142</v>
      </c>
      <c r="B70" s="20">
        <v>45775</v>
      </c>
      <c r="C70" s="20">
        <v>45736</v>
      </c>
      <c r="D70" t="s">
        <v>187</v>
      </c>
      <c r="E70" t="s">
        <v>188</v>
      </c>
      <c r="G70" t="s">
        <v>4429</v>
      </c>
      <c r="H70" t="s">
        <v>3190</v>
      </c>
      <c r="I70" t="s">
        <v>3397</v>
      </c>
      <c r="J70" s="8" t="str">
        <f>+LEFT(U70,4)</f>
        <v>ALM-</v>
      </c>
      <c r="K70" t="s">
        <v>98</v>
      </c>
      <c r="L70" s="46">
        <v>100</v>
      </c>
      <c r="M70" t="s">
        <v>186</v>
      </c>
      <c r="N70" t="s">
        <v>11</v>
      </c>
      <c r="O70" s="49">
        <v>3.6282999999999999</v>
      </c>
      <c r="P70" s="9">
        <f>ROUND(O70*L70,2)</f>
        <v>362.83</v>
      </c>
      <c r="Q70" s="10">
        <f>IF(N70="HKD",7.8,IF(N70="CNY",7.30034,1))</f>
        <v>7.3003400000000003</v>
      </c>
      <c r="R70" s="10">
        <f>+ROUND(O70/Q70,4)</f>
        <v>0.497</v>
      </c>
      <c r="S70" s="11">
        <f>ROUND(R70*L70,2)</f>
        <v>49.7</v>
      </c>
      <c r="T70" s="10" t="s">
        <v>349</v>
      </c>
      <c r="U70" t="s">
        <v>191</v>
      </c>
    </row>
    <row r="71" spans="1:21">
      <c r="A71" t="s">
        <v>4143</v>
      </c>
      <c r="B71" s="20">
        <v>45775</v>
      </c>
      <c r="C71" s="20">
        <v>45736</v>
      </c>
      <c r="D71" t="s">
        <v>187</v>
      </c>
      <c r="E71" t="s">
        <v>188</v>
      </c>
      <c r="G71" t="s">
        <v>4429</v>
      </c>
      <c r="H71" t="s">
        <v>3718</v>
      </c>
      <c r="I71" t="s">
        <v>3719</v>
      </c>
      <c r="J71" s="8" t="str">
        <f>+LEFT(U71,4)</f>
        <v>ALM-</v>
      </c>
      <c r="K71" t="s">
        <v>98</v>
      </c>
      <c r="L71" s="46">
        <v>50</v>
      </c>
      <c r="M71" t="s">
        <v>186</v>
      </c>
      <c r="N71" t="s">
        <v>11</v>
      </c>
      <c r="O71" s="49">
        <v>3.6282999999999999</v>
      </c>
      <c r="P71" s="9">
        <f>ROUND(O71*L71,2)</f>
        <v>181.42</v>
      </c>
      <c r="Q71" s="10">
        <f>IF(N71="HKD",7.8,IF(N71="CNY",7.30034,1))</f>
        <v>7.3003400000000003</v>
      </c>
      <c r="R71" s="10">
        <f>+ROUND(O71/Q71,4)</f>
        <v>0.497</v>
      </c>
      <c r="S71" s="11">
        <f>ROUND(R71*L71,2)</f>
        <v>24.85</v>
      </c>
      <c r="T71" s="10" t="s">
        <v>349</v>
      </c>
      <c r="U71" t="s">
        <v>191</v>
      </c>
    </row>
    <row r="72" spans="1:21">
      <c r="A72" t="s">
        <v>4149</v>
      </c>
      <c r="B72" s="20">
        <v>45775</v>
      </c>
      <c r="C72" s="20">
        <v>45757</v>
      </c>
      <c r="D72" t="s">
        <v>187</v>
      </c>
      <c r="E72" t="s">
        <v>188</v>
      </c>
      <c r="G72" t="s">
        <v>4429</v>
      </c>
      <c r="H72" t="s">
        <v>192</v>
      </c>
      <c r="I72" t="s">
        <v>193</v>
      </c>
      <c r="J72" s="8" t="str">
        <f>+LEFT(U72,4)</f>
        <v>ALM-</v>
      </c>
      <c r="K72" t="s">
        <v>98</v>
      </c>
      <c r="L72" s="46">
        <v>55</v>
      </c>
      <c r="M72" t="s">
        <v>186</v>
      </c>
      <c r="N72" t="s">
        <v>11</v>
      </c>
      <c r="O72" s="49">
        <v>3.6282999999999999</v>
      </c>
      <c r="P72" s="9">
        <f>ROUND(O72*L72,2)</f>
        <v>199.56</v>
      </c>
      <c r="Q72" s="10">
        <f>IF(N72="HKD",7.8,IF(N72="CNY",7.30034,1))</f>
        <v>7.3003400000000003</v>
      </c>
      <c r="R72" s="10">
        <f>+ROUND(O72/Q72,4)</f>
        <v>0.497</v>
      </c>
      <c r="S72" s="11">
        <f>ROUND(R72*L72,2)</f>
        <v>27.34</v>
      </c>
      <c r="T72" s="10" t="s">
        <v>349</v>
      </c>
      <c r="U72" t="s">
        <v>191</v>
      </c>
    </row>
    <row r="73" spans="1:21">
      <c r="A73" t="s">
        <v>4150</v>
      </c>
      <c r="B73" s="20">
        <v>45775</v>
      </c>
      <c r="C73" s="20">
        <v>45762</v>
      </c>
      <c r="D73" t="s">
        <v>187</v>
      </c>
      <c r="E73" t="s">
        <v>188</v>
      </c>
      <c r="G73" t="s">
        <v>4429</v>
      </c>
      <c r="H73" t="s">
        <v>3190</v>
      </c>
      <c r="I73" t="s">
        <v>3397</v>
      </c>
      <c r="J73" s="8" t="str">
        <f>+LEFT(U73,4)</f>
        <v>ALM-</v>
      </c>
      <c r="K73" t="s">
        <v>98</v>
      </c>
      <c r="L73" s="46">
        <v>60</v>
      </c>
      <c r="M73" t="s">
        <v>186</v>
      </c>
      <c r="N73" t="s">
        <v>11</v>
      </c>
      <c r="O73" s="49">
        <v>3.6282999999999999</v>
      </c>
      <c r="P73" s="9">
        <f>ROUND(O73*L73,2)</f>
        <v>217.7</v>
      </c>
      <c r="Q73" s="10">
        <f>IF(N73="HKD",7.8,IF(N73="CNY",7.30034,1))</f>
        <v>7.3003400000000003</v>
      </c>
      <c r="R73" s="10">
        <f>+ROUND(O73/Q73,4)</f>
        <v>0.497</v>
      </c>
      <c r="S73" s="11">
        <f>ROUND(R73*L73,2)</f>
        <v>29.82</v>
      </c>
      <c r="T73" s="10" t="s">
        <v>349</v>
      </c>
      <c r="U73" t="s">
        <v>191</v>
      </c>
    </row>
    <row r="74" spans="1:21">
      <c r="A74" t="s">
        <v>4151</v>
      </c>
      <c r="B74" s="20">
        <v>45775</v>
      </c>
      <c r="C74" s="20">
        <v>45765</v>
      </c>
      <c r="D74" t="s">
        <v>187</v>
      </c>
      <c r="E74" t="s">
        <v>188</v>
      </c>
      <c r="G74" t="s">
        <v>4429</v>
      </c>
      <c r="H74" t="s">
        <v>3223</v>
      </c>
      <c r="I74" t="s">
        <v>3430</v>
      </c>
      <c r="J74" s="8" t="str">
        <f>+LEFT(U74,4)</f>
        <v>ALM-</v>
      </c>
      <c r="K74" t="s">
        <v>98</v>
      </c>
      <c r="L74" s="46">
        <v>50</v>
      </c>
      <c r="M74" t="s">
        <v>186</v>
      </c>
      <c r="N74" t="s">
        <v>11</v>
      </c>
      <c r="O74" s="49">
        <v>3.6282999999999999</v>
      </c>
      <c r="P74" s="9">
        <f>ROUND(O74*L74,2)</f>
        <v>181.42</v>
      </c>
      <c r="Q74" s="10">
        <f>IF(N74="HKD",7.8,IF(N74="CNY",7.30034,1))</f>
        <v>7.3003400000000003</v>
      </c>
      <c r="R74" s="10">
        <f>+ROUND(O74/Q74,4)</f>
        <v>0.497</v>
      </c>
      <c r="S74" s="11">
        <f>ROUND(R74*L74,2)</f>
        <v>24.85</v>
      </c>
      <c r="T74" s="10" t="s">
        <v>349</v>
      </c>
      <c r="U74" t="s">
        <v>191</v>
      </c>
    </row>
    <row r="75" spans="1:21">
      <c r="A75" t="s">
        <v>3897</v>
      </c>
      <c r="B75" s="20">
        <v>45775</v>
      </c>
      <c r="C75" s="20">
        <v>45761</v>
      </c>
      <c r="D75" t="s">
        <v>806</v>
      </c>
      <c r="E75" t="s">
        <v>807</v>
      </c>
      <c r="G75" t="s">
        <v>4367</v>
      </c>
      <c r="H75" t="s">
        <v>3216</v>
      </c>
      <c r="I75" t="s">
        <v>3423</v>
      </c>
      <c r="J75" s="8" t="str">
        <f>+LEFT(U75,4)</f>
        <v>BAG-</v>
      </c>
      <c r="K75" t="s">
        <v>10</v>
      </c>
      <c r="L75" s="46">
        <v>30000</v>
      </c>
      <c r="M75" t="s">
        <v>1472</v>
      </c>
      <c r="N75" t="s">
        <v>11</v>
      </c>
      <c r="O75" s="49">
        <v>0.13</v>
      </c>
      <c r="P75" s="9">
        <f>ROUND(O75*L75,2)</f>
        <v>3900</v>
      </c>
      <c r="Q75" s="10">
        <f>IF(N75="HKD",7.8,IF(N75="CNY",7.30034,1))</f>
        <v>7.3003400000000003</v>
      </c>
      <c r="R75" s="10">
        <f>+ROUND(O75/Q75,4)</f>
        <v>1.78E-2</v>
      </c>
      <c r="S75" s="11">
        <f>ROUND(R75*L75,2)</f>
        <v>534</v>
      </c>
      <c r="T75" s="10" t="s">
        <v>349</v>
      </c>
      <c r="U75" t="s">
        <v>810</v>
      </c>
    </row>
    <row r="76" spans="1:21">
      <c r="A76" t="s">
        <v>4312</v>
      </c>
      <c r="B76" s="20">
        <v>45775</v>
      </c>
      <c r="C76" s="20">
        <v>45761</v>
      </c>
      <c r="D76" t="s">
        <v>311</v>
      </c>
      <c r="E76" t="s">
        <v>312</v>
      </c>
      <c r="G76" t="s">
        <v>4551</v>
      </c>
      <c r="H76" t="s">
        <v>3199</v>
      </c>
      <c r="I76" t="s">
        <v>3406</v>
      </c>
      <c r="J76" s="8" t="str">
        <f>+LEFT(U76,4)</f>
        <v>EXM-</v>
      </c>
      <c r="K76" t="s">
        <v>10</v>
      </c>
      <c r="L76" s="46">
        <v>25</v>
      </c>
      <c r="M76" t="s">
        <v>186</v>
      </c>
      <c r="N76" t="s">
        <v>11</v>
      </c>
      <c r="O76" s="49">
        <v>88.495599999999996</v>
      </c>
      <c r="P76" s="9">
        <f>ROUND(O76*L76,2)</f>
        <v>2212.39</v>
      </c>
      <c r="Q76" s="10">
        <f>IF(N76="HKD",7.8,IF(N76="CNY",7.30034,1))</f>
        <v>7.3003400000000003</v>
      </c>
      <c r="R76" s="10">
        <f>+ROUND(O76/Q76,4)</f>
        <v>12.1221</v>
      </c>
      <c r="S76" s="11">
        <f>ROUND(R76*L76,2)</f>
        <v>303.05</v>
      </c>
      <c r="T76" s="10" t="s">
        <v>349</v>
      </c>
      <c r="U76" t="s">
        <v>315</v>
      </c>
    </row>
    <row r="77" spans="1:21">
      <c r="A77" t="s">
        <v>3969</v>
      </c>
      <c r="B77" s="20">
        <v>45775</v>
      </c>
      <c r="C77" s="20">
        <v>45763</v>
      </c>
      <c r="D77" t="s">
        <v>651</v>
      </c>
      <c r="E77" t="s">
        <v>652</v>
      </c>
      <c r="G77" t="s">
        <v>4394</v>
      </c>
      <c r="H77" t="s">
        <v>3237</v>
      </c>
      <c r="I77" t="s">
        <v>3444</v>
      </c>
      <c r="J77" s="8" t="str">
        <f>+LEFT(U77,4)</f>
        <v>FG--</v>
      </c>
      <c r="K77" t="s">
        <v>10</v>
      </c>
      <c r="L77" s="46">
        <v>4150</v>
      </c>
      <c r="M77" t="s">
        <v>1472</v>
      </c>
      <c r="N77" t="s">
        <v>11</v>
      </c>
      <c r="O77" s="49">
        <v>0.77500000000000002</v>
      </c>
      <c r="P77" s="9">
        <f>ROUND(O77*L77,2)</f>
        <v>3216.25</v>
      </c>
      <c r="Q77" s="10">
        <f>IF(N77="HKD",7.8,IF(N77="CNY",7.30034,1))</f>
        <v>7.3003400000000003</v>
      </c>
      <c r="R77" s="10">
        <f>+ROUND(O77/Q77,4)</f>
        <v>0.1062</v>
      </c>
      <c r="S77" s="11">
        <f>ROUND(R77*L77,2)</f>
        <v>440.73</v>
      </c>
      <c r="T77" s="10" t="s">
        <v>349</v>
      </c>
      <c r="U77" t="s">
        <v>64</v>
      </c>
    </row>
    <row r="78" spans="1:21">
      <c r="A78" t="s">
        <v>4012</v>
      </c>
      <c r="B78" s="20">
        <v>45775</v>
      </c>
      <c r="C78" s="20">
        <v>45758</v>
      </c>
      <c r="D78" t="s">
        <v>651</v>
      </c>
      <c r="E78" t="s">
        <v>652</v>
      </c>
      <c r="G78" t="s">
        <v>4399</v>
      </c>
      <c r="H78" t="s">
        <v>3116</v>
      </c>
      <c r="I78" t="s">
        <v>3330</v>
      </c>
      <c r="J78" s="8" t="str">
        <f>+LEFT(U78,4)</f>
        <v>HDL-</v>
      </c>
      <c r="K78" t="s">
        <v>10</v>
      </c>
      <c r="L78" s="46">
        <v>1000</v>
      </c>
      <c r="M78" t="s">
        <v>1472</v>
      </c>
      <c r="N78" t="s">
        <v>11</v>
      </c>
      <c r="O78" s="49">
        <v>1.76</v>
      </c>
      <c r="P78" s="9">
        <f>ROUND(O78*L78,2)</f>
        <v>1760</v>
      </c>
      <c r="Q78" s="10">
        <f>IF(N78="HKD",7.8,IF(N78="CNY",7.30034,1))</f>
        <v>7.3003400000000003</v>
      </c>
      <c r="R78" s="10">
        <f>+ROUND(O78/Q78,4)</f>
        <v>0.24110000000000001</v>
      </c>
      <c r="S78" s="11">
        <f>ROUND(R78*L78,2)</f>
        <v>241.1</v>
      </c>
      <c r="T78" s="10" t="s">
        <v>349</v>
      </c>
      <c r="U78" t="s">
        <v>228</v>
      </c>
    </row>
    <row r="79" spans="1:21">
      <c r="A79" t="s">
        <v>4270</v>
      </c>
      <c r="B79" s="20">
        <v>45775</v>
      </c>
      <c r="C79" s="20">
        <v>45727</v>
      </c>
      <c r="D79" t="s">
        <v>2257</v>
      </c>
      <c r="E79" t="s">
        <v>2258</v>
      </c>
      <c r="G79" t="s">
        <v>4534</v>
      </c>
      <c r="H79" t="s">
        <v>3150</v>
      </c>
      <c r="I79" t="s">
        <v>3360</v>
      </c>
      <c r="J79" s="8" t="str">
        <f>+LEFT(U79,4)</f>
        <v>HDL-</v>
      </c>
      <c r="K79" t="s">
        <v>10</v>
      </c>
      <c r="L79" s="46">
        <v>3200</v>
      </c>
      <c r="M79" t="s">
        <v>1472</v>
      </c>
      <c r="N79" t="s">
        <v>11</v>
      </c>
      <c r="O79" s="49">
        <v>8.5710999999999995</v>
      </c>
      <c r="P79" s="9">
        <f>ROUND(O79*L79,2)</f>
        <v>27427.52</v>
      </c>
      <c r="Q79" s="10">
        <f>IF(N79="HKD",7.8,IF(N79="CNY",7.30034,1))</f>
        <v>7.3003400000000003</v>
      </c>
      <c r="R79" s="10">
        <f>+ROUND(O79/Q79,4)</f>
        <v>1.1740999999999999</v>
      </c>
      <c r="S79" s="11">
        <f>ROUND(R79*L79,2)</f>
        <v>3757.12</v>
      </c>
      <c r="T79" s="10" t="s">
        <v>349</v>
      </c>
      <c r="U79" t="s">
        <v>228</v>
      </c>
    </row>
    <row r="80" spans="1:21">
      <c r="A80" t="s">
        <v>3978</v>
      </c>
      <c r="B80" s="20">
        <v>45775</v>
      </c>
      <c r="C80" s="20">
        <v>45744</v>
      </c>
      <c r="D80" t="s">
        <v>651</v>
      </c>
      <c r="E80" t="s">
        <v>652</v>
      </c>
      <c r="G80" t="s">
        <v>4399</v>
      </c>
      <c r="H80" t="s">
        <v>3593</v>
      </c>
      <c r="I80" t="s">
        <v>3594</v>
      </c>
      <c r="J80" s="8" t="str">
        <f>+LEFT(U80,4)</f>
        <v>KNOB</v>
      </c>
      <c r="K80" t="s">
        <v>10</v>
      </c>
      <c r="L80" s="46">
        <v>1550</v>
      </c>
      <c r="M80" t="s">
        <v>1472</v>
      </c>
      <c r="N80" t="s">
        <v>11</v>
      </c>
      <c r="O80" s="49">
        <v>0.90800000000000003</v>
      </c>
      <c r="P80" s="9">
        <f>ROUND(O80*L80,2)</f>
        <v>1407.4</v>
      </c>
      <c r="Q80" s="10">
        <f>IF(N80="HKD",7.8,IF(N80="CNY",7.30034,1))</f>
        <v>7.3003400000000003</v>
      </c>
      <c r="R80" s="10">
        <f>+ROUND(O80/Q80,4)</f>
        <v>0.1244</v>
      </c>
      <c r="S80" s="11">
        <f>ROUND(R80*L80,2)</f>
        <v>192.82</v>
      </c>
      <c r="T80" s="10" t="s">
        <v>349</v>
      </c>
      <c r="U80" t="s">
        <v>32</v>
      </c>
    </row>
    <row r="81" spans="1:21">
      <c r="A81" t="s">
        <v>4187</v>
      </c>
      <c r="B81" s="20">
        <v>45775</v>
      </c>
      <c r="C81" s="20">
        <v>45695</v>
      </c>
      <c r="D81" t="s">
        <v>651</v>
      </c>
      <c r="E81" t="s">
        <v>652</v>
      </c>
      <c r="G81" t="s">
        <v>4399</v>
      </c>
      <c r="H81" t="s">
        <v>1760</v>
      </c>
      <c r="I81" t="s">
        <v>1761</v>
      </c>
      <c r="J81" s="8" t="str">
        <f>+LEFT(U81,4)</f>
        <v>KNOB</v>
      </c>
      <c r="K81" t="s">
        <v>10</v>
      </c>
      <c r="L81" s="46">
        <v>6200</v>
      </c>
      <c r="M81" t="s">
        <v>1472</v>
      </c>
      <c r="N81" t="s">
        <v>11</v>
      </c>
      <c r="O81" s="49">
        <v>4.4320000000000004</v>
      </c>
      <c r="P81" s="9">
        <f>ROUND(O81*L81,2)</f>
        <v>27478.400000000001</v>
      </c>
      <c r="Q81" s="10">
        <f>IF(N81="HKD",7.8,IF(N81="CNY",7.30034,1))</f>
        <v>7.3003400000000003</v>
      </c>
      <c r="R81" s="10">
        <f>+ROUND(O81/Q81,4)</f>
        <v>0.60709999999999997</v>
      </c>
      <c r="S81" s="11">
        <f>ROUND(R81*L81,2)</f>
        <v>3764.02</v>
      </c>
      <c r="T81" s="10" t="s">
        <v>349</v>
      </c>
      <c r="U81" t="s">
        <v>32</v>
      </c>
    </row>
    <row r="82" spans="1:21">
      <c r="A82" t="s">
        <v>4121</v>
      </c>
      <c r="B82" s="20">
        <v>45775</v>
      </c>
      <c r="C82" s="20">
        <v>45734</v>
      </c>
      <c r="D82" t="s">
        <v>94</v>
      </c>
      <c r="E82" t="s">
        <v>95</v>
      </c>
      <c r="G82" t="s">
        <v>4434</v>
      </c>
      <c r="H82" t="s">
        <v>1728</v>
      </c>
      <c r="I82" t="s">
        <v>1729</v>
      </c>
      <c r="J82" s="8" t="str">
        <f>+LEFT(U82,4)</f>
        <v>LID-</v>
      </c>
      <c r="K82" t="s">
        <v>98</v>
      </c>
      <c r="L82" s="46">
        <v>736</v>
      </c>
      <c r="M82" t="s">
        <v>1472</v>
      </c>
      <c r="N82" t="s">
        <v>11</v>
      </c>
      <c r="O82" s="49">
        <v>3.3</v>
      </c>
      <c r="P82" s="9">
        <f>ROUND(O82*L82,2)</f>
        <v>2428.8000000000002</v>
      </c>
      <c r="Q82" s="10">
        <f>IF(N82="HKD",7.8,IF(N82="CNY",7.30034,1))</f>
        <v>7.3003400000000003</v>
      </c>
      <c r="R82" s="10">
        <f>+ROUND(O82/Q82,4)</f>
        <v>0.45200000000000001</v>
      </c>
      <c r="S82" s="11">
        <f>ROUND(R82*L82,2)</f>
        <v>332.67</v>
      </c>
      <c r="T82" s="10" t="s">
        <v>349</v>
      </c>
      <c r="U82" t="s">
        <v>368</v>
      </c>
    </row>
    <row r="83" spans="1:21">
      <c r="A83" t="s">
        <v>4123</v>
      </c>
      <c r="B83" s="20">
        <v>45775</v>
      </c>
      <c r="C83" s="20">
        <v>45721</v>
      </c>
      <c r="D83" t="s">
        <v>94</v>
      </c>
      <c r="E83" t="s">
        <v>95</v>
      </c>
      <c r="G83" t="s">
        <v>4434</v>
      </c>
      <c r="H83" t="s">
        <v>364</v>
      </c>
      <c r="I83" t="s">
        <v>365</v>
      </c>
      <c r="J83" s="8" t="str">
        <f>+LEFT(U83,4)</f>
        <v>LID-</v>
      </c>
      <c r="K83" t="s">
        <v>369</v>
      </c>
      <c r="L83" s="46">
        <v>2050</v>
      </c>
      <c r="M83" t="s">
        <v>1472</v>
      </c>
      <c r="N83" t="s">
        <v>11</v>
      </c>
      <c r="O83" s="49">
        <v>3.32</v>
      </c>
      <c r="P83" s="9">
        <f>ROUND(O83*L83,2)</f>
        <v>6806</v>
      </c>
      <c r="Q83" s="10">
        <f>IF(N83="HKD",7.8,IF(N83="CNY",7.30034,1))</f>
        <v>7.3003400000000003</v>
      </c>
      <c r="R83" s="10">
        <f>+ROUND(O83/Q83,4)</f>
        <v>0.45479999999999998</v>
      </c>
      <c r="S83" s="11">
        <f>ROUND(R83*L83,2)</f>
        <v>932.34</v>
      </c>
      <c r="T83" s="10" t="s">
        <v>349</v>
      </c>
      <c r="U83" t="s">
        <v>368</v>
      </c>
    </row>
    <row r="84" spans="1:21">
      <c r="A84" t="s">
        <v>4137</v>
      </c>
      <c r="B84" s="20">
        <v>45775</v>
      </c>
      <c r="C84" s="20">
        <v>45700</v>
      </c>
      <c r="D84" t="s">
        <v>94</v>
      </c>
      <c r="E84" t="s">
        <v>95</v>
      </c>
      <c r="G84" t="s">
        <v>4434</v>
      </c>
      <c r="H84" t="s">
        <v>1734</v>
      </c>
      <c r="I84" t="s">
        <v>1735</v>
      </c>
      <c r="J84" s="8" t="str">
        <f>+LEFT(U84,4)</f>
        <v>LID-</v>
      </c>
      <c r="K84" t="s">
        <v>369</v>
      </c>
      <c r="L84" s="46">
        <v>1149</v>
      </c>
      <c r="M84" t="s">
        <v>1472</v>
      </c>
      <c r="N84" t="s">
        <v>11</v>
      </c>
      <c r="O84" s="49">
        <v>3.53</v>
      </c>
      <c r="P84" s="9">
        <f>ROUND(O84*L84,2)</f>
        <v>4055.97</v>
      </c>
      <c r="Q84" s="10">
        <f>IF(N84="HKD",7.8,IF(N84="CNY",7.30034,1))</f>
        <v>7.3003400000000003</v>
      </c>
      <c r="R84" s="10">
        <f>+ROUND(O84/Q84,4)</f>
        <v>0.48349999999999999</v>
      </c>
      <c r="S84" s="11">
        <f>ROUND(R84*L84,2)</f>
        <v>555.54</v>
      </c>
      <c r="T84" s="10" t="s">
        <v>349</v>
      </c>
      <c r="U84" t="s">
        <v>368</v>
      </c>
    </row>
    <row r="85" spans="1:21">
      <c r="A85" t="s">
        <v>4154</v>
      </c>
      <c r="B85" s="20">
        <v>45775</v>
      </c>
      <c r="C85" s="20">
        <v>45775</v>
      </c>
      <c r="D85" t="s">
        <v>94</v>
      </c>
      <c r="E85" t="s">
        <v>95</v>
      </c>
      <c r="G85" t="s">
        <v>4434</v>
      </c>
      <c r="H85" t="s">
        <v>997</v>
      </c>
      <c r="I85" t="s">
        <v>998</v>
      </c>
      <c r="J85" s="8" t="str">
        <f>+LEFT(U85,4)</f>
        <v>LID-</v>
      </c>
      <c r="K85" t="s">
        <v>369</v>
      </c>
      <c r="L85" s="46">
        <v>369</v>
      </c>
      <c r="M85" t="s">
        <v>1472</v>
      </c>
      <c r="N85" t="s">
        <v>11</v>
      </c>
      <c r="O85" s="49">
        <v>3.64</v>
      </c>
      <c r="P85" s="9">
        <f>ROUND(O85*L85,2)</f>
        <v>1343.16</v>
      </c>
      <c r="Q85" s="10">
        <f>IF(N85="HKD",7.8,IF(N85="CNY",7.30034,1))</f>
        <v>7.3003400000000003</v>
      </c>
      <c r="R85" s="10">
        <f>+ROUND(O85/Q85,4)</f>
        <v>0.49859999999999999</v>
      </c>
      <c r="S85" s="11">
        <f>ROUND(R85*L85,2)</f>
        <v>183.98</v>
      </c>
      <c r="T85" s="10" t="s">
        <v>349</v>
      </c>
      <c r="U85" t="s">
        <v>368</v>
      </c>
    </row>
    <row r="86" spans="1:21">
      <c r="A86" t="s">
        <v>4177</v>
      </c>
      <c r="B86" s="20">
        <v>45775</v>
      </c>
      <c r="C86" s="20">
        <v>45714</v>
      </c>
      <c r="D86" t="s">
        <v>830</v>
      </c>
      <c r="E86" t="s">
        <v>831</v>
      </c>
      <c r="G86" t="s">
        <v>4474</v>
      </c>
      <c r="H86" t="s">
        <v>3166</v>
      </c>
      <c r="I86" t="s">
        <v>3376</v>
      </c>
      <c r="J86" s="8" t="str">
        <f>+LEFT(U86,4)</f>
        <v>LID-</v>
      </c>
      <c r="K86" t="s">
        <v>98</v>
      </c>
      <c r="L86" s="46">
        <v>3000</v>
      </c>
      <c r="M86" t="s">
        <v>1472</v>
      </c>
      <c r="N86" t="s">
        <v>11</v>
      </c>
      <c r="O86" s="49">
        <v>4.2</v>
      </c>
      <c r="P86" s="9">
        <f>ROUND(O86*L86,2)</f>
        <v>12600</v>
      </c>
      <c r="Q86" s="10">
        <f>IF(N86="HKD",7.8,IF(N86="CNY",7.30034,1))</f>
        <v>7.3003400000000003</v>
      </c>
      <c r="R86" s="10">
        <f>+ROUND(O86/Q86,4)</f>
        <v>0.57530000000000003</v>
      </c>
      <c r="S86" s="11">
        <f>ROUND(R86*L86,2)</f>
        <v>1725.9</v>
      </c>
      <c r="T86" s="10" t="s">
        <v>349</v>
      </c>
      <c r="U86" t="s">
        <v>368</v>
      </c>
    </row>
    <row r="87" spans="1:21">
      <c r="A87" t="s">
        <v>4181</v>
      </c>
      <c r="B87" s="20">
        <v>45775</v>
      </c>
      <c r="C87" s="20">
        <v>45714</v>
      </c>
      <c r="D87" t="s">
        <v>94</v>
      </c>
      <c r="E87" t="s">
        <v>95</v>
      </c>
      <c r="G87" t="s">
        <v>4487</v>
      </c>
      <c r="H87" t="s">
        <v>3164</v>
      </c>
      <c r="I87" t="s">
        <v>3374</v>
      </c>
      <c r="J87" s="8" t="str">
        <f>+LEFT(U87,4)</f>
        <v>LID-</v>
      </c>
      <c r="K87" t="s">
        <v>98</v>
      </c>
      <c r="L87" s="46">
        <v>2160</v>
      </c>
      <c r="M87" t="s">
        <v>1472</v>
      </c>
      <c r="N87" t="s">
        <v>11</v>
      </c>
      <c r="O87" s="49">
        <v>4.26</v>
      </c>
      <c r="P87" s="9">
        <f>ROUND(O87*L87,2)</f>
        <v>9201.6</v>
      </c>
      <c r="Q87" s="10">
        <f>IF(N87="HKD",7.8,IF(N87="CNY",7.30034,1))</f>
        <v>7.3003400000000003</v>
      </c>
      <c r="R87" s="10">
        <f>+ROUND(O87/Q87,4)</f>
        <v>0.58350000000000002</v>
      </c>
      <c r="S87" s="11">
        <f>ROUND(R87*L87,2)</f>
        <v>1260.3599999999999</v>
      </c>
      <c r="T87" s="10" t="s">
        <v>349</v>
      </c>
      <c r="U87" t="s">
        <v>368</v>
      </c>
    </row>
    <row r="88" spans="1:21">
      <c r="A88" t="s">
        <v>3863</v>
      </c>
      <c r="B88" s="20">
        <v>45775</v>
      </c>
      <c r="C88" s="20">
        <v>45737</v>
      </c>
      <c r="D88" t="s">
        <v>128</v>
      </c>
      <c r="E88" t="s">
        <v>129</v>
      </c>
      <c r="G88" t="s">
        <v>4352</v>
      </c>
      <c r="H88" t="s">
        <v>3090</v>
      </c>
      <c r="I88" t="s">
        <v>3306</v>
      </c>
      <c r="J88" s="8" t="str">
        <f>+LEFT(U88,4)</f>
        <v>RIV-</v>
      </c>
      <c r="K88" t="s">
        <v>10</v>
      </c>
      <c r="L88" s="46">
        <v>7200</v>
      </c>
      <c r="M88" t="s">
        <v>1472</v>
      </c>
      <c r="N88" t="s">
        <v>11</v>
      </c>
      <c r="O88" s="49">
        <v>6.2199999999999998E-2</v>
      </c>
      <c r="P88" s="9">
        <f>ROUND(O88*L88,2)</f>
        <v>447.84</v>
      </c>
      <c r="Q88" s="10">
        <f>IF(N88="HKD",7.8,IF(N88="CNY",7.30034,1))</f>
        <v>7.3003400000000003</v>
      </c>
      <c r="R88" s="10">
        <f>+ROUND(O88/Q88,4)</f>
        <v>8.5000000000000006E-3</v>
      </c>
      <c r="S88" s="11">
        <f>ROUND(R88*L88,2)</f>
        <v>61.2</v>
      </c>
      <c r="T88" s="10" t="s">
        <v>349</v>
      </c>
      <c r="U88" t="s">
        <v>132</v>
      </c>
    </row>
    <row r="89" spans="1:21">
      <c r="A89" t="s">
        <v>3868</v>
      </c>
      <c r="B89" s="20">
        <v>45775</v>
      </c>
      <c r="C89" s="20">
        <v>45769</v>
      </c>
      <c r="D89" t="s">
        <v>162</v>
      </c>
      <c r="E89" t="s">
        <v>163</v>
      </c>
      <c r="G89" t="s">
        <v>4356</v>
      </c>
      <c r="H89" t="s">
        <v>592</v>
      </c>
      <c r="I89" t="s">
        <v>593</v>
      </c>
      <c r="J89" s="8" t="str">
        <f>+LEFT(U89,4)</f>
        <v>SCR-</v>
      </c>
      <c r="K89" t="s">
        <v>10</v>
      </c>
      <c r="L89" s="46">
        <v>3800</v>
      </c>
      <c r="M89" t="s">
        <v>1472</v>
      </c>
      <c r="N89" t="s">
        <v>11</v>
      </c>
      <c r="O89" s="49">
        <v>7.0000000000000007E-2</v>
      </c>
      <c r="P89" s="9">
        <f>ROUND(O89*L89,2)</f>
        <v>266</v>
      </c>
      <c r="Q89" s="10">
        <f>IF(N89="HKD",7.8,IF(N89="CNY",7.30034,1))</f>
        <v>7.3003400000000003</v>
      </c>
      <c r="R89" s="10">
        <f>+ROUND(O89/Q89,4)</f>
        <v>9.5999999999999992E-3</v>
      </c>
      <c r="S89" s="11">
        <f>ROUND(R89*L89,2)</f>
        <v>36.479999999999997</v>
      </c>
      <c r="T89" s="10" t="s">
        <v>349</v>
      </c>
      <c r="U89" t="s">
        <v>166</v>
      </c>
    </row>
    <row r="90" spans="1:21">
      <c r="A90" t="s">
        <v>4002</v>
      </c>
      <c r="B90" s="20">
        <v>45775</v>
      </c>
      <c r="C90" s="20">
        <v>45744</v>
      </c>
      <c r="D90" t="s">
        <v>651</v>
      </c>
      <c r="E90" t="s">
        <v>652</v>
      </c>
      <c r="G90" t="s">
        <v>4399</v>
      </c>
      <c r="H90" t="s">
        <v>3605</v>
      </c>
      <c r="I90" t="s">
        <v>3606</v>
      </c>
      <c r="J90" s="8" t="str">
        <f>+LEFT(U90,4)</f>
        <v>SHDL</v>
      </c>
      <c r="K90" t="s">
        <v>10</v>
      </c>
      <c r="L90" s="46">
        <v>2020</v>
      </c>
      <c r="M90" t="s">
        <v>1472</v>
      </c>
      <c r="N90" t="s">
        <v>11</v>
      </c>
      <c r="O90" s="49">
        <v>1.4357</v>
      </c>
      <c r="P90" s="9">
        <f>ROUND(O90*L90,2)</f>
        <v>2900.11</v>
      </c>
      <c r="Q90" s="10">
        <f>IF(N90="HKD",7.8,IF(N90="CNY",7.30034,1))</f>
        <v>7.3003400000000003</v>
      </c>
      <c r="R90" s="10">
        <f>+ROUND(O90/Q90,4)</f>
        <v>0.19670000000000001</v>
      </c>
      <c r="S90" s="11">
        <f>ROUND(R90*L90,2)</f>
        <v>397.33</v>
      </c>
      <c r="T90" s="10" t="s">
        <v>349</v>
      </c>
      <c r="U90" t="s">
        <v>722</v>
      </c>
    </row>
    <row r="91" spans="1:21">
      <c r="A91" t="s">
        <v>3871</v>
      </c>
      <c r="B91" s="20">
        <v>45772</v>
      </c>
      <c r="C91" s="20">
        <v>45755</v>
      </c>
      <c r="D91" t="s">
        <v>806</v>
      </c>
      <c r="E91" t="s">
        <v>807</v>
      </c>
      <c r="G91" t="s">
        <v>4358</v>
      </c>
      <c r="H91" t="s">
        <v>3520</v>
      </c>
      <c r="I91" t="s">
        <v>3521</v>
      </c>
      <c r="J91" s="8" t="str">
        <f>+LEFT(U91,4)</f>
        <v>BAG-</v>
      </c>
      <c r="K91" t="s">
        <v>10</v>
      </c>
      <c r="L91" s="46">
        <v>5000</v>
      </c>
      <c r="M91" t="s">
        <v>1472</v>
      </c>
      <c r="N91" t="s">
        <v>11</v>
      </c>
      <c r="O91" s="49">
        <v>7.4999999999999997E-2</v>
      </c>
      <c r="P91" s="9">
        <f>ROUND(O91*L91,2)</f>
        <v>375</v>
      </c>
      <c r="Q91" s="10">
        <f>IF(N91="HKD",7.8,IF(N91="CNY",7.30034,1))</f>
        <v>7.3003400000000003</v>
      </c>
      <c r="R91" s="10">
        <f>+ROUND(O91/Q91,4)</f>
        <v>1.03E-2</v>
      </c>
      <c r="S91" s="11">
        <f>ROUND(R91*L91,2)</f>
        <v>51.5</v>
      </c>
      <c r="T91" s="10" t="s">
        <v>349</v>
      </c>
      <c r="U91" t="s">
        <v>810</v>
      </c>
    </row>
    <row r="92" spans="1:21">
      <c r="A92" t="s">
        <v>3876</v>
      </c>
      <c r="B92" s="20">
        <v>45772</v>
      </c>
      <c r="C92" s="20">
        <v>45755</v>
      </c>
      <c r="D92" t="s">
        <v>806</v>
      </c>
      <c r="E92" t="s">
        <v>807</v>
      </c>
      <c r="G92" t="s">
        <v>4358</v>
      </c>
      <c r="H92" t="s">
        <v>3214</v>
      </c>
      <c r="I92" t="s">
        <v>3421</v>
      </c>
      <c r="J92" s="8" t="str">
        <f>+LEFT(U92,4)</f>
        <v>BAG-</v>
      </c>
      <c r="K92" t="s">
        <v>10</v>
      </c>
      <c r="L92" s="46">
        <v>10000</v>
      </c>
      <c r="M92" t="s">
        <v>1472</v>
      </c>
      <c r="N92" t="s">
        <v>11</v>
      </c>
      <c r="O92" s="49">
        <v>8.7999999999999995E-2</v>
      </c>
      <c r="P92" s="9">
        <f>ROUND(O92*L92,2)</f>
        <v>880</v>
      </c>
      <c r="Q92" s="10">
        <f>IF(N92="HKD",7.8,IF(N92="CNY",7.30034,1))</f>
        <v>7.3003400000000003</v>
      </c>
      <c r="R92" s="10">
        <f>+ROUND(O92/Q92,4)</f>
        <v>1.21E-2</v>
      </c>
      <c r="S92" s="11">
        <f>ROUND(R92*L92,2)</f>
        <v>121</v>
      </c>
      <c r="T92" s="10" t="s">
        <v>349</v>
      </c>
      <c r="U92" t="s">
        <v>810</v>
      </c>
    </row>
    <row r="93" spans="1:21">
      <c r="A93" t="s">
        <v>3877</v>
      </c>
      <c r="B93" s="20">
        <v>45772</v>
      </c>
      <c r="C93" s="20">
        <v>45761</v>
      </c>
      <c r="D93" t="s">
        <v>806</v>
      </c>
      <c r="E93" t="s">
        <v>807</v>
      </c>
      <c r="G93" t="s">
        <v>4358</v>
      </c>
      <c r="H93" t="s">
        <v>3214</v>
      </c>
      <c r="I93" t="s">
        <v>3421</v>
      </c>
      <c r="J93" s="8" t="str">
        <f>+LEFT(U93,4)</f>
        <v>BAG-</v>
      </c>
      <c r="K93" t="s">
        <v>10</v>
      </c>
      <c r="L93" s="46">
        <v>20000</v>
      </c>
      <c r="M93" t="s">
        <v>1472</v>
      </c>
      <c r="N93" t="s">
        <v>11</v>
      </c>
      <c r="O93" s="49">
        <v>8.7999999999999995E-2</v>
      </c>
      <c r="P93" s="9">
        <f>ROUND(O93*L93,2)</f>
        <v>1760</v>
      </c>
      <c r="Q93" s="10">
        <f>IF(N93="HKD",7.8,IF(N93="CNY",7.30034,1))</f>
        <v>7.3003400000000003</v>
      </c>
      <c r="R93" s="10">
        <f>+ROUND(O93/Q93,4)</f>
        <v>1.21E-2</v>
      </c>
      <c r="S93" s="11">
        <f>ROUND(R93*L93,2)</f>
        <v>242</v>
      </c>
      <c r="T93" s="10" t="s">
        <v>349</v>
      </c>
      <c r="U93" t="s">
        <v>810</v>
      </c>
    </row>
    <row r="94" spans="1:21">
      <c r="A94" t="s">
        <v>3883</v>
      </c>
      <c r="B94" s="20">
        <v>45772</v>
      </c>
      <c r="C94" s="20">
        <v>45761</v>
      </c>
      <c r="D94" t="s">
        <v>806</v>
      </c>
      <c r="E94" t="s">
        <v>807</v>
      </c>
      <c r="G94" t="s">
        <v>4358</v>
      </c>
      <c r="H94" t="s">
        <v>3215</v>
      </c>
      <c r="I94" t="s">
        <v>3422</v>
      </c>
      <c r="J94" s="8" t="str">
        <f>+LEFT(U94,4)</f>
        <v>BAG-</v>
      </c>
      <c r="K94" t="s">
        <v>10</v>
      </c>
      <c r="L94" s="46">
        <v>18900</v>
      </c>
      <c r="M94" t="s">
        <v>1472</v>
      </c>
      <c r="N94" t="s">
        <v>11</v>
      </c>
      <c r="O94" s="49">
        <v>0.1</v>
      </c>
      <c r="P94" s="9">
        <f>ROUND(O94*L94,2)</f>
        <v>1890</v>
      </c>
      <c r="Q94" s="10">
        <f>IF(N94="HKD",7.8,IF(N94="CNY",7.30034,1))</f>
        <v>7.3003400000000003</v>
      </c>
      <c r="R94" s="10">
        <f>+ROUND(O94/Q94,4)</f>
        <v>1.37E-2</v>
      </c>
      <c r="S94" s="11">
        <f>ROUND(R94*L94,2)</f>
        <v>258.93</v>
      </c>
      <c r="T94" s="10" t="s">
        <v>349</v>
      </c>
      <c r="U94" t="s">
        <v>810</v>
      </c>
    </row>
    <row r="95" spans="1:21">
      <c r="A95" t="s">
        <v>3901</v>
      </c>
      <c r="B95" s="20">
        <v>45772</v>
      </c>
      <c r="C95" s="20">
        <v>45742</v>
      </c>
      <c r="D95" t="s">
        <v>806</v>
      </c>
      <c r="E95" t="s">
        <v>807</v>
      </c>
      <c r="G95" t="s">
        <v>4358</v>
      </c>
      <c r="H95" t="s">
        <v>3217</v>
      </c>
      <c r="I95" t="s">
        <v>3424</v>
      </c>
      <c r="J95" s="8" t="str">
        <f>+LEFT(U95,4)</f>
        <v>BAG-</v>
      </c>
      <c r="K95" t="s">
        <v>10</v>
      </c>
      <c r="L95" s="46">
        <v>500</v>
      </c>
      <c r="M95" t="s">
        <v>1472</v>
      </c>
      <c r="N95" t="s">
        <v>11</v>
      </c>
      <c r="O95" s="49">
        <v>0.14000000000000001</v>
      </c>
      <c r="P95" s="9">
        <f>ROUND(O95*L95,2)</f>
        <v>70</v>
      </c>
      <c r="Q95" s="10">
        <f>IF(N95="HKD",7.8,IF(N95="CNY",7.30034,1))</f>
        <v>7.3003400000000003</v>
      </c>
      <c r="R95" s="10">
        <f>+ROUND(O95/Q95,4)</f>
        <v>1.9199999999999998E-2</v>
      </c>
      <c r="S95" s="11">
        <f>ROUND(R95*L95,2)</f>
        <v>9.6</v>
      </c>
      <c r="T95" s="10" t="s">
        <v>349</v>
      </c>
      <c r="U95" t="s">
        <v>810</v>
      </c>
    </row>
    <row r="96" spans="1:21">
      <c r="A96" t="s">
        <v>3902</v>
      </c>
      <c r="B96" s="20">
        <v>45772</v>
      </c>
      <c r="C96" s="20">
        <v>45755</v>
      </c>
      <c r="D96" t="s">
        <v>806</v>
      </c>
      <c r="E96" t="s">
        <v>807</v>
      </c>
      <c r="G96" t="s">
        <v>4358</v>
      </c>
      <c r="H96" t="s">
        <v>3217</v>
      </c>
      <c r="I96" t="s">
        <v>3424</v>
      </c>
      <c r="J96" s="8" t="str">
        <f>+LEFT(U96,4)</f>
        <v>BAG-</v>
      </c>
      <c r="K96" t="s">
        <v>10</v>
      </c>
      <c r="L96" s="46">
        <v>10000</v>
      </c>
      <c r="M96" t="s">
        <v>1472</v>
      </c>
      <c r="N96" t="s">
        <v>11</v>
      </c>
      <c r="O96" s="49">
        <v>0.14000000000000001</v>
      </c>
      <c r="P96" s="9">
        <f>ROUND(O96*L96,2)</f>
        <v>1400</v>
      </c>
      <c r="Q96" s="10">
        <f>IF(N96="HKD",7.8,IF(N96="CNY",7.30034,1))</f>
        <v>7.3003400000000003</v>
      </c>
      <c r="R96" s="10">
        <f>+ROUND(O96/Q96,4)</f>
        <v>1.9199999999999998E-2</v>
      </c>
      <c r="S96" s="11">
        <f>ROUND(R96*L96,2)</f>
        <v>192</v>
      </c>
      <c r="T96" s="10" t="s">
        <v>349</v>
      </c>
      <c r="U96" t="s">
        <v>810</v>
      </c>
    </row>
    <row r="97" spans="1:21">
      <c r="A97" t="s">
        <v>3920</v>
      </c>
      <c r="B97" s="20">
        <v>45772</v>
      </c>
      <c r="C97" s="20">
        <v>45748</v>
      </c>
      <c r="D97" t="s">
        <v>806</v>
      </c>
      <c r="E97" t="s">
        <v>807</v>
      </c>
      <c r="G97" t="s">
        <v>4358</v>
      </c>
      <c r="H97" t="s">
        <v>3248</v>
      </c>
      <c r="I97" t="s">
        <v>3455</v>
      </c>
      <c r="J97" s="8" t="str">
        <f>+LEFT(U97,4)</f>
        <v>BAG-</v>
      </c>
      <c r="K97" t="s">
        <v>10</v>
      </c>
      <c r="L97" s="46">
        <v>400</v>
      </c>
      <c r="M97" t="s">
        <v>1472</v>
      </c>
      <c r="N97" t="s">
        <v>11</v>
      </c>
      <c r="O97" s="49">
        <v>0.185</v>
      </c>
      <c r="P97" s="9">
        <f>ROUND(O97*L97,2)</f>
        <v>74</v>
      </c>
      <c r="Q97" s="10">
        <f>IF(N97="HKD",7.8,IF(N97="CNY",7.30034,1))</f>
        <v>7.3003400000000003</v>
      </c>
      <c r="R97" s="10">
        <f>+ROUND(O97/Q97,4)</f>
        <v>2.53E-2</v>
      </c>
      <c r="S97" s="11">
        <f>ROUND(R97*L97,2)</f>
        <v>10.119999999999999</v>
      </c>
      <c r="T97" s="10" t="s">
        <v>349</v>
      </c>
      <c r="U97" t="s">
        <v>810</v>
      </c>
    </row>
    <row r="98" spans="1:21">
      <c r="A98" t="s">
        <v>3934</v>
      </c>
      <c r="B98" s="20">
        <v>45772</v>
      </c>
      <c r="C98" s="20">
        <v>45755</v>
      </c>
      <c r="D98" t="s">
        <v>806</v>
      </c>
      <c r="E98" t="s">
        <v>807</v>
      </c>
      <c r="G98" t="s">
        <v>4358</v>
      </c>
      <c r="H98" t="s">
        <v>3556</v>
      </c>
      <c r="I98" t="s">
        <v>3557</v>
      </c>
      <c r="J98" s="8" t="str">
        <f>+LEFT(U98,4)</f>
        <v>BAG-</v>
      </c>
      <c r="K98" t="s">
        <v>10</v>
      </c>
      <c r="L98" s="46">
        <v>5000</v>
      </c>
      <c r="M98" t="s">
        <v>1472</v>
      </c>
      <c r="N98" t="s">
        <v>11</v>
      </c>
      <c r="O98" s="49">
        <v>0.23699999999999999</v>
      </c>
      <c r="P98" s="9">
        <f>ROUND(O98*L98,2)</f>
        <v>1185</v>
      </c>
      <c r="Q98" s="10">
        <f>IF(N98="HKD",7.8,IF(N98="CNY",7.30034,1))</f>
        <v>7.3003400000000003</v>
      </c>
      <c r="R98" s="10">
        <f>+ROUND(O98/Q98,4)</f>
        <v>3.2500000000000001E-2</v>
      </c>
      <c r="S98" s="11">
        <f>ROUND(R98*L98,2)</f>
        <v>162.5</v>
      </c>
      <c r="T98" s="10" t="s">
        <v>349</v>
      </c>
      <c r="U98" t="s">
        <v>810</v>
      </c>
    </row>
    <row r="99" spans="1:21">
      <c r="A99" t="s">
        <v>3940</v>
      </c>
      <c r="B99" s="20">
        <v>45772</v>
      </c>
      <c r="C99" s="20">
        <v>45755</v>
      </c>
      <c r="D99" t="s">
        <v>806</v>
      </c>
      <c r="E99" t="s">
        <v>807</v>
      </c>
      <c r="G99" t="s">
        <v>4358</v>
      </c>
      <c r="H99" t="s">
        <v>3562</v>
      </c>
      <c r="I99" t="s">
        <v>3563</v>
      </c>
      <c r="J99" s="8" t="str">
        <f>+LEFT(U99,4)</f>
        <v>BAG-</v>
      </c>
      <c r="K99" t="s">
        <v>10</v>
      </c>
      <c r="L99" s="46">
        <v>1270</v>
      </c>
      <c r="M99" t="s">
        <v>1472</v>
      </c>
      <c r="N99" t="s">
        <v>11</v>
      </c>
      <c r="O99" s="49">
        <v>0.26</v>
      </c>
      <c r="P99" s="9">
        <f>ROUND(O99*L99,2)</f>
        <v>330.2</v>
      </c>
      <c r="Q99" s="10">
        <f>IF(N99="HKD",7.8,IF(N99="CNY",7.30034,1))</f>
        <v>7.3003400000000003</v>
      </c>
      <c r="R99" s="10">
        <f>+ROUND(O99/Q99,4)</f>
        <v>3.56E-2</v>
      </c>
      <c r="S99" s="11">
        <f>ROUND(R99*L99,2)</f>
        <v>45.21</v>
      </c>
      <c r="T99" s="10" t="s">
        <v>349</v>
      </c>
      <c r="U99" t="s">
        <v>810</v>
      </c>
    </row>
    <row r="100" spans="1:21">
      <c r="A100" t="s">
        <v>3948</v>
      </c>
      <c r="B100" s="20">
        <v>45772</v>
      </c>
      <c r="C100" s="20">
        <v>45755</v>
      </c>
      <c r="D100" t="s">
        <v>806</v>
      </c>
      <c r="E100" t="s">
        <v>807</v>
      </c>
      <c r="G100" t="s">
        <v>4358</v>
      </c>
      <c r="H100" t="s">
        <v>3571</v>
      </c>
      <c r="I100" t="s">
        <v>3572</v>
      </c>
      <c r="J100" s="8" t="str">
        <f>+LEFT(U100,4)</f>
        <v>BAG-</v>
      </c>
      <c r="K100" t="s">
        <v>10</v>
      </c>
      <c r="L100" s="46">
        <v>1000</v>
      </c>
      <c r="M100" t="s">
        <v>1472</v>
      </c>
      <c r="N100" t="s">
        <v>11</v>
      </c>
      <c r="O100" s="49">
        <v>0.34499999999999997</v>
      </c>
      <c r="P100" s="9">
        <f>ROUND(O100*L100,2)</f>
        <v>345</v>
      </c>
      <c r="Q100" s="10">
        <f>IF(N100="HKD",7.8,IF(N100="CNY",7.30034,1))</f>
        <v>7.3003400000000003</v>
      </c>
      <c r="R100" s="10">
        <f>+ROUND(O100/Q100,4)</f>
        <v>4.7300000000000002E-2</v>
      </c>
      <c r="S100" s="11">
        <f>ROUND(R100*L100,2)</f>
        <v>47.3</v>
      </c>
      <c r="T100" s="10" t="s">
        <v>349</v>
      </c>
      <c r="U100" t="s">
        <v>810</v>
      </c>
    </row>
    <row r="101" spans="1:21">
      <c r="A101" t="s">
        <v>4165</v>
      </c>
      <c r="B101" s="20">
        <v>45772</v>
      </c>
      <c r="C101" s="20">
        <v>45723</v>
      </c>
      <c r="D101" t="s">
        <v>121</v>
      </c>
      <c r="E101" t="s">
        <v>122</v>
      </c>
      <c r="G101" t="s">
        <v>4454</v>
      </c>
      <c r="H101" t="s">
        <v>3732</v>
      </c>
      <c r="I101" t="s">
        <v>3733</v>
      </c>
      <c r="J101" s="8" t="str">
        <f>+LEFT(U101,4)</f>
        <v>HDL-</v>
      </c>
      <c r="K101" t="s">
        <v>10</v>
      </c>
      <c r="L101" s="46">
        <v>430</v>
      </c>
      <c r="M101" t="s">
        <v>1472</v>
      </c>
      <c r="N101" t="s">
        <v>11</v>
      </c>
      <c r="O101" s="49">
        <v>3.9847999999999999</v>
      </c>
      <c r="P101" s="9">
        <f>ROUND(O101*L101,2)</f>
        <v>1713.46</v>
      </c>
      <c r="Q101" s="10">
        <f>IF(N101="HKD",7.8,IF(N101="CNY",7.30034,1))</f>
        <v>7.3003400000000003</v>
      </c>
      <c r="R101" s="10">
        <f>+ROUND(O101/Q101,4)</f>
        <v>0.54579999999999995</v>
      </c>
      <c r="S101" s="11">
        <f>ROUND(R101*L101,2)</f>
        <v>234.69</v>
      </c>
      <c r="T101" s="10" t="s">
        <v>349</v>
      </c>
      <c r="U101" t="s">
        <v>228</v>
      </c>
    </row>
    <row r="102" spans="1:21">
      <c r="A102" t="s">
        <v>4165</v>
      </c>
      <c r="B102" s="20">
        <v>45772</v>
      </c>
      <c r="C102" s="20">
        <v>45723</v>
      </c>
      <c r="D102" t="s">
        <v>121</v>
      </c>
      <c r="E102" t="s">
        <v>122</v>
      </c>
      <c r="G102" t="s">
        <v>4455</v>
      </c>
      <c r="H102" t="s">
        <v>3732</v>
      </c>
      <c r="I102" t="s">
        <v>3733</v>
      </c>
      <c r="J102" s="8" t="str">
        <f>+LEFT(U102,4)</f>
        <v>HDL-</v>
      </c>
      <c r="K102" t="s">
        <v>10</v>
      </c>
      <c r="L102" s="46">
        <v>-405</v>
      </c>
      <c r="M102" t="s">
        <v>1472</v>
      </c>
      <c r="N102" t="s">
        <v>11</v>
      </c>
      <c r="O102" s="49">
        <v>3.9847999999999999</v>
      </c>
      <c r="P102" s="9">
        <f>ROUND(O102*L102,2)</f>
        <v>-1613.84</v>
      </c>
      <c r="Q102" s="10">
        <f>IF(N102="HKD",7.8,IF(N102="CNY",7.30034,1))</f>
        <v>7.3003400000000003</v>
      </c>
      <c r="R102" s="10">
        <f>+ROUND(O102/Q102,4)</f>
        <v>0.54579999999999995</v>
      </c>
      <c r="S102" s="11">
        <f>ROUND(R102*L102,2)</f>
        <v>-221.05</v>
      </c>
      <c r="T102" s="10" t="s">
        <v>349</v>
      </c>
      <c r="U102" t="s">
        <v>228</v>
      </c>
    </row>
    <row r="103" spans="1:21">
      <c r="A103" t="s">
        <v>4165</v>
      </c>
      <c r="B103" s="20">
        <v>45772</v>
      </c>
      <c r="C103" s="20">
        <v>45723</v>
      </c>
      <c r="D103" t="s">
        <v>121</v>
      </c>
      <c r="E103" t="s">
        <v>122</v>
      </c>
      <c r="G103" t="s">
        <v>4454</v>
      </c>
      <c r="H103" t="s">
        <v>3732</v>
      </c>
      <c r="I103" t="s">
        <v>3733</v>
      </c>
      <c r="J103" s="8" t="str">
        <f>+LEFT(U103,4)</f>
        <v>HDL-</v>
      </c>
      <c r="K103" t="s">
        <v>10</v>
      </c>
      <c r="L103" s="46">
        <v>405</v>
      </c>
      <c r="M103" t="s">
        <v>1472</v>
      </c>
      <c r="N103" t="s">
        <v>11</v>
      </c>
      <c r="O103" s="49">
        <v>3.9847999999999999</v>
      </c>
      <c r="P103" s="9">
        <f>ROUND(O103*L103,2)</f>
        <v>1613.84</v>
      </c>
      <c r="Q103" s="10">
        <f>IF(N103="HKD",7.8,IF(N103="CNY",7.30034,1))</f>
        <v>7.3003400000000003</v>
      </c>
      <c r="R103" s="10">
        <f>+ROUND(O103/Q103,4)</f>
        <v>0.54579999999999995</v>
      </c>
      <c r="S103" s="11">
        <f>ROUND(R103*L103,2)</f>
        <v>221.05</v>
      </c>
      <c r="T103" s="10" t="s">
        <v>349</v>
      </c>
      <c r="U103" t="s">
        <v>228</v>
      </c>
    </row>
    <row r="104" spans="1:21">
      <c r="A104" t="s">
        <v>4252</v>
      </c>
      <c r="B104" s="20">
        <v>45772</v>
      </c>
      <c r="C104" s="20">
        <v>45713</v>
      </c>
      <c r="D104" t="s">
        <v>2257</v>
      </c>
      <c r="E104" t="s">
        <v>2258</v>
      </c>
      <c r="G104" t="s">
        <v>4528</v>
      </c>
      <c r="H104" t="s">
        <v>1802</v>
      </c>
      <c r="I104" t="s">
        <v>1803</v>
      </c>
      <c r="J104" s="8" t="str">
        <f>+LEFT(U104,4)</f>
        <v>HDL-</v>
      </c>
      <c r="K104" t="s">
        <v>10</v>
      </c>
      <c r="L104" s="46">
        <v>3600</v>
      </c>
      <c r="M104" t="s">
        <v>1472</v>
      </c>
      <c r="N104" t="s">
        <v>11</v>
      </c>
      <c r="O104" s="49">
        <v>7.4931000000000001</v>
      </c>
      <c r="P104" s="9">
        <f>ROUND(O104*L104,2)</f>
        <v>26975.16</v>
      </c>
      <c r="Q104" s="10">
        <f>IF(N104="HKD",7.8,IF(N104="CNY",7.30034,1))</f>
        <v>7.3003400000000003</v>
      </c>
      <c r="R104" s="10">
        <f>+ROUND(O104/Q104,4)</f>
        <v>1.0264</v>
      </c>
      <c r="S104" s="11">
        <f>ROUND(R104*L104,2)</f>
        <v>3695.04</v>
      </c>
      <c r="T104" s="10" t="s">
        <v>349</v>
      </c>
      <c r="U104" t="s">
        <v>228</v>
      </c>
    </row>
    <row r="105" spans="1:21">
      <c r="A105" t="s">
        <v>4257</v>
      </c>
      <c r="B105" s="20">
        <v>45772</v>
      </c>
      <c r="C105" s="20">
        <v>45713</v>
      </c>
      <c r="D105" t="s">
        <v>2257</v>
      </c>
      <c r="E105" t="s">
        <v>2258</v>
      </c>
      <c r="G105" t="s">
        <v>4528</v>
      </c>
      <c r="H105" t="s">
        <v>3192</v>
      </c>
      <c r="I105" t="s">
        <v>3399</v>
      </c>
      <c r="J105" s="8" t="str">
        <f>+LEFT(U105,4)</f>
        <v>HDL-</v>
      </c>
      <c r="K105" t="s">
        <v>10</v>
      </c>
      <c r="L105" s="46">
        <v>900</v>
      </c>
      <c r="M105" t="s">
        <v>1472</v>
      </c>
      <c r="N105" t="s">
        <v>11</v>
      </c>
      <c r="O105" s="49">
        <v>7.6459999999999999</v>
      </c>
      <c r="P105" s="9">
        <f>ROUND(O105*L105,2)</f>
        <v>6881.4</v>
      </c>
      <c r="Q105" s="10">
        <f>IF(N105="HKD",7.8,IF(N105="CNY",7.30034,1))</f>
        <v>7.3003400000000003</v>
      </c>
      <c r="R105" s="10">
        <f>+ROUND(O105/Q105,4)</f>
        <v>1.0472999999999999</v>
      </c>
      <c r="S105" s="11">
        <f>ROUND(R105*L105,2)</f>
        <v>942.57</v>
      </c>
      <c r="T105" s="10" t="s">
        <v>349</v>
      </c>
      <c r="U105" t="s">
        <v>228</v>
      </c>
    </row>
    <row r="106" spans="1:21">
      <c r="A106" t="s">
        <v>4268</v>
      </c>
      <c r="B106" s="20">
        <v>45772</v>
      </c>
      <c r="C106" s="20">
        <v>45727</v>
      </c>
      <c r="D106" t="s">
        <v>2257</v>
      </c>
      <c r="E106" t="s">
        <v>2258</v>
      </c>
      <c r="G106" t="s">
        <v>4528</v>
      </c>
      <c r="H106" t="s">
        <v>3147</v>
      </c>
      <c r="I106" t="s">
        <v>3357</v>
      </c>
      <c r="J106" s="8" t="str">
        <f>+LEFT(U106,4)</f>
        <v>HDL-</v>
      </c>
      <c r="K106" t="s">
        <v>10</v>
      </c>
      <c r="L106" s="46">
        <v>3300</v>
      </c>
      <c r="M106" t="s">
        <v>1472</v>
      </c>
      <c r="N106" t="s">
        <v>11</v>
      </c>
      <c r="O106" s="49">
        <v>8.5710999999999995</v>
      </c>
      <c r="P106" s="9">
        <f>ROUND(O106*L106,2)</f>
        <v>28284.63</v>
      </c>
      <c r="Q106" s="10">
        <f>IF(N106="HKD",7.8,IF(N106="CNY",7.30034,1))</f>
        <v>7.3003400000000003</v>
      </c>
      <c r="R106" s="10">
        <f>+ROUND(O106/Q106,4)</f>
        <v>1.1740999999999999</v>
      </c>
      <c r="S106" s="11">
        <f>ROUND(R106*L106,2)</f>
        <v>3874.53</v>
      </c>
      <c r="T106" s="10" t="s">
        <v>349</v>
      </c>
      <c r="U106" t="s">
        <v>228</v>
      </c>
    </row>
    <row r="107" spans="1:21">
      <c r="A107" t="s">
        <v>4302</v>
      </c>
      <c r="B107" s="20">
        <v>45772</v>
      </c>
      <c r="C107" s="20">
        <v>45757</v>
      </c>
      <c r="D107" t="s">
        <v>311</v>
      </c>
      <c r="E107" t="s">
        <v>312</v>
      </c>
      <c r="G107" t="s">
        <v>4547</v>
      </c>
      <c r="H107" t="s">
        <v>328</v>
      </c>
      <c r="I107" t="s">
        <v>329</v>
      </c>
      <c r="J107" s="8" t="str">
        <f>+LEFT(U107,4)</f>
        <v>INM-</v>
      </c>
      <c r="K107" t="s">
        <v>10</v>
      </c>
      <c r="L107" s="46">
        <v>125</v>
      </c>
      <c r="M107" t="s">
        <v>186</v>
      </c>
      <c r="N107" t="s">
        <v>11</v>
      </c>
      <c r="O107" s="49">
        <v>69.026499999999999</v>
      </c>
      <c r="P107" s="9">
        <f>ROUND(O107*L107,2)</f>
        <v>8628.31</v>
      </c>
      <c r="Q107" s="10">
        <f>IF(N107="HKD",7.8,IF(N107="CNY",7.30034,1))</f>
        <v>7.3003400000000003</v>
      </c>
      <c r="R107" s="10">
        <f>+ROUND(O107/Q107,4)</f>
        <v>9.4551999999999996</v>
      </c>
      <c r="S107" s="11">
        <f>ROUND(R107*L107,2)</f>
        <v>1181.9000000000001</v>
      </c>
      <c r="T107" s="10" t="s">
        <v>349</v>
      </c>
      <c r="U107" t="s">
        <v>327</v>
      </c>
    </row>
    <row r="108" spans="1:21">
      <c r="A108" t="s">
        <v>4303</v>
      </c>
      <c r="B108" s="20">
        <v>45772</v>
      </c>
      <c r="C108" s="20">
        <v>45757</v>
      </c>
      <c r="D108" t="s">
        <v>311</v>
      </c>
      <c r="E108" t="s">
        <v>312</v>
      </c>
      <c r="G108" t="s">
        <v>4547</v>
      </c>
      <c r="H108" t="s">
        <v>323</v>
      </c>
      <c r="I108" t="s">
        <v>324</v>
      </c>
      <c r="J108" s="8" t="str">
        <f>+LEFT(U108,4)</f>
        <v>INM-</v>
      </c>
      <c r="K108" t="s">
        <v>10</v>
      </c>
      <c r="L108" s="46">
        <v>100</v>
      </c>
      <c r="M108" t="s">
        <v>186</v>
      </c>
      <c r="N108" t="s">
        <v>11</v>
      </c>
      <c r="O108" s="49">
        <v>69.026499999999999</v>
      </c>
      <c r="P108" s="9">
        <f>ROUND(O108*L108,2)</f>
        <v>6902.65</v>
      </c>
      <c r="Q108" s="10">
        <f>IF(N108="HKD",7.8,IF(N108="CNY",7.30034,1))</f>
        <v>7.3003400000000003</v>
      </c>
      <c r="R108" s="10">
        <f>+ROUND(O108/Q108,4)</f>
        <v>9.4551999999999996</v>
      </c>
      <c r="S108" s="11">
        <f>ROUND(R108*L108,2)</f>
        <v>945.52</v>
      </c>
      <c r="T108" s="10" t="s">
        <v>349</v>
      </c>
      <c r="U108" t="s">
        <v>327</v>
      </c>
    </row>
    <row r="109" spans="1:21">
      <c r="A109" t="s">
        <v>3989</v>
      </c>
      <c r="B109" s="20">
        <v>45772</v>
      </c>
      <c r="C109" s="20">
        <v>45744</v>
      </c>
      <c r="D109" t="s">
        <v>709</v>
      </c>
      <c r="E109" t="s">
        <v>710</v>
      </c>
      <c r="G109" t="s">
        <v>4404</v>
      </c>
      <c r="H109" t="s">
        <v>738</v>
      </c>
      <c r="I109" t="s">
        <v>739</v>
      </c>
      <c r="J109" s="8" t="str">
        <f>+LEFT(U109,4)</f>
        <v>KNOB</v>
      </c>
      <c r="K109" t="s">
        <v>10</v>
      </c>
      <c r="L109" s="46">
        <v>2000</v>
      </c>
      <c r="M109" t="s">
        <v>1472</v>
      </c>
      <c r="N109" t="s">
        <v>11</v>
      </c>
      <c r="O109" s="49">
        <v>1.0254000000000001</v>
      </c>
      <c r="P109" s="9">
        <f>ROUND(O109*L109,2)</f>
        <v>2050.8000000000002</v>
      </c>
      <c r="Q109" s="10">
        <f>IF(N109="HKD",7.8,IF(N109="CNY",7.30034,1))</f>
        <v>7.3003400000000003</v>
      </c>
      <c r="R109" s="10">
        <f>+ROUND(O109/Q109,4)</f>
        <v>0.14050000000000001</v>
      </c>
      <c r="S109" s="11">
        <f>ROUND(R109*L109,2)</f>
        <v>281</v>
      </c>
      <c r="T109" s="10" t="s">
        <v>349</v>
      </c>
      <c r="U109" t="s">
        <v>32</v>
      </c>
    </row>
    <row r="110" spans="1:21">
      <c r="A110" t="s">
        <v>3993</v>
      </c>
      <c r="B110" s="20">
        <v>45772</v>
      </c>
      <c r="C110" s="20">
        <v>45758</v>
      </c>
      <c r="D110" t="s">
        <v>709</v>
      </c>
      <c r="E110" t="s">
        <v>710</v>
      </c>
      <c r="G110" t="s">
        <v>4405</v>
      </c>
      <c r="H110" t="s">
        <v>1647</v>
      </c>
      <c r="I110" t="s">
        <v>1648</v>
      </c>
      <c r="J110" s="8" t="str">
        <f>+LEFT(U110,4)</f>
        <v>KNOB</v>
      </c>
      <c r="K110" t="s">
        <v>10</v>
      </c>
      <c r="L110" s="46">
        <v>500</v>
      </c>
      <c r="M110" t="s">
        <v>1472</v>
      </c>
      <c r="N110" t="s">
        <v>11</v>
      </c>
      <c r="O110" s="49">
        <v>1.0902000000000001</v>
      </c>
      <c r="P110" s="9">
        <f>ROUND(O110*L110,2)</f>
        <v>545.1</v>
      </c>
      <c r="Q110" s="10">
        <f>IF(N110="HKD",7.8,IF(N110="CNY",7.30034,1))</f>
        <v>7.3003400000000003</v>
      </c>
      <c r="R110" s="10">
        <f>+ROUND(O110/Q110,4)</f>
        <v>0.14929999999999999</v>
      </c>
      <c r="S110" s="11">
        <f>ROUND(R110*L110,2)</f>
        <v>74.650000000000006</v>
      </c>
      <c r="T110" s="10" t="s">
        <v>349</v>
      </c>
      <c r="U110" t="s">
        <v>32</v>
      </c>
    </row>
    <row r="111" spans="1:21">
      <c r="A111" t="s">
        <v>3994</v>
      </c>
      <c r="B111" s="20">
        <v>45772</v>
      </c>
      <c r="C111" s="20">
        <v>45758</v>
      </c>
      <c r="D111" t="s">
        <v>709</v>
      </c>
      <c r="E111" t="s">
        <v>710</v>
      </c>
      <c r="G111" t="s">
        <v>4405</v>
      </c>
      <c r="H111" t="s">
        <v>3601</v>
      </c>
      <c r="I111" t="s">
        <v>3602</v>
      </c>
      <c r="J111" s="8" t="str">
        <f>+LEFT(U111,4)</f>
        <v>KNOB</v>
      </c>
      <c r="K111" t="s">
        <v>10</v>
      </c>
      <c r="L111" s="46">
        <v>2150</v>
      </c>
      <c r="M111" t="s">
        <v>1472</v>
      </c>
      <c r="N111" t="s">
        <v>11</v>
      </c>
      <c r="O111" s="49">
        <v>1.2179</v>
      </c>
      <c r="P111" s="9">
        <f>ROUND(O111*L111,2)</f>
        <v>2618.4899999999998</v>
      </c>
      <c r="Q111" s="10">
        <f>IF(N111="HKD",7.8,IF(N111="CNY",7.30034,1))</f>
        <v>7.3003400000000003</v>
      </c>
      <c r="R111" s="10">
        <f>+ROUND(O111/Q111,4)</f>
        <v>0.1668</v>
      </c>
      <c r="S111" s="11">
        <f>ROUND(R111*L111,2)</f>
        <v>358.62</v>
      </c>
      <c r="T111" s="10" t="s">
        <v>349</v>
      </c>
      <c r="U111" t="s">
        <v>32</v>
      </c>
    </row>
    <row r="112" spans="1:21">
      <c r="A112" t="s">
        <v>3995</v>
      </c>
      <c r="B112" s="20">
        <v>45772</v>
      </c>
      <c r="C112" s="20">
        <v>45768</v>
      </c>
      <c r="D112" t="s">
        <v>709</v>
      </c>
      <c r="E112" t="s">
        <v>710</v>
      </c>
      <c r="G112" t="s">
        <v>4405</v>
      </c>
      <c r="H112" t="s">
        <v>3601</v>
      </c>
      <c r="I112" t="s">
        <v>3602</v>
      </c>
      <c r="J112" s="8" t="str">
        <f>+LEFT(U112,4)</f>
        <v>KNOB</v>
      </c>
      <c r="K112" t="s">
        <v>10</v>
      </c>
      <c r="L112" s="46">
        <v>1530</v>
      </c>
      <c r="M112" t="s">
        <v>1472</v>
      </c>
      <c r="N112" t="s">
        <v>11</v>
      </c>
      <c r="O112" s="49">
        <v>1.2426999999999999</v>
      </c>
      <c r="P112" s="9">
        <f>ROUND(O112*L112,2)</f>
        <v>1901.33</v>
      </c>
      <c r="Q112" s="10">
        <f>IF(N112="HKD",7.8,IF(N112="CNY",7.30034,1))</f>
        <v>7.3003400000000003</v>
      </c>
      <c r="R112" s="10">
        <f>+ROUND(O112/Q112,4)</f>
        <v>0.17019999999999999</v>
      </c>
      <c r="S112" s="11">
        <f>ROUND(R112*L112,2)</f>
        <v>260.41000000000003</v>
      </c>
      <c r="T112" s="10" t="s">
        <v>349</v>
      </c>
      <c r="U112" t="s">
        <v>32</v>
      </c>
    </row>
    <row r="113" spans="1:21">
      <c r="A113" t="s">
        <v>4010</v>
      </c>
      <c r="B113" s="20">
        <v>45772</v>
      </c>
      <c r="C113" s="20">
        <v>45758</v>
      </c>
      <c r="D113" t="s">
        <v>709</v>
      </c>
      <c r="E113" t="s">
        <v>710</v>
      </c>
      <c r="G113" t="s">
        <v>4405</v>
      </c>
      <c r="H113" t="s">
        <v>3227</v>
      </c>
      <c r="I113" t="s">
        <v>3434</v>
      </c>
      <c r="J113" s="8" t="str">
        <f>+LEFT(U113,4)</f>
        <v>KNOB</v>
      </c>
      <c r="K113" t="s">
        <v>10</v>
      </c>
      <c r="L113" s="46">
        <v>1000</v>
      </c>
      <c r="M113" t="s">
        <v>1472</v>
      </c>
      <c r="N113" t="s">
        <v>11</v>
      </c>
      <c r="O113" s="49">
        <v>1.6758</v>
      </c>
      <c r="P113" s="9">
        <f>ROUND(O113*L113,2)</f>
        <v>1675.8</v>
      </c>
      <c r="Q113" s="10">
        <f>IF(N113="HKD",7.8,IF(N113="CNY",7.30034,1))</f>
        <v>7.3003400000000003</v>
      </c>
      <c r="R113" s="10">
        <f>+ROUND(O113/Q113,4)</f>
        <v>0.2296</v>
      </c>
      <c r="S113" s="11">
        <f>ROUND(R113*L113,2)</f>
        <v>229.6</v>
      </c>
      <c r="T113" s="10" t="s">
        <v>349</v>
      </c>
      <c r="U113" t="s">
        <v>32</v>
      </c>
    </row>
    <row r="114" spans="1:21">
      <c r="A114" t="s">
        <v>4171</v>
      </c>
      <c r="B114" s="20">
        <v>45772</v>
      </c>
      <c r="C114" s="20">
        <v>45720</v>
      </c>
      <c r="D114" t="s">
        <v>94</v>
      </c>
      <c r="E114" t="s">
        <v>95</v>
      </c>
      <c r="G114" t="s">
        <v>4458</v>
      </c>
      <c r="H114" t="s">
        <v>3738</v>
      </c>
      <c r="I114" t="s">
        <v>3739</v>
      </c>
      <c r="J114" s="8" t="str">
        <f>+LEFT(U114,4)</f>
        <v>LID-</v>
      </c>
      <c r="K114" t="s">
        <v>98</v>
      </c>
      <c r="L114" s="46">
        <v>410</v>
      </c>
      <c r="M114" t="s">
        <v>1472</v>
      </c>
      <c r="N114" t="s">
        <v>11</v>
      </c>
      <c r="O114" s="49">
        <v>4.0599999999999996</v>
      </c>
      <c r="P114" s="9">
        <f>ROUND(O114*L114,2)</f>
        <v>1664.6</v>
      </c>
      <c r="Q114" s="10">
        <f>IF(N114="HKD",7.8,IF(N114="CNY",7.30034,1))</f>
        <v>7.3003400000000003</v>
      </c>
      <c r="R114" s="10">
        <f>+ROUND(O114/Q114,4)</f>
        <v>0.55610000000000004</v>
      </c>
      <c r="S114" s="11">
        <f>ROUND(R114*L114,2)</f>
        <v>228</v>
      </c>
      <c r="T114" s="10" t="s">
        <v>349</v>
      </c>
      <c r="U114" t="s">
        <v>368</v>
      </c>
    </row>
    <row r="115" spans="1:21">
      <c r="A115" t="s">
        <v>4177</v>
      </c>
      <c r="B115" s="20">
        <v>45772</v>
      </c>
      <c r="C115" s="20">
        <v>45714</v>
      </c>
      <c r="D115" t="s">
        <v>830</v>
      </c>
      <c r="E115" t="s">
        <v>831</v>
      </c>
      <c r="G115" t="s">
        <v>4475</v>
      </c>
      <c r="H115" t="s">
        <v>3166</v>
      </c>
      <c r="I115" t="s">
        <v>3376</v>
      </c>
      <c r="J115" s="8" t="str">
        <f>+LEFT(U115,4)</f>
        <v>LID-</v>
      </c>
      <c r="K115" t="s">
        <v>98</v>
      </c>
      <c r="L115" s="46">
        <v>1000</v>
      </c>
      <c r="M115" t="s">
        <v>1472</v>
      </c>
      <c r="N115" t="s">
        <v>11</v>
      </c>
      <c r="O115" s="49">
        <v>4.2</v>
      </c>
      <c r="P115" s="9">
        <f>ROUND(O115*L115,2)</f>
        <v>4200</v>
      </c>
      <c r="Q115" s="10">
        <f>IF(N115="HKD",7.8,IF(N115="CNY",7.30034,1))</f>
        <v>7.3003400000000003</v>
      </c>
      <c r="R115" s="10">
        <f>+ROUND(O115/Q115,4)</f>
        <v>0.57530000000000003</v>
      </c>
      <c r="S115" s="11">
        <f>ROUND(R115*L115,2)</f>
        <v>575.29999999999995</v>
      </c>
      <c r="T115" s="10" t="s">
        <v>349</v>
      </c>
      <c r="U115" t="s">
        <v>368</v>
      </c>
    </row>
    <row r="116" spans="1:21">
      <c r="A116" t="s">
        <v>4184</v>
      </c>
      <c r="B116" s="20">
        <v>45772</v>
      </c>
      <c r="C116" s="20">
        <v>45714</v>
      </c>
      <c r="D116" t="s">
        <v>94</v>
      </c>
      <c r="E116" t="s">
        <v>95</v>
      </c>
      <c r="G116" t="s">
        <v>4492</v>
      </c>
      <c r="H116" t="s">
        <v>3165</v>
      </c>
      <c r="I116" t="s">
        <v>3375</v>
      </c>
      <c r="J116" s="8" t="str">
        <f>+LEFT(U116,4)</f>
        <v>LID-</v>
      </c>
      <c r="K116" t="s">
        <v>98</v>
      </c>
      <c r="L116" s="46">
        <v>600</v>
      </c>
      <c r="M116" t="s">
        <v>1472</v>
      </c>
      <c r="N116" t="s">
        <v>11</v>
      </c>
      <c r="O116" s="49">
        <v>4.37</v>
      </c>
      <c r="P116" s="9">
        <f>ROUND(O116*L116,2)</f>
        <v>2622</v>
      </c>
      <c r="Q116" s="10">
        <f>IF(N116="HKD",7.8,IF(N116="CNY",7.30034,1))</f>
        <v>7.3003400000000003</v>
      </c>
      <c r="R116" s="10">
        <f>+ROUND(O116/Q116,4)</f>
        <v>0.59860000000000002</v>
      </c>
      <c r="S116" s="11">
        <f>ROUND(R116*L116,2)</f>
        <v>359.16</v>
      </c>
      <c r="T116" s="10" t="s">
        <v>349</v>
      </c>
      <c r="U116" t="s">
        <v>368</v>
      </c>
    </row>
    <row r="117" spans="1:21">
      <c r="A117" t="s">
        <v>4184</v>
      </c>
      <c r="B117" s="20">
        <v>45772</v>
      </c>
      <c r="C117" s="20">
        <v>45714</v>
      </c>
      <c r="D117" t="s">
        <v>94</v>
      </c>
      <c r="E117" t="s">
        <v>95</v>
      </c>
      <c r="G117" t="s">
        <v>4493</v>
      </c>
      <c r="H117" t="s">
        <v>3165</v>
      </c>
      <c r="I117" t="s">
        <v>3375</v>
      </c>
      <c r="J117" s="8" t="str">
        <f>+LEFT(U117,4)</f>
        <v>LID-</v>
      </c>
      <c r="K117" t="s">
        <v>98</v>
      </c>
      <c r="L117" s="46">
        <v>810</v>
      </c>
      <c r="M117" t="s">
        <v>1472</v>
      </c>
      <c r="N117" t="s">
        <v>11</v>
      </c>
      <c r="O117" s="49">
        <v>4.37</v>
      </c>
      <c r="P117" s="9">
        <f>ROUND(O117*L117,2)</f>
        <v>3539.7</v>
      </c>
      <c r="Q117" s="10">
        <f>IF(N117="HKD",7.8,IF(N117="CNY",7.30034,1))</f>
        <v>7.3003400000000003</v>
      </c>
      <c r="R117" s="10">
        <f>+ROUND(O117/Q117,4)</f>
        <v>0.59860000000000002</v>
      </c>
      <c r="S117" s="11">
        <f>ROUND(R117*L117,2)</f>
        <v>484.87</v>
      </c>
      <c r="T117" s="10" t="s">
        <v>349</v>
      </c>
      <c r="U117" t="s">
        <v>368</v>
      </c>
    </row>
    <row r="118" spans="1:21">
      <c r="A118" t="s">
        <v>3899</v>
      </c>
      <c r="B118" s="20">
        <v>45772</v>
      </c>
      <c r="C118" s="20">
        <v>45744</v>
      </c>
      <c r="D118" t="s">
        <v>235</v>
      </c>
      <c r="E118" t="s">
        <v>236</v>
      </c>
      <c r="G118" t="s">
        <v>4370</v>
      </c>
      <c r="H118" t="s">
        <v>1352</v>
      </c>
      <c r="I118" t="s">
        <v>1353</v>
      </c>
      <c r="J118" s="8" t="str">
        <f>+LEFT(U118,4)</f>
        <v>RIV-</v>
      </c>
      <c r="K118" t="s">
        <v>10</v>
      </c>
      <c r="L118" s="46">
        <v>60000</v>
      </c>
      <c r="M118" t="s">
        <v>1472</v>
      </c>
      <c r="N118" t="s">
        <v>11</v>
      </c>
      <c r="O118" s="49">
        <v>0.13150000000000001</v>
      </c>
      <c r="P118" s="9">
        <f>ROUND(O118*L118,2)</f>
        <v>7890</v>
      </c>
      <c r="Q118" s="10">
        <f>IF(N118="HKD",7.8,IF(N118="CNY",7.30034,1))</f>
        <v>7.3003400000000003</v>
      </c>
      <c r="R118" s="10">
        <f>+ROUND(O118/Q118,4)</f>
        <v>1.7999999999999999E-2</v>
      </c>
      <c r="S118" s="11">
        <f>ROUND(R118*L118,2)</f>
        <v>1080</v>
      </c>
      <c r="T118" s="10" t="s">
        <v>349</v>
      </c>
      <c r="U118" t="s">
        <v>132</v>
      </c>
    </row>
    <row r="119" spans="1:21">
      <c r="A119" t="s">
        <v>4076</v>
      </c>
      <c r="B119" s="20">
        <v>45772</v>
      </c>
      <c r="C119" s="20">
        <v>45758</v>
      </c>
      <c r="D119" t="s">
        <v>709</v>
      </c>
      <c r="E119" t="s">
        <v>710</v>
      </c>
      <c r="G119" t="s">
        <v>4405</v>
      </c>
      <c r="H119" t="s">
        <v>3676</v>
      </c>
      <c r="I119" t="s">
        <v>3677</v>
      </c>
      <c r="J119" s="8" t="str">
        <f>+LEFT(U119,4)</f>
        <v>SHDL</v>
      </c>
      <c r="K119" t="s">
        <v>10</v>
      </c>
      <c r="L119" s="46">
        <v>48</v>
      </c>
      <c r="M119" t="s">
        <v>1472</v>
      </c>
      <c r="N119" t="s">
        <v>11</v>
      </c>
      <c r="O119" s="49">
        <v>3.0712999999999999</v>
      </c>
      <c r="P119" s="9">
        <f>ROUND(O119*L119,2)</f>
        <v>147.41999999999999</v>
      </c>
      <c r="Q119" s="10">
        <f>IF(N119="HKD",7.8,IF(N119="CNY",7.30034,1))</f>
        <v>7.3003400000000003</v>
      </c>
      <c r="R119" s="10">
        <f>+ROUND(O119/Q119,4)</f>
        <v>0.42070000000000002</v>
      </c>
      <c r="S119" s="11">
        <f>ROUND(R119*L119,2)</f>
        <v>20.190000000000001</v>
      </c>
      <c r="T119" s="10" t="s">
        <v>349</v>
      </c>
      <c r="U119" t="s">
        <v>722</v>
      </c>
    </row>
    <row r="120" spans="1:21">
      <c r="A120" t="s">
        <v>4122</v>
      </c>
      <c r="B120" s="20">
        <v>45772</v>
      </c>
      <c r="C120" s="20">
        <v>45729</v>
      </c>
      <c r="D120" t="s">
        <v>709</v>
      </c>
      <c r="E120" t="s">
        <v>710</v>
      </c>
      <c r="G120" t="s">
        <v>4405</v>
      </c>
      <c r="H120" t="s">
        <v>3702</v>
      </c>
      <c r="I120" t="s">
        <v>3703</v>
      </c>
      <c r="J120" s="8" t="str">
        <f>+LEFT(U120,4)</f>
        <v>SHDL</v>
      </c>
      <c r="K120" t="s">
        <v>10</v>
      </c>
      <c r="L120" s="46">
        <v>1000</v>
      </c>
      <c r="M120" t="s">
        <v>1472</v>
      </c>
      <c r="N120" t="s">
        <v>11</v>
      </c>
      <c r="O120" s="49">
        <v>3.3089</v>
      </c>
      <c r="P120" s="9">
        <f>ROUND(O120*L120,2)</f>
        <v>3308.9</v>
      </c>
      <c r="Q120" s="10">
        <f>IF(N120="HKD",7.8,IF(N120="CNY",7.30034,1))</f>
        <v>7.3003400000000003</v>
      </c>
      <c r="R120" s="10">
        <f>+ROUND(O120/Q120,4)</f>
        <v>0.45329999999999998</v>
      </c>
      <c r="S120" s="11">
        <f>ROUND(R120*L120,2)</f>
        <v>453.3</v>
      </c>
      <c r="T120" s="10" t="s">
        <v>349</v>
      </c>
      <c r="U120" t="s">
        <v>722</v>
      </c>
    </row>
    <row r="121" spans="1:21">
      <c r="A121" t="s">
        <v>4223</v>
      </c>
      <c r="B121" s="20">
        <v>45772</v>
      </c>
      <c r="C121" s="20">
        <v>45768</v>
      </c>
      <c r="D121" t="s">
        <v>4328</v>
      </c>
      <c r="E121" t="s">
        <v>4329</v>
      </c>
      <c r="G121" t="s">
        <v>4426</v>
      </c>
      <c r="H121" t="s">
        <v>3776</v>
      </c>
      <c r="I121" t="s">
        <v>3777</v>
      </c>
      <c r="J121" s="8" t="str">
        <f>+LEFT(U121,4)</f>
        <v>SSM-</v>
      </c>
      <c r="K121" t="s">
        <v>10</v>
      </c>
      <c r="L121" s="46">
        <v>22681</v>
      </c>
      <c r="M121" t="s">
        <v>186</v>
      </c>
      <c r="N121" t="s">
        <v>11</v>
      </c>
      <c r="O121" s="49">
        <v>6.5487000000000002</v>
      </c>
      <c r="P121" s="9">
        <f>ROUND(O121*L121,2)</f>
        <v>148531.06</v>
      </c>
      <c r="Q121" s="10">
        <f>IF(N121="HKD",7.8,IF(N121="CNY",7.30034,1))</f>
        <v>7.3003400000000003</v>
      </c>
      <c r="R121" s="10">
        <f>+ROUND(O121/Q121,4)</f>
        <v>0.89700000000000002</v>
      </c>
      <c r="S121" s="11">
        <f>ROUND(R121*L121,2)</f>
        <v>20344.86</v>
      </c>
      <c r="T121" s="10" t="s">
        <v>349</v>
      </c>
      <c r="U121" t="s">
        <v>33</v>
      </c>
    </row>
    <row r="122" spans="1:21">
      <c r="A122" t="s">
        <v>3991</v>
      </c>
      <c r="B122" s="20">
        <v>45772</v>
      </c>
      <c r="C122" s="20">
        <v>45744</v>
      </c>
      <c r="D122" t="s">
        <v>709</v>
      </c>
      <c r="E122" t="s">
        <v>710</v>
      </c>
      <c r="G122" t="s">
        <v>4405</v>
      </c>
      <c r="H122" t="s">
        <v>1645</v>
      </c>
      <c r="I122" t="s">
        <v>1646</v>
      </c>
      <c r="J122" s="8" t="str">
        <f>+LEFT(U122,4)</f>
        <v>T&amp;G-</v>
      </c>
      <c r="K122" t="s">
        <v>10</v>
      </c>
      <c r="L122" s="46">
        <v>8400</v>
      </c>
      <c r="M122" t="s">
        <v>1472</v>
      </c>
      <c r="N122" t="s">
        <v>11</v>
      </c>
      <c r="O122" s="49">
        <v>1.0768</v>
      </c>
      <c r="P122" s="9">
        <f>ROUND(O122*L122,2)</f>
        <v>9045.1200000000008</v>
      </c>
      <c r="Q122" s="10">
        <f>IF(N122="HKD",7.8,IF(N122="CNY",7.30034,1))</f>
        <v>7.3003400000000003</v>
      </c>
      <c r="R122" s="10">
        <f>+ROUND(O122/Q122,4)</f>
        <v>0.14749999999999999</v>
      </c>
      <c r="S122" s="11">
        <f>ROUND(R122*L122,2)</f>
        <v>1239</v>
      </c>
      <c r="T122" s="10" t="s">
        <v>349</v>
      </c>
      <c r="U122" t="s">
        <v>2245</v>
      </c>
    </row>
    <row r="123" spans="1:21">
      <c r="A123" t="s">
        <v>4322</v>
      </c>
      <c r="B123" s="20">
        <v>45771</v>
      </c>
      <c r="C123" s="20">
        <v>45757</v>
      </c>
      <c r="D123" t="s">
        <v>311</v>
      </c>
      <c r="E123" t="s">
        <v>312</v>
      </c>
      <c r="G123" t="s">
        <v>4558</v>
      </c>
      <c r="H123" t="s">
        <v>320</v>
      </c>
      <c r="I123" t="s">
        <v>321</v>
      </c>
      <c r="J123" s="8" t="str">
        <f>+LEFT(U123,4)</f>
        <v>EXM-</v>
      </c>
      <c r="K123" t="s">
        <v>10</v>
      </c>
      <c r="L123" s="46">
        <v>150</v>
      </c>
      <c r="M123" t="s">
        <v>186</v>
      </c>
      <c r="N123" t="s">
        <v>11</v>
      </c>
      <c r="O123" s="49">
        <v>110.6195</v>
      </c>
      <c r="P123" s="9">
        <f>ROUND(O123*L123,2)</f>
        <v>16592.93</v>
      </c>
      <c r="Q123" s="10">
        <f>IF(N123="HKD",7.8,IF(N123="CNY",7.30034,1))</f>
        <v>7.3003400000000003</v>
      </c>
      <c r="R123" s="10">
        <f>+ROUND(O123/Q123,4)</f>
        <v>15.152699999999999</v>
      </c>
      <c r="S123" s="11">
        <f>ROUND(R123*L123,2)</f>
        <v>2272.91</v>
      </c>
      <c r="T123" s="10" t="s">
        <v>349</v>
      </c>
      <c r="U123" t="s">
        <v>315</v>
      </c>
    </row>
    <row r="124" spans="1:21">
      <c r="A124" t="s">
        <v>4323</v>
      </c>
      <c r="B124" s="20">
        <v>45771</v>
      </c>
      <c r="C124" s="20">
        <v>45757</v>
      </c>
      <c r="D124" t="s">
        <v>311</v>
      </c>
      <c r="E124" t="s">
        <v>312</v>
      </c>
      <c r="G124" t="s">
        <v>4558</v>
      </c>
      <c r="H124" t="s">
        <v>1827</v>
      </c>
      <c r="I124" t="s">
        <v>1828</v>
      </c>
      <c r="J124" s="8" t="str">
        <f>+LEFT(U124,4)</f>
        <v>EXM-</v>
      </c>
      <c r="K124" t="s">
        <v>10</v>
      </c>
      <c r="L124" s="46">
        <v>100</v>
      </c>
      <c r="M124" t="s">
        <v>186</v>
      </c>
      <c r="N124" t="s">
        <v>11</v>
      </c>
      <c r="O124" s="49">
        <v>110.6195</v>
      </c>
      <c r="P124" s="9">
        <f>ROUND(O124*L124,2)</f>
        <v>11061.95</v>
      </c>
      <c r="Q124" s="10">
        <f>IF(N124="HKD",7.8,IF(N124="CNY",7.30034,1))</f>
        <v>7.3003400000000003</v>
      </c>
      <c r="R124" s="10">
        <f>+ROUND(O124/Q124,4)</f>
        <v>15.152699999999999</v>
      </c>
      <c r="S124" s="11">
        <f>ROUND(R124*L124,2)</f>
        <v>1515.27</v>
      </c>
      <c r="T124" s="10" t="s">
        <v>349</v>
      </c>
      <c r="U124" t="s">
        <v>315</v>
      </c>
    </row>
    <row r="125" spans="1:21">
      <c r="A125" t="s">
        <v>4280</v>
      </c>
      <c r="B125" s="20">
        <v>45771</v>
      </c>
      <c r="C125" s="20">
        <v>45771</v>
      </c>
      <c r="D125" t="s">
        <v>898</v>
      </c>
      <c r="E125" t="s">
        <v>899</v>
      </c>
      <c r="G125" t="s">
        <v>2229</v>
      </c>
      <c r="H125" t="s">
        <v>902</v>
      </c>
      <c r="I125" t="s">
        <v>903</v>
      </c>
      <c r="J125" s="8" t="str">
        <f>+LEFT(U125,4)</f>
        <v>GLID</v>
      </c>
      <c r="K125" t="s">
        <v>10</v>
      </c>
      <c r="L125" s="46">
        <v>120</v>
      </c>
      <c r="M125" t="s">
        <v>1472</v>
      </c>
      <c r="N125" t="s">
        <v>11</v>
      </c>
      <c r="O125" s="49">
        <v>10.7965</v>
      </c>
      <c r="P125" s="9">
        <f>ROUND(O125*L125,2)</f>
        <v>1295.58</v>
      </c>
      <c r="Q125" s="10">
        <f>IF(N125="HKD",7.8,IF(N125="CNY",7.30034,1))</f>
        <v>7.3003400000000003</v>
      </c>
      <c r="R125" s="10">
        <f>+ROUND(O125/Q125,4)</f>
        <v>1.4789000000000001</v>
      </c>
      <c r="S125" s="11">
        <f>ROUND(R125*L125,2)</f>
        <v>177.47</v>
      </c>
      <c r="T125" s="10" t="s">
        <v>349</v>
      </c>
      <c r="U125" t="s">
        <v>78</v>
      </c>
    </row>
    <row r="126" spans="1:21">
      <c r="A126" t="s">
        <v>4315</v>
      </c>
      <c r="B126" s="20">
        <v>45771</v>
      </c>
      <c r="C126" s="20">
        <v>45754</v>
      </c>
      <c r="D126" t="s">
        <v>311</v>
      </c>
      <c r="E126" t="s">
        <v>312</v>
      </c>
      <c r="G126" t="s">
        <v>4554</v>
      </c>
      <c r="H126" t="s">
        <v>662</v>
      </c>
      <c r="I126" t="s">
        <v>663</v>
      </c>
      <c r="J126" s="8" t="str">
        <f>+LEFT(U126,4)</f>
        <v>INM-</v>
      </c>
      <c r="K126" t="s">
        <v>10</v>
      </c>
      <c r="L126" s="46">
        <v>125</v>
      </c>
      <c r="M126" t="s">
        <v>186</v>
      </c>
      <c r="N126" t="s">
        <v>11</v>
      </c>
      <c r="O126" s="49">
        <v>92.743399999999994</v>
      </c>
      <c r="P126" s="9">
        <f>ROUND(O126*L126,2)</f>
        <v>11592.93</v>
      </c>
      <c r="Q126" s="10">
        <f>IF(N126="HKD",7.8,IF(N126="CNY",7.30034,1))</f>
        <v>7.3003400000000003</v>
      </c>
      <c r="R126" s="10">
        <f>+ROUND(O126/Q126,4)</f>
        <v>12.704000000000001</v>
      </c>
      <c r="S126" s="11">
        <f>ROUND(R126*L126,2)</f>
        <v>1588</v>
      </c>
      <c r="T126" s="10" t="s">
        <v>349</v>
      </c>
      <c r="U126" t="s">
        <v>327</v>
      </c>
    </row>
    <row r="127" spans="1:21">
      <c r="A127" t="s">
        <v>4320</v>
      </c>
      <c r="B127" s="20">
        <v>45771</v>
      </c>
      <c r="C127" s="20">
        <v>45754</v>
      </c>
      <c r="D127" t="s">
        <v>311</v>
      </c>
      <c r="E127" t="s">
        <v>312</v>
      </c>
      <c r="G127" t="s">
        <v>4554</v>
      </c>
      <c r="H127" t="s">
        <v>669</v>
      </c>
      <c r="I127" t="s">
        <v>670</v>
      </c>
      <c r="J127" s="8" t="str">
        <f>+LEFT(U127,4)</f>
        <v>INM-</v>
      </c>
      <c r="K127" t="s">
        <v>10</v>
      </c>
      <c r="L127" s="46">
        <v>25</v>
      </c>
      <c r="M127" t="s">
        <v>186</v>
      </c>
      <c r="N127" t="s">
        <v>11</v>
      </c>
      <c r="O127" s="49">
        <v>110.17700000000001</v>
      </c>
      <c r="P127" s="9">
        <f>ROUND(O127*L127,2)</f>
        <v>2754.43</v>
      </c>
      <c r="Q127" s="10">
        <f>IF(N127="HKD",7.8,IF(N127="CNY",7.30034,1))</f>
        <v>7.3003400000000003</v>
      </c>
      <c r="R127" s="10">
        <f>+ROUND(O127/Q127,4)</f>
        <v>15.092000000000001</v>
      </c>
      <c r="S127" s="11">
        <f>ROUND(R127*L127,2)</f>
        <v>377.3</v>
      </c>
      <c r="T127" s="10" t="s">
        <v>349</v>
      </c>
      <c r="U127" t="s">
        <v>327</v>
      </c>
    </row>
    <row r="128" spans="1:21">
      <c r="A128" t="s">
        <v>4171</v>
      </c>
      <c r="B128" s="20">
        <v>45771</v>
      </c>
      <c r="C128" s="20">
        <v>45720</v>
      </c>
      <c r="D128" t="s">
        <v>94</v>
      </c>
      <c r="E128" t="s">
        <v>95</v>
      </c>
      <c r="G128" t="s">
        <v>4459</v>
      </c>
      <c r="H128" t="s">
        <v>3738</v>
      </c>
      <c r="I128" t="s">
        <v>3739</v>
      </c>
      <c r="J128" s="8" t="str">
        <f>+LEFT(U128,4)</f>
        <v>LID-</v>
      </c>
      <c r="K128" t="s">
        <v>98</v>
      </c>
      <c r="L128" s="46">
        <v>600</v>
      </c>
      <c r="M128" t="s">
        <v>1472</v>
      </c>
      <c r="N128" t="s">
        <v>11</v>
      </c>
      <c r="O128" s="49">
        <v>4.0599999999999996</v>
      </c>
      <c r="P128" s="9">
        <f>ROUND(O128*L128,2)</f>
        <v>2436</v>
      </c>
      <c r="Q128" s="10">
        <f>IF(N128="HKD",7.8,IF(N128="CNY",7.30034,1))</f>
        <v>7.3003400000000003</v>
      </c>
      <c r="R128" s="10">
        <f>+ROUND(O128/Q128,4)</f>
        <v>0.55610000000000004</v>
      </c>
      <c r="S128" s="11">
        <f>ROUND(R128*L128,2)</f>
        <v>333.66</v>
      </c>
      <c r="T128" s="10" t="s">
        <v>349</v>
      </c>
      <c r="U128" t="s">
        <v>368</v>
      </c>
    </row>
    <row r="129" spans="1:21">
      <c r="A129" t="s">
        <v>4176</v>
      </c>
      <c r="B129" s="20">
        <v>45771</v>
      </c>
      <c r="C129" s="20">
        <v>45714</v>
      </c>
      <c r="D129" t="s">
        <v>830</v>
      </c>
      <c r="E129" t="s">
        <v>831</v>
      </c>
      <c r="G129" t="s">
        <v>4469</v>
      </c>
      <c r="H129" t="s">
        <v>3166</v>
      </c>
      <c r="I129" t="s">
        <v>3376</v>
      </c>
      <c r="J129" s="8" t="str">
        <f>+LEFT(U129,4)</f>
        <v>LID-</v>
      </c>
      <c r="K129" t="s">
        <v>98</v>
      </c>
      <c r="L129" s="46">
        <v>1090</v>
      </c>
      <c r="M129" t="s">
        <v>1472</v>
      </c>
      <c r="N129" t="s">
        <v>11</v>
      </c>
      <c r="O129" s="49">
        <v>4.2</v>
      </c>
      <c r="P129" s="9">
        <f>ROUND(O129*L129,2)</f>
        <v>4578</v>
      </c>
      <c r="Q129" s="10">
        <f>IF(N129="HKD",7.8,IF(N129="CNY",7.30034,1))</f>
        <v>7.3003400000000003</v>
      </c>
      <c r="R129" s="10">
        <f>+ROUND(O129/Q129,4)</f>
        <v>0.57530000000000003</v>
      </c>
      <c r="S129" s="11">
        <f>ROUND(R129*L129,2)</f>
        <v>627.08000000000004</v>
      </c>
      <c r="T129" s="10" t="s">
        <v>349</v>
      </c>
      <c r="U129" t="s">
        <v>368</v>
      </c>
    </row>
    <row r="130" spans="1:21">
      <c r="A130" t="s">
        <v>4128</v>
      </c>
      <c r="B130" s="20">
        <v>45771</v>
      </c>
      <c r="C130" s="20">
        <v>45714</v>
      </c>
      <c r="D130" t="s">
        <v>5</v>
      </c>
      <c r="E130" t="s">
        <v>6</v>
      </c>
      <c r="G130" t="s">
        <v>4436</v>
      </c>
      <c r="H130" t="s">
        <v>1732</v>
      </c>
      <c r="I130" t="s">
        <v>1733</v>
      </c>
      <c r="J130" s="8" t="str">
        <f>+LEFT(U130,4)</f>
        <v>SHTS</v>
      </c>
      <c r="K130" t="s">
        <v>10</v>
      </c>
      <c r="L130" s="46">
        <v>505</v>
      </c>
      <c r="M130" t="s">
        <v>1472</v>
      </c>
      <c r="N130" t="s">
        <v>11</v>
      </c>
      <c r="O130" s="49">
        <v>3.4</v>
      </c>
      <c r="P130" s="9">
        <f>ROUND(O130*L130,2)</f>
        <v>1717</v>
      </c>
      <c r="Q130" s="10">
        <f>IF(N130="HKD",7.8,IF(N130="CNY",7.30034,1))</f>
        <v>7.3003400000000003</v>
      </c>
      <c r="R130" s="10">
        <f>+ROUND(O130/Q130,4)</f>
        <v>0.4657</v>
      </c>
      <c r="S130" s="11">
        <f>ROUND(R130*L130,2)</f>
        <v>235.18</v>
      </c>
      <c r="T130" s="10" t="s">
        <v>349</v>
      </c>
      <c r="U130" t="s">
        <v>9</v>
      </c>
    </row>
    <row r="131" spans="1:21">
      <c r="A131" t="s">
        <v>3838</v>
      </c>
      <c r="B131" s="20">
        <v>45771</v>
      </c>
      <c r="C131" s="20">
        <v>45769</v>
      </c>
      <c r="D131" t="s">
        <v>545</v>
      </c>
      <c r="E131" t="s">
        <v>546</v>
      </c>
      <c r="G131" t="s">
        <v>4345</v>
      </c>
      <c r="H131" t="s">
        <v>557</v>
      </c>
      <c r="I131" t="s">
        <v>558</v>
      </c>
      <c r="J131" s="8" t="str">
        <f>+LEFT(U131,4)</f>
        <v>WHR-</v>
      </c>
      <c r="K131" t="s">
        <v>10</v>
      </c>
      <c r="L131" s="46">
        <v>14400</v>
      </c>
      <c r="M131" t="s">
        <v>1472</v>
      </c>
      <c r="N131" t="s">
        <v>11</v>
      </c>
      <c r="O131" s="49">
        <v>3.9800000000000002E-2</v>
      </c>
      <c r="P131" s="9">
        <f>ROUND(O131*L131,2)</f>
        <v>573.12</v>
      </c>
      <c r="Q131" s="10">
        <f>IF(N131="HKD",7.8,IF(N131="CNY",7.30034,1))</f>
        <v>7.3003400000000003</v>
      </c>
      <c r="R131" s="10">
        <f>+ROUND(O131/Q131,4)</f>
        <v>5.4999999999999997E-3</v>
      </c>
      <c r="S131" s="11">
        <f>ROUND(R131*L131,2)</f>
        <v>79.2</v>
      </c>
      <c r="T131" s="10" t="s">
        <v>349</v>
      </c>
      <c r="U131" t="s">
        <v>248</v>
      </c>
    </row>
    <row r="132" spans="1:21">
      <c r="A132" t="s">
        <v>3840</v>
      </c>
      <c r="B132" s="20">
        <v>45771</v>
      </c>
      <c r="C132" s="20">
        <v>45763</v>
      </c>
      <c r="D132" t="s">
        <v>545</v>
      </c>
      <c r="E132" t="s">
        <v>546</v>
      </c>
      <c r="G132" t="s">
        <v>4345</v>
      </c>
      <c r="H132" t="s">
        <v>563</v>
      </c>
      <c r="I132" t="s">
        <v>564</v>
      </c>
      <c r="J132" s="8" t="str">
        <f>+LEFT(U132,4)</f>
        <v>WHR-</v>
      </c>
      <c r="K132" t="s">
        <v>10</v>
      </c>
      <c r="L132" s="46">
        <v>2100</v>
      </c>
      <c r="M132" t="s">
        <v>1472</v>
      </c>
      <c r="N132" t="s">
        <v>11</v>
      </c>
      <c r="O132" s="49">
        <v>4.1000000000000002E-2</v>
      </c>
      <c r="P132" s="9">
        <f>ROUND(O132*L132,2)</f>
        <v>86.1</v>
      </c>
      <c r="Q132" s="10">
        <f>IF(N132="HKD",7.8,IF(N132="CNY",7.30034,1))</f>
        <v>7.3003400000000003</v>
      </c>
      <c r="R132" s="10">
        <f>+ROUND(O132/Q132,4)</f>
        <v>5.5999999999999999E-3</v>
      </c>
      <c r="S132" s="11">
        <f>ROUND(R132*L132,2)</f>
        <v>11.76</v>
      </c>
      <c r="T132" s="10" t="s">
        <v>349</v>
      </c>
      <c r="U132" t="s">
        <v>248</v>
      </c>
    </row>
    <row r="133" spans="1:21">
      <c r="A133" t="s">
        <v>3841</v>
      </c>
      <c r="B133" s="20">
        <v>45771</v>
      </c>
      <c r="C133" s="20">
        <v>45765</v>
      </c>
      <c r="D133" t="s">
        <v>545</v>
      </c>
      <c r="E133" t="s">
        <v>546</v>
      </c>
      <c r="G133" t="s">
        <v>4345</v>
      </c>
      <c r="H133" t="s">
        <v>563</v>
      </c>
      <c r="I133" t="s">
        <v>564</v>
      </c>
      <c r="J133" s="8" t="str">
        <f>+LEFT(U133,4)</f>
        <v>WHR-</v>
      </c>
      <c r="K133" t="s">
        <v>10</v>
      </c>
      <c r="L133" s="46">
        <v>2300</v>
      </c>
      <c r="M133" t="s">
        <v>1472</v>
      </c>
      <c r="N133" t="s">
        <v>11</v>
      </c>
      <c r="O133" s="49">
        <v>4.1000000000000002E-2</v>
      </c>
      <c r="P133" s="9">
        <f>ROUND(O133*L133,2)</f>
        <v>94.3</v>
      </c>
      <c r="Q133" s="10">
        <f>IF(N133="HKD",7.8,IF(N133="CNY",7.30034,1))</f>
        <v>7.3003400000000003</v>
      </c>
      <c r="R133" s="10">
        <f>+ROUND(O133/Q133,4)</f>
        <v>5.5999999999999999E-3</v>
      </c>
      <c r="S133" s="11">
        <f>ROUND(R133*L133,2)</f>
        <v>12.88</v>
      </c>
      <c r="T133" s="10" t="s">
        <v>349</v>
      </c>
      <c r="U133" t="s">
        <v>248</v>
      </c>
    </row>
    <row r="134" spans="1:21">
      <c r="A134" t="s">
        <v>3842</v>
      </c>
      <c r="B134" s="20">
        <v>45771</v>
      </c>
      <c r="C134" s="20">
        <v>45768</v>
      </c>
      <c r="D134" t="s">
        <v>545</v>
      </c>
      <c r="E134" t="s">
        <v>546</v>
      </c>
      <c r="G134" t="s">
        <v>4345</v>
      </c>
      <c r="H134" t="s">
        <v>563</v>
      </c>
      <c r="I134" t="s">
        <v>564</v>
      </c>
      <c r="J134" s="8" t="str">
        <f>+LEFT(U134,4)</f>
        <v>WHR-</v>
      </c>
      <c r="K134" t="s">
        <v>10</v>
      </c>
      <c r="L134" s="46">
        <v>2000</v>
      </c>
      <c r="M134" t="s">
        <v>1472</v>
      </c>
      <c r="N134" t="s">
        <v>11</v>
      </c>
      <c r="O134" s="49">
        <v>4.1000000000000002E-2</v>
      </c>
      <c r="P134" s="9">
        <f>ROUND(O134*L134,2)</f>
        <v>82</v>
      </c>
      <c r="Q134" s="10">
        <f>IF(N134="HKD",7.8,IF(N134="CNY",7.30034,1))</f>
        <v>7.3003400000000003</v>
      </c>
      <c r="R134" s="10">
        <f>+ROUND(O134/Q134,4)</f>
        <v>5.5999999999999999E-3</v>
      </c>
      <c r="S134" s="11">
        <f>ROUND(R134*L134,2)</f>
        <v>11.2</v>
      </c>
      <c r="T134" s="10" t="s">
        <v>349</v>
      </c>
      <c r="U134" t="s">
        <v>248</v>
      </c>
    </row>
    <row r="135" spans="1:21">
      <c r="A135" t="s">
        <v>3847</v>
      </c>
      <c r="B135" s="20">
        <v>45771</v>
      </c>
      <c r="C135" s="20">
        <v>45763</v>
      </c>
      <c r="D135" t="s">
        <v>545</v>
      </c>
      <c r="E135" t="s">
        <v>546</v>
      </c>
      <c r="G135" t="s">
        <v>4345</v>
      </c>
      <c r="H135" t="s">
        <v>543</v>
      </c>
      <c r="I135" t="s">
        <v>544</v>
      </c>
      <c r="J135" s="8" t="str">
        <f>+LEFT(U135,4)</f>
        <v>WHR-</v>
      </c>
      <c r="K135" t="s">
        <v>10</v>
      </c>
      <c r="L135" s="46">
        <v>10000</v>
      </c>
      <c r="M135" t="s">
        <v>1472</v>
      </c>
      <c r="N135" t="s">
        <v>11</v>
      </c>
      <c r="O135" s="49">
        <v>4.2999999999999997E-2</v>
      </c>
      <c r="P135" s="9">
        <f>ROUND(O135*L135,2)</f>
        <v>430</v>
      </c>
      <c r="Q135" s="10">
        <f>IF(N135="HKD",7.8,IF(N135="CNY",7.30034,1))</f>
        <v>7.3003400000000003</v>
      </c>
      <c r="R135" s="10">
        <f>+ROUND(O135/Q135,4)</f>
        <v>5.8999999999999999E-3</v>
      </c>
      <c r="S135" s="11">
        <f>ROUND(R135*L135,2)</f>
        <v>59</v>
      </c>
      <c r="T135" s="10" t="s">
        <v>349</v>
      </c>
      <c r="U135" t="s">
        <v>248</v>
      </c>
    </row>
    <row r="136" spans="1:21">
      <c r="A136" t="s">
        <v>3848</v>
      </c>
      <c r="B136" s="20">
        <v>45771</v>
      </c>
      <c r="C136" s="20">
        <v>45765</v>
      </c>
      <c r="D136" t="s">
        <v>545</v>
      </c>
      <c r="E136" t="s">
        <v>546</v>
      </c>
      <c r="G136" t="s">
        <v>4345</v>
      </c>
      <c r="H136" t="s">
        <v>543</v>
      </c>
      <c r="I136" t="s">
        <v>544</v>
      </c>
      <c r="J136" s="8" t="str">
        <f>+LEFT(U136,4)</f>
        <v>WHR-</v>
      </c>
      <c r="K136" t="s">
        <v>10</v>
      </c>
      <c r="L136" s="46">
        <v>6500</v>
      </c>
      <c r="M136" t="s">
        <v>1472</v>
      </c>
      <c r="N136" t="s">
        <v>11</v>
      </c>
      <c r="O136" s="49">
        <v>4.2999999999999997E-2</v>
      </c>
      <c r="P136" s="9">
        <f>ROUND(O136*L136,2)</f>
        <v>279.5</v>
      </c>
      <c r="Q136" s="10">
        <f>IF(N136="HKD",7.8,IF(N136="CNY",7.30034,1))</f>
        <v>7.3003400000000003</v>
      </c>
      <c r="R136" s="10">
        <f>+ROUND(O136/Q136,4)</f>
        <v>5.8999999999999999E-3</v>
      </c>
      <c r="S136" s="11">
        <f>ROUND(R136*L136,2)</f>
        <v>38.35</v>
      </c>
      <c r="T136" s="10" t="s">
        <v>349</v>
      </c>
      <c r="U136" t="s">
        <v>248</v>
      </c>
    </row>
    <row r="137" spans="1:21">
      <c r="A137" t="s">
        <v>3862</v>
      </c>
      <c r="B137" s="20">
        <v>45771</v>
      </c>
      <c r="C137" s="20">
        <v>45768</v>
      </c>
      <c r="D137" t="s">
        <v>545</v>
      </c>
      <c r="E137" t="s">
        <v>546</v>
      </c>
      <c r="G137" t="s">
        <v>4345</v>
      </c>
      <c r="H137" t="s">
        <v>939</v>
      </c>
      <c r="I137" t="s">
        <v>940</v>
      </c>
      <c r="J137" s="8" t="str">
        <f>+LEFT(U137,4)</f>
        <v>WHR-</v>
      </c>
      <c r="K137" t="s">
        <v>10</v>
      </c>
      <c r="L137" s="46">
        <v>2000</v>
      </c>
      <c r="M137" t="s">
        <v>1472</v>
      </c>
      <c r="N137" t="s">
        <v>11</v>
      </c>
      <c r="O137" s="49">
        <v>6.2E-2</v>
      </c>
      <c r="P137" s="9">
        <f>ROUND(O137*L137,2)</f>
        <v>124</v>
      </c>
      <c r="Q137" s="10">
        <f>IF(N137="HKD",7.8,IF(N137="CNY",7.30034,1))</f>
        <v>7.3003400000000003</v>
      </c>
      <c r="R137" s="10">
        <f>+ROUND(O137/Q137,4)</f>
        <v>8.5000000000000006E-3</v>
      </c>
      <c r="S137" s="11">
        <f>ROUND(R137*L137,2)</f>
        <v>17</v>
      </c>
      <c r="T137" s="10" t="s">
        <v>349</v>
      </c>
      <c r="U137" t="s">
        <v>248</v>
      </c>
    </row>
    <row r="138" spans="1:21">
      <c r="A138" t="s">
        <v>3884</v>
      </c>
      <c r="B138" s="20">
        <v>45771</v>
      </c>
      <c r="C138" s="20">
        <v>45756</v>
      </c>
      <c r="D138" t="s">
        <v>545</v>
      </c>
      <c r="E138" t="s">
        <v>546</v>
      </c>
      <c r="G138" t="s">
        <v>4345</v>
      </c>
      <c r="H138" t="s">
        <v>245</v>
      </c>
      <c r="I138" t="s">
        <v>246</v>
      </c>
      <c r="J138" s="8" t="str">
        <f>+LEFT(U138,4)</f>
        <v>WHR-</v>
      </c>
      <c r="K138" t="s">
        <v>10</v>
      </c>
      <c r="L138" s="46">
        <v>16000</v>
      </c>
      <c r="M138" t="s">
        <v>1472</v>
      </c>
      <c r="N138" t="s">
        <v>11</v>
      </c>
      <c r="O138" s="49">
        <v>0.108</v>
      </c>
      <c r="P138" s="9">
        <f>ROUND(O138*L138,2)</f>
        <v>1728</v>
      </c>
      <c r="Q138" s="10">
        <f>IF(N138="HKD",7.8,IF(N138="CNY",7.30034,1))</f>
        <v>7.3003400000000003</v>
      </c>
      <c r="R138" s="10">
        <f>+ROUND(O138/Q138,4)</f>
        <v>1.4800000000000001E-2</v>
      </c>
      <c r="S138" s="11">
        <f>ROUND(R138*L138,2)</f>
        <v>236.8</v>
      </c>
      <c r="T138" s="10" t="s">
        <v>349</v>
      </c>
      <c r="U138" t="s">
        <v>248</v>
      </c>
    </row>
    <row r="139" spans="1:21">
      <c r="A139" t="s">
        <v>3885</v>
      </c>
      <c r="B139" s="20">
        <v>45771</v>
      </c>
      <c r="C139" s="20">
        <v>45765</v>
      </c>
      <c r="D139" t="s">
        <v>545</v>
      </c>
      <c r="E139" t="s">
        <v>546</v>
      </c>
      <c r="G139" t="s">
        <v>4345</v>
      </c>
      <c r="H139" t="s">
        <v>245</v>
      </c>
      <c r="I139" t="s">
        <v>246</v>
      </c>
      <c r="J139" s="8" t="str">
        <f>+LEFT(U139,4)</f>
        <v>WHR-</v>
      </c>
      <c r="K139" t="s">
        <v>10</v>
      </c>
      <c r="L139" s="46">
        <v>8500</v>
      </c>
      <c r="M139" t="s">
        <v>1472</v>
      </c>
      <c r="N139" t="s">
        <v>11</v>
      </c>
      <c r="O139" s="49">
        <v>0.108</v>
      </c>
      <c r="P139" s="9">
        <f>ROUND(O139*L139,2)</f>
        <v>918</v>
      </c>
      <c r="Q139" s="10">
        <f>IF(N139="HKD",7.8,IF(N139="CNY",7.30034,1))</f>
        <v>7.3003400000000003</v>
      </c>
      <c r="R139" s="10">
        <f>+ROUND(O139/Q139,4)</f>
        <v>1.4800000000000001E-2</v>
      </c>
      <c r="S139" s="11">
        <f>ROUND(R139*L139,2)</f>
        <v>125.8</v>
      </c>
      <c r="T139" s="10" t="s">
        <v>349</v>
      </c>
      <c r="U139" t="s">
        <v>248</v>
      </c>
    </row>
    <row r="140" spans="1:21">
      <c r="A140" t="s">
        <v>4296</v>
      </c>
      <c r="B140" s="20">
        <v>45770</v>
      </c>
      <c r="C140" s="20">
        <v>45768</v>
      </c>
      <c r="D140" t="s">
        <v>1006</v>
      </c>
      <c r="E140" t="s">
        <v>1007</v>
      </c>
      <c r="G140" t="s">
        <v>4543</v>
      </c>
      <c r="H140" t="s">
        <v>1819</v>
      </c>
      <c r="I140" t="s">
        <v>1820</v>
      </c>
      <c r="J140" s="8" t="str">
        <f>+LEFT(U140,4)</f>
        <v>ALM-</v>
      </c>
      <c r="K140" t="s">
        <v>10</v>
      </c>
      <c r="L140" s="46">
        <v>30000</v>
      </c>
      <c r="M140" t="s">
        <v>186</v>
      </c>
      <c r="N140" t="s">
        <v>11</v>
      </c>
      <c r="O140" s="49">
        <v>17.530999999999999</v>
      </c>
      <c r="P140" s="9">
        <f>ROUND(O140*L140,2)</f>
        <v>525930</v>
      </c>
      <c r="Q140" s="10">
        <f>IF(N140="HKD",7.8,IF(N140="CNY",7.30034,1))</f>
        <v>7.3003400000000003</v>
      </c>
      <c r="R140" s="10">
        <f>+ROUND(O140/Q140,4)</f>
        <v>2.4014000000000002</v>
      </c>
      <c r="S140" s="11">
        <f>ROUND(R140*L140,2)</f>
        <v>72042</v>
      </c>
      <c r="T140" s="10" t="s">
        <v>349</v>
      </c>
      <c r="U140" t="s">
        <v>191</v>
      </c>
    </row>
    <row r="141" spans="1:21">
      <c r="A141" t="s">
        <v>4119</v>
      </c>
      <c r="B141" s="20">
        <v>45770</v>
      </c>
      <c r="C141" s="20">
        <v>45695</v>
      </c>
      <c r="D141" t="s">
        <v>94</v>
      </c>
      <c r="E141" t="s">
        <v>95</v>
      </c>
      <c r="G141" t="s">
        <v>4432</v>
      </c>
      <c r="H141" t="s">
        <v>1728</v>
      </c>
      <c r="I141" t="s">
        <v>1729</v>
      </c>
      <c r="J141" s="8" t="str">
        <f>+LEFT(U141,4)</f>
        <v>LID-</v>
      </c>
      <c r="K141" t="s">
        <v>98</v>
      </c>
      <c r="L141" s="46">
        <v>510</v>
      </c>
      <c r="M141" t="s">
        <v>1472</v>
      </c>
      <c r="N141" t="s">
        <v>11</v>
      </c>
      <c r="O141" s="49">
        <v>3.3</v>
      </c>
      <c r="P141" s="9">
        <f>ROUND(O141*L141,2)</f>
        <v>1683</v>
      </c>
      <c r="Q141" s="10">
        <f>IF(N141="HKD",7.8,IF(N141="CNY",7.30034,1))</f>
        <v>7.3003400000000003</v>
      </c>
      <c r="R141" s="10">
        <f>+ROUND(O141/Q141,4)</f>
        <v>0.45200000000000001</v>
      </c>
      <c r="S141" s="11">
        <f>ROUND(R141*L141,2)</f>
        <v>230.52</v>
      </c>
      <c r="T141" s="10" t="s">
        <v>349</v>
      </c>
      <c r="U141" t="s">
        <v>368</v>
      </c>
    </row>
    <row r="142" spans="1:21">
      <c r="A142" t="s">
        <v>4127</v>
      </c>
      <c r="B142" s="20">
        <v>45770</v>
      </c>
      <c r="C142" s="20">
        <v>45695</v>
      </c>
      <c r="D142" t="s">
        <v>94</v>
      </c>
      <c r="E142" t="s">
        <v>95</v>
      </c>
      <c r="G142" t="s">
        <v>4432</v>
      </c>
      <c r="H142" t="s">
        <v>3061</v>
      </c>
      <c r="I142" t="s">
        <v>3277</v>
      </c>
      <c r="J142" s="8" t="str">
        <f>+LEFT(U142,4)</f>
        <v>LID-</v>
      </c>
      <c r="K142" t="s">
        <v>98</v>
      </c>
      <c r="L142" s="46">
        <v>510</v>
      </c>
      <c r="M142" t="s">
        <v>1472</v>
      </c>
      <c r="N142" t="s">
        <v>11</v>
      </c>
      <c r="O142" s="49">
        <v>3.4</v>
      </c>
      <c r="P142" s="9">
        <f>ROUND(O142*L142,2)</f>
        <v>1734</v>
      </c>
      <c r="Q142" s="10">
        <f>IF(N142="HKD",7.8,IF(N142="CNY",7.30034,1))</f>
        <v>7.3003400000000003</v>
      </c>
      <c r="R142" s="10">
        <f>+ROUND(O142/Q142,4)</f>
        <v>0.4657</v>
      </c>
      <c r="S142" s="11">
        <f>ROUND(R142*L142,2)</f>
        <v>237.51</v>
      </c>
      <c r="T142" s="10" t="s">
        <v>349</v>
      </c>
      <c r="U142" t="s">
        <v>368</v>
      </c>
    </row>
    <row r="143" spans="1:21">
      <c r="A143" t="s">
        <v>4176</v>
      </c>
      <c r="B143" s="20">
        <v>45770</v>
      </c>
      <c r="C143" s="20">
        <v>45714</v>
      </c>
      <c r="D143" t="s">
        <v>830</v>
      </c>
      <c r="E143" t="s">
        <v>831</v>
      </c>
      <c r="G143" t="s">
        <v>4470</v>
      </c>
      <c r="H143" t="s">
        <v>3166</v>
      </c>
      <c r="I143" t="s">
        <v>3376</v>
      </c>
      <c r="J143" s="8" t="str">
        <f>+LEFT(U143,4)</f>
        <v>LID-</v>
      </c>
      <c r="K143" t="s">
        <v>98</v>
      </c>
      <c r="L143" s="46">
        <v>1000</v>
      </c>
      <c r="M143" t="s">
        <v>1472</v>
      </c>
      <c r="N143" t="s">
        <v>11</v>
      </c>
      <c r="O143" s="49">
        <v>4.2</v>
      </c>
      <c r="P143" s="9">
        <f>ROUND(O143*L143,2)</f>
        <v>4200</v>
      </c>
      <c r="Q143" s="10">
        <f>IF(N143="HKD",7.8,IF(N143="CNY",7.30034,1))</f>
        <v>7.3003400000000003</v>
      </c>
      <c r="R143" s="10">
        <f>+ROUND(O143/Q143,4)</f>
        <v>0.57530000000000003</v>
      </c>
      <c r="S143" s="11">
        <f>ROUND(R143*L143,2)</f>
        <v>575.29999999999995</v>
      </c>
      <c r="T143" s="10" t="s">
        <v>349</v>
      </c>
      <c r="U143" t="s">
        <v>368</v>
      </c>
    </row>
    <row r="144" spans="1:21">
      <c r="A144" t="s">
        <v>4036</v>
      </c>
      <c r="B144" s="20">
        <v>45770</v>
      </c>
      <c r="C144" s="20">
        <v>45729</v>
      </c>
      <c r="D144" t="s">
        <v>925</v>
      </c>
      <c r="E144" t="s">
        <v>926</v>
      </c>
      <c r="G144" t="s">
        <v>4418</v>
      </c>
      <c r="H144" t="s">
        <v>3080</v>
      </c>
      <c r="I144" t="s">
        <v>3296</v>
      </c>
      <c r="J144" s="8" t="str">
        <f>+LEFT(U144,4)</f>
        <v>SHDL</v>
      </c>
      <c r="K144" t="s">
        <v>10</v>
      </c>
      <c r="L144" s="46">
        <v>2040</v>
      </c>
      <c r="M144" t="s">
        <v>1472</v>
      </c>
      <c r="N144" t="s">
        <v>11</v>
      </c>
      <c r="O144" s="49">
        <v>2.4539</v>
      </c>
      <c r="P144" s="9">
        <f>ROUND(O144*L144,2)</f>
        <v>5005.96</v>
      </c>
      <c r="Q144" s="10">
        <f>IF(N144="HKD",7.8,IF(N144="CNY",7.30034,1))</f>
        <v>7.3003400000000003</v>
      </c>
      <c r="R144" s="10">
        <f>+ROUND(O144/Q144,4)</f>
        <v>0.33610000000000001</v>
      </c>
      <c r="S144" s="11">
        <f>ROUND(R144*L144,2)</f>
        <v>685.64</v>
      </c>
      <c r="T144" s="10" t="s">
        <v>349</v>
      </c>
      <c r="U144" t="s">
        <v>722</v>
      </c>
    </row>
    <row r="145" spans="1:21">
      <c r="A145" t="s">
        <v>3829</v>
      </c>
      <c r="B145" s="20">
        <v>45769</v>
      </c>
      <c r="C145" s="20">
        <v>45727</v>
      </c>
      <c r="D145" t="s">
        <v>149</v>
      </c>
      <c r="E145" t="s">
        <v>150</v>
      </c>
      <c r="G145" t="s">
        <v>4339</v>
      </c>
      <c r="H145" t="s">
        <v>79</v>
      </c>
      <c r="I145" t="s">
        <v>80</v>
      </c>
      <c r="J145" s="8" t="s">
        <v>1478</v>
      </c>
      <c r="K145" t="s">
        <v>10</v>
      </c>
      <c r="L145" s="46">
        <v>1028</v>
      </c>
      <c r="M145" t="s">
        <v>1472</v>
      </c>
      <c r="N145" t="s">
        <v>11</v>
      </c>
      <c r="O145" s="49">
        <v>0</v>
      </c>
      <c r="P145" s="9">
        <f>ROUND(O145*L145,2)</f>
        <v>0</v>
      </c>
      <c r="Q145" s="10">
        <f>IF(N145="HKD",7.8,IF(N145="CNY",7.30034,1))</f>
        <v>7.3003400000000003</v>
      </c>
      <c r="R145" s="10">
        <f>+ROUND(O145/Q145,4)</f>
        <v>0</v>
      </c>
      <c r="S145" s="11">
        <f>ROUND(R145*L145,2)</f>
        <v>0</v>
      </c>
      <c r="T145" s="10" t="s">
        <v>349</v>
      </c>
      <c r="U145" t="s">
        <v>36</v>
      </c>
    </row>
    <row r="146" spans="1:21">
      <c r="A146" t="s">
        <v>4050</v>
      </c>
      <c r="B146" s="20">
        <v>45769</v>
      </c>
      <c r="C146" s="20">
        <v>45768</v>
      </c>
      <c r="D146" t="s">
        <v>5</v>
      </c>
      <c r="E146" t="s">
        <v>6</v>
      </c>
      <c r="G146" t="s">
        <v>4425</v>
      </c>
      <c r="H146" t="s">
        <v>3654</v>
      </c>
      <c r="I146" t="s">
        <v>3655</v>
      </c>
      <c r="J146" s="8" t="str">
        <f>+LEFT(U146,4)</f>
        <v>BOX-</v>
      </c>
      <c r="K146" t="s">
        <v>10</v>
      </c>
      <c r="L146" s="46">
        <v>1010</v>
      </c>
      <c r="M146" t="s">
        <v>1472</v>
      </c>
      <c r="N146" t="s">
        <v>11</v>
      </c>
      <c r="O146" s="49">
        <v>2.74</v>
      </c>
      <c r="P146" s="9">
        <f>ROUND(O146*L146,2)</f>
        <v>2767.4</v>
      </c>
      <c r="Q146" s="10">
        <f>IF(N146="HKD",7.8,IF(N146="CNY",7.30034,1))</f>
        <v>7.3003400000000003</v>
      </c>
      <c r="R146" s="10">
        <f>+ROUND(O146/Q146,4)</f>
        <v>0.37530000000000002</v>
      </c>
      <c r="S146" s="11">
        <f>ROUND(R146*L146,2)</f>
        <v>379.05</v>
      </c>
      <c r="T146" s="10" t="s">
        <v>349</v>
      </c>
      <c r="U146" t="s">
        <v>1</v>
      </c>
    </row>
    <row r="147" spans="1:21">
      <c r="A147" t="s">
        <v>4055</v>
      </c>
      <c r="B147" s="20">
        <v>45769</v>
      </c>
      <c r="C147" s="20">
        <v>45768</v>
      </c>
      <c r="D147" t="s">
        <v>5</v>
      </c>
      <c r="E147" t="s">
        <v>6</v>
      </c>
      <c r="G147" t="s">
        <v>4425</v>
      </c>
      <c r="H147" t="s">
        <v>3660</v>
      </c>
      <c r="I147" t="s">
        <v>3661</v>
      </c>
      <c r="J147" s="8" t="str">
        <f>+LEFT(U147,4)</f>
        <v>BOX-</v>
      </c>
      <c r="K147" t="s">
        <v>10</v>
      </c>
      <c r="L147" s="46">
        <v>1010</v>
      </c>
      <c r="M147" t="s">
        <v>1472</v>
      </c>
      <c r="N147" t="s">
        <v>11</v>
      </c>
      <c r="O147" s="49">
        <v>2.89</v>
      </c>
      <c r="P147" s="9">
        <f>ROUND(O147*L147,2)</f>
        <v>2918.9</v>
      </c>
      <c r="Q147" s="10">
        <f>IF(N147="HKD",7.8,IF(N147="CNY",7.30034,1))</f>
        <v>7.3003400000000003</v>
      </c>
      <c r="R147" s="10">
        <f>+ROUND(O147/Q147,4)</f>
        <v>0.39589999999999997</v>
      </c>
      <c r="S147" s="11">
        <f>ROUND(R147*L147,2)</f>
        <v>399.86</v>
      </c>
      <c r="T147" s="10" t="s">
        <v>349</v>
      </c>
      <c r="U147" t="s">
        <v>1</v>
      </c>
    </row>
    <row r="148" spans="1:21">
      <c r="A148" t="s">
        <v>4071</v>
      </c>
      <c r="B148" s="20">
        <v>45769</v>
      </c>
      <c r="C148" s="20">
        <v>45764</v>
      </c>
      <c r="D148" t="s">
        <v>5</v>
      </c>
      <c r="E148" t="s">
        <v>6</v>
      </c>
      <c r="G148" t="s">
        <v>4428</v>
      </c>
      <c r="H148" t="s">
        <v>3672</v>
      </c>
      <c r="I148" t="s">
        <v>3673</v>
      </c>
      <c r="J148" s="8" t="str">
        <f>+LEFT(U148,4)</f>
        <v>BOX-</v>
      </c>
      <c r="K148" t="s">
        <v>10</v>
      </c>
      <c r="L148" s="46">
        <v>1010</v>
      </c>
      <c r="M148" t="s">
        <v>1472</v>
      </c>
      <c r="N148" t="s">
        <v>11</v>
      </c>
      <c r="O148" s="49">
        <v>2.98</v>
      </c>
      <c r="P148" s="9">
        <f>ROUND(O148*L148,2)</f>
        <v>3009.8</v>
      </c>
      <c r="Q148" s="10">
        <f>IF(N148="HKD",7.8,IF(N148="CNY",7.30034,1))</f>
        <v>7.3003400000000003</v>
      </c>
      <c r="R148" s="10">
        <f>+ROUND(O148/Q148,4)</f>
        <v>0.40820000000000001</v>
      </c>
      <c r="S148" s="11">
        <f>ROUND(R148*L148,2)</f>
        <v>412.28</v>
      </c>
      <c r="T148" s="10" t="s">
        <v>349</v>
      </c>
      <c r="U148" t="s">
        <v>1</v>
      </c>
    </row>
    <row r="149" spans="1:21">
      <c r="A149" t="s">
        <v>4084</v>
      </c>
      <c r="B149" s="20">
        <v>45769</v>
      </c>
      <c r="C149" s="20">
        <v>45764</v>
      </c>
      <c r="D149" t="s">
        <v>5</v>
      </c>
      <c r="E149" t="s">
        <v>6</v>
      </c>
      <c r="G149" t="s">
        <v>4428</v>
      </c>
      <c r="H149" t="s">
        <v>3680</v>
      </c>
      <c r="I149" t="s">
        <v>3681</v>
      </c>
      <c r="J149" s="8" t="str">
        <f>+LEFT(U149,4)</f>
        <v>BOX-</v>
      </c>
      <c r="K149" t="s">
        <v>10</v>
      </c>
      <c r="L149" s="46">
        <v>1010</v>
      </c>
      <c r="M149" t="s">
        <v>1472</v>
      </c>
      <c r="N149" t="s">
        <v>11</v>
      </c>
      <c r="O149" s="49">
        <v>3.13</v>
      </c>
      <c r="P149" s="9">
        <f>ROUND(O149*L149,2)</f>
        <v>3161.3</v>
      </c>
      <c r="Q149" s="10">
        <f>IF(N149="HKD",7.8,IF(N149="CNY",7.30034,1))</f>
        <v>7.3003400000000003</v>
      </c>
      <c r="R149" s="10">
        <f>+ROUND(O149/Q149,4)</f>
        <v>0.42870000000000003</v>
      </c>
      <c r="S149" s="11">
        <f>ROUND(R149*L149,2)</f>
        <v>432.99</v>
      </c>
      <c r="T149" s="10" t="s">
        <v>349</v>
      </c>
      <c r="U149" t="s">
        <v>1</v>
      </c>
    </row>
    <row r="150" spans="1:21">
      <c r="A150" t="s">
        <v>4115</v>
      </c>
      <c r="B150" s="20">
        <v>45769</v>
      </c>
      <c r="C150" s="20">
        <v>45755</v>
      </c>
      <c r="D150" t="s">
        <v>280</v>
      </c>
      <c r="E150" t="s">
        <v>281</v>
      </c>
      <c r="G150" t="s">
        <v>4431</v>
      </c>
      <c r="H150" t="s">
        <v>284</v>
      </c>
      <c r="I150" t="s">
        <v>285</v>
      </c>
      <c r="J150" s="8" t="str">
        <f>+LEFT(U150,4)</f>
        <v>BOX-</v>
      </c>
      <c r="K150" t="s">
        <v>10</v>
      </c>
      <c r="L150" s="46">
        <v>4050</v>
      </c>
      <c r="M150" t="s">
        <v>1472</v>
      </c>
      <c r="N150" t="s">
        <v>11</v>
      </c>
      <c r="O150" s="49">
        <v>3.18</v>
      </c>
      <c r="P150" s="9">
        <f>ROUND(O150*L150,2)</f>
        <v>12879</v>
      </c>
      <c r="Q150" s="10">
        <f>IF(N150="HKD",7.8,IF(N150="CNY",7.30034,1))</f>
        <v>7.3003400000000003</v>
      </c>
      <c r="R150" s="10">
        <f>+ROUND(O150/Q150,4)</f>
        <v>0.43559999999999999</v>
      </c>
      <c r="S150" s="11">
        <f>ROUND(R150*L150,2)</f>
        <v>1764.18</v>
      </c>
      <c r="T150" s="10" t="s">
        <v>349</v>
      </c>
      <c r="U150" t="s">
        <v>1</v>
      </c>
    </row>
    <row r="151" spans="1:21">
      <c r="A151" t="s">
        <v>4116</v>
      </c>
      <c r="B151" s="20">
        <v>45769</v>
      </c>
      <c r="C151" s="20">
        <v>45755</v>
      </c>
      <c r="D151" t="s">
        <v>280</v>
      </c>
      <c r="E151" t="s">
        <v>281</v>
      </c>
      <c r="G151" t="s">
        <v>4431</v>
      </c>
      <c r="H151" t="s">
        <v>284</v>
      </c>
      <c r="I151" t="s">
        <v>285</v>
      </c>
      <c r="J151" s="8" t="str">
        <f>+LEFT(U151,4)</f>
        <v>BOX-</v>
      </c>
      <c r="K151" t="s">
        <v>10</v>
      </c>
      <c r="L151" s="46">
        <v>200</v>
      </c>
      <c r="M151" t="s">
        <v>1472</v>
      </c>
      <c r="N151" t="s">
        <v>11</v>
      </c>
      <c r="O151" s="49">
        <v>3.18</v>
      </c>
      <c r="P151" s="9">
        <f>ROUND(O151*L151,2)</f>
        <v>636</v>
      </c>
      <c r="Q151" s="10">
        <f>IF(N151="HKD",7.8,IF(N151="CNY",7.30034,1))</f>
        <v>7.3003400000000003</v>
      </c>
      <c r="R151" s="10">
        <f>+ROUND(O151/Q151,4)</f>
        <v>0.43559999999999999</v>
      </c>
      <c r="S151" s="11">
        <f>ROUND(R151*L151,2)</f>
        <v>87.12</v>
      </c>
      <c r="T151" s="10" t="s">
        <v>349</v>
      </c>
      <c r="U151" t="s">
        <v>1</v>
      </c>
    </row>
    <row r="152" spans="1:21">
      <c r="A152" t="s">
        <v>4200</v>
      </c>
      <c r="B152" s="20">
        <v>45769</v>
      </c>
      <c r="C152" s="20">
        <v>45755</v>
      </c>
      <c r="D152" t="s">
        <v>280</v>
      </c>
      <c r="E152" t="s">
        <v>281</v>
      </c>
      <c r="G152" t="s">
        <v>4431</v>
      </c>
      <c r="H152" t="s">
        <v>278</v>
      </c>
      <c r="I152" t="s">
        <v>279</v>
      </c>
      <c r="J152" s="8" t="str">
        <f>+LEFT(U152,4)</f>
        <v>BOX-</v>
      </c>
      <c r="K152" t="s">
        <v>10</v>
      </c>
      <c r="L152" s="46">
        <v>3050</v>
      </c>
      <c r="M152" t="s">
        <v>1472</v>
      </c>
      <c r="N152" t="s">
        <v>11</v>
      </c>
      <c r="O152" s="49">
        <v>5</v>
      </c>
      <c r="P152" s="9">
        <f>ROUND(O152*L152,2)</f>
        <v>15250</v>
      </c>
      <c r="Q152" s="10">
        <f>IF(N152="HKD",7.8,IF(N152="CNY",7.30034,1))</f>
        <v>7.3003400000000003</v>
      </c>
      <c r="R152" s="10">
        <f>+ROUND(O152/Q152,4)</f>
        <v>0.68489999999999995</v>
      </c>
      <c r="S152" s="11">
        <f>ROUND(R152*L152,2)</f>
        <v>2088.9499999999998</v>
      </c>
      <c r="T152" s="10" t="s">
        <v>349</v>
      </c>
      <c r="U152" t="s">
        <v>1</v>
      </c>
    </row>
    <row r="153" spans="1:21">
      <c r="A153" t="s">
        <v>4201</v>
      </c>
      <c r="B153" s="20">
        <v>45769</v>
      </c>
      <c r="C153" s="20">
        <v>45755</v>
      </c>
      <c r="D153" t="s">
        <v>280</v>
      </c>
      <c r="E153" t="s">
        <v>281</v>
      </c>
      <c r="G153" t="s">
        <v>4431</v>
      </c>
      <c r="H153" t="s">
        <v>278</v>
      </c>
      <c r="I153" t="s">
        <v>279</v>
      </c>
      <c r="J153" s="8" t="str">
        <f>+LEFT(U153,4)</f>
        <v>BOX-</v>
      </c>
      <c r="K153" t="s">
        <v>10</v>
      </c>
      <c r="L153" s="46">
        <v>200</v>
      </c>
      <c r="M153" t="s">
        <v>1472</v>
      </c>
      <c r="N153" t="s">
        <v>11</v>
      </c>
      <c r="O153" s="49">
        <v>5</v>
      </c>
      <c r="P153" s="9">
        <f>ROUND(O153*L153,2)</f>
        <v>1000</v>
      </c>
      <c r="Q153" s="10">
        <f>IF(N153="HKD",7.8,IF(N153="CNY",7.30034,1))</f>
        <v>7.3003400000000003</v>
      </c>
      <c r="R153" s="10">
        <f>+ROUND(O153/Q153,4)</f>
        <v>0.68489999999999995</v>
      </c>
      <c r="S153" s="11">
        <f>ROUND(R153*L153,2)</f>
        <v>136.97999999999999</v>
      </c>
      <c r="T153" s="10" t="s">
        <v>349</v>
      </c>
      <c r="U153" t="s">
        <v>1</v>
      </c>
    </row>
    <row r="154" spans="1:21">
      <c r="A154" t="s">
        <v>4265</v>
      </c>
      <c r="B154" s="20">
        <v>45769</v>
      </c>
      <c r="C154" s="20">
        <v>45768</v>
      </c>
      <c r="D154" t="s">
        <v>5</v>
      </c>
      <c r="E154" t="s">
        <v>6</v>
      </c>
      <c r="G154" t="s">
        <v>4533</v>
      </c>
      <c r="H154" t="s">
        <v>3782</v>
      </c>
      <c r="I154" t="s">
        <v>3783</v>
      </c>
      <c r="J154" s="8" t="str">
        <f>+LEFT(U154,4)</f>
        <v>BOX-</v>
      </c>
      <c r="K154" t="s">
        <v>10</v>
      </c>
      <c r="L154" s="46">
        <v>1010</v>
      </c>
      <c r="M154" t="s">
        <v>1472</v>
      </c>
      <c r="N154" t="s">
        <v>11</v>
      </c>
      <c r="O154" s="49">
        <v>8.19</v>
      </c>
      <c r="P154" s="9">
        <f>ROUND(O154*L154,2)</f>
        <v>8271.9</v>
      </c>
      <c r="Q154" s="10">
        <f>IF(N154="HKD",7.8,IF(N154="CNY",7.30034,1))</f>
        <v>7.3003400000000003</v>
      </c>
      <c r="R154" s="10">
        <f>+ROUND(O154/Q154,4)</f>
        <v>1.1218999999999999</v>
      </c>
      <c r="S154" s="11">
        <f>ROUND(R154*L154,2)</f>
        <v>1133.1199999999999</v>
      </c>
      <c r="T154" s="10" t="s">
        <v>349</v>
      </c>
      <c r="U154" t="s">
        <v>1</v>
      </c>
    </row>
    <row r="155" spans="1:21">
      <c r="A155" t="s">
        <v>4279</v>
      </c>
      <c r="B155" s="20">
        <v>45769</v>
      </c>
      <c r="C155" s="20">
        <v>45768</v>
      </c>
      <c r="D155" t="s">
        <v>5</v>
      </c>
      <c r="E155" t="s">
        <v>6</v>
      </c>
      <c r="G155" t="s">
        <v>4533</v>
      </c>
      <c r="H155" t="s">
        <v>3790</v>
      </c>
      <c r="I155" t="s">
        <v>3791</v>
      </c>
      <c r="J155" s="8" t="str">
        <f>+LEFT(U155,4)</f>
        <v>BOX-</v>
      </c>
      <c r="K155" t="s">
        <v>10</v>
      </c>
      <c r="L155" s="46">
        <v>1010</v>
      </c>
      <c r="M155" t="s">
        <v>1472</v>
      </c>
      <c r="N155" t="s">
        <v>11</v>
      </c>
      <c r="O155" s="49">
        <v>10.65</v>
      </c>
      <c r="P155" s="9">
        <f>ROUND(O155*L155,2)</f>
        <v>10756.5</v>
      </c>
      <c r="Q155" s="10">
        <f>IF(N155="HKD",7.8,IF(N155="CNY",7.30034,1))</f>
        <v>7.3003400000000003</v>
      </c>
      <c r="R155" s="10">
        <f>+ROUND(O155/Q155,4)</f>
        <v>1.4588000000000001</v>
      </c>
      <c r="S155" s="11">
        <f>ROUND(R155*L155,2)</f>
        <v>1473.39</v>
      </c>
      <c r="T155" s="10" t="s">
        <v>349</v>
      </c>
      <c r="U155" t="s">
        <v>1</v>
      </c>
    </row>
    <row r="156" spans="1:21">
      <c r="A156" t="s">
        <v>4293</v>
      </c>
      <c r="B156" s="20">
        <v>45769</v>
      </c>
      <c r="C156" s="20">
        <v>45768</v>
      </c>
      <c r="D156" t="s">
        <v>5</v>
      </c>
      <c r="E156" t="s">
        <v>6</v>
      </c>
      <c r="G156" t="s">
        <v>4533</v>
      </c>
      <c r="H156" t="s">
        <v>3806</v>
      </c>
      <c r="I156" t="s">
        <v>3807</v>
      </c>
      <c r="J156" s="8" t="str">
        <f>+LEFT(U156,4)</f>
        <v>BOX-</v>
      </c>
      <c r="K156" t="s">
        <v>10</v>
      </c>
      <c r="L156" s="46">
        <v>520</v>
      </c>
      <c r="M156" t="s">
        <v>1472</v>
      </c>
      <c r="N156" t="s">
        <v>11</v>
      </c>
      <c r="O156" s="49">
        <v>15.98</v>
      </c>
      <c r="P156" s="9">
        <f>ROUND(O156*L156,2)</f>
        <v>8309.6</v>
      </c>
      <c r="Q156" s="10">
        <f>IF(N156="HKD",7.8,IF(N156="CNY",7.30034,1))</f>
        <v>7.3003400000000003</v>
      </c>
      <c r="R156" s="10">
        <f>+ROUND(O156/Q156,4)</f>
        <v>2.1888999999999998</v>
      </c>
      <c r="S156" s="11">
        <f>ROUND(R156*L156,2)</f>
        <v>1138.23</v>
      </c>
      <c r="T156" s="10" t="s">
        <v>349</v>
      </c>
      <c r="U156" t="s">
        <v>1</v>
      </c>
    </row>
    <row r="157" spans="1:21">
      <c r="A157" t="s">
        <v>4294</v>
      </c>
      <c r="B157" s="20">
        <v>45769</v>
      </c>
      <c r="C157" s="20">
        <v>45768</v>
      </c>
      <c r="D157" t="s">
        <v>5</v>
      </c>
      <c r="E157" t="s">
        <v>6</v>
      </c>
      <c r="G157" t="s">
        <v>4533</v>
      </c>
      <c r="H157" t="s">
        <v>3806</v>
      </c>
      <c r="I157" t="s">
        <v>3807</v>
      </c>
      <c r="J157" s="8" t="str">
        <f>+LEFT(U157,4)</f>
        <v>BOX-</v>
      </c>
      <c r="K157" t="s">
        <v>10</v>
      </c>
      <c r="L157" s="46">
        <v>500</v>
      </c>
      <c r="M157" t="s">
        <v>1472</v>
      </c>
      <c r="N157" t="s">
        <v>11</v>
      </c>
      <c r="O157" s="49">
        <v>15.98</v>
      </c>
      <c r="P157" s="9">
        <f>ROUND(O157*L157,2)</f>
        <v>7990</v>
      </c>
      <c r="Q157" s="10">
        <f>IF(N157="HKD",7.8,IF(N157="CNY",7.30034,1))</f>
        <v>7.3003400000000003</v>
      </c>
      <c r="R157" s="10">
        <f>+ROUND(O157/Q157,4)</f>
        <v>2.1888999999999998</v>
      </c>
      <c r="S157" s="11">
        <f>ROUND(R157*L157,2)</f>
        <v>1094.45</v>
      </c>
      <c r="T157" s="10" t="s">
        <v>349</v>
      </c>
      <c r="U157" t="s">
        <v>1</v>
      </c>
    </row>
    <row r="158" spans="1:21">
      <c r="A158" t="s">
        <v>4304</v>
      </c>
      <c r="B158" s="20">
        <v>45769</v>
      </c>
      <c r="C158" s="20">
        <v>45740</v>
      </c>
      <c r="D158" t="s">
        <v>311</v>
      </c>
      <c r="E158" t="s">
        <v>312</v>
      </c>
      <c r="G158" t="s">
        <v>4545</v>
      </c>
      <c r="H158" t="s">
        <v>334</v>
      </c>
      <c r="I158" t="s">
        <v>335</v>
      </c>
      <c r="J158" s="8" t="str">
        <f>+LEFT(U158,4)</f>
        <v>EXM-</v>
      </c>
      <c r="K158" t="s">
        <v>10</v>
      </c>
      <c r="L158" s="46">
        <v>100</v>
      </c>
      <c r="M158" t="s">
        <v>186</v>
      </c>
      <c r="N158" t="s">
        <v>11</v>
      </c>
      <c r="O158" s="49">
        <v>70.353999999999999</v>
      </c>
      <c r="P158" s="9">
        <f>ROUND(O158*L158,2)</f>
        <v>7035.4</v>
      </c>
      <c r="Q158" s="10">
        <f>IF(N158="HKD",7.8,IF(N158="CNY",7.30034,1))</f>
        <v>7.3003400000000003</v>
      </c>
      <c r="R158" s="10">
        <f>+ROUND(O158/Q158,4)</f>
        <v>9.6371000000000002</v>
      </c>
      <c r="S158" s="11">
        <f>ROUND(R158*L158,2)</f>
        <v>963.71</v>
      </c>
      <c r="T158" s="10" t="s">
        <v>349</v>
      </c>
      <c r="U158" t="s">
        <v>315</v>
      </c>
    </row>
    <row r="159" spans="1:21">
      <c r="A159" t="s">
        <v>4305</v>
      </c>
      <c r="B159" s="20">
        <v>45769</v>
      </c>
      <c r="C159" s="20">
        <v>45740</v>
      </c>
      <c r="D159" t="s">
        <v>311</v>
      </c>
      <c r="E159" t="s">
        <v>312</v>
      </c>
      <c r="G159" t="s">
        <v>4545</v>
      </c>
      <c r="H159" t="s">
        <v>337</v>
      </c>
      <c r="I159" t="s">
        <v>338</v>
      </c>
      <c r="J159" s="8" t="str">
        <f>+LEFT(U159,4)</f>
        <v>EXM-</v>
      </c>
      <c r="K159" t="s">
        <v>10</v>
      </c>
      <c r="L159" s="46">
        <v>50</v>
      </c>
      <c r="M159" t="s">
        <v>186</v>
      </c>
      <c r="N159" t="s">
        <v>11</v>
      </c>
      <c r="O159" s="49">
        <v>71.769900000000007</v>
      </c>
      <c r="P159" s="9">
        <f>ROUND(O159*L159,2)</f>
        <v>3588.5</v>
      </c>
      <c r="Q159" s="10">
        <f>IF(N159="HKD",7.8,IF(N159="CNY",7.30034,1))</f>
        <v>7.3003400000000003</v>
      </c>
      <c r="R159" s="10">
        <f>+ROUND(O159/Q159,4)</f>
        <v>9.8309999999999995</v>
      </c>
      <c r="S159" s="11">
        <f>ROUND(R159*L159,2)</f>
        <v>491.55</v>
      </c>
      <c r="T159" s="10" t="s">
        <v>349</v>
      </c>
      <c r="U159" t="s">
        <v>315</v>
      </c>
    </row>
    <row r="160" spans="1:21">
      <c r="A160" t="s">
        <v>4313</v>
      </c>
      <c r="B160" s="20">
        <v>45769</v>
      </c>
      <c r="C160" s="20">
        <v>45754</v>
      </c>
      <c r="D160" t="s">
        <v>311</v>
      </c>
      <c r="E160" t="s">
        <v>312</v>
      </c>
      <c r="G160" t="s">
        <v>4552</v>
      </c>
      <c r="H160" t="s">
        <v>1237</v>
      </c>
      <c r="I160" t="s">
        <v>1238</v>
      </c>
      <c r="J160" s="8" t="str">
        <f>+LEFT(U160,4)</f>
        <v>EXM-</v>
      </c>
      <c r="K160" t="s">
        <v>10</v>
      </c>
      <c r="L160" s="46">
        <v>50</v>
      </c>
      <c r="M160" t="s">
        <v>186</v>
      </c>
      <c r="N160" t="s">
        <v>11</v>
      </c>
      <c r="O160" s="49">
        <v>90.177000000000007</v>
      </c>
      <c r="P160" s="9">
        <f>ROUND(O160*L160,2)</f>
        <v>4508.8500000000004</v>
      </c>
      <c r="Q160" s="10">
        <f>IF(N160="HKD",7.8,IF(N160="CNY",7.30034,1))</f>
        <v>7.3003400000000003</v>
      </c>
      <c r="R160" s="10">
        <f>+ROUND(O160/Q160,4)</f>
        <v>12.352399999999999</v>
      </c>
      <c r="S160" s="11">
        <f>ROUND(R160*L160,2)</f>
        <v>617.62</v>
      </c>
      <c r="T160" s="10" t="s">
        <v>349</v>
      </c>
      <c r="U160" t="s">
        <v>315</v>
      </c>
    </row>
    <row r="161" spans="1:21">
      <c r="A161" t="s">
        <v>4325</v>
      </c>
      <c r="B161" s="20">
        <v>45769</v>
      </c>
      <c r="C161" s="20">
        <v>45750</v>
      </c>
      <c r="D161" t="s">
        <v>311</v>
      </c>
      <c r="E161" t="s">
        <v>312</v>
      </c>
      <c r="G161" t="s">
        <v>4559</v>
      </c>
      <c r="H161" t="s">
        <v>316</v>
      </c>
      <c r="I161" t="s">
        <v>317</v>
      </c>
      <c r="J161" s="8" t="str">
        <f>+LEFT(U161,4)</f>
        <v>EXM-</v>
      </c>
      <c r="K161" t="s">
        <v>10</v>
      </c>
      <c r="L161" s="46">
        <v>25</v>
      </c>
      <c r="M161" t="s">
        <v>186</v>
      </c>
      <c r="N161" t="s">
        <v>11</v>
      </c>
      <c r="O161" s="49">
        <v>117.3451</v>
      </c>
      <c r="P161" s="9">
        <f>ROUND(O161*L161,2)</f>
        <v>2933.63</v>
      </c>
      <c r="Q161" s="10">
        <f>IF(N161="HKD",7.8,IF(N161="CNY",7.30034,1))</f>
        <v>7.3003400000000003</v>
      </c>
      <c r="R161" s="10">
        <f>+ROUND(O161/Q161,4)</f>
        <v>16.073899999999998</v>
      </c>
      <c r="S161" s="11">
        <f>ROUND(R161*L161,2)</f>
        <v>401.85</v>
      </c>
      <c r="T161" s="10" t="s">
        <v>349</v>
      </c>
      <c r="U161" t="s">
        <v>315</v>
      </c>
    </row>
    <row r="162" spans="1:21">
      <c r="A162" t="s">
        <v>4221</v>
      </c>
      <c r="B162" s="20">
        <v>45769</v>
      </c>
      <c r="C162" s="20">
        <v>45728</v>
      </c>
      <c r="D162" t="s">
        <v>149</v>
      </c>
      <c r="E162" t="s">
        <v>150</v>
      </c>
      <c r="G162" t="s">
        <v>4511</v>
      </c>
      <c r="H162" t="s">
        <v>3774</v>
      </c>
      <c r="I162" t="s">
        <v>3775</v>
      </c>
      <c r="J162" s="8" t="str">
        <f>+LEFT(U162,4)</f>
        <v>GLID</v>
      </c>
      <c r="K162" t="s">
        <v>10</v>
      </c>
      <c r="L162" s="46">
        <v>520</v>
      </c>
      <c r="M162" t="s">
        <v>1472</v>
      </c>
      <c r="N162" t="s">
        <v>11</v>
      </c>
      <c r="O162" s="49">
        <v>6.3079999999999998</v>
      </c>
      <c r="P162" s="9">
        <f>ROUND(O162*L162,2)</f>
        <v>3280.16</v>
      </c>
      <c r="Q162" s="10">
        <f>IF(N162="HKD",7.8,IF(N162="CNY",7.30034,1))</f>
        <v>7.3003400000000003</v>
      </c>
      <c r="R162" s="10">
        <f>+ROUND(O162/Q162,4)</f>
        <v>0.86409999999999998</v>
      </c>
      <c r="S162" s="11">
        <f>ROUND(R162*L162,2)</f>
        <v>449.33</v>
      </c>
      <c r="T162" s="10" t="s">
        <v>349</v>
      </c>
      <c r="U162" t="s">
        <v>78</v>
      </c>
    </row>
    <row r="163" spans="1:21">
      <c r="A163" t="s">
        <v>4124</v>
      </c>
      <c r="B163" s="20">
        <v>45769</v>
      </c>
      <c r="C163" s="20">
        <v>45723</v>
      </c>
      <c r="D163" t="s">
        <v>128</v>
      </c>
      <c r="E163" t="s">
        <v>129</v>
      </c>
      <c r="G163" t="s">
        <v>4422</v>
      </c>
      <c r="H163" t="s">
        <v>3704</v>
      </c>
      <c r="I163" t="s">
        <v>3705</v>
      </c>
      <c r="J163" s="8" t="str">
        <f>+LEFT(U163,4)</f>
        <v>HDL-</v>
      </c>
      <c r="K163" t="s">
        <v>10</v>
      </c>
      <c r="L163" s="46">
        <v>1020</v>
      </c>
      <c r="M163" t="s">
        <v>1472</v>
      </c>
      <c r="N163" t="s">
        <v>11</v>
      </c>
      <c r="O163" s="49">
        <v>3.3456000000000001</v>
      </c>
      <c r="P163" s="9">
        <f>ROUND(O163*L163,2)</f>
        <v>3412.51</v>
      </c>
      <c r="Q163" s="10">
        <f>IF(N163="HKD",7.8,IF(N163="CNY",7.30034,1))</f>
        <v>7.3003400000000003</v>
      </c>
      <c r="R163" s="10">
        <f>+ROUND(O163/Q163,4)</f>
        <v>0.45829999999999999</v>
      </c>
      <c r="S163" s="11">
        <f>ROUND(R163*L163,2)</f>
        <v>467.47</v>
      </c>
      <c r="T163" s="10" t="s">
        <v>349</v>
      </c>
      <c r="U163" t="s">
        <v>228</v>
      </c>
    </row>
    <row r="164" spans="1:21">
      <c r="A164" t="s">
        <v>4165</v>
      </c>
      <c r="B164" s="20">
        <v>45769</v>
      </c>
      <c r="C164" s="20">
        <v>45723</v>
      </c>
      <c r="D164" t="s">
        <v>121</v>
      </c>
      <c r="E164" t="s">
        <v>122</v>
      </c>
      <c r="G164" t="s">
        <v>4456</v>
      </c>
      <c r="H164" t="s">
        <v>3732</v>
      </c>
      <c r="I164" t="s">
        <v>3733</v>
      </c>
      <c r="J164" s="8" t="str">
        <f>+LEFT(U164,4)</f>
        <v>HDL-</v>
      </c>
      <c r="K164" t="s">
        <v>10</v>
      </c>
      <c r="L164" s="46">
        <v>600</v>
      </c>
      <c r="M164" t="s">
        <v>1472</v>
      </c>
      <c r="N164" t="s">
        <v>11</v>
      </c>
      <c r="O164" s="49">
        <v>3.9847999999999999</v>
      </c>
      <c r="P164" s="9">
        <f>ROUND(O164*L164,2)</f>
        <v>2390.88</v>
      </c>
      <c r="Q164" s="10">
        <f>IF(N164="HKD",7.8,IF(N164="CNY",7.30034,1))</f>
        <v>7.3003400000000003</v>
      </c>
      <c r="R164" s="10">
        <f>+ROUND(O164/Q164,4)</f>
        <v>0.54579999999999995</v>
      </c>
      <c r="S164" s="11">
        <f>ROUND(R164*L164,2)</f>
        <v>327.48</v>
      </c>
      <c r="T164" s="10" t="s">
        <v>349</v>
      </c>
      <c r="U164" t="s">
        <v>228</v>
      </c>
    </row>
    <row r="165" spans="1:21">
      <c r="A165" t="s">
        <v>4227</v>
      </c>
      <c r="B165" s="20">
        <v>45769</v>
      </c>
      <c r="C165" s="20">
        <v>45702</v>
      </c>
      <c r="D165" t="s">
        <v>121</v>
      </c>
      <c r="E165" t="s">
        <v>122</v>
      </c>
      <c r="G165" t="s">
        <v>4516</v>
      </c>
      <c r="H165" t="s">
        <v>3778</v>
      </c>
      <c r="I165" t="s">
        <v>3779</v>
      </c>
      <c r="J165" s="8" t="str">
        <f>+LEFT(U165,4)</f>
        <v>HDL-</v>
      </c>
      <c r="K165" t="s">
        <v>10</v>
      </c>
      <c r="L165" s="46">
        <v>2040</v>
      </c>
      <c r="M165" t="s">
        <v>1472</v>
      </c>
      <c r="N165" t="s">
        <v>11</v>
      </c>
      <c r="O165" s="49">
        <v>7.3367000000000004</v>
      </c>
      <c r="P165" s="9">
        <f>ROUND(O165*L165,2)</f>
        <v>14966.87</v>
      </c>
      <c r="Q165" s="10">
        <f>IF(N165="HKD",7.8,IF(N165="CNY",7.30034,1))</f>
        <v>7.3003400000000003</v>
      </c>
      <c r="R165" s="10">
        <f>+ROUND(O165/Q165,4)</f>
        <v>1.0049999999999999</v>
      </c>
      <c r="S165" s="11">
        <f>ROUND(R165*L165,2)</f>
        <v>2050.1999999999998</v>
      </c>
      <c r="T165" s="10" t="s">
        <v>349</v>
      </c>
      <c r="U165" t="s">
        <v>228</v>
      </c>
    </row>
    <row r="166" spans="1:21">
      <c r="A166" t="s">
        <v>4250</v>
      </c>
      <c r="B166" s="20">
        <v>45769</v>
      </c>
      <c r="C166" s="20">
        <v>45713</v>
      </c>
      <c r="D166" t="s">
        <v>2257</v>
      </c>
      <c r="E166" t="s">
        <v>2258</v>
      </c>
      <c r="G166" t="s">
        <v>4527</v>
      </c>
      <c r="H166" t="s">
        <v>3152</v>
      </c>
      <c r="I166" t="s">
        <v>3362</v>
      </c>
      <c r="J166" s="8" t="str">
        <f>+LEFT(U166,4)</f>
        <v>HDL-</v>
      </c>
      <c r="K166" t="s">
        <v>10</v>
      </c>
      <c r="L166" s="46">
        <v>4500</v>
      </c>
      <c r="M166" t="s">
        <v>1472</v>
      </c>
      <c r="N166" t="s">
        <v>11</v>
      </c>
      <c r="O166" s="49">
        <v>7.4931000000000001</v>
      </c>
      <c r="P166" s="9">
        <f>ROUND(O166*L166,2)</f>
        <v>33718.949999999997</v>
      </c>
      <c r="Q166" s="10">
        <f>IF(N166="HKD",7.8,IF(N166="CNY",7.30034,1))</f>
        <v>7.3003400000000003</v>
      </c>
      <c r="R166" s="10">
        <f>+ROUND(O166/Q166,4)</f>
        <v>1.0264</v>
      </c>
      <c r="S166" s="11">
        <f>ROUND(R166*L166,2)</f>
        <v>4618.8</v>
      </c>
      <c r="T166" s="10" t="s">
        <v>349</v>
      </c>
      <c r="U166" t="s">
        <v>228</v>
      </c>
    </row>
    <row r="167" spans="1:21">
      <c r="A167" t="s">
        <v>4251</v>
      </c>
      <c r="B167" s="20">
        <v>45769</v>
      </c>
      <c r="C167" s="20">
        <v>45713</v>
      </c>
      <c r="D167" t="s">
        <v>2257</v>
      </c>
      <c r="E167" t="s">
        <v>2258</v>
      </c>
      <c r="G167" t="s">
        <v>4527</v>
      </c>
      <c r="H167" t="s">
        <v>1802</v>
      </c>
      <c r="I167" t="s">
        <v>1803</v>
      </c>
      <c r="J167" s="8" t="str">
        <f>+LEFT(U167,4)</f>
        <v>HDL-</v>
      </c>
      <c r="K167" t="s">
        <v>10</v>
      </c>
      <c r="L167" s="46">
        <v>2520</v>
      </c>
      <c r="M167" t="s">
        <v>1472</v>
      </c>
      <c r="N167" t="s">
        <v>11</v>
      </c>
      <c r="O167" s="49">
        <v>7.4931000000000001</v>
      </c>
      <c r="P167" s="9">
        <f>ROUND(O167*L167,2)</f>
        <v>18882.61</v>
      </c>
      <c r="Q167" s="10">
        <f>IF(N167="HKD",7.8,IF(N167="CNY",7.30034,1))</f>
        <v>7.3003400000000003</v>
      </c>
      <c r="R167" s="10">
        <f>+ROUND(O167/Q167,4)</f>
        <v>1.0264</v>
      </c>
      <c r="S167" s="11">
        <f>ROUND(R167*L167,2)</f>
        <v>2586.5300000000002</v>
      </c>
      <c r="T167" s="10" t="s">
        <v>349</v>
      </c>
      <c r="U167" t="s">
        <v>228</v>
      </c>
    </row>
    <row r="168" spans="1:21">
      <c r="A168" t="s">
        <v>4253</v>
      </c>
      <c r="B168" s="20">
        <v>45769</v>
      </c>
      <c r="C168" s="20">
        <v>45713</v>
      </c>
      <c r="D168" t="s">
        <v>2257</v>
      </c>
      <c r="E168" t="s">
        <v>2258</v>
      </c>
      <c r="G168" t="s">
        <v>4527</v>
      </c>
      <c r="H168" t="s">
        <v>3152</v>
      </c>
      <c r="I168" t="s">
        <v>3362</v>
      </c>
      <c r="J168" s="8" t="str">
        <f>+LEFT(U168,4)</f>
        <v>HDL-</v>
      </c>
      <c r="K168" t="s">
        <v>10</v>
      </c>
      <c r="L168" s="46">
        <v>3100</v>
      </c>
      <c r="M168" t="s">
        <v>1472</v>
      </c>
      <c r="N168" t="s">
        <v>11</v>
      </c>
      <c r="O168" s="49">
        <v>7.4931000000000001</v>
      </c>
      <c r="P168" s="9">
        <f>ROUND(O168*L168,2)</f>
        <v>23228.61</v>
      </c>
      <c r="Q168" s="10">
        <f>IF(N168="HKD",7.8,IF(N168="CNY",7.30034,1))</f>
        <v>7.3003400000000003</v>
      </c>
      <c r="R168" s="10">
        <f>+ROUND(O168/Q168,4)</f>
        <v>1.0264</v>
      </c>
      <c r="S168" s="11">
        <f>ROUND(R168*L168,2)</f>
        <v>3181.84</v>
      </c>
      <c r="T168" s="10" t="s">
        <v>349</v>
      </c>
      <c r="U168" t="s">
        <v>228</v>
      </c>
    </row>
    <row r="169" spans="1:21">
      <c r="A169" t="s">
        <v>4299</v>
      </c>
      <c r="B169" s="20">
        <v>45769</v>
      </c>
      <c r="C169" s="20">
        <v>45740</v>
      </c>
      <c r="D169" t="s">
        <v>311</v>
      </c>
      <c r="E169" t="s">
        <v>312</v>
      </c>
      <c r="G169" t="s">
        <v>4545</v>
      </c>
      <c r="H169" t="s">
        <v>341</v>
      </c>
      <c r="I169" t="s">
        <v>342</v>
      </c>
      <c r="J169" s="8" t="str">
        <f>+LEFT(U169,4)</f>
        <v>INM-</v>
      </c>
      <c r="K169" t="s">
        <v>10</v>
      </c>
      <c r="L169" s="46">
        <v>125</v>
      </c>
      <c r="M169" t="s">
        <v>186</v>
      </c>
      <c r="N169" t="s">
        <v>11</v>
      </c>
      <c r="O169" s="49">
        <v>63.008800000000001</v>
      </c>
      <c r="P169" s="9">
        <f>ROUND(O169*L169,2)</f>
        <v>7876.1</v>
      </c>
      <c r="Q169" s="10">
        <f>IF(N169="HKD",7.8,IF(N169="CNY",7.30034,1))</f>
        <v>7.3003400000000003</v>
      </c>
      <c r="R169" s="10">
        <f>+ROUND(O169/Q169,4)</f>
        <v>8.6309000000000005</v>
      </c>
      <c r="S169" s="11">
        <f>ROUND(R169*L169,2)</f>
        <v>1078.8599999999999</v>
      </c>
      <c r="T169" s="10" t="s">
        <v>349</v>
      </c>
      <c r="U169" t="s">
        <v>327</v>
      </c>
    </row>
    <row r="170" spans="1:21">
      <c r="A170" t="s">
        <v>4300</v>
      </c>
      <c r="B170" s="20">
        <v>45769</v>
      </c>
      <c r="C170" s="20">
        <v>45740</v>
      </c>
      <c r="D170" t="s">
        <v>311</v>
      </c>
      <c r="E170" t="s">
        <v>312</v>
      </c>
      <c r="G170" t="s">
        <v>4545</v>
      </c>
      <c r="H170" t="s">
        <v>331</v>
      </c>
      <c r="I170" t="s">
        <v>332</v>
      </c>
      <c r="J170" s="8" t="str">
        <f>+LEFT(U170,4)</f>
        <v>INM-</v>
      </c>
      <c r="K170" t="s">
        <v>10</v>
      </c>
      <c r="L170" s="46">
        <v>50</v>
      </c>
      <c r="M170" t="s">
        <v>186</v>
      </c>
      <c r="N170" t="s">
        <v>11</v>
      </c>
      <c r="O170" s="49">
        <v>64.778800000000004</v>
      </c>
      <c r="P170" s="9">
        <f>ROUND(O170*L170,2)</f>
        <v>3238.94</v>
      </c>
      <c r="Q170" s="10">
        <f>IF(N170="HKD",7.8,IF(N170="CNY",7.30034,1))</f>
        <v>7.3003400000000003</v>
      </c>
      <c r="R170" s="10">
        <f>+ROUND(O170/Q170,4)</f>
        <v>8.8734000000000002</v>
      </c>
      <c r="S170" s="11">
        <f>ROUND(R170*L170,2)</f>
        <v>443.67</v>
      </c>
      <c r="T170" s="10" t="s">
        <v>349</v>
      </c>
      <c r="U170" t="s">
        <v>327</v>
      </c>
    </row>
    <row r="171" spans="1:21">
      <c r="A171" t="s">
        <v>4301</v>
      </c>
      <c r="B171" s="20">
        <v>45769</v>
      </c>
      <c r="C171" s="20">
        <v>45750</v>
      </c>
      <c r="D171" t="s">
        <v>311</v>
      </c>
      <c r="E171" t="s">
        <v>312</v>
      </c>
      <c r="G171" t="s">
        <v>4546</v>
      </c>
      <c r="H171" t="s">
        <v>323</v>
      </c>
      <c r="I171" t="s">
        <v>324</v>
      </c>
      <c r="J171" s="8" t="str">
        <f>+LEFT(U171,4)</f>
        <v>INM-</v>
      </c>
      <c r="K171" t="s">
        <v>10</v>
      </c>
      <c r="L171" s="46">
        <v>25</v>
      </c>
      <c r="M171" t="s">
        <v>186</v>
      </c>
      <c r="N171" t="s">
        <v>11</v>
      </c>
      <c r="O171" s="49">
        <v>69.026499999999999</v>
      </c>
      <c r="P171" s="9">
        <f>ROUND(O171*L171,2)</f>
        <v>1725.66</v>
      </c>
      <c r="Q171" s="10">
        <f>IF(N171="HKD",7.8,IF(N171="CNY",7.30034,1))</f>
        <v>7.3003400000000003</v>
      </c>
      <c r="R171" s="10">
        <f>+ROUND(O171/Q171,4)</f>
        <v>9.4551999999999996</v>
      </c>
      <c r="S171" s="11">
        <f>ROUND(R171*L171,2)</f>
        <v>236.38</v>
      </c>
      <c r="T171" s="10" t="s">
        <v>349</v>
      </c>
      <c r="U171" t="s">
        <v>327</v>
      </c>
    </row>
    <row r="172" spans="1:21">
      <c r="A172" t="s">
        <v>4204</v>
      </c>
      <c r="B172" s="20">
        <v>45769</v>
      </c>
      <c r="C172" s="20">
        <v>45695</v>
      </c>
      <c r="D172" t="s">
        <v>143</v>
      </c>
      <c r="E172" t="s">
        <v>144</v>
      </c>
      <c r="G172" t="s">
        <v>4499</v>
      </c>
      <c r="H172" t="s">
        <v>141</v>
      </c>
      <c r="I172" t="s">
        <v>142</v>
      </c>
      <c r="J172" s="8" t="str">
        <f>+LEFT(U172,4)</f>
        <v>KNOB</v>
      </c>
      <c r="K172" t="s">
        <v>10</v>
      </c>
      <c r="L172" s="46">
        <v>6200</v>
      </c>
      <c r="M172" t="s">
        <v>1472</v>
      </c>
      <c r="N172" t="s">
        <v>11</v>
      </c>
      <c r="O172" s="49">
        <v>5.0999999999999996</v>
      </c>
      <c r="P172" s="9">
        <f>ROUND(O172*L172,2)</f>
        <v>31620</v>
      </c>
      <c r="Q172" s="10">
        <f>IF(N172="HKD",7.8,IF(N172="CNY",7.30034,1))</f>
        <v>7.3003400000000003</v>
      </c>
      <c r="R172" s="10">
        <f>+ROUND(O172/Q172,4)</f>
        <v>0.6986</v>
      </c>
      <c r="S172" s="11">
        <f>ROUND(R172*L172,2)</f>
        <v>4331.32</v>
      </c>
      <c r="T172" s="10" t="s">
        <v>349</v>
      </c>
      <c r="U172" t="s">
        <v>32</v>
      </c>
    </row>
    <row r="173" spans="1:21">
      <c r="A173" t="s">
        <v>4206</v>
      </c>
      <c r="B173" s="20">
        <v>45769</v>
      </c>
      <c r="C173" s="20">
        <v>45706</v>
      </c>
      <c r="D173" t="s">
        <v>143</v>
      </c>
      <c r="E173" t="s">
        <v>144</v>
      </c>
      <c r="G173" t="s">
        <v>4499</v>
      </c>
      <c r="H173" t="s">
        <v>141</v>
      </c>
      <c r="I173" t="s">
        <v>142</v>
      </c>
      <c r="J173" s="8" t="str">
        <f>+LEFT(U173,4)</f>
        <v>KNOB</v>
      </c>
      <c r="K173" t="s">
        <v>10</v>
      </c>
      <c r="L173" s="46">
        <v>6500</v>
      </c>
      <c r="M173" t="s">
        <v>1472</v>
      </c>
      <c r="N173" t="s">
        <v>11</v>
      </c>
      <c r="O173" s="49">
        <v>5.0999999999999996</v>
      </c>
      <c r="P173" s="9">
        <f>ROUND(O173*L173,2)</f>
        <v>33150</v>
      </c>
      <c r="Q173" s="10">
        <f>IF(N173="HKD",7.8,IF(N173="CNY",7.30034,1))</f>
        <v>7.3003400000000003</v>
      </c>
      <c r="R173" s="10">
        <f>+ROUND(O173/Q173,4)</f>
        <v>0.6986</v>
      </c>
      <c r="S173" s="11">
        <f>ROUND(R173*L173,2)</f>
        <v>4540.8999999999996</v>
      </c>
      <c r="T173" s="10" t="s">
        <v>349</v>
      </c>
      <c r="U173" t="s">
        <v>32</v>
      </c>
    </row>
    <row r="174" spans="1:21">
      <c r="A174" t="s">
        <v>4176</v>
      </c>
      <c r="B174" s="20">
        <v>45769</v>
      </c>
      <c r="C174" s="20">
        <v>45714</v>
      </c>
      <c r="D174" t="s">
        <v>830</v>
      </c>
      <c r="E174" t="s">
        <v>831</v>
      </c>
      <c r="G174" t="s">
        <v>4471</v>
      </c>
      <c r="H174" t="s">
        <v>3166</v>
      </c>
      <c r="I174" t="s">
        <v>3376</v>
      </c>
      <c r="J174" s="8" t="str">
        <f>+LEFT(U174,4)</f>
        <v>LID-</v>
      </c>
      <c r="K174" t="s">
        <v>98</v>
      </c>
      <c r="L174" s="46">
        <v>1000</v>
      </c>
      <c r="M174" t="s">
        <v>1472</v>
      </c>
      <c r="N174" t="s">
        <v>11</v>
      </c>
      <c r="O174" s="49">
        <v>4.2</v>
      </c>
      <c r="P174" s="9">
        <f>ROUND(O174*L174,2)</f>
        <v>4200</v>
      </c>
      <c r="Q174" s="10">
        <f>IF(N174="HKD",7.8,IF(N174="CNY",7.30034,1))</f>
        <v>7.3003400000000003</v>
      </c>
      <c r="R174" s="10">
        <f>+ROUND(O174/Q174,4)</f>
        <v>0.57530000000000003</v>
      </c>
      <c r="S174" s="11">
        <f>ROUND(R174*L174,2)</f>
        <v>575.29999999999995</v>
      </c>
      <c r="T174" s="10" t="s">
        <v>349</v>
      </c>
      <c r="U174" t="s">
        <v>368</v>
      </c>
    </row>
    <row r="175" spans="1:21">
      <c r="A175" t="s">
        <v>4183</v>
      </c>
      <c r="B175" s="20">
        <v>45769</v>
      </c>
      <c r="C175" s="20">
        <v>45714</v>
      </c>
      <c r="D175" t="s">
        <v>94</v>
      </c>
      <c r="E175" t="s">
        <v>95</v>
      </c>
      <c r="G175" t="s">
        <v>4491</v>
      </c>
      <c r="H175" t="s">
        <v>3165</v>
      </c>
      <c r="I175" t="s">
        <v>3375</v>
      </c>
      <c r="J175" s="8" t="str">
        <f>+LEFT(U175,4)</f>
        <v>LID-</v>
      </c>
      <c r="K175" t="s">
        <v>98</v>
      </c>
      <c r="L175" s="46">
        <v>60</v>
      </c>
      <c r="M175" t="s">
        <v>1472</v>
      </c>
      <c r="N175" t="s">
        <v>11</v>
      </c>
      <c r="O175" s="49">
        <v>4.37</v>
      </c>
      <c r="P175" s="9">
        <f>ROUND(O175*L175,2)</f>
        <v>262.2</v>
      </c>
      <c r="Q175" s="10">
        <f>IF(N175="HKD",7.8,IF(N175="CNY",7.30034,1))</f>
        <v>7.3003400000000003</v>
      </c>
      <c r="R175" s="10">
        <f>+ROUND(O175/Q175,4)</f>
        <v>0.59860000000000002</v>
      </c>
      <c r="S175" s="11">
        <f>ROUND(R175*L175,2)</f>
        <v>35.92</v>
      </c>
      <c r="T175" s="10" t="s">
        <v>349</v>
      </c>
      <c r="U175" t="s">
        <v>368</v>
      </c>
    </row>
    <row r="176" spans="1:21">
      <c r="A176" t="s">
        <v>4184</v>
      </c>
      <c r="B176" s="20">
        <v>45769</v>
      </c>
      <c r="C176" s="20">
        <v>45714</v>
      </c>
      <c r="D176" t="s">
        <v>94</v>
      </c>
      <c r="E176" t="s">
        <v>95</v>
      </c>
      <c r="G176" t="s">
        <v>4491</v>
      </c>
      <c r="H176" t="s">
        <v>3165</v>
      </c>
      <c r="I176" t="s">
        <v>3375</v>
      </c>
      <c r="J176" s="8" t="str">
        <f>+LEFT(U176,4)</f>
        <v>LID-</v>
      </c>
      <c r="K176" t="s">
        <v>98</v>
      </c>
      <c r="L176" s="46">
        <v>240</v>
      </c>
      <c r="M176" t="s">
        <v>1472</v>
      </c>
      <c r="N176" t="s">
        <v>11</v>
      </c>
      <c r="O176" s="49">
        <v>4.37</v>
      </c>
      <c r="P176" s="9">
        <f>ROUND(O176*L176,2)</f>
        <v>1048.8</v>
      </c>
      <c r="Q176" s="10">
        <f>IF(N176="HKD",7.8,IF(N176="CNY",7.30034,1))</f>
        <v>7.3003400000000003</v>
      </c>
      <c r="R176" s="10">
        <f>+ROUND(O176/Q176,4)</f>
        <v>0.59860000000000002</v>
      </c>
      <c r="S176" s="11">
        <f>ROUND(R176*L176,2)</f>
        <v>143.66</v>
      </c>
      <c r="T176" s="10" t="s">
        <v>349</v>
      </c>
      <c r="U176" t="s">
        <v>368</v>
      </c>
    </row>
    <row r="177" spans="1:21">
      <c r="A177" t="s">
        <v>3903</v>
      </c>
      <c r="B177" s="20">
        <v>45769</v>
      </c>
      <c r="C177" s="20">
        <v>45755</v>
      </c>
      <c r="D177" t="s">
        <v>169</v>
      </c>
      <c r="E177" t="s">
        <v>170</v>
      </c>
      <c r="G177" t="s">
        <v>4371</v>
      </c>
      <c r="H177" t="s">
        <v>3256</v>
      </c>
      <c r="I177" t="s">
        <v>3463</v>
      </c>
      <c r="J177" s="8" t="str">
        <f>+LEFT(U177,4)</f>
        <v>PAP-</v>
      </c>
      <c r="K177" t="s">
        <v>10</v>
      </c>
      <c r="L177" s="46">
        <v>17000</v>
      </c>
      <c r="M177" t="s">
        <v>1472</v>
      </c>
      <c r="N177" t="s">
        <v>11</v>
      </c>
      <c r="O177" s="49">
        <v>0.14000000000000001</v>
      </c>
      <c r="P177" s="9">
        <f>ROUND(O177*L177,2)</f>
        <v>2380</v>
      </c>
      <c r="Q177" s="10">
        <f>IF(N177="HKD",7.8,IF(N177="CNY",7.30034,1))</f>
        <v>7.3003400000000003</v>
      </c>
      <c r="R177" s="10">
        <f>+ROUND(O177/Q177,4)</f>
        <v>1.9199999999999998E-2</v>
      </c>
      <c r="S177" s="11">
        <f>ROUND(R177*L177,2)</f>
        <v>326.39999999999998</v>
      </c>
      <c r="T177" s="10" t="s">
        <v>349</v>
      </c>
      <c r="U177" t="s">
        <v>1094</v>
      </c>
    </row>
    <row r="178" spans="1:21">
      <c r="A178" t="s">
        <v>3932</v>
      </c>
      <c r="B178" s="20">
        <v>45769</v>
      </c>
      <c r="C178" s="20">
        <v>45755</v>
      </c>
      <c r="D178" t="s">
        <v>169</v>
      </c>
      <c r="E178" t="s">
        <v>170</v>
      </c>
      <c r="G178" t="s">
        <v>4371</v>
      </c>
      <c r="H178" t="s">
        <v>3552</v>
      </c>
      <c r="I178" t="s">
        <v>3553</v>
      </c>
      <c r="J178" s="8" t="str">
        <f>+LEFT(U178,4)</f>
        <v>PAP-</v>
      </c>
      <c r="K178" t="s">
        <v>10</v>
      </c>
      <c r="L178" s="46">
        <v>12000</v>
      </c>
      <c r="M178" t="s">
        <v>1472</v>
      </c>
      <c r="N178" t="s">
        <v>11</v>
      </c>
      <c r="O178" s="49">
        <v>0.23</v>
      </c>
      <c r="P178" s="9">
        <f>ROUND(O178*L178,2)</f>
        <v>2760</v>
      </c>
      <c r="Q178" s="10">
        <f>IF(N178="HKD",7.8,IF(N178="CNY",7.30034,1))</f>
        <v>7.3003400000000003</v>
      </c>
      <c r="R178" s="10">
        <f>+ROUND(O178/Q178,4)</f>
        <v>3.15E-2</v>
      </c>
      <c r="S178" s="11">
        <f>ROUND(R178*L178,2)</f>
        <v>378</v>
      </c>
      <c r="T178" s="10" t="s">
        <v>349</v>
      </c>
      <c r="U178" t="s">
        <v>1094</v>
      </c>
    </row>
    <row r="179" spans="1:21">
      <c r="A179" t="s">
        <v>4004</v>
      </c>
      <c r="B179" s="20">
        <v>45769</v>
      </c>
      <c r="C179" s="20">
        <v>45744</v>
      </c>
      <c r="D179" t="s">
        <v>169</v>
      </c>
      <c r="E179" t="s">
        <v>170</v>
      </c>
      <c r="G179" t="s">
        <v>4381</v>
      </c>
      <c r="H179" t="s">
        <v>646</v>
      </c>
      <c r="I179" t="s">
        <v>647</v>
      </c>
      <c r="J179" s="8" t="str">
        <f>+LEFT(U179,4)</f>
        <v>PRIM</v>
      </c>
      <c r="K179" t="s">
        <v>10</v>
      </c>
      <c r="L179" s="46">
        <v>5350</v>
      </c>
      <c r="M179" t="s">
        <v>1472</v>
      </c>
      <c r="N179" t="s">
        <v>11</v>
      </c>
      <c r="O179" s="49">
        <v>1.46</v>
      </c>
      <c r="P179" s="9">
        <f>ROUND(O179*L179,2)</f>
        <v>7811</v>
      </c>
      <c r="Q179" s="10">
        <f>IF(N179="HKD",7.8,IF(N179="CNY",7.30034,1))</f>
        <v>7.3003400000000003</v>
      </c>
      <c r="R179" s="10">
        <f>+ROUND(O179/Q179,4)</f>
        <v>0.2</v>
      </c>
      <c r="S179" s="11">
        <f>ROUND(R179*L179,2)</f>
        <v>1070</v>
      </c>
      <c r="T179" s="10" t="s">
        <v>349</v>
      </c>
      <c r="U179" t="s">
        <v>181</v>
      </c>
    </row>
    <row r="180" spans="1:21">
      <c r="A180" t="s">
        <v>4007</v>
      </c>
      <c r="B180" s="20">
        <v>45769</v>
      </c>
      <c r="C180" s="20">
        <v>45747</v>
      </c>
      <c r="D180" t="s">
        <v>169</v>
      </c>
      <c r="E180" t="s">
        <v>170</v>
      </c>
      <c r="G180" t="s">
        <v>4381</v>
      </c>
      <c r="H180" t="s">
        <v>178</v>
      </c>
      <c r="I180" t="s">
        <v>179</v>
      </c>
      <c r="J180" s="8" t="str">
        <f>+LEFT(U180,4)</f>
        <v>PRIM</v>
      </c>
      <c r="K180" t="s">
        <v>10</v>
      </c>
      <c r="L180" s="46">
        <v>1020</v>
      </c>
      <c r="M180" t="s">
        <v>1472</v>
      </c>
      <c r="N180" t="s">
        <v>11</v>
      </c>
      <c r="O180" s="49">
        <v>1.53</v>
      </c>
      <c r="P180" s="9">
        <f>ROUND(O180*L180,2)</f>
        <v>1560.6</v>
      </c>
      <c r="Q180" s="10">
        <f>IF(N180="HKD",7.8,IF(N180="CNY",7.30034,1))</f>
        <v>7.3003400000000003</v>
      </c>
      <c r="R180" s="10">
        <f>+ROUND(O180/Q180,4)</f>
        <v>0.20960000000000001</v>
      </c>
      <c r="S180" s="11">
        <f>ROUND(R180*L180,2)</f>
        <v>213.79</v>
      </c>
      <c r="T180" s="10" t="s">
        <v>349</v>
      </c>
      <c r="U180" t="s">
        <v>181</v>
      </c>
    </row>
    <row r="181" spans="1:21">
      <c r="A181" t="s">
        <v>4042</v>
      </c>
      <c r="B181" s="20">
        <v>45769</v>
      </c>
      <c r="C181" s="20">
        <v>45737</v>
      </c>
      <c r="D181" t="s">
        <v>128</v>
      </c>
      <c r="E181" t="s">
        <v>129</v>
      </c>
      <c r="G181" t="s">
        <v>4422</v>
      </c>
      <c r="H181" t="s">
        <v>3642</v>
      </c>
      <c r="I181" t="s">
        <v>3643</v>
      </c>
      <c r="J181" s="8" t="str">
        <f>+LEFT(U181,4)</f>
        <v>SHDL</v>
      </c>
      <c r="K181" t="s">
        <v>10</v>
      </c>
      <c r="L181" s="46">
        <v>450</v>
      </c>
      <c r="M181" t="s">
        <v>1472</v>
      </c>
      <c r="N181" t="s">
        <v>11</v>
      </c>
      <c r="O181" s="49">
        <v>2.6137999999999999</v>
      </c>
      <c r="P181" s="9">
        <f>ROUND(O181*L181,2)</f>
        <v>1176.21</v>
      </c>
      <c r="Q181" s="10">
        <f>IF(N181="HKD",7.8,IF(N181="CNY",7.30034,1))</f>
        <v>7.3003400000000003</v>
      </c>
      <c r="R181" s="10">
        <f>+ROUND(O181/Q181,4)</f>
        <v>0.35799999999999998</v>
      </c>
      <c r="S181" s="11">
        <f>ROUND(R181*L181,2)</f>
        <v>161.1</v>
      </c>
      <c r="T181" s="10" t="s">
        <v>349</v>
      </c>
      <c r="U181" t="s">
        <v>722</v>
      </c>
    </row>
    <row r="182" spans="1:21">
      <c r="A182" t="s">
        <v>4042</v>
      </c>
      <c r="B182" s="20">
        <v>45769</v>
      </c>
      <c r="C182" s="20">
        <v>45737</v>
      </c>
      <c r="D182" t="s">
        <v>128</v>
      </c>
      <c r="E182" t="s">
        <v>129</v>
      </c>
      <c r="G182" t="s">
        <v>4422</v>
      </c>
      <c r="H182" t="s">
        <v>3642</v>
      </c>
      <c r="I182" t="s">
        <v>3643</v>
      </c>
      <c r="J182" s="8" t="str">
        <f>+LEFT(U182,4)</f>
        <v>SHDL</v>
      </c>
      <c r="K182" t="s">
        <v>10</v>
      </c>
      <c r="L182" s="46">
        <v>400</v>
      </c>
      <c r="M182" t="s">
        <v>1472</v>
      </c>
      <c r="N182" t="s">
        <v>11</v>
      </c>
      <c r="O182" s="49">
        <v>2.6137999999999999</v>
      </c>
      <c r="P182" s="9">
        <f>ROUND(O182*L182,2)</f>
        <v>1045.52</v>
      </c>
      <c r="Q182" s="10">
        <f>IF(N182="HKD",7.8,IF(N182="CNY",7.30034,1))</f>
        <v>7.3003400000000003</v>
      </c>
      <c r="R182" s="10">
        <f>+ROUND(O182/Q182,4)</f>
        <v>0.35799999999999998</v>
      </c>
      <c r="S182" s="11">
        <f>ROUND(R182*L182,2)</f>
        <v>143.19999999999999</v>
      </c>
      <c r="T182" s="10" t="s">
        <v>349</v>
      </c>
      <c r="U182" t="s">
        <v>722</v>
      </c>
    </row>
    <row r="183" spans="1:21">
      <c r="A183" t="s">
        <v>4074</v>
      </c>
      <c r="B183" s="20">
        <v>45769</v>
      </c>
      <c r="C183" s="20">
        <v>45768</v>
      </c>
      <c r="D183" t="s">
        <v>5</v>
      </c>
      <c r="E183" t="s">
        <v>6</v>
      </c>
      <c r="G183" t="s">
        <v>4425</v>
      </c>
      <c r="H183" t="s">
        <v>3674</v>
      </c>
      <c r="I183" t="s">
        <v>3675</v>
      </c>
      <c r="J183" s="8" t="str">
        <f>+LEFT(U183,4)</f>
        <v>SHTS</v>
      </c>
      <c r="K183" t="s">
        <v>10</v>
      </c>
      <c r="L183" s="46">
        <v>1010</v>
      </c>
      <c r="M183" t="s">
        <v>1472</v>
      </c>
      <c r="N183" t="s">
        <v>11</v>
      </c>
      <c r="O183" s="49">
        <v>3.01</v>
      </c>
      <c r="P183" s="9">
        <f>ROUND(O183*L183,2)</f>
        <v>3040.1</v>
      </c>
      <c r="Q183" s="10">
        <f>IF(N183="HKD",7.8,IF(N183="CNY",7.30034,1))</f>
        <v>7.3003400000000003</v>
      </c>
      <c r="R183" s="10">
        <f>+ROUND(O183/Q183,4)</f>
        <v>0.4123</v>
      </c>
      <c r="S183" s="11">
        <f>ROUND(R183*L183,2)</f>
        <v>416.42</v>
      </c>
      <c r="T183" s="10" t="s">
        <v>349</v>
      </c>
      <c r="U183" t="s">
        <v>9</v>
      </c>
    </row>
    <row r="184" spans="1:21">
      <c r="A184" t="s">
        <v>4140</v>
      </c>
      <c r="B184" s="20">
        <v>45769</v>
      </c>
      <c r="C184" s="20">
        <v>45764</v>
      </c>
      <c r="D184" t="s">
        <v>5</v>
      </c>
      <c r="E184" t="s">
        <v>6</v>
      </c>
      <c r="G184" t="s">
        <v>4428</v>
      </c>
      <c r="H184" t="s">
        <v>3714</v>
      </c>
      <c r="I184" t="s">
        <v>3715</v>
      </c>
      <c r="J184" s="8" t="str">
        <f>+LEFT(U184,4)</f>
        <v>SHTS</v>
      </c>
      <c r="K184" t="s">
        <v>10</v>
      </c>
      <c r="L184" s="46">
        <v>1010</v>
      </c>
      <c r="M184" t="s">
        <v>1472</v>
      </c>
      <c r="N184" t="s">
        <v>11</v>
      </c>
      <c r="O184" s="49">
        <v>3.61</v>
      </c>
      <c r="P184" s="9">
        <f>ROUND(O184*L184,2)</f>
        <v>3646.1</v>
      </c>
      <c r="Q184" s="10">
        <f>IF(N184="HKD",7.8,IF(N184="CNY",7.30034,1))</f>
        <v>7.3003400000000003</v>
      </c>
      <c r="R184" s="10">
        <f>+ROUND(O184/Q184,4)</f>
        <v>0.4945</v>
      </c>
      <c r="S184" s="11">
        <f>ROUND(R184*L184,2)</f>
        <v>499.45</v>
      </c>
      <c r="T184" s="10" t="s">
        <v>349</v>
      </c>
      <c r="U184" t="s">
        <v>9</v>
      </c>
    </row>
    <row r="185" spans="1:21">
      <c r="A185" t="s">
        <v>3836</v>
      </c>
      <c r="B185" s="20">
        <v>45769</v>
      </c>
      <c r="C185" s="20">
        <v>45755</v>
      </c>
      <c r="D185" t="s">
        <v>169</v>
      </c>
      <c r="E185" t="s">
        <v>170</v>
      </c>
      <c r="G185" t="s">
        <v>4344</v>
      </c>
      <c r="H185" t="s">
        <v>1561</v>
      </c>
      <c r="I185" t="s">
        <v>1562</v>
      </c>
      <c r="J185" s="8" t="str">
        <f>+LEFT(U185,4)</f>
        <v>STKR</v>
      </c>
      <c r="K185" t="s">
        <v>10</v>
      </c>
      <c r="L185" s="46">
        <v>5000</v>
      </c>
      <c r="M185" t="s">
        <v>1472</v>
      </c>
      <c r="N185" t="s">
        <v>11</v>
      </c>
      <c r="O185" s="49">
        <v>3.2000000000000001E-2</v>
      </c>
      <c r="P185" s="9">
        <f>ROUND(O185*L185,2)</f>
        <v>160</v>
      </c>
      <c r="Q185" s="10">
        <f>IF(N185="HKD",7.8,IF(N185="CNY",7.30034,1))</f>
        <v>7.3003400000000003</v>
      </c>
      <c r="R185" s="10">
        <f>+ROUND(O185/Q185,4)</f>
        <v>4.4000000000000003E-3</v>
      </c>
      <c r="S185" s="11">
        <f>ROUND(R185*L185,2)</f>
        <v>22</v>
      </c>
      <c r="T185" s="10" t="s">
        <v>349</v>
      </c>
      <c r="U185" t="s">
        <v>18</v>
      </c>
    </row>
    <row r="186" spans="1:21">
      <c r="A186" t="s">
        <v>3845</v>
      </c>
      <c r="B186" s="20">
        <v>45769</v>
      </c>
      <c r="C186" s="20">
        <v>45757</v>
      </c>
      <c r="D186" t="s">
        <v>169</v>
      </c>
      <c r="E186" t="s">
        <v>170</v>
      </c>
      <c r="G186" t="s">
        <v>4344</v>
      </c>
      <c r="H186" t="s">
        <v>619</v>
      </c>
      <c r="I186" t="s">
        <v>620</v>
      </c>
      <c r="J186" s="8" t="str">
        <f>+LEFT(U186,4)</f>
        <v>STKR</v>
      </c>
      <c r="K186" t="s">
        <v>10</v>
      </c>
      <c r="L186" s="46">
        <v>200</v>
      </c>
      <c r="M186" t="s">
        <v>1472</v>
      </c>
      <c r="N186" t="s">
        <v>11</v>
      </c>
      <c r="O186" s="49">
        <v>4.2000000000000003E-2</v>
      </c>
      <c r="P186" s="9">
        <f>ROUND(O186*L186,2)</f>
        <v>8.4</v>
      </c>
      <c r="Q186" s="10">
        <f>IF(N186="HKD",7.8,IF(N186="CNY",7.30034,1))</f>
        <v>7.3003400000000003</v>
      </c>
      <c r="R186" s="10">
        <f>+ROUND(O186/Q186,4)</f>
        <v>5.7999999999999996E-3</v>
      </c>
      <c r="S186" s="11">
        <f>ROUND(R186*L186,2)</f>
        <v>1.1599999999999999</v>
      </c>
      <c r="T186" s="10" t="s">
        <v>349</v>
      </c>
      <c r="U186" t="s">
        <v>18</v>
      </c>
    </row>
    <row r="187" spans="1:21">
      <c r="A187" t="s">
        <v>3846</v>
      </c>
      <c r="B187" s="20">
        <v>45769</v>
      </c>
      <c r="C187" s="20">
        <v>45757</v>
      </c>
      <c r="D187" t="s">
        <v>169</v>
      </c>
      <c r="E187" t="s">
        <v>170</v>
      </c>
      <c r="G187" t="s">
        <v>4344</v>
      </c>
      <c r="H187" t="s">
        <v>615</v>
      </c>
      <c r="I187" t="s">
        <v>616</v>
      </c>
      <c r="J187" s="8" t="str">
        <f>+LEFT(U187,4)</f>
        <v>STKR</v>
      </c>
      <c r="K187" t="s">
        <v>10</v>
      </c>
      <c r="L187" s="46">
        <v>200</v>
      </c>
      <c r="M187" t="s">
        <v>1472</v>
      </c>
      <c r="N187" t="s">
        <v>11</v>
      </c>
      <c r="O187" s="49">
        <v>4.2000000000000003E-2</v>
      </c>
      <c r="P187" s="9">
        <f>ROUND(O187*L187,2)</f>
        <v>8.4</v>
      </c>
      <c r="Q187" s="10">
        <f>IF(N187="HKD",7.8,IF(N187="CNY",7.30034,1))</f>
        <v>7.3003400000000003</v>
      </c>
      <c r="R187" s="10">
        <f>+ROUND(O187/Q187,4)</f>
        <v>5.7999999999999996E-3</v>
      </c>
      <c r="S187" s="11">
        <f>ROUND(R187*L187,2)</f>
        <v>1.1599999999999999</v>
      </c>
      <c r="T187" s="10" t="s">
        <v>349</v>
      </c>
      <c r="U187" t="s">
        <v>18</v>
      </c>
    </row>
    <row r="188" spans="1:21">
      <c r="A188" t="s">
        <v>3859</v>
      </c>
      <c r="B188" s="20">
        <v>45769</v>
      </c>
      <c r="C188" s="20">
        <v>45744</v>
      </c>
      <c r="D188" t="s">
        <v>169</v>
      </c>
      <c r="E188" t="s">
        <v>170</v>
      </c>
      <c r="G188" t="s">
        <v>4344</v>
      </c>
      <c r="H188" t="s">
        <v>3512</v>
      </c>
      <c r="I188" t="s">
        <v>3513</v>
      </c>
      <c r="J188" s="8" t="str">
        <f>+LEFT(U188,4)</f>
        <v>STKR</v>
      </c>
      <c r="K188" t="s">
        <v>10</v>
      </c>
      <c r="L188" s="46">
        <v>510</v>
      </c>
      <c r="M188" t="s">
        <v>1472</v>
      </c>
      <c r="N188" t="s">
        <v>11</v>
      </c>
      <c r="O188" s="49">
        <v>0.06</v>
      </c>
      <c r="P188" s="9">
        <f>ROUND(O188*L188,2)</f>
        <v>30.6</v>
      </c>
      <c r="Q188" s="10">
        <f>IF(N188="HKD",7.8,IF(N188="CNY",7.30034,1))</f>
        <v>7.3003400000000003</v>
      </c>
      <c r="R188" s="10">
        <f>+ROUND(O188/Q188,4)</f>
        <v>8.2000000000000007E-3</v>
      </c>
      <c r="S188" s="11">
        <f>ROUND(R188*L188,2)</f>
        <v>4.18</v>
      </c>
      <c r="T188" s="10" t="s">
        <v>349</v>
      </c>
      <c r="U188" t="s">
        <v>18</v>
      </c>
    </row>
    <row r="189" spans="1:21">
      <c r="A189" t="s">
        <v>3860</v>
      </c>
      <c r="B189" s="20">
        <v>45769</v>
      </c>
      <c r="C189" s="20">
        <v>45744</v>
      </c>
      <c r="D189" t="s">
        <v>169</v>
      </c>
      <c r="E189" t="s">
        <v>170</v>
      </c>
      <c r="G189" t="s">
        <v>4344</v>
      </c>
      <c r="H189" t="s">
        <v>3514</v>
      </c>
      <c r="I189" t="s">
        <v>3515</v>
      </c>
      <c r="J189" s="8" t="str">
        <f>+LEFT(U189,4)</f>
        <v>STKR</v>
      </c>
      <c r="K189" t="s">
        <v>10</v>
      </c>
      <c r="L189" s="46">
        <v>510</v>
      </c>
      <c r="M189" t="s">
        <v>1472</v>
      </c>
      <c r="N189" t="s">
        <v>11</v>
      </c>
      <c r="O189" s="49">
        <v>0.06</v>
      </c>
      <c r="P189" s="9">
        <f>ROUND(O189*L189,2)</f>
        <v>30.6</v>
      </c>
      <c r="Q189" s="10">
        <f>IF(N189="HKD",7.8,IF(N189="CNY",7.30034,1))</f>
        <v>7.3003400000000003</v>
      </c>
      <c r="R189" s="10">
        <f>+ROUND(O189/Q189,4)</f>
        <v>8.2000000000000007E-3</v>
      </c>
      <c r="S189" s="11">
        <f>ROUND(R189*L189,2)</f>
        <v>4.18</v>
      </c>
      <c r="T189" s="10" t="s">
        <v>349</v>
      </c>
      <c r="U189" t="s">
        <v>18</v>
      </c>
    </row>
    <row r="190" spans="1:21">
      <c r="A190" t="s">
        <v>3938</v>
      </c>
      <c r="B190" s="20">
        <v>45769</v>
      </c>
      <c r="C190" s="20">
        <v>45755</v>
      </c>
      <c r="D190" t="s">
        <v>169</v>
      </c>
      <c r="E190" t="s">
        <v>170</v>
      </c>
      <c r="G190" t="s">
        <v>4381</v>
      </c>
      <c r="H190" t="s">
        <v>3159</v>
      </c>
      <c r="I190" t="s">
        <v>3369</v>
      </c>
      <c r="J190" s="8" t="str">
        <f>+LEFT(U190,4)</f>
        <v>U&amp;C-</v>
      </c>
      <c r="K190" t="s">
        <v>10</v>
      </c>
      <c r="L190" s="46">
        <v>8050</v>
      </c>
      <c r="M190" t="s">
        <v>1472</v>
      </c>
      <c r="N190" t="s">
        <v>11</v>
      </c>
      <c r="O190" s="49">
        <v>0.252</v>
      </c>
      <c r="P190" s="9">
        <f>ROUND(O190*L190,2)</f>
        <v>2028.6</v>
      </c>
      <c r="Q190" s="10">
        <f>IF(N190="HKD",7.8,IF(N190="CNY",7.30034,1))</f>
        <v>7.3003400000000003</v>
      </c>
      <c r="R190" s="10">
        <f>+ROUND(O190/Q190,4)</f>
        <v>3.4500000000000003E-2</v>
      </c>
      <c r="S190" s="11">
        <f>ROUND(R190*L190,2)</f>
        <v>277.73</v>
      </c>
      <c r="T190" s="10" t="s">
        <v>349</v>
      </c>
      <c r="U190" t="s">
        <v>177</v>
      </c>
    </row>
    <row r="191" spans="1:21">
      <c r="A191" t="s">
        <v>3943</v>
      </c>
      <c r="B191" s="20">
        <v>45769</v>
      </c>
      <c r="C191" s="20">
        <v>45728</v>
      </c>
      <c r="D191" t="s">
        <v>169</v>
      </c>
      <c r="E191" t="s">
        <v>170</v>
      </c>
      <c r="G191" t="s">
        <v>4383</v>
      </c>
      <c r="H191" t="s">
        <v>3568</v>
      </c>
      <c r="I191" t="s">
        <v>1620</v>
      </c>
      <c r="J191" s="8" t="str">
        <f>+LEFT(U191,4)</f>
        <v>U&amp;C-</v>
      </c>
      <c r="K191" t="s">
        <v>10</v>
      </c>
      <c r="L191" s="46">
        <v>1010</v>
      </c>
      <c r="M191" t="s">
        <v>1472</v>
      </c>
      <c r="N191" t="s">
        <v>11</v>
      </c>
      <c r="O191" s="49">
        <v>0.27500000000000002</v>
      </c>
      <c r="P191" s="9">
        <f>ROUND(O191*L191,2)</f>
        <v>277.75</v>
      </c>
      <c r="Q191" s="10">
        <f>IF(N191="HKD",7.8,IF(N191="CNY",7.30034,1))</f>
        <v>7.3003400000000003</v>
      </c>
      <c r="R191" s="10">
        <f>+ROUND(O191/Q191,4)</f>
        <v>3.7699999999999997E-2</v>
      </c>
      <c r="S191" s="11">
        <f>ROUND(R191*L191,2)</f>
        <v>38.08</v>
      </c>
      <c r="T191" s="10" t="s">
        <v>349</v>
      </c>
      <c r="U191" t="s">
        <v>177</v>
      </c>
    </row>
    <row r="192" spans="1:21">
      <c r="A192" t="s">
        <v>3992</v>
      </c>
      <c r="B192" s="20">
        <v>45769</v>
      </c>
      <c r="C192" s="20">
        <v>45744</v>
      </c>
      <c r="D192" t="s">
        <v>169</v>
      </c>
      <c r="E192" t="s">
        <v>170</v>
      </c>
      <c r="G192" t="s">
        <v>4381</v>
      </c>
      <c r="H192" t="s">
        <v>1120</v>
      </c>
      <c r="I192" t="s">
        <v>643</v>
      </c>
      <c r="J192" s="8" t="str">
        <f>+LEFT(U192,4)</f>
        <v>U&amp;C-</v>
      </c>
      <c r="K192" t="s">
        <v>10</v>
      </c>
      <c r="L192" s="46">
        <v>1010</v>
      </c>
      <c r="M192" t="s">
        <v>1472</v>
      </c>
      <c r="N192" t="s">
        <v>11</v>
      </c>
      <c r="O192" s="49">
        <v>1.0900000000000001</v>
      </c>
      <c r="P192" s="9">
        <f>ROUND(O192*L192,2)</f>
        <v>1100.9000000000001</v>
      </c>
      <c r="Q192" s="10">
        <f>IF(N192="HKD",7.8,IF(N192="CNY",7.30034,1))</f>
        <v>7.3003400000000003</v>
      </c>
      <c r="R192" s="10">
        <f>+ROUND(O192/Q192,4)</f>
        <v>0.14929999999999999</v>
      </c>
      <c r="S192" s="11">
        <f>ROUND(R192*L192,2)</f>
        <v>150.79</v>
      </c>
      <c r="T192" s="10" t="s">
        <v>349</v>
      </c>
      <c r="U192" t="s">
        <v>177</v>
      </c>
    </row>
    <row r="193" spans="1:21">
      <c r="A193" t="s">
        <v>4006</v>
      </c>
      <c r="B193" s="20">
        <v>45769</v>
      </c>
      <c r="C193" s="20">
        <v>45744</v>
      </c>
      <c r="D193" t="s">
        <v>169</v>
      </c>
      <c r="E193" t="s">
        <v>170</v>
      </c>
      <c r="G193" t="s">
        <v>4381</v>
      </c>
      <c r="H193" t="s">
        <v>1659</v>
      </c>
      <c r="I193" t="s">
        <v>643</v>
      </c>
      <c r="J193" s="8" t="str">
        <f>+LEFT(U193,4)</f>
        <v>U&amp;C-</v>
      </c>
      <c r="K193" t="s">
        <v>10</v>
      </c>
      <c r="L193" s="46">
        <v>1700</v>
      </c>
      <c r="M193" t="s">
        <v>1472</v>
      </c>
      <c r="N193" t="s">
        <v>11</v>
      </c>
      <c r="O193" s="49">
        <v>1.53</v>
      </c>
      <c r="P193" s="9">
        <f>ROUND(O193*L193,2)</f>
        <v>2601</v>
      </c>
      <c r="Q193" s="10">
        <f>IF(N193="HKD",7.8,IF(N193="CNY",7.30034,1))</f>
        <v>7.3003400000000003</v>
      </c>
      <c r="R193" s="10">
        <f>+ROUND(O193/Q193,4)</f>
        <v>0.20960000000000001</v>
      </c>
      <c r="S193" s="11">
        <f>ROUND(R193*L193,2)</f>
        <v>356.32</v>
      </c>
      <c r="T193" s="10" t="s">
        <v>349</v>
      </c>
      <c r="U193" t="s">
        <v>177</v>
      </c>
    </row>
    <row r="194" spans="1:21">
      <c r="A194" t="s">
        <v>4013</v>
      </c>
      <c r="B194" s="20">
        <v>45769</v>
      </c>
      <c r="C194" s="20">
        <v>45744</v>
      </c>
      <c r="D194" t="s">
        <v>169</v>
      </c>
      <c r="E194" t="s">
        <v>170</v>
      </c>
      <c r="G194" t="s">
        <v>4381</v>
      </c>
      <c r="H194" t="s">
        <v>1127</v>
      </c>
      <c r="I194" t="s">
        <v>647</v>
      </c>
      <c r="J194" s="8" t="str">
        <f>+LEFT(U194,4)</f>
        <v>U&amp;C-</v>
      </c>
      <c r="K194" t="s">
        <v>10</v>
      </c>
      <c r="L194" s="46">
        <v>2100</v>
      </c>
      <c r="M194" t="s">
        <v>1472</v>
      </c>
      <c r="N194" t="s">
        <v>11</v>
      </c>
      <c r="O194" s="49">
        <v>1.82</v>
      </c>
      <c r="P194" s="9">
        <f>ROUND(O194*L194,2)</f>
        <v>3822</v>
      </c>
      <c r="Q194" s="10">
        <f>IF(N194="HKD",7.8,IF(N194="CNY",7.30034,1))</f>
        <v>7.3003400000000003</v>
      </c>
      <c r="R194" s="10">
        <f>+ROUND(O194/Q194,4)</f>
        <v>0.24929999999999999</v>
      </c>
      <c r="S194" s="11">
        <f>ROUND(R194*L194,2)</f>
        <v>523.53</v>
      </c>
      <c r="T194" s="10" t="s">
        <v>349</v>
      </c>
      <c r="U194" t="s">
        <v>177</v>
      </c>
    </row>
    <row r="195" spans="1:21">
      <c r="A195" t="s">
        <v>3914</v>
      </c>
      <c r="B195" s="20">
        <v>45768</v>
      </c>
      <c r="C195" s="20">
        <v>45744</v>
      </c>
      <c r="D195" t="s">
        <v>21</v>
      </c>
      <c r="E195" t="s">
        <v>22</v>
      </c>
      <c r="G195" t="s">
        <v>4374</v>
      </c>
      <c r="H195" t="s">
        <v>824</v>
      </c>
      <c r="I195" t="s">
        <v>825</v>
      </c>
      <c r="J195" s="8" t="str">
        <f>+LEFT(U195,4)</f>
        <v>BRKT</v>
      </c>
      <c r="K195" t="s">
        <v>10</v>
      </c>
      <c r="L195" s="46">
        <v>1000</v>
      </c>
      <c r="M195" t="s">
        <v>1472</v>
      </c>
      <c r="N195" t="s">
        <v>11</v>
      </c>
      <c r="O195" s="49">
        <v>0.17269999999999999</v>
      </c>
      <c r="P195" s="9">
        <f>ROUND(O195*L195,2)</f>
        <v>172.7</v>
      </c>
      <c r="Q195" s="10">
        <f>IF(N195="HKD",7.8,IF(N195="CNY",7.30034,1))</f>
        <v>7.3003400000000003</v>
      </c>
      <c r="R195" s="10">
        <f>+ROUND(O195/Q195,4)</f>
        <v>2.3699999999999999E-2</v>
      </c>
      <c r="S195" s="11">
        <f>ROUND(R195*L195,2)</f>
        <v>23.7</v>
      </c>
      <c r="T195" s="10" t="s">
        <v>349</v>
      </c>
      <c r="U195" t="s">
        <v>442</v>
      </c>
    </row>
    <row r="196" spans="1:21">
      <c r="A196" t="s">
        <v>3958</v>
      </c>
      <c r="B196" s="20">
        <v>45768</v>
      </c>
      <c r="C196" s="20">
        <v>45750</v>
      </c>
      <c r="D196" t="s">
        <v>28</v>
      </c>
      <c r="E196" t="s">
        <v>29</v>
      </c>
      <c r="G196" t="s">
        <v>4391</v>
      </c>
      <c r="H196" t="s">
        <v>1149</v>
      </c>
      <c r="I196" t="s">
        <v>1150</v>
      </c>
      <c r="J196" s="8" t="str">
        <f>+LEFT(U196,4)</f>
        <v>BRKT</v>
      </c>
      <c r="K196" t="s">
        <v>10</v>
      </c>
      <c r="L196" s="46">
        <v>4020</v>
      </c>
      <c r="M196" t="s">
        <v>1472</v>
      </c>
      <c r="N196" t="s">
        <v>11</v>
      </c>
      <c r="O196" s="49">
        <v>0.57750000000000001</v>
      </c>
      <c r="P196" s="9">
        <f>ROUND(O196*L196,2)</f>
        <v>2321.5500000000002</v>
      </c>
      <c r="Q196" s="10">
        <f>IF(N196="HKD",7.8,IF(N196="CNY",7.30034,1))</f>
        <v>7.3003400000000003</v>
      </c>
      <c r="R196" s="10">
        <f>+ROUND(O196/Q196,4)</f>
        <v>7.9100000000000004E-2</v>
      </c>
      <c r="S196" s="11">
        <f>ROUND(R196*L196,2)</f>
        <v>317.98</v>
      </c>
      <c r="T196" s="10" t="s">
        <v>349</v>
      </c>
      <c r="U196" t="s">
        <v>442</v>
      </c>
    </row>
    <row r="197" spans="1:21">
      <c r="A197" t="s">
        <v>3967</v>
      </c>
      <c r="B197" s="20">
        <v>45768</v>
      </c>
      <c r="C197" s="20">
        <v>45744</v>
      </c>
      <c r="D197" t="s">
        <v>21</v>
      </c>
      <c r="E197" t="s">
        <v>22</v>
      </c>
      <c r="G197" t="s">
        <v>4374</v>
      </c>
      <c r="H197" t="s">
        <v>1437</v>
      </c>
      <c r="I197" t="s">
        <v>1438</v>
      </c>
      <c r="J197" s="8" t="str">
        <f>+LEFT(U197,4)</f>
        <v>FG--</v>
      </c>
      <c r="K197" t="s">
        <v>10</v>
      </c>
      <c r="L197" s="46">
        <v>1030</v>
      </c>
      <c r="M197" t="s">
        <v>1472</v>
      </c>
      <c r="N197" t="s">
        <v>11</v>
      </c>
      <c r="O197" s="49">
        <v>0.65839999999999999</v>
      </c>
      <c r="P197" s="9">
        <f>ROUND(O197*L197,2)</f>
        <v>678.15</v>
      </c>
      <c r="Q197" s="10">
        <f>IF(N197="HKD",7.8,IF(N197="CNY",7.30034,1))</f>
        <v>7.3003400000000003</v>
      </c>
      <c r="R197" s="10">
        <f>+ROUND(O197/Q197,4)</f>
        <v>9.0200000000000002E-2</v>
      </c>
      <c r="S197" s="11">
        <f>ROUND(R197*L197,2)</f>
        <v>92.91</v>
      </c>
      <c r="T197" s="10" t="s">
        <v>349</v>
      </c>
      <c r="U197" t="s">
        <v>64</v>
      </c>
    </row>
    <row r="198" spans="1:21">
      <c r="A198" t="s">
        <v>3979</v>
      </c>
      <c r="B198" s="20">
        <v>45768</v>
      </c>
      <c r="C198" s="20">
        <v>45744</v>
      </c>
      <c r="D198" t="s">
        <v>28</v>
      </c>
      <c r="E198" t="s">
        <v>29</v>
      </c>
      <c r="G198" t="s">
        <v>4391</v>
      </c>
      <c r="H198" t="s">
        <v>3595</v>
      </c>
      <c r="I198" t="s">
        <v>3596</v>
      </c>
      <c r="J198" s="8" t="str">
        <f>+LEFT(U198,4)</f>
        <v>FG--</v>
      </c>
      <c r="K198" t="s">
        <v>10</v>
      </c>
      <c r="L198" s="46">
        <v>2050</v>
      </c>
      <c r="M198" t="s">
        <v>1472</v>
      </c>
      <c r="N198" t="s">
        <v>11</v>
      </c>
      <c r="O198" s="49">
        <v>0.91769999999999996</v>
      </c>
      <c r="P198" s="9">
        <f>ROUND(O198*L198,2)</f>
        <v>1881.29</v>
      </c>
      <c r="Q198" s="10">
        <f>IF(N198="HKD",7.8,IF(N198="CNY",7.30034,1))</f>
        <v>7.3003400000000003</v>
      </c>
      <c r="R198" s="10">
        <f>+ROUND(O198/Q198,4)</f>
        <v>0.12570000000000001</v>
      </c>
      <c r="S198" s="11">
        <f>ROUND(R198*L198,2)</f>
        <v>257.69</v>
      </c>
      <c r="T198" s="10" t="s">
        <v>349</v>
      </c>
      <c r="U198" t="s">
        <v>64</v>
      </c>
    </row>
    <row r="199" spans="1:21">
      <c r="A199" t="s">
        <v>4175</v>
      </c>
      <c r="B199" s="20">
        <v>45768</v>
      </c>
      <c r="C199" s="20">
        <v>45723</v>
      </c>
      <c r="D199" t="s">
        <v>121</v>
      </c>
      <c r="E199" t="s">
        <v>122</v>
      </c>
      <c r="G199" t="s">
        <v>4460</v>
      </c>
      <c r="H199" t="s">
        <v>1744</v>
      </c>
      <c r="I199" t="s">
        <v>1745</v>
      </c>
      <c r="J199" s="8" t="str">
        <f>+LEFT(U199,4)</f>
        <v>HDL-</v>
      </c>
      <c r="K199" t="s">
        <v>10</v>
      </c>
      <c r="L199" s="46">
        <v>2040</v>
      </c>
      <c r="M199" t="s">
        <v>1472</v>
      </c>
      <c r="N199" t="s">
        <v>11</v>
      </c>
      <c r="O199" s="49">
        <v>4.1566000000000001</v>
      </c>
      <c r="P199" s="9">
        <f>ROUND(O199*L199,2)</f>
        <v>8479.4599999999991</v>
      </c>
      <c r="Q199" s="10">
        <f>IF(N199="HKD",7.8,IF(N199="CNY",7.30034,1))</f>
        <v>7.3003400000000003</v>
      </c>
      <c r="R199" s="10">
        <f>+ROUND(O199/Q199,4)</f>
        <v>0.56940000000000002</v>
      </c>
      <c r="S199" s="11">
        <f>ROUND(R199*L199,2)</f>
        <v>1161.58</v>
      </c>
      <c r="T199" s="10" t="s">
        <v>349</v>
      </c>
      <c r="U199" t="s">
        <v>228</v>
      </c>
    </row>
    <row r="200" spans="1:21">
      <c r="A200" t="s">
        <v>4193</v>
      </c>
      <c r="B200" s="20">
        <v>45768</v>
      </c>
      <c r="C200" s="20">
        <v>45729</v>
      </c>
      <c r="D200" t="s">
        <v>981</v>
      </c>
      <c r="E200" t="s">
        <v>982</v>
      </c>
      <c r="G200" t="s">
        <v>4496</v>
      </c>
      <c r="H200" t="s">
        <v>3754</v>
      </c>
      <c r="I200" t="s">
        <v>3755</v>
      </c>
      <c r="J200" s="8" t="str">
        <f>+LEFT(U200,4)</f>
        <v>HDL-</v>
      </c>
      <c r="K200" t="s">
        <v>10</v>
      </c>
      <c r="L200" s="46">
        <v>520</v>
      </c>
      <c r="M200" t="s">
        <v>1472</v>
      </c>
      <c r="N200" t="s">
        <v>11</v>
      </c>
      <c r="O200" s="49">
        <v>4.6555</v>
      </c>
      <c r="P200" s="9">
        <f>ROUND(O200*L200,2)</f>
        <v>2420.86</v>
      </c>
      <c r="Q200" s="10">
        <f>IF(N200="HKD",7.8,IF(N200="CNY",7.30034,1))</f>
        <v>7.3003400000000003</v>
      </c>
      <c r="R200" s="10">
        <f>+ROUND(O200/Q200,4)</f>
        <v>0.63770000000000004</v>
      </c>
      <c r="S200" s="11">
        <f>ROUND(R200*L200,2)</f>
        <v>331.6</v>
      </c>
      <c r="T200" s="10" t="s">
        <v>349</v>
      </c>
      <c r="U200" t="s">
        <v>228</v>
      </c>
    </row>
    <row r="201" spans="1:21">
      <c r="A201" t="s">
        <v>4199</v>
      </c>
      <c r="B201" s="20">
        <v>45768</v>
      </c>
      <c r="C201" s="20">
        <v>45729</v>
      </c>
      <c r="D201" t="s">
        <v>981</v>
      </c>
      <c r="E201" t="s">
        <v>982</v>
      </c>
      <c r="G201" t="s">
        <v>4496</v>
      </c>
      <c r="H201" t="s">
        <v>3758</v>
      </c>
      <c r="I201" t="s">
        <v>3759</v>
      </c>
      <c r="J201" s="8" t="str">
        <f>+LEFT(U201,4)</f>
        <v>HDL-</v>
      </c>
      <c r="K201" t="s">
        <v>10</v>
      </c>
      <c r="L201" s="46">
        <v>520</v>
      </c>
      <c r="M201" t="s">
        <v>1472</v>
      </c>
      <c r="N201" t="s">
        <v>11</v>
      </c>
      <c r="O201" s="49">
        <v>4.9706999999999999</v>
      </c>
      <c r="P201" s="9">
        <f>ROUND(O201*L201,2)</f>
        <v>2584.7600000000002</v>
      </c>
      <c r="Q201" s="10">
        <f>IF(N201="HKD",7.8,IF(N201="CNY",7.30034,1))</f>
        <v>7.3003400000000003</v>
      </c>
      <c r="R201" s="10">
        <f>+ROUND(O201/Q201,4)</f>
        <v>0.68089999999999995</v>
      </c>
      <c r="S201" s="11">
        <f>ROUND(R201*L201,2)</f>
        <v>354.07</v>
      </c>
      <c r="T201" s="10" t="s">
        <v>349</v>
      </c>
      <c r="U201" t="s">
        <v>228</v>
      </c>
    </row>
    <row r="202" spans="1:21">
      <c r="A202" t="s">
        <v>4238</v>
      </c>
      <c r="B202" s="20">
        <v>45768</v>
      </c>
      <c r="C202" s="20">
        <v>45729</v>
      </c>
      <c r="D202" t="s">
        <v>981</v>
      </c>
      <c r="E202" t="s">
        <v>982</v>
      </c>
      <c r="G202" t="s">
        <v>4496</v>
      </c>
      <c r="H202" t="s">
        <v>3076</v>
      </c>
      <c r="I202" t="s">
        <v>3292</v>
      </c>
      <c r="J202" s="8" t="str">
        <f>+LEFT(U202,4)</f>
        <v>HDL-</v>
      </c>
      <c r="K202" t="s">
        <v>10</v>
      </c>
      <c r="L202" s="46">
        <v>1010</v>
      </c>
      <c r="M202" t="s">
        <v>1472</v>
      </c>
      <c r="N202" t="s">
        <v>11</v>
      </c>
      <c r="O202" s="49">
        <v>7.4710000000000001</v>
      </c>
      <c r="P202" s="9">
        <f>ROUND(O202*L202,2)</f>
        <v>7545.71</v>
      </c>
      <c r="Q202" s="10">
        <f>IF(N202="HKD",7.8,IF(N202="CNY",7.30034,1))</f>
        <v>7.3003400000000003</v>
      </c>
      <c r="R202" s="10">
        <f>+ROUND(O202/Q202,4)</f>
        <v>1.0234000000000001</v>
      </c>
      <c r="S202" s="11">
        <f>ROUND(R202*L202,2)</f>
        <v>1033.6300000000001</v>
      </c>
      <c r="T202" s="10" t="s">
        <v>349</v>
      </c>
      <c r="U202" t="s">
        <v>228</v>
      </c>
    </row>
    <row r="203" spans="1:21">
      <c r="A203" t="s">
        <v>4239</v>
      </c>
      <c r="B203" s="20">
        <v>45768</v>
      </c>
      <c r="C203" s="20">
        <v>45729</v>
      </c>
      <c r="D203" t="s">
        <v>981</v>
      </c>
      <c r="E203" t="s">
        <v>982</v>
      </c>
      <c r="G203" t="s">
        <v>4496</v>
      </c>
      <c r="H203" t="s">
        <v>3077</v>
      </c>
      <c r="I203" t="s">
        <v>3293</v>
      </c>
      <c r="J203" s="8" t="str">
        <f>+LEFT(U203,4)</f>
        <v>HDL-</v>
      </c>
      <c r="K203" t="s">
        <v>10</v>
      </c>
      <c r="L203" s="46">
        <v>1010</v>
      </c>
      <c r="M203" t="s">
        <v>1472</v>
      </c>
      <c r="N203" t="s">
        <v>11</v>
      </c>
      <c r="O203" s="49">
        <v>7.4710000000000001</v>
      </c>
      <c r="P203" s="9">
        <f>ROUND(O203*L203,2)</f>
        <v>7545.71</v>
      </c>
      <c r="Q203" s="10">
        <f>IF(N203="HKD",7.8,IF(N203="CNY",7.30034,1))</f>
        <v>7.3003400000000003</v>
      </c>
      <c r="R203" s="10">
        <f>+ROUND(O203/Q203,4)</f>
        <v>1.0234000000000001</v>
      </c>
      <c r="S203" s="11">
        <f>ROUND(R203*L203,2)</f>
        <v>1033.6300000000001</v>
      </c>
      <c r="T203" s="10" t="s">
        <v>349</v>
      </c>
      <c r="U203" t="s">
        <v>228</v>
      </c>
    </row>
    <row r="204" spans="1:21">
      <c r="A204" t="s">
        <v>4257</v>
      </c>
      <c r="B204" s="20">
        <v>45768</v>
      </c>
      <c r="C204" s="20">
        <v>45713</v>
      </c>
      <c r="D204" t="s">
        <v>2257</v>
      </c>
      <c r="E204" t="s">
        <v>2258</v>
      </c>
      <c r="G204" t="s">
        <v>4529</v>
      </c>
      <c r="H204" t="s">
        <v>3192</v>
      </c>
      <c r="I204" t="s">
        <v>3399</v>
      </c>
      <c r="J204" s="8" t="str">
        <f>+LEFT(U204,4)</f>
        <v>HDL-</v>
      </c>
      <c r="K204" t="s">
        <v>10</v>
      </c>
      <c r="L204" s="46">
        <v>200</v>
      </c>
      <c r="M204" t="s">
        <v>1472</v>
      </c>
      <c r="N204" t="s">
        <v>11</v>
      </c>
      <c r="O204" s="49">
        <v>7.6459999999999999</v>
      </c>
      <c r="P204" s="9">
        <f>ROUND(O204*L204,2)</f>
        <v>1529.2</v>
      </c>
      <c r="Q204" s="10">
        <f>IF(N204="HKD",7.8,IF(N204="CNY",7.30034,1))</f>
        <v>7.3003400000000003</v>
      </c>
      <c r="R204" s="10">
        <f>+ROUND(O204/Q204,4)</f>
        <v>1.0472999999999999</v>
      </c>
      <c r="S204" s="11">
        <f>ROUND(R204*L204,2)</f>
        <v>209.46</v>
      </c>
      <c r="T204" s="10" t="s">
        <v>349</v>
      </c>
      <c r="U204" t="s">
        <v>228</v>
      </c>
    </row>
    <row r="205" spans="1:21">
      <c r="A205" t="s">
        <v>4258</v>
      </c>
      <c r="B205" s="20">
        <v>45768</v>
      </c>
      <c r="C205" s="20">
        <v>45713</v>
      </c>
      <c r="D205" t="s">
        <v>2257</v>
      </c>
      <c r="E205" t="s">
        <v>2258</v>
      </c>
      <c r="G205" t="s">
        <v>4529</v>
      </c>
      <c r="H205" t="s">
        <v>3192</v>
      </c>
      <c r="I205" t="s">
        <v>3399</v>
      </c>
      <c r="J205" s="8" t="str">
        <f>+LEFT(U205,4)</f>
        <v>HDL-</v>
      </c>
      <c r="K205" t="s">
        <v>10</v>
      </c>
      <c r="L205" s="46">
        <v>600</v>
      </c>
      <c r="M205" t="s">
        <v>1472</v>
      </c>
      <c r="N205" t="s">
        <v>11</v>
      </c>
      <c r="O205" s="49">
        <v>7.6459999999999999</v>
      </c>
      <c r="P205" s="9">
        <f>ROUND(O205*L205,2)</f>
        <v>4587.6000000000004</v>
      </c>
      <c r="Q205" s="10">
        <f>IF(N205="HKD",7.8,IF(N205="CNY",7.30034,1))</f>
        <v>7.3003400000000003</v>
      </c>
      <c r="R205" s="10">
        <f>+ROUND(O205/Q205,4)</f>
        <v>1.0472999999999999</v>
      </c>
      <c r="S205" s="11">
        <f>ROUND(R205*L205,2)</f>
        <v>628.38</v>
      </c>
      <c r="T205" s="10" t="s">
        <v>349</v>
      </c>
      <c r="U205" t="s">
        <v>228</v>
      </c>
    </row>
    <row r="206" spans="1:21">
      <c r="A206" t="s">
        <v>4261</v>
      </c>
      <c r="B206" s="20">
        <v>45768</v>
      </c>
      <c r="C206" s="20">
        <v>45729</v>
      </c>
      <c r="D206" t="s">
        <v>981</v>
      </c>
      <c r="E206" t="s">
        <v>982</v>
      </c>
      <c r="G206" t="s">
        <v>4496</v>
      </c>
      <c r="H206" t="s">
        <v>3079</v>
      </c>
      <c r="I206" t="s">
        <v>3295</v>
      </c>
      <c r="J206" s="8" t="str">
        <f>+LEFT(U206,4)</f>
        <v>HDL-</v>
      </c>
      <c r="K206" t="s">
        <v>10</v>
      </c>
      <c r="L206" s="46">
        <v>1010</v>
      </c>
      <c r="M206" t="s">
        <v>1472</v>
      </c>
      <c r="N206" t="s">
        <v>11</v>
      </c>
      <c r="O206" s="49">
        <v>8.0838999999999999</v>
      </c>
      <c r="P206" s="9">
        <f>ROUND(O206*L206,2)</f>
        <v>8164.74</v>
      </c>
      <c r="Q206" s="10">
        <f>IF(N206="HKD",7.8,IF(N206="CNY",7.30034,1))</f>
        <v>7.3003400000000003</v>
      </c>
      <c r="R206" s="10">
        <f>+ROUND(O206/Q206,4)</f>
        <v>1.1073</v>
      </c>
      <c r="S206" s="11">
        <f>ROUND(R206*L206,2)</f>
        <v>1118.3699999999999</v>
      </c>
      <c r="T206" s="10" t="s">
        <v>349</v>
      </c>
      <c r="U206" t="s">
        <v>228</v>
      </c>
    </row>
    <row r="207" spans="1:21">
      <c r="A207" t="s">
        <v>4217</v>
      </c>
      <c r="B207" s="20">
        <v>45768</v>
      </c>
      <c r="C207" s="20">
        <v>45720</v>
      </c>
      <c r="D207" t="s">
        <v>143</v>
      </c>
      <c r="E207" t="s">
        <v>144</v>
      </c>
      <c r="G207" t="s">
        <v>4509</v>
      </c>
      <c r="H207" t="s">
        <v>3770</v>
      </c>
      <c r="I207" t="s">
        <v>3771</v>
      </c>
      <c r="J207" s="8" t="str">
        <f>+LEFT(U207,4)</f>
        <v>LHDL</v>
      </c>
      <c r="K207" t="s">
        <v>10</v>
      </c>
      <c r="L207" s="46">
        <v>1010</v>
      </c>
      <c r="M207" t="s">
        <v>1472</v>
      </c>
      <c r="N207" t="s">
        <v>11</v>
      </c>
      <c r="O207" s="49">
        <v>5.7778999999999998</v>
      </c>
      <c r="P207" s="9">
        <f>ROUND(O207*L207,2)</f>
        <v>5835.68</v>
      </c>
      <c r="Q207" s="10">
        <f>IF(N207="HKD",7.8,IF(N207="CNY",7.30034,1))</f>
        <v>7.3003400000000003</v>
      </c>
      <c r="R207" s="10">
        <f>+ROUND(O207/Q207,4)</f>
        <v>0.79149999999999998</v>
      </c>
      <c r="S207" s="11">
        <f>ROUND(R207*L207,2)</f>
        <v>799.42</v>
      </c>
      <c r="T207" s="10" t="s">
        <v>349</v>
      </c>
      <c r="U207" t="s">
        <v>125</v>
      </c>
    </row>
    <row r="208" spans="1:21">
      <c r="A208" t="s">
        <v>2540</v>
      </c>
      <c r="B208" s="20">
        <v>45768</v>
      </c>
      <c r="C208" s="20">
        <v>45714</v>
      </c>
      <c r="D208" t="s">
        <v>830</v>
      </c>
      <c r="E208" t="s">
        <v>831</v>
      </c>
      <c r="G208" t="s">
        <v>4461</v>
      </c>
      <c r="H208" t="s">
        <v>3166</v>
      </c>
      <c r="I208" t="s">
        <v>3376</v>
      </c>
      <c r="J208" s="8" t="str">
        <f>+LEFT(U208,4)</f>
        <v>LID-</v>
      </c>
      <c r="K208" t="s">
        <v>98</v>
      </c>
      <c r="L208" s="46">
        <v>760</v>
      </c>
      <c r="M208" t="s">
        <v>1472</v>
      </c>
      <c r="N208" t="s">
        <v>11</v>
      </c>
      <c r="O208" s="49">
        <v>4.2</v>
      </c>
      <c r="P208" s="9">
        <f>ROUND(O208*L208,2)</f>
        <v>3192</v>
      </c>
      <c r="Q208" s="10">
        <f>IF(N208="HKD",7.8,IF(N208="CNY",7.30034,1))</f>
        <v>7.3003400000000003</v>
      </c>
      <c r="R208" s="10">
        <f>+ROUND(O208/Q208,4)</f>
        <v>0.57530000000000003</v>
      </c>
      <c r="S208" s="11">
        <f>ROUND(R208*L208,2)</f>
        <v>437.23</v>
      </c>
      <c r="T208" s="10" t="s">
        <v>349</v>
      </c>
      <c r="U208" t="s">
        <v>368</v>
      </c>
    </row>
    <row r="209" spans="1:21">
      <c r="A209" t="s">
        <v>4176</v>
      </c>
      <c r="B209" s="20">
        <v>45768</v>
      </c>
      <c r="C209" s="20">
        <v>45714</v>
      </c>
      <c r="D209" t="s">
        <v>830</v>
      </c>
      <c r="E209" t="s">
        <v>831</v>
      </c>
      <c r="G209" t="s">
        <v>4472</v>
      </c>
      <c r="H209" t="s">
        <v>3166</v>
      </c>
      <c r="I209" t="s">
        <v>3376</v>
      </c>
      <c r="J209" s="8" t="str">
        <f>+LEFT(U209,4)</f>
        <v>LID-</v>
      </c>
      <c r="K209" t="s">
        <v>98</v>
      </c>
      <c r="L209" s="46">
        <v>960</v>
      </c>
      <c r="M209" t="s">
        <v>1472</v>
      </c>
      <c r="N209" t="s">
        <v>11</v>
      </c>
      <c r="O209" s="49">
        <v>4.2</v>
      </c>
      <c r="P209" s="9">
        <f>ROUND(O209*L209,2)</f>
        <v>4032</v>
      </c>
      <c r="Q209" s="10">
        <f>IF(N209="HKD",7.8,IF(N209="CNY",7.30034,1))</f>
        <v>7.3003400000000003</v>
      </c>
      <c r="R209" s="10">
        <f>+ROUND(O209/Q209,4)</f>
        <v>0.57530000000000003</v>
      </c>
      <c r="S209" s="11">
        <f>ROUND(R209*L209,2)</f>
        <v>552.29</v>
      </c>
      <c r="T209" s="10" t="s">
        <v>349</v>
      </c>
      <c r="U209" t="s">
        <v>368</v>
      </c>
    </row>
    <row r="210" spans="1:21">
      <c r="A210" t="s">
        <v>4180</v>
      </c>
      <c r="B210" s="20">
        <v>45768</v>
      </c>
      <c r="C210" s="20">
        <v>45714</v>
      </c>
      <c r="D210" t="s">
        <v>94</v>
      </c>
      <c r="E210" t="s">
        <v>95</v>
      </c>
      <c r="G210" t="s">
        <v>4486</v>
      </c>
      <c r="H210" t="s">
        <v>3164</v>
      </c>
      <c r="I210" t="s">
        <v>3374</v>
      </c>
      <c r="J210" s="8" t="str">
        <f>+LEFT(U210,4)</f>
        <v>LID-</v>
      </c>
      <c r="K210" t="s">
        <v>98</v>
      </c>
      <c r="L210" s="46">
        <v>3055</v>
      </c>
      <c r="M210" t="s">
        <v>1472</v>
      </c>
      <c r="N210" t="s">
        <v>11</v>
      </c>
      <c r="O210" s="49">
        <v>4.26</v>
      </c>
      <c r="P210" s="9">
        <f>ROUND(O210*L210,2)</f>
        <v>13014.3</v>
      </c>
      <c r="Q210" s="10">
        <f>IF(N210="HKD",7.8,IF(N210="CNY",7.30034,1))</f>
        <v>7.3003400000000003</v>
      </c>
      <c r="R210" s="10">
        <f>+ROUND(O210/Q210,4)</f>
        <v>0.58350000000000002</v>
      </c>
      <c r="S210" s="11">
        <f>ROUND(R210*L210,2)</f>
        <v>1782.59</v>
      </c>
      <c r="T210" s="10" t="s">
        <v>349</v>
      </c>
      <c r="U210" t="s">
        <v>368</v>
      </c>
    </row>
    <row r="211" spans="1:21">
      <c r="A211" t="s">
        <v>4181</v>
      </c>
      <c r="B211" s="20">
        <v>45768</v>
      </c>
      <c r="C211" s="20">
        <v>45714</v>
      </c>
      <c r="D211" t="s">
        <v>94</v>
      </c>
      <c r="E211" t="s">
        <v>95</v>
      </c>
      <c r="G211" t="s">
        <v>4486</v>
      </c>
      <c r="H211" t="s">
        <v>3164</v>
      </c>
      <c r="I211" t="s">
        <v>3374</v>
      </c>
      <c r="J211" s="8" t="str">
        <f>+LEFT(U211,4)</f>
        <v>LID-</v>
      </c>
      <c r="K211" t="s">
        <v>98</v>
      </c>
      <c r="L211" s="46">
        <v>25</v>
      </c>
      <c r="M211" t="s">
        <v>1472</v>
      </c>
      <c r="N211" t="s">
        <v>11</v>
      </c>
      <c r="O211" s="49">
        <v>4.26</v>
      </c>
      <c r="P211" s="9">
        <f>ROUND(O211*L211,2)</f>
        <v>106.5</v>
      </c>
      <c r="Q211" s="10">
        <f>IF(N211="HKD",7.8,IF(N211="CNY",7.30034,1))</f>
        <v>7.3003400000000003</v>
      </c>
      <c r="R211" s="10">
        <f>+ROUND(O211/Q211,4)</f>
        <v>0.58350000000000002</v>
      </c>
      <c r="S211" s="11">
        <f>ROUND(R211*L211,2)</f>
        <v>14.59</v>
      </c>
      <c r="T211" s="10" t="s">
        <v>349</v>
      </c>
      <c r="U211" t="s">
        <v>368</v>
      </c>
    </row>
    <row r="212" spans="1:21">
      <c r="A212" t="s">
        <v>4183</v>
      </c>
      <c r="B212" s="20">
        <v>45768</v>
      </c>
      <c r="C212" s="20">
        <v>45714</v>
      </c>
      <c r="D212" t="s">
        <v>94</v>
      </c>
      <c r="E212" t="s">
        <v>95</v>
      </c>
      <c r="G212" t="s">
        <v>4486</v>
      </c>
      <c r="H212" t="s">
        <v>3165</v>
      </c>
      <c r="I212" t="s">
        <v>3375</v>
      </c>
      <c r="J212" s="8" t="str">
        <f>+LEFT(U212,4)</f>
        <v>LID-</v>
      </c>
      <c r="K212" t="s">
        <v>98</v>
      </c>
      <c r="L212" s="46">
        <v>600</v>
      </c>
      <c r="M212" t="s">
        <v>1472</v>
      </c>
      <c r="N212" t="s">
        <v>11</v>
      </c>
      <c r="O212" s="49">
        <v>4.37</v>
      </c>
      <c r="P212" s="9">
        <f>ROUND(O212*L212,2)</f>
        <v>2622</v>
      </c>
      <c r="Q212" s="10">
        <f>IF(N212="HKD",7.8,IF(N212="CNY",7.30034,1))</f>
        <v>7.3003400000000003</v>
      </c>
      <c r="R212" s="10">
        <f>+ROUND(O212/Q212,4)</f>
        <v>0.59860000000000002</v>
      </c>
      <c r="S212" s="11">
        <f>ROUND(R212*L212,2)</f>
        <v>359.16</v>
      </c>
      <c r="T212" s="10" t="s">
        <v>349</v>
      </c>
      <c r="U212" t="s">
        <v>368</v>
      </c>
    </row>
    <row r="213" spans="1:21">
      <c r="A213" t="s">
        <v>4259</v>
      </c>
      <c r="B213" s="20">
        <v>45768</v>
      </c>
      <c r="C213" s="20">
        <v>45721</v>
      </c>
      <c r="D213" t="s">
        <v>830</v>
      </c>
      <c r="E213" t="s">
        <v>831</v>
      </c>
      <c r="G213" t="s">
        <v>4530</v>
      </c>
      <c r="H213" t="s">
        <v>928</v>
      </c>
      <c r="I213" t="s">
        <v>929</v>
      </c>
      <c r="J213" s="8" t="str">
        <f>+LEFT(U213,4)</f>
        <v>LID-</v>
      </c>
      <c r="K213" t="s">
        <v>369</v>
      </c>
      <c r="L213" s="46">
        <v>1030</v>
      </c>
      <c r="M213" t="s">
        <v>1472</v>
      </c>
      <c r="N213" t="s">
        <v>11</v>
      </c>
      <c r="O213" s="49">
        <v>7.8</v>
      </c>
      <c r="P213" s="9">
        <f>ROUND(O213*L213,2)</f>
        <v>8034</v>
      </c>
      <c r="Q213" s="10">
        <f>IF(N213="HKD",7.8,IF(N213="CNY",7.30034,1))</f>
        <v>7.3003400000000003</v>
      </c>
      <c r="R213" s="10">
        <f>+ROUND(O213/Q213,4)</f>
        <v>1.0684</v>
      </c>
      <c r="S213" s="11">
        <f>ROUND(R213*L213,2)</f>
        <v>1100.45</v>
      </c>
      <c r="T213" s="10" t="s">
        <v>349</v>
      </c>
      <c r="U213" t="s">
        <v>368</v>
      </c>
    </row>
    <row r="214" spans="1:21">
      <c r="A214" t="s">
        <v>3954</v>
      </c>
      <c r="B214" s="20">
        <v>45768</v>
      </c>
      <c r="C214" s="20">
        <v>45750</v>
      </c>
      <c r="D214" t="s">
        <v>235</v>
      </c>
      <c r="E214" t="s">
        <v>236</v>
      </c>
      <c r="G214" t="s">
        <v>4387</v>
      </c>
      <c r="H214" t="s">
        <v>1344</v>
      </c>
      <c r="I214" t="s">
        <v>1345</v>
      </c>
      <c r="J214" s="8" t="str">
        <f>+LEFT(U214,4)</f>
        <v>SCR-</v>
      </c>
      <c r="K214" t="s">
        <v>10</v>
      </c>
      <c r="L214" s="46">
        <v>12800</v>
      </c>
      <c r="M214" t="s">
        <v>1472</v>
      </c>
      <c r="N214" t="s">
        <v>11</v>
      </c>
      <c r="O214" s="49">
        <v>0.47449999999999998</v>
      </c>
      <c r="P214" s="9">
        <f>ROUND(O214*L214,2)</f>
        <v>6073.6</v>
      </c>
      <c r="Q214" s="10">
        <f>IF(N214="HKD",7.8,IF(N214="CNY",7.30034,1))</f>
        <v>7.3003400000000003</v>
      </c>
      <c r="R214" s="10">
        <f>+ROUND(O214/Q214,4)</f>
        <v>6.5000000000000002E-2</v>
      </c>
      <c r="S214" s="11">
        <f>ROUND(R214*L214,2)</f>
        <v>832</v>
      </c>
      <c r="T214" s="10" t="s">
        <v>349</v>
      </c>
      <c r="U214" t="s">
        <v>166</v>
      </c>
    </row>
    <row r="215" spans="1:21">
      <c r="A215" t="s">
        <v>4057</v>
      </c>
      <c r="B215" s="20">
        <v>45765</v>
      </c>
      <c r="C215" s="20">
        <v>45750</v>
      </c>
      <c r="D215" t="s">
        <v>1006</v>
      </c>
      <c r="E215" t="s">
        <v>1007</v>
      </c>
      <c r="G215" t="s">
        <v>4426</v>
      </c>
      <c r="H215" t="s">
        <v>1004</v>
      </c>
      <c r="I215" t="s">
        <v>1005</v>
      </c>
      <c r="J215" s="8" t="str">
        <f>+LEFT(U215,4)</f>
        <v>ALM-</v>
      </c>
      <c r="K215" t="s">
        <v>98</v>
      </c>
      <c r="L215" s="46">
        <v>558</v>
      </c>
      <c r="M215" t="s">
        <v>186</v>
      </c>
      <c r="N215" t="s">
        <v>11</v>
      </c>
      <c r="O215" s="49">
        <v>2.9203999999999999</v>
      </c>
      <c r="P215" s="9">
        <f>ROUND(O215*L215,2)</f>
        <v>1629.58</v>
      </c>
      <c r="Q215" s="10">
        <f>IF(N215="HKD",7.8,IF(N215="CNY",7.30034,1))</f>
        <v>7.3003400000000003</v>
      </c>
      <c r="R215" s="10">
        <f>+ROUND(O215/Q215,4)</f>
        <v>0.4</v>
      </c>
      <c r="S215" s="11">
        <f>ROUND(R215*L215,2)</f>
        <v>223.2</v>
      </c>
      <c r="T215" s="10" t="s">
        <v>349</v>
      </c>
      <c r="U215" t="s">
        <v>191</v>
      </c>
    </row>
    <row r="216" spans="1:21">
      <c r="A216" t="s">
        <v>4058</v>
      </c>
      <c r="B216" s="20">
        <v>45765</v>
      </c>
      <c r="C216" s="20">
        <v>45750</v>
      </c>
      <c r="D216" t="s">
        <v>1006</v>
      </c>
      <c r="E216" t="s">
        <v>1007</v>
      </c>
      <c r="G216" t="s">
        <v>4426</v>
      </c>
      <c r="H216" t="s">
        <v>1019</v>
      </c>
      <c r="I216" t="s">
        <v>1020</v>
      </c>
      <c r="J216" s="8" t="str">
        <f>+LEFT(U216,4)</f>
        <v>ALM-</v>
      </c>
      <c r="K216" t="s">
        <v>98</v>
      </c>
      <c r="L216" s="46">
        <v>2657</v>
      </c>
      <c r="M216" t="s">
        <v>186</v>
      </c>
      <c r="N216" t="s">
        <v>11</v>
      </c>
      <c r="O216" s="49">
        <v>2.9203999999999999</v>
      </c>
      <c r="P216" s="9">
        <f>ROUND(O216*L216,2)</f>
        <v>7759.5</v>
      </c>
      <c r="Q216" s="10">
        <f>IF(N216="HKD",7.8,IF(N216="CNY",7.30034,1))</f>
        <v>7.3003400000000003</v>
      </c>
      <c r="R216" s="10">
        <f>+ROUND(O216/Q216,4)</f>
        <v>0.4</v>
      </c>
      <c r="S216" s="11">
        <f>ROUND(R216*L216,2)</f>
        <v>1062.8</v>
      </c>
      <c r="T216" s="10" t="s">
        <v>349</v>
      </c>
      <c r="U216" t="s">
        <v>191</v>
      </c>
    </row>
    <row r="217" spans="1:21">
      <c r="A217" t="s">
        <v>4059</v>
      </c>
      <c r="B217" s="20">
        <v>45765</v>
      </c>
      <c r="C217" s="20">
        <v>45750</v>
      </c>
      <c r="D217" t="s">
        <v>1006</v>
      </c>
      <c r="E217" t="s">
        <v>1007</v>
      </c>
      <c r="G217" t="s">
        <v>4426</v>
      </c>
      <c r="H217" t="s">
        <v>1699</v>
      </c>
      <c r="I217" t="s">
        <v>1700</v>
      </c>
      <c r="J217" s="8" t="str">
        <f>+LEFT(U217,4)</f>
        <v>ALM-</v>
      </c>
      <c r="K217" t="s">
        <v>98</v>
      </c>
      <c r="L217" s="46">
        <v>998</v>
      </c>
      <c r="M217" t="s">
        <v>186</v>
      </c>
      <c r="N217" t="s">
        <v>11</v>
      </c>
      <c r="O217" s="49">
        <v>2.9203999999999999</v>
      </c>
      <c r="P217" s="9">
        <f>ROUND(O217*L217,2)</f>
        <v>2914.56</v>
      </c>
      <c r="Q217" s="10">
        <f>IF(N217="HKD",7.8,IF(N217="CNY",7.30034,1))</f>
        <v>7.3003400000000003</v>
      </c>
      <c r="R217" s="10">
        <f>+ROUND(O217/Q217,4)</f>
        <v>0.4</v>
      </c>
      <c r="S217" s="11">
        <f>ROUND(R217*L217,2)</f>
        <v>399.2</v>
      </c>
      <c r="T217" s="10" t="s">
        <v>349</v>
      </c>
      <c r="U217" t="s">
        <v>191</v>
      </c>
    </row>
    <row r="218" spans="1:21">
      <c r="A218" t="s">
        <v>4060</v>
      </c>
      <c r="B218" s="20">
        <v>45765</v>
      </c>
      <c r="C218" s="20">
        <v>45750</v>
      </c>
      <c r="D218" t="s">
        <v>1006</v>
      </c>
      <c r="E218" t="s">
        <v>1007</v>
      </c>
      <c r="G218" t="s">
        <v>4426</v>
      </c>
      <c r="H218" t="s">
        <v>3664</v>
      </c>
      <c r="I218" t="s">
        <v>3665</v>
      </c>
      <c r="J218" s="8" t="str">
        <f>+LEFT(U218,4)</f>
        <v>ALM-</v>
      </c>
      <c r="K218" t="s">
        <v>98</v>
      </c>
      <c r="L218" s="46">
        <v>553</v>
      </c>
      <c r="M218" t="s">
        <v>186</v>
      </c>
      <c r="N218" t="s">
        <v>11</v>
      </c>
      <c r="O218" s="49">
        <v>2.9203999999999999</v>
      </c>
      <c r="P218" s="9">
        <f>ROUND(O218*L218,2)</f>
        <v>1614.98</v>
      </c>
      <c r="Q218" s="10">
        <f>IF(N218="HKD",7.8,IF(N218="CNY",7.30034,1))</f>
        <v>7.3003400000000003</v>
      </c>
      <c r="R218" s="10">
        <f>+ROUND(O218/Q218,4)</f>
        <v>0.4</v>
      </c>
      <c r="S218" s="11">
        <f>ROUND(R218*L218,2)</f>
        <v>221.2</v>
      </c>
      <c r="T218" s="10" t="s">
        <v>349</v>
      </c>
      <c r="U218" t="s">
        <v>191</v>
      </c>
    </row>
    <row r="219" spans="1:21">
      <c r="A219" t="s">
        <v>4061</v>
      </c>
      <c r="B219" s="20">
        <v>45765</v>
      </c>
      <c r="C219" s="20">
        <v>45750</v>
      </c>
      <c r="D219" t="s">
        <v>1006</v>
      </c>
      <c r="E219" t="s">
        <v>1007</v>
      </c>
      <c r="G219" t="s">
        <v>4426</v>
      </c>
      <c r="H219" t="s">
        <v>3197</v>
      </c>
      <c r="I219" t="s">
        <v>3404</v>
      </c>
      <c r="J219" s="8" t="str">
        <f>+LEFT(U219,4)</f>
        <v>ALM-</v>
      </c>
      <c r="K219" t="s">
        <v>98</v>
      </c>
      <c r="L219" s="46">
        <v>521</v>
      </c>
      <c r="M219" t="s">
        <v>186</v>
      </c>
      <c r="N219" t="s">
        <v>11</v>
      </c>
      <c r="O219" s="49">
        <v>2.9203999999999999</v>
      </c>
      <c r="P219" s="9">
        <f>ROUND(O219*L219,2)</f>
        <v>1521.53</v>
      </c>
      <c r="Q219" s="10">
        <f>IF(N219="HKD",7.8,IF(N219="CNY",7.30034,1))</f>
        <v>7.3003400000000003</v>
      </c>
      <c r="R219" s="10">
        <f>+ROUND(O219/Q219,4)</f>
        <v>0.4</v>
      </c>
      <c r="S219" s="11">
        <f>ROUND(R219*L219,2)</f>
        <v>208.4</v>
      </c>
      <c r="T219" s="10" t="s">
        <v>349</v>
      </c>
      <c r="U219" t="s">
        <v>191</v>
      </c>
    </row>
    <row r="220" spans="1:21">
      <c r="A220" t="s">
        <v>4062</v>
      </c>
      <c r="B220" s="20">
        <v>45765</v>
      </c>
      <c r="C220" s="20">
        <v>45750</v>
      </c>
      <c r="D220" t="s">
        <v>1006</v>
      </c>
      <c r="E220" t="s">
        <v>1007</v>
      </c>
      <c r="G220" t="s">
        <v>4426</v>
      </c>
      <c r="H220" t="s">
        <v>3666</v>
      </c>
      <c r="I220" t="s">
        <v>3667</v>
      </c>
      <c r="J220" s="8" t="str">
        <f>+LEFT(U220,4)</f>
        <v>ALM-</v>
      </c>
      <c r="K220" t="s">
        <v>98</v>
      </c>
      <c r="L220" s="46">
        <v>1093</v>
      </c>
      <c r="M220" t="s">
        <v>186</v>
      </c>
      <c r="N220" t="s">
        <v>11</v>
      </c>
      <c r="O220" s="49">
        <v>2.9203999999999999</v>
      </c>
      <c r="P220" s="9">
        <f>ROUND(O220*L220,2)</f>
        <v>3192</v>
      </c>
      <c r="Q220" s="10">
        <f>IF(N220="HKD",7.8,IF(N220="CNY",7.30034,1))</f>
        <v>7.3003400000000003</v>
      </c>
      <c r="R220" s="10">
        <f>+ROUND(O220/Q220,4)</f>
        <v>0.4</v>
      </c>
      <c r="S220" s="11">
        <f>ROUND(R220*L220,2)</f>
        <v>437.2</v>
      </c>
      <c r="T220" s="10" t="s">
        <v>349</v>
      </c>
      <c r="U220" t="s">
        <v>191</v>
      </c>
    </row>
    <row r="221" spans="1:21">
      <c r="A221" t="s">
        <v>4078</v>
      </c>
      <c r="B221" s="20">
        <v>45765</v>
      </c>
      <c r="C221" s="20">
        <v>45750</v>
      </c>
      <c r="D221" t="s">
        <v>1006</v>
      </c>
      <c r="E221" t="s">
        <v>1007</v>
      </c>
      <c r="G221" t="s">
        <v>4426</v>
      </c>
      <c r="H221" t="s">
        <v>1013</v>
      </c>
      <c r="I221" t="s">
        <v>1014</v>
      </c>
      <c r="J221" s="8" t="str">
        <f>+LEFT(U221,4)</f>
        <v>ALM-</v>
      </c>
      <c r="K221" t="s">
        <v>98</v>
      </c>
      <c r="L221" s="46">
        <v>558</v>
      </c>
      <c r="M221" t="s">
        <v>186</v>
      </c>
      <c r="N221" t="s">
        <v>11</v>
      </c>
      <c r="O221" s="49">
        <v>3.0973000000000002</v>
      </c>
      <c r="P221" s="9">
        <f>ROUND(O221*L221,2)</f>
        <v>1728.29</v>
      </c>
      <c r="Q221" s="10">
        <f>IF(N221="HKD",7.8,IF(N221="CNY",7.30034,1))</f>
        <v>7.3003400000000003</v>
      </c>
      <c r="R221" s="10">
        <f>+ROUND(O221/Q221,4)</f>
        <v>0.42430000000000001</v>
      </c>
      <c r="S221" s="11">
        <f>ROUND(R221*L221,2)</f>
        <v>236.76</v>
      </c>
      <c r="T221" s="10" t="s">
        <v>349</v>
      </c>
      <c r="U221" t="s">
        <v>191</v>
      </c>
    </row>
    <row r="222" spans="1:21">
      <c r="A222" t="s">
        <v>4079</v>
      </c>
      <c r="B222" s="20">
        <v>45765</v>
      </c>
      <c r="C222" s="20">
        <v>45750</v>
      </c>
      <c r="D222" t="s">
        <v>1006</v>
      </c>
      <c r="E222" t="s">
        <v>1007</v>
      </c>
      <c r="G222" t="s">
        <v>4426</v>
      </c>
      <c r="H222" t="s">
        <v>1016</v>
      </c>
      <c r="I222" t="s">
        <v>1017</v>
      </c>
      <c r="J222" s="8" t="str">
        <f>+LEFT(U222,4)</f>
        <v>ALM-</v>
      </c>
      <c r="K222" t="s">
        <v>98</v>
      </c>
      <c r="L222" s="46">
        <v>1783</v>
      </c>
      <c r="M222" t="s">
        <v>186</v>
      </c>
      <c r="N222" t="s">
        <v>11</v>
      </c>
      <c r="O222" s="49">
        <v>3.0973000000000002</v>
      </c>
      <c r="P222" s="9">
        <f>ROUND(O222*L222,2)</f>
        <v>5522.49</v>
      </c>
      <c r="Q222" s="10">
        <f>IF(N222="HKD",7.8,IF(N222="CNY",7.30034,1))</f>
        <v>7.3003400000000003</v>
      </c>
      <c r="R222" s="10">
        <f>+ROUND(O222/Q222,4)</f>
        <v>0.42430000000000001</v>
      </c>
      <c r="S222" s="11">
        <f>ROUND(R222*L222,2)</f>
        <v>756.53</v>
      </c>
      <c r="T222" s="10" t="s">
        <v>349</v>
      </c>
      <c r="U222" t="s">
        <v>191</v>
      </c>
    </row>
    <row r="223" spans="1:21">
      <c r="A223" t="s">
        <v>4080</v>
      </c>
      <c r="B223" s="20">
        <v>45765</v>
      </c>
      <c r="C223" s="20">
        <v>45750</v>
      </c>
      <c r="D223" t="s">
        <v>1006</v>
      </c>
      <c r="E223" t="s">
        <v>1007</v>
      </c>
      <c r="G223" t="s">
        <v>4426</v>
      </c>
      <c r="H223" t="s">
        <v>3678</v>
      </c>
      <c r="I223" t="s">
        <v>3679</v>
      </c>
      <c r="J223" s="8" t="str">
        <f>+LEFT(U223,4)</f>
        <v>ALM-</v>
      </c>
      <c r="K223" t="s">
        <v>98</v>
      </c>
      <c r="L223" s="46">
        <v>577</v>
      </c>
      <c r="M223" t="s">
        <v>186</v>
      </c>
      <c r="N223" t="s">
        <v>11</v>
      </c>
      <c r="O223" s="49">
        <v>3.0973000000000002</v>
      </c>
      <c r="P223" s="9">
        <f>ROUND(O223*L223,2)</f>
        <v>1787.14</v>
      </c>
      <c r="Q223" s="10">
        <f>IF(N223="HKD",7.8,IF(N223="CNY",7.30034,1))</f>
        <v>7.3003400000000003</v>
      </c>
      <c r="R223" s="10">
        <f>+ROUND(O223/Q223,4)</f>
        <v>0.42430000000000001</v>
      </c>
      <c r="S223" s="11">
        <f>ROUND(R223*L223,2)</f>
        <v>244.82</v>
      </c>
      <c r="T223" s="10" t="s">
        <v>349</v>
      </c>
      <c r="U223" t="s">
        <v>191</v>
      </c>
    </row>
    <row r="224" spans="1:21">
      <c r="A224" t="s">
        <v>3826</v>
      </c>
      <c r="B224" s="20">
        <v>45765</v>
      </c>
      <c r="C224" s="20">
        <v>45675</v>
      </c>
      <c r="D224" t="s">
        <v>866</v>
      </c>
      <c r="E224" t="s">
        <v>867</v>
      </c>
      <c r="G224" t="s">
        <v>4334</v>
      </c>
      <c r="H224" t="s">
        <v>870</v>
      </c>
      <c r="I224" t="s">
        <v>871</v>
      </c>
      <c r="J224" s="8" t="s">
        <v>1484</v>
      </c>
      <c r="K224" t="s">
        <v>10</v>
      </c>
      <c r="L224" s="46">
        <v>5000</v>
      </c>
      <c r="M224" t="s">
        <v>1472</v>
      </c>
      <c r="N224" t="s">
        <v>11</v>
      </c>
      <c r="O224" s="49">
        <v>0</v>
      </c>
      <c r="P224" s="9">
        <f>ROUND(O224*L224,2)</f>
        <v>0</v>
      </c>
      <c r="Q224" s="10">
        <f>IF(N224="HKD",7.8,IF(N224="CNY",7.30034,1))</f>
        <v>7.3003400000000003</v>
      </c>
      <c r="R224" s="10">
        <f>+ROUND(O224/Q224,4)</f>
        <v>0</v>
      </c>
      <c r="S224" s="11">
        <f>ROUND(R224*L224,2)</f>
        <v>0</v>
      </c>
      <c r="T224" s="10" t="s">
        <v>349</v>
      </c>
      <c r="U224" t="s">
        <v>36</v>
      </c>
    </row>
    <row r="225" spans="1:21">
      <c r="A225" t="s">
        <v>2069</v>
      </c>
      <c r="B225" s="20">
        <v>45765</v>
      </c>
      <c r="C225" s="20">
        <v>45646</v>
      </c>
      <c r="D225" t="s">
        <v>866</v>
      </c>
      <c r="E225" t="s">
        <v>867</v>
      </c>
      <c r="G225" t="s">
        <v>4503</v>
      </c>
      <c r="H225" t="s">
        <v>34</v>
      </c>
      <c r="I225" t="s">
        <v>35</v>
      </c>
      <c r="J225" s="8" t="s">
        <v>1484</v>
      </c>
      <c r="K225" t="s">
        <v>10</v>
      </c>
      <c r="L225" s="46">
        <v>13008</v>
      </c>
      <c r="M225" t="s">
        <v>1472</v>
      </c>
      <c r="N225" t="s">
        <v>11</v>
      </c>
      <c r="O225" s="49">
        <v>5.2389000000000001</v>
      </c>
      <c r="P225" s="9">
        <f>ROUND(O225*L225,2)</f>
        <v>68147.61</v>
      </c>
      <c r="Q225" s="10">
        <f>IF(N225="HKD",7.8,IF(N225="CNY",7.30034,1))</f>
        <v>7.3003400000000003</v>
      </c>
      <c r="R225" s="10">
        <f>+ROUND(O225/Q225,4)</f>
        <v>0.71760000000000002</v>
      </c>
      <c r="S225" s="11">
        <f>ROUND(R225*L225,2)</f>
        <v>9334.5400000000009</v>
      </c>
      <c r="T225" s="10" t="s">
        <v>349</v>
      </c>
      <c r="U225" t="s">
        <v>36</v>
      </c>
    </row>
    <row r="226" spans="1:21">
      <c r="A226" t="s">
        <v>2070</v>
      </c>
      <c r="B226" s="20">
        <v>45765</v>
      </c>
      <c r="C226" s="20">
        <v>45309</v>
      </c>
      <c r="D226" t="s">
        <v>866</v>
      </c>
      <c r="E226" t="s">
        <v>867</v>
      </c>
      <c r="G226" t="s">
        <v>4504</v>
      </c>
      <c r="H226" t="s">
        <v>1497</v>
      </c>
      <c r="I226" t="s">
        <v>1498</v>
      </c>
      <c r="J226" s="8" t="s">
        <v>1484</v>
      </c>
      <c r="K226" t="s">
        <v>10</v>
      </c>
      <c r="L226" s="46">
        <v>3000</v>
      </c>
      <c r="M226" t="s">
        <v>1472</v>
      </c>
      <c r="N226" t="s">
        <v>11</v>
      </c>
      <c r="O226" s="49">
        <v>5.3574999999999999</v>
      </c>
      <c r="P226" s="9">
        <f>ROUND(O226*L226,2)</f>
        <v>16072.5</v>
      </c>
      <c r="Q226" s="10">
        <f>IF(N226="HKD",7.8,IF(N226="CNY",7.30034,1))</f>
        <v>7.3003400000000003</v>
      </c>
      <c r="R226" s="10">
        <f>+ROUND(O226/Q226,4)</f>
        <v>0.7339</v>
      </c>
      <c r="S226" s="11">
        <f>ROUND(R226*L226,2)</f>
        <v>2201.6999999999998</v>
      </c>
      <c r="T226" s="10" t="s">
        <v>349</v>
      </c>
      <c r="U226" t="s">
        <v>36</v>
      </c>
    </row>
    <row r="227" spans="1:21">
      <c r="A227" t="s">
        <v>910</v>
      </c>
      <c r="B227" s="20">
        <v>45765</v>
      </c>
      <c r="C227" s="20">
        <v>45287</v>
      </c>
      <c r="D227" t="s">
        <v>866</v>
      </c>
      <c r="E227" t="s">
        <v>867</v>
      </c>
      <c r="G227" t="s">
        <v>4505</v>
      </c>
      <c r="H227" t="s">
        <v>908</v>
      </c>
      <c r="I227" t="s">
        <v>909</v>
      </c>
      <c r="J227" s="8" t="s">
        <v>1484</v>
      </c>
      <c r="K227" t="s">
        <v>10</v>
      </c>
      <c r="L227" s="46">
        <v>2016</v>
      </c>
      <c r="M227" t="s">
        <v>1472</v>
      </c>
      <c r="N227" t="s">
        <v>11</v>
      </c>
      <c r="O227" s="49">
        <v>5.3804999999999996</v>
      </c>
      <c r="P227" s="9">
        <f>ROUND(O227*L227,2)</f>
        <v>10847.09</v>
      </c>
      <c r="Q227" s="10">
        <f>IF(N227="HKD",7.8,IF(N227="CNY",7.30034,1))</f>
        <v>7.3003400000000003</v>
      </c>
      <c r="R227" s="10">
        <f>+ROUND(O227/Q227,4)</f>
        <v>0.73699999999999999</v>
      </c>
      <c r="S227" s="11">
        <f>ROUND(R227*L227,2)</f>
        <v>1485.79</v>
      </c>
      <c r="T227" s="10" t="s">
        <v>349</v>
      </c>
      <c r="U227" t="s">
        <v>36</v>
      </c>
    </row>
    <row r="228" spans="1:21">
      <c r="A228" t="s">
        <v>868</v>
      </c>
      <c r="B228" s="20">
        <v>45765</v>
      </c>
      <c r="C228" s="20">
        <v>45309</v>
      </c>
      <c r="D228" t="s">
        <v>866</v>
      </c>
      <c r="E228" t="s">
        <v>867</v>
      </c>
      <c r="G228" t="s">
        <v>4504</v>
      </c>
      <c r="H228" t="s">
        <v>864</v>
      </c>
      <c r="I228" t="s">
        <v>865</v>
      </c>
      <c r="J228" s="8" t="s">
        <v>1484</v>
      </c>
      <c r="K228" t="s">
        <v>10</v>
      </c>
      <c r="L228" s="46">
        <v>2000</v>
      </c>
      <c r="M228" t="s">
        <v>1472</v>
      </c>
      <c r="N228" t="s">
        <v>11</v>
      </c>
      <c r="O228" s="49">
        <v>6.0212000000000003</v>
      </c>
      <c r="P228" s="9">
        <f>ROUND(O228*L228,2)</f>
        <v>12042.4</v>
      </c>
      <c r="Q228" s="10">
        <f>IF(N228="HKD",7.8,IF(N228="CNY",7.30034,1))</f>
        <v>7.3003400000000003</v>
      </c>
      <c r="R228" s="10">
        <f>+ROUND(O228/Q228,4)</f>
        <v>0.82479999999999998</v>
      </c>
      <c r="S228" s="11">
        <f>ROUND(R228*L228,2)</f>
        <v>1649.6</v>
      </c>
      <c r="T228" s="10" t="s">
        <v>349</v>
      </c>
      <c r="U228" t="s">
        <v>36</v>
      </c>
    </row>
    <row r="229" spans="1:21">
      <c r="A229" t="s">
        <v>876</v>
      </c>
      <c r="B229" s="20">
        <v>45765</v>
      </c>
      <c r="C229" s="20">
        <v>45287</v>
      </c>
      <c r="D229" t="s">
        <v>866</v>
      </c>
      <c r="E229" t="s">
        <v>867</v>
      </c>
      <c r="G229" t="s">
        <v>4505</v>
      </c>
      <c r="H229" t="s">
        <v>874</v>
      </c>
      <c r="I229" t="s">
        <v>875</v>
      </c>
      <c r="J229" s="8" t="s">
        <v>1484</v>
      </c>
      <c r="K229" t="s">
        <v>10</v>
      </c>
      <c r="L229" s="46">
        <v>5000</v>
      </c>
      <c r="M229" t="s">
        <v>1472</v>
      </c>
      <c r="N229" t="s">
        <v>11</v>
      </c>
      <c r="O229" s="49">
        <v>6.6637000000000004</v>
      </c>
      <c r="P229" s="9">
        <f>ROUND(O229*L229,2)</f>
        <v>33318.5</v>
      </c>
      <c r="Q229" s="10">
        <f>IF(N229="HKD",7.8,IF(N229="CNY",7.30034,1))</f>
        <v>7.3003400000000003</v>
      </c>
      <c r="R229" s="10">
        <f>+ROUND(O229/Q229,4)</f>
        <v>0.91279999999999994</v>
      </c>
      <c r="S229" s="11">
        <f>ROUND(R229*L229,2)</f>
        <v>4564</v>
      </c>
      <c r="T229" s="10" t="s">
        <v>349</v>
      </c>
      <c r="U229" t="s">
        <v>36</v>
      </c>
    </row>
    <row r="230" spans="1:21">
      <c r="A230" t="s">
        <v>882</v>
      </c>
      <c r="B230" s="20">
        <v>45765</v>
      </c>
      <c r="C230" s="20">
        <v>45287</v>
      </c>
      <c r="D230" t="s">
        <v>866</v>
      </c>
      <c r="E230" t="s">
        <v>867</v>
      </c>
      <c r="G230" t="s">
        <v>4505</v>
      </c>
      <c r="H230" t="s">
        <v>880</v>
      </c>
      <c r="I230" t="s">
        <v>881</v>
      </c>
      <c r="J230" s="8" t="s">
        <v>1484</v>
      </c>
      <c r="K230" t="s">
        <v>10</v>
      </c>
      <c r="L230" s="46">
        <v>2000</v>
      </c>
      <c r="M230" t="s">
        <v>1472</v>
      </c>
      <c r="N230" t="s">
        <v>11</v>
      </c>
      <c r="O230" s="49">
        <v>8.1858000000000004</v>
      </c>
      <c r="P230" s="9">
        <f>ROUND(O230*L230,2)</f>
        <v>16371.6</v>
      </c>
      <c r="Q230" s="10">
        <f>IF(N230="HKD",7.8,IF(N230="CNY",7.30034,1))</f>
        <v>7.3003400000000003</v>
      </c>
      <c r="R230" s="10">
        <f>+ROUND(O230/Q230,4)</f>
        <v>1.1213</v>
      </c>
      <c r="S230" s="11">
        <f>ROUND(R230*L230,2)</f>
        <v>2242.6</v>
      </c>
      <c r="T230" s="10" t="s">
        <v>349</v>
      </c>
      <c r="U230" t="s">
        <v>36</v>
      </c>
    </row>
    <row r="231" spans="1:21">
      <c r="A231" t="s">
        <v>889</v>
      </c>
      <c r="B231" s="20">
        <v>45765</v>
      </c>
      <c r="C231" s="20">
        <v>45526</v>
      </c>
      <c r="D231" t="s">
        <v>866</v>
      </c>
      <c r="E231" t="s">
        <v>867</v>
      </c>
      <c r="G231" t="s">
        <v>4537</v>
      </c>
      <c r="H231" t="s">
        <v>887</v>
      </c>
      <c r="I231" t="s">
        <v>888</v>
      </c>
      <c r="J231" s="8" t="s">
        <v>1484</v>
      </c>
      <c r="K231" t="s">
        <v>10</v>
      </c>
      <c r="L231" s="46">
        <v>544</v>
      </c>
      <c r="M231" t="s">
        <v>1472</v>
      </c>
      <c r="N231" t="s">
        <v>11</v>
      </c>
      <c r="O231" s="49">
        <v>9.2124000000000006</v>
      </c>
      <c r="P231" s="9">
        <f>ROUND(O231*L231,2)</f>
        <v>5011.55</v>
      </c>
      <c r="Q231" s="10">
        <f>IF(N231="HKD",7.8,IF(N231="CNY",7.30034,1))</f>
        <v>7.3003400000000003</v>
      </c>
      <c r="R231" s="10">
        <f>+ROUND(O231/Q231,4)</f>
        <v>1.2619</v>
      </c>
      <c r="S231" s="11">
        <f>ROUND(R231*L231,2)</f>
        <v>686.47</v>
      </c>
      <c r="T231" s="10" t="s">
        <v>349</v>
      </c>
      <c r="U231" t="s">
        <v>36</v>
      </c>
    </row>
    <row r="232" spans="1:21">
      <c r="A232" t="s">
        <v>885</v>
      </c>
      <c r="B232" s="20">
        <v>45765</v>
      </c>
      <c r="C232" s="20">
        <v>45526</v>
      </c>
      <c r="D232" t="s">
        <v>866</v>
      </c>
      <c r="E232" t="s">
        <v>867</v>
      </c>
      <c r="G232" t="s">
        <v>4537</v>
      </c>
      <c r="H232" t="s">
        <v>883</v>
      </c>
      <c r="I232" t="s">
        <v>884</v>
      </c>
      <c r="J232" s="8" t="s">
        <v>1484</v>
      </c>
      <c r="K232" t="s">
        <v>10</v>
      </c>
      <c r="L232" s="46">
        <v>5004</v>
      </c>
      <c r="M232" t="s">
        <v>1472</v>
      </c>
      <c r="N232" t="s">
        <v>11</v>
      </c>
      <c r="O232" s="49">
        <v>9.7788000000000004</v>
      </c>
      <c r="P232" s="9">
        <f>ROUND(O232*L232,2)</f>
        <v>48933.120000000003</v>
      </c>
      <c r="Q232" s="10">
        <f>IF(N232="HKD",7.8,IF(N232="CNY",7.30034,1))</f>
        <v>7.3003400000000003</v>
      </c>
      <c r="R232" s="10">
        <f>+ROUND(O232/Q232,4)</f>
        <v>1.3394999999999999</v>
      </c>
      <c r="S232" s="11">
        <f>ROUND(R232*L232,2)</f>
        <v>6702.86</v>
      </c>
      <c r="T232" s="10" t="s">
        <v>349</v>
      </c>
      <c r="U232" t="s">
        <v>36</v>
      </c>
    </row>
    <row r="233" spans="1:21">
      <c r="A233" t="s">
        <v>2299</v>
      </c>
      <c r="B233" s="20">
        <v>45765</v>
      </c>
      <c r="C233" s="20">
        <v>45646</v>
      </c>
      <c r="D233" t="s">
        <v>866</v>
      </c>
      <c r="E233" t="s">
        <v>867</v>
      </c>
      <c r="G233" t="s">
        <v>4503</v>
      </c>
      <c r="H233" t="s">
        <v>877</v>
      </c>
      <c r="I233" t="s">
        <v>878</v>
      </c>
      <c r="J233" s="8" t="s">
        <v>1484</v>
      </c>
      <c r="K233" t="s">
        <v>10</v>
      </c>
      <c r="L233" s="46">
        <v>2004</v>
      </c>
      <c r="M233" t="s">
        <v>1472</v>
      </c>
      <c r="N233" t="s">
        <v>11</v>
      </c>
      <c r="O233" s="49">
        <v>11.672599999999999</v>
      </c>
      <c r="P233" s="9">
        <f>ROUND(O233*L233,2)</f>
        <v>23391.89</v>
      </c>
      <c r="Q233" s="10">
        <f>IF(N233="HKD",7.8,IF(N233="CNY",7.30034,1))</f>
        <v>7.3003400000000003</v>
      </c>
      <c r="R233" s="10">
        <f>+ROUND(O233/Q233,4)</f>
        <v>1.5989</v>
      </c>
      <c r="S233" s="11">
        <f>ROUND(R233*L233,2)</f>
        <v>3204.2</v>
      </c>
      <c r="T233" s="10" t="s">
        <v>349</v>
      </c>
      <c r="U233" t="s">
        <v>36</v>
      </c>
    </row>
    <row r="234" spans="1:21">
      <c r="A234" t="s">
        <v>4220</v>
      </c>
      <c r="B234" s="20">
        <v>45765</v>
      </c>
      <c r="C234" s="20">
        <v>45720</v>
      </c>
      <c r="D234" t="s">
        <v>143</v>
      </c>
      <c r="E234" t="s">
        <v>144</v>
      </c>
      <c r="G234" t="s">
        <v>4510</v>
      </c>
      <c r="H234" t="s">
        <v>3772</v>
      </c>
      <c r="I234" t="s">
        <v>3773</v>
      </c>
      <c r="J234" s="8" t="str">
        <f>+LEFT(U234,4)</f>
        <v>LHDL</v>
      </c>
      <c r="K234" t="s">
        <v>10</v>
      </c>
      <c r="L234" s="46">
        <v>930</v>
      </c>
      <c r="M234" t="s">
        <v>1472</v>
      </c>
      <c r="N234" t="s">
        <v>11</v>
      </c>
      <c r="O234" s="49">
        <v>6.1544999999999996</v>
      </c>
      <c r="P234" s="9">
        <f>ROUND(O234*L234,2)</f>
        <v>5723.69</v>
      </c>
      <c r="Q234" s="10">
        <f>IF(N234="HKD",7.8,IF(N234="CNY",7.30034,1))</f>
        <v>7.3003400000000003</v>
      </c>
      <c r="R234" s="10">
        <f>+ROUND(O234/Q234,4)</f>
        <v>0.84299999999999997</v>
      </c>
      <c r="S234" s="11">
        <f>ROUND(R234*L234,2)</f>
        <v>783.99</v>
      </c>
      <c r="T234" s="10" t="s">
        <v>349</v>
      </c>
      <c r="U234" t="s">
        <v>125</v>
      </c>
    </row>
    <row r="235" spans="1:21">
      <c r="A235" t="s">
        <v>2540</v>
      </c>
      <c r="B235" s="20">
        <v>45765</v>
      </c>
      <c r="C235" s="20">
        <v>45714</v>
      </c>
      <c r="D235" t="s">
        <v>830</v>
      </c>
      <c r="E235" t="s">
        <v>831</v>
      </c>
      <c r="G235" t="s">
        <v>4462</v>
      </c>
      <c r="H235" t="s">
        <v>3166</v>
      </c>
      <c r="I235" t="s">
        <v>3376</v>
      </c>
      <c r="J235" s="8" t="str">
        <f>+LEFT(U235,4)</f>
        <v>LID-</v>
      </c>
      <c r="K235" t="s">
        <v>98</v>
      </c>
      <c r="L235" s="46">
        <v>960</v>
      </c>
      <c r="M235" t="s">
        <v>1472</v>
      </c>
      <c r="N235" t="s">
        <v>11</v>
      </c>
      <c r="O235" s="49">
        <v>4.2</v>
      </c>
      <c r="P235" s="9">
        <f>ROUND(O235*L235,2)</f>
        <v>4032</v>
      </c>
      <c r="Q235" s="10">
        <f>IF(N235="HKD",7.8,IF(N235="CNY",7.30034,1))</f>
        <v>7.3003400000000003</v>
      </c>
      <c r="R235" s="10">
        <f>+ROUND(O235/Q235,4)</f>
        <v>0.57530000000000003</v>
      </c>
      <c r="S235" s="11">
        <f>ROUND(R235*L235,2)</f>
        <v>552.29</v>
      </c>
      <c r="T235" s="10" t="s">
        <v>349</v>
      </c>
      <c r="U235" t="s">
        <v>368</v>
      </c>
    </row>
    <row r="236" spans="1:21">
      <c r="A236" t="s">
        <v>4183</v>
      </c>
      <c r="B236" s="20">
        <v>45765</v>
      </c>
      <c r="C236" s="20">
        <v>45714</v>
      </c>
      <c r="D236" t="s">
        <v>94</v>
      </c>
      <c r="E236" t="s">
        <v>95</v>
      </c>
      <c r="G236" t="s">
        <v>4336</v>
      </c>
      <c r="H236" t="s">
        <v>3165</v>
      </c>
      <c r="I236" t="s">
        <v>3375</v>
      </c>
      <c r="J236" s="8" t="str">
        <f>+LEFT(U236,4)</f>
        <v>LID-</v>
      </c>
      <c r="K236" t="s">
        <v>98</v>
      </c>
      <c r="L236" s="46">
        <v>610</v>
      </c>
      <c r="M236" t="s">
        <v>1472</v>
      </c>
      <c r="N236" t="s">
        <v>11</v>
      </c>
      <c r="O236" s="49">
        <v>4.37</v>
      </c>
      <c r="P236" s="9">
        <f>ROUND(O236*L236,2)</f>
        <v>2665.7</v>
      </c>
      <c r="Q236" s="10">
        <f>IF(N236="HKD",7.8,IF(N236="CNY",7.30034,1))</f>
        <v>7.3003400000000003</v>
      </c>
      <c r="R236" s="10">
        <f>+ROUND(O236/Q236,4)</f>
        <v>0.59860000000000002</v>
      </c>
      <c r="S236" s="11">
        <f>ROUND(R236*L236,2)</f>
        <v>365.15</v>
      </c>
      <c r="T236" s="10" t="s">
        <v>349</v>
      </c>
      <c r="U236" t="s">
        <v>368</v>
      </c>
    </row>
    <row r="237" spans="1:21">
      <c r="A237" t="s">
        <v>4039</v>
      </c>
      <c r="B237" s="20">
        <v>45765</v>
      </c>
      <c r="C237" s="20">
        <v>45761</v>
      </c>
      <c r="D237" t="s">
        <v>268</v>
      </c>
      <c r="E237" t="s">
        <v>269</v>
      </c>
      <c r="G237" t="s">
        <v>4419</v>
      </c>
      <c r="H237" t="s">
        <v>1686</v>
      </c>
      <c r="I237" t="s">
        <v>1687</v>
      </c>
      <c r="J237" s="8" t="str">
        <f>+LEFT(U237,4)</f>
        <v>MISC</v>
      </c>
      <c r="K237" t="s">
        <v>10</v>
      </c>
      <c r="L237" s="46">
        <v>1000</v>
      </c>
      <c r="M237" t="s">
        <v>1472</v>
      </c>
      <c r="N237" t="s">
        <v>11</v>
      </c>
      <c r="O237" s="49">
        <v>2.5</v>
      </c>
      <c r="P237" s="9">
        <f>ROUND(O237*L237,2)</f>
        <v>2500</v>
      </c>
      <c r="Q237" s="10">
        <f>IF(N237="HKD",7.8,IF(N237="CNY",7.30034,1))</f>
        <v>7.3003400000000003</v>
      </c>
      <c r="R237" s="10">
        <f>+ROUND(O237/Q237,4)</f>
        <v>0.34239999999999998</v>
      </c>
      <c r="S237" s="11">
        <f>ROUND(R237*L237,2)</f>
        <v>342.4</v>
      </c>
      <c r="T237" s="10" t="s">
        <v>349</v>
      </c>
      <c r="U237" t="s">
        <v>25</v>
      </c>
    </row>
    <row r="238" spans="1:21">
      <c r="A238" t="s">
        <v>3866</v>
      </c>
      <c r="B238" s="20">
        <v>45765</v>
      </c>
      <c r="C238" s="20">
        <v>45695</v>
      </c>
      <c r="D238" t="s">
        <v>162</v>
      </c>
      <c r="E238" t="s">
        <v>163</v>
      </c>
      <c r="G238" t="s">
        <v>4354</v>
      </c>
      <c r="H238" t="s">
        <v>592</v>
      </c>
      <c r="I238" t="s">
        <v>593</v>
      </c>
      <c r="J238" s="8" t="str">
        <f>+LEFT(U238,4)</f>
        <v>SCR-</v>
      </c>
      <c r="K238" t="s">
        <v>10</v>
      </c>
      <c r="L238" s="46">
        <v>6200</v>
      </c>
      <c r="M238" t="s">
        <v>1472</v>
      </c>
      <c r="N238" t="s">
        <v>11</v>
      </c>
      <c r="O238" s="49">
        <v>7.0000000000000007E-2</v>
      </c>
      <c r="P238" s="9">
        <f>ROUND(O238*L238,2)</f>
        <v>434</v>
      </c>
      <c r="Q238" s="10">
        <f>IF(N238="HKD",7.8,IF(N238="CNY",7.30034,1))</f>
        <v>7.3003400000000003</v>
      </c>
      <c r="R238" s="10">
        <f>+ROUND(O238/Q238,4)</f>
        <v>9.5999999999999992E-3</v>
      </c>
      <c r="S238" s="11">
        <f>ROUND(R238*L238,2)</f>
        <v>59.52</v>
      </c>
      <c r="T238" s="10" t="s">
        <v>349</v>
      </c>
      <c r="U238" t="s">
        <v>166</v>
      </c>
    </row>
    <row r="239" spans="1:21">
      <c r="A239" t="s">
        <v>3886</v>
      </c>
      <c r="B239" s="20">
        <v>45765</v>
      </c>
      <c r="C239" s="20">
        <v>45744</v>
      </c>
      <c r="D239" t="s">
        <v>162</v>
      </c>
      <c r="E239" t="s">
        <v>163</v>
      </c>
      <c r="G239" t="s">
        <v>4354</v>
      </c>
      <c r="H239" t="s">
        <v>3526</v>
      </c>
      <c r="I239" t="s">
        <v>3527</v>
      </c>
      <c r="J239" s="8" t="str">
        <f>+LEFT(U239,4)</f>
        <v>SCR-</v>
      </c>
      <c r="K239" t="s">
        <v>10</v>
      </c>
      <c r="L239" s="46">
        <v>2050</v>
      </c>
      <c r="M239" t="s">
        <v>1472</v>
      </c>
      <c r="N239" t="s">
        <v>11</v>
      </c>
      <c r="O239" s="49">
        <v>0.109</v>
      </c>
      <c r="P239" s="9">
        <f>ROUND(O239*L239,2)</f>
        <v>223.45</v>
      </c>
      <c r="Q239" s="10">
        <f>IF(N239="HKD",7.8,IF(N239="CNY",7.30034,1))</f>
        <v>7.3003400000000003</v>
      </c>
      <c r="R239" s="10">
        <f>+ROUND(O239/Q239,4)</f>
        <v>1.49E-2</v>
      </c>
      <c r="S239" s="11">
        <f>ROUND(R239*L239,2)</f>
        <v>30.55</v>
      </c>
      <c r="T239" s="10" t="s">
        <v>349</v>
      </c>
      <c r="U239" t="s">
        <v>166</v>
      </c>
    </row>
    <row r="240" spans="1:21">
      <c r="A240" t="s">
        <v>3910</v>
      </c>
      <c r="B240" s="20">
        <v>45765</v>
      </c>
      <c r="C240" s="20">
        <v>45706</v>
      </c>
      <c r="D240" t="s">
        <v>162</v>
      </c>
      <c r="E240" t="s">
        <v>163</v>
      </c>
      <c r="G240" t="s">
        <v>4354</v>
      </c>
      <c r="H240" t="s">
        <v>587</v>
      </c>
      <c r="I240" t="s">
        <v>588</v>
      </c>
      <c r="J240" s="8" t="str">
        <f>+LEFT(U240,4)</f>
        <v>SCR-</v>
      </c>
      <c r="K240" t="s">
        <v>10</v>
      </c>
      <c r="L240" s="46">
        <v>6500</v>
      </c>
      <c r="M240" t="s">
        <v>1472</v>
      </c>
      <c r="N240" t="s">
        <v>11</v>
      </c>
      <c r="O240" s="49">
        <v>0.153</v>
      </c>
      <c r="P240" s="9">
        <f>ROUND(O240*L240,2)</f>
        <v>994.5</v>
      </c>
      <c r="Q240" s="10">
        <f>IF(N240="HKD",7.8,IF(N240="CNY",7.30034,1))</f>
        <v>7.3003400000000003</v>
      </c>
      <c r="R240" s="10">
        <f>+ROUND(O240/Q240,4)</f>
        <v>2.1000000000000001E-2</v>
      </c>
      <c r="S240" s="11">
        <f>ROUND(R240*L240,2)</f>
        <v>136.5</v>
      </c>
      <c r="T240" s="10" t="s">
        <v>349</v>
      </c>
      <c r="U240" t="s">
        <v>166</v>
      </c>
    </row>
    <row r="241" spans="1:21">
      <c r="A241" t="s">
        <v>3911</v>
      </c>
      <c r="B241" s="20">
        <v>45765</v>
      </c>
      <c r="C241" s="20">
        <v>45729</v>
      </c>
      <c r="D241" t="s">
        <v>162</v>
      </c>
      <c r="E241" t="s">
        <v>163</v>
      </c>
      <c r="G241" t="s">
        <v>4354</v>
      </c>
      <c r="H241" t="s">
        <v>587</v>
      </c>
      <c r="I241" t="s">
        <v>588</v>
      </c>
      <c r="J241" s="8" t="str">
        <f>+LEFT(U241,4)</f>
        <v>SCR-</v>
      </c>
      <c r="K241" t="s">
        <v>10</v>
      </c>
      <c r="L241" s="46">
        <v>1150</v>
      </c>
      <c r="M241" t="s">
        <v>1472</v>
      </c>
      <c r="N241" t="s">
        <v>11</v>
      </c>
      <c r="O241" s="49">
        <v>0.153</v>
      </c>
      <c r="P241" s="9">
        <f>ROUND(O241*L241,2)</f>
        <v>175.95</v>
      </c>
      <c r="Q241" s="10">
        <f>IF(N241="HKD",7.8,IF(N241="CNY",7.30034,1))</f>
        <v>7.3003400000000003</v>
      </c>
      <c r="R241" s="10">
        <f>+ROUND(O241/Q241,4)</f>
        <v>2.1000000000000001E-2</v>
      </c>
      <c r="S241" s="11">
        <f>ROUND(R241*L241,2)</f>
        <v>24.15</v>
      </c>
      <c r="T241" s="10" t="s">
        <v>349</v>
      </c>
      <c r="U241" t="s">
        <v>166</v>
      </c>
    </row>
    <row r="242" spans="1:21">
      <c r="A242" t="s">
        <v>4286</v>
      </c>
      <c r="B242" s="20">
        <v>45765</v>
      </c>
      <c r="C242" s="20">
        <v>45702</v>
      </c>
      <c r="D242" t="s">
        <v>143</v>
      </c>
      <c r="E242" t="s">
        <v>144</v>
      </c>
      <c r="G242" t="s">
        <v>4510</v>
      </c>
      <c r="H242" t="s">
        <v>3798</v>
      </c>
      <c r="I242" t="s">
        <v>3799</v>
      </c>
      <c r="J242" s="8" t="str">
        <f>+LEFT(U242,4)</f>
        <v>SHDL</v>
      </c>
      <c r="K242" t="s">
        <v>10</v>
      </c>
      <c r="L242" s="46">
        <v>1050</v>
      </c>
      <c r="M242" t="s">
        <v>1472</v>
      </c>
      <c r="N242" t="s">
        <v>11</v>
      </c>
      <c r="O242" s="49">
        <v>12.817299999999999</v>
      </c>
      <c r="P242" s="9">
        <f>ROUND(O242*L242,2)</f>
        <v>13458.17</v>
      </c>
      <c r="Q242" s="10">
        <f>IF(N242="HKD",7.8,IF(N242="CNY",7.30034,1))</f>
        <v>7.3003400000000003</v>
      </c>
      <c r="R242" s="10">
        <f>+ROUND(O242/Q242,4)</f>
        <v>1.7557</v>
      </c>
      <c r="S242" s="11">
        <f>ROUND(R242*L242,2)</f>
        <v>1843.49</v>
      </c>
      <c r="T242" s="10" t="s">
        <v>349</v>
      </c>
      <c r="U242" t="s">
        <v>722</v>
      </c>
    </row>
    <row r="243" spans="1:21">
      <c r="A243" t="s">
        <v>4203</v>
      </c>
      <c r="B243" s="20">
        <v>45765</v>
      </c>
      <c r="C243" s="20">
        <v>45695</v>
      </c>
      <c r="D243" t="s">
        <v>830</v>
      </c>
      <c r="E243" t="s">
        <v>831</v>
      </c>
      <c r="G243" t="s">
        <v>4498</v>
      </c>
      <c r="H243" t="s">
        <v>828</v>
      </c>
      <c r="I243" t="s">
        <v>829</v>
      </c>
      <c r="J243" s="8" t="str">
        <f>+LEFT(U243,4)</f>
        <v>SKU-</v>
      </c>
      <c r="K243" t="s">
        <v>98</v>
      </c>
      <c r="L243" s="46">
        <v>1100</v>
      </c>
      <c r="M243" t="s">
        <v>1472</v>
      </c>
      <c r="N243" t="s">
        <v>11</v>
      </c>
      <c r="O243" s="49">
        <v>5.0862999999999996</v>
      </c>
      <c r="P243" s="9">
        <f>ROUND(O243*L243,2)</f>
        <v>5594.93</v>
      </c>
      <c r="Q243" s="10">
        <f>IF(N243="HKD",7.8,IF(N243="CNY",7.30034,1))</f>
        <v>7.3003400000000003</v>
      </c>
      <c r="R243" s="10">
        <f>+ROUND(O243/Q243,4)</f>
        <v>0.69669999999999999</v>
      </c>
      <c r="S243" s="11">
        <f>ROUND(R243*L243,2)</f>
        <v>766.37</v>
      </c>
      <c r="T243" s="10" t="s">
        <v>349</v>
      </c>
      <c r="U243" t="s">
        <v>2</v>
      </c>
    </row>
    <row r="244" spans="1:21">
      <c r="A244" t="s">
        <v>3827</v>
      </c>
      <c r="B244" s="20">
        <v>45764</v>
      </c>
      <c r="C244" s="20">
        <v>45706</v>
      </c>
      <c r="D244" t="s">
        <v>149</v>
      </c>
      <c r="E244" t="s">
        <v>150</v>
      </c>
      <c r="G244" t="s">
        <v>4335</v>
      </c>
      <c r="H244" t="s">
        <v>79</v>
      </c>
      <c r="I244" t="s">
        <v>80</v>
      </c>
      <c r="J244" s="8" t="s">
        <v>1478</v>
      </c>
      <c r="K244" t="s">
        <v>10</v>
      </c>
      <c r="L244" s="46">
        <v>-350</v>
      </c>
      <c r="M244" t="s">
        <v>1472</v>
      </c>
      <c r="N244" t="s">
        <v>11</v>
      </c>
      <c r="O244" s="49">
        <v>0</v>
      </c>
      <c r="P244" s="9">
        <f>ROUND(O244*L244,2)</f>
        <v>0</v>
      </c>
      <c r="Q244" s="10">
        <f>IF(N244="HKD",7.8,IF(N244="CNY",7.30034,1))</f>
        <v>7.3003400000000003</v>
      </c>
      <c r="R244" s="10">
        <f>+ROUND(O244/Q244,4)</f>
        <v>0</v>
      </c>
      <c r="S244" s="11">
        <f>ROUND(R244*L244,2)</f>
        <v>0</v>
      </c>
      <c r="T244" s="10" t="s">
        <v>349</v>
      </c>
      <c r="U244" t="s">
        <v>36</v>
      </c>
    </row>
    <row r="245" spans="1:21">
      <c r="A245" t="s">
        <v>3827</v>
      </c>
      <c r="B245" s="20">
        <v>45764</v>
      </c>
      <c r="C245" s="20">
        <v>45706</v>
      </c>
      <c r="D245" t="s">
        <v>149</v>
      </c>
      <c r="E245" t="s">
        <v>150</v>
      </c>
      <c r="G245" t="s">
        <v>4336</v>
      </c>
      <c r="H245" t="s">
        <v>79</v>
      </c>
      <c r="I245" t="s">
        <v>80</v>
      </c>
      <c r="J245" s="8" t="s">
        <v>1478</v>
      </c>
      <c r="K245" t="s">
        <v>10</v>
      </c>
      <c r="L245" s="46">
        <v>210</v>
      </c>
      <c r="M245" t="s">
        <v>1472</v>
      </c>
      <c r="N245" t="s">
        <v>11</v>
      </c>
      <c r="O245" s="49">
        <v>0</v>
      </c>
      <c r="P245" s="9">
        <f>ROUND(O245*L245,2)</f>
        <v>0</v>
      </c>
      <c r="Q245" s="10">
        <f>IF(N245="HKD",7.8,IF(N245="CNY",7.30034,1))</f>
        <v>7.3003400000000003</v>
      </c>
      <c r="R245" s="10">
        <f>+ROUND(O245/Q245,4)</f>
        <v>0</v>
      </c>
      <c r="S245" s="11">
        <f>ROUND(R245*L245,2)</f>
        <v>0</v>
      </c>
      <c r="T245" s="10" t="s">
        <v>349</v>
      </c>
      <c r="U245" t="s">
        <v>36</v>
      </c>
    </row>
    <row r="246" spans="1:21">
      <c r="A246" t="s">
        <v>3827</v>
      </c>
      <c r="B246" s="20">
        <v>45764</v>
      </c>
      <c r="C246" s="20">
        <v>45706</v>
      </c>
      <c r="D246" t="s">
        <v>149</v>
      </c>
      <c r="E246" t="s">
        <v>150</v>
      </c>
      <c r="G246" t="s">
        <v>4336</v>
      </c>
      <c r="H246" t="s">
        <v>79</v>
      </c>
      <c r="I246" t="s">
        <v>80</v>
      </c>
      <c r="J246" s="8" t="s">
        <v>1478</v>
      </c>
      <c r="K246" t="s">
        <v>10</v>
      </c>
      <c r="L246" s="46">
        <v>140</v>
      </c>
      <c r="M246" t="s">
        <v>1472</v>
      </c>
      <c r="N246" t="s">
        <v>11</v>
      </c>
      <c r="O246" s="49">
        <v>0</v>
      </c>
      <c r="P246" s="9">
        <f>ROUND(O246*L246,2)</f>
        <v>0</v>
      </c>
      <c r="Q246" s="10">
        <f>IF(N246="HKD",7.8,IF(N246="CNY",7.30034,1))</f>
        <v>7.3003400000000003</v>
      </c>
      <c r="R246" s="10">
        <f>+ROUND(O246/Q246,4)</f>
        <v>0</v>
      </c>
      <c r="S246" s="11">
        <f>ROUND(R246*L246,2)</f>
        <v>0</v>
      </c>
      <c r="T246" s="10" t="s">
        <v>349</v>
      </c>
      <c r="U246" t="s">
        <v>36</v>
      </c>
    </row>
    <row r="247" spans="1:21">
      <c r="A247" t="s">
        <v>4016</v>
      </c>
      <c r="B247" s="20">
        <v>45764</v>
      </c>
      <c r="C247" s="20">
        <v>45761</v>
      </c>
      <c r="D247" t="s">
        <v>5</v>
      </c>
      <c r="E247" t="s">
        <v>6</v>
      </c>
      <c r="G247" t="s">
        <v>4412</v>
      </c>
      <c r="H247" t="s">
        <v>415</v>
      </c>
      <c r="I247" t="s">
        <v>416</v>
      </c>
      <c r="J247" s="8" t="str">
        <f>+LEFT(U247,4)</f>
        <v>BOX-</v>
      </c>
      <c r="K247" t="s">
        <v>10</v>
      </c>
      <c r="L247" s="46">
        <v>2020</v>
      </c>
      <c r="M247" t="s">
        <v>1472</v>
      </c>
      <c r="N247" t="s">
        <v>11</v>
      </c>
      <c r="O247" s="49">
        <v>2.0299999999999998</v>
      </c>
      <c r="P247" s="9">
        <f>ROUND(O247*L247,2)</f>
        <v>4100.6000000000004</v>
      </c>
      <c r="Q247" s="10">
        <f>IF(N247="HKD",7.8,IF(N247="CNY",7.30034,1))</f>
        <v>7.3003400000000003</v>
      </c>
      <c r="R247" s="10">
        <f>+ROUND(O247/Q247,4)</f>
        <v>0.27810000000000001</v>
      </c>
      <c r="S247" s="11">
        <f>ROUND(R247*L247,2)</f>
        <v>561.76</v>
      </c>
      <c r="T247" s="10" t="s">
        <v>349</v>
      </c>
      <c r="U247" t="s">
        <v>1</v>
      </c>
    </row>
    <row r="248" spans="1:21">
      <c r="A248" t="s">
        <v>4052</v>
      </c>
      <c r="B248" s="20">
        <v>45764</v>
      </c>
      <c r="C248" s="20">
        <v>45761</v>
      </c>
      <c r="D248" t="s">
        <v>5</v>
      </c>
      <c r="E248" t="s">
        <v>6</v>
      </c>
      <c r="G248" t="s">
        <v>4412</v>
      </c>
      <c r="H248" t="s">
        <v>406</v>
      </c>
      <c r="I248" t="s">
        <v>407</v>
      </c>
      <c r="J248" s="8" t="str">
        <f>+LEFT(U248,4)</f>
        <v>BOX-</v>
      </c>
      <c r="K248" t="s">
        <v>10</v>
      </c>
      <c r="L248" s="46">
        <v>2020</v>
      </c>
      <c r="M248" t="s">
        <v>1472</v>
      </c>
      <c r="N248" t="s">
        <v>11</v>
      </c>
      <c r="O248" s="49">
        <v>2.76</v>
      </c>
      <c r="P248" s="9">
        <f>ROUND(O248*L248,2)</f>
        <v>5575.2</v>
      </c>
      <c r="Q248" s="10">
        <f>IF(N248="HKD",7.8,IF(N248="CNY",7.30034,1))</f>
        <v>7.3003400000000003</v>
      </c>
      <c r="R248" s="10">
        <f>+ROUND(O248/Q248,4)</f>
        <v>0.37809999999999999</v>
      </c>
      <c r="S248" s="11">
        <f>ROUND(R248*L248,2)</f>
        <v>763.76</v>
      </c>
      <c r="T248" s="10" t="s">
        <v>349</v>
      </c>
      <c r="U248" t="s">
        <v>1</v>
      </c>
    </row>
    <row r="249" spans="1:21">
      <c r="A249" t="s">
        <v>4152</v>
      </c>
      <c r="B249" s="20">
        <v>45764</v>
      </c>
      <c r="C249" s="20">
        <v>45761</v>
      </c>
      <c r="D249" t="s">
        <v>5</v>
      </c>
      <c r="E249" t="s">
        <v>6</v>
      </c>
      <c r="G249" t="s">
        <v>4412</v>
      </c>
      <c r="H249" t="s">
        <v>3726</v>
      </c>
      <c r="I249" t="s">
        <v>3727</v>
      </c>
      <c r="J249" s="8" t="str">
        <f>+LEFT(U249,4)</f>
        <v>BOX-</v>
      </c>
      <c r="K249" t="s">
        <v>10</v>
      </c>
      <c r="L249" s="46">
        <v>1010</v>
      </c>
      <c r="M249" t="s">
        <v>1472</v>
      </c>
      <c r="N249" t="s">
        <v>11</v>
      </c>
      <c r="O249" s="49">
        <v>3.63</v>
      </c>
      <c r="P249" s="9">
        <f>ROUND(O249*L249,2)</f>
        <v>3666.3</v>
      </c>
      <c r="Q249" s="10">
        <f>IF(N249="HKD",7.8,IF(N249="CNY",7.30034,1))</f>
        <v>7.3003400000000003</v>
      </c>
      <c r="R249" s="10">
        <f>+ROUND(O249/Q249,4)</f>
        <v>0.49719999999999998</v>
      </c>
      <c r="S249" s="11">
        <f>ROUND(R249*L249,2)</f>
        <v>502.17</v>
      </c>
      <c r="T249" s="10" t="s">
        <v>349</v>
      </c>
      <c r="U249" t="s">
        <v>1</v>
      </c>
    </row>
    <row r="250" spans="1:21">
      <c r="A250" t="s">
        <v>4276</v>
      </c>
      <c r="B250" s="20">
        <v>45764</v>
      </c>
      <c r="C250" s="20">
        <v>45761</v>
      </c>
      <c r="D250" t="s">
        <v>5</v>
      </c>
      <c r="E250" t="s">
        <v>6</v>
      </c>
      <c r="G250" t="s">
        <v>4536</v>
      </c>
      <c r="H250" t="s">
        <v>3786</v>
      </c>
      <c r="I250" t="s">
        <v>3787</v>
      </c>
      <c r="J250" s="8" t="str">
        <f>+LEFT(U250,4)</f>
        <v>BOX-</v>
      </c>
      <c r="K250" t="s">
        <v>10</v>
      </c>
      <c r="L250" s="46">
        <v>505</v>
      </c>
      <c r="M250" t="s">
        <v>1472</v>
      </c>
      <c r="N250" t="s">
        <v>11</v>
      </c>
      <c r="O250" s="49">
        <v>9.17</v>
      </c>
      <c r="P250" s="9">
        <f>ROUND(O250*L250,2)</f>
        <v>4630.8500000000004</v>
      </c>
      <c r="Q250" s="10">
        <f>IF(N250="HKD",7.8,IF(N250="CNY",7.30034,1))</f>
        <v>7.3003400000000003</v>
      </c>
      <c r="R250" s="10">
        <f>+ROUND(O250/Q250,4)</f>
        <v>1.2561</v>
      </c>
      <c r="S250" s="11">
        <f>ROUND(R250*L250,2)</f>
        <v>634.33000000000004</v>
      </c>
      <c r="T250" s="10" t="s">
        <v>349</v>
      </c>
      <c r="U250" t="s">
        <v>1</v>
      </c>
    </row>
    <row r="251" spans="1:21">
      <c r="A251" t="s">
        <v>4278</v>
      </c>
      <c r="B251" s="20">
        <v>45764</v>
      </c>
      <c r="C251" s="20">
        <v>45761</v>
      </c>
      <c r="D251" t="s">
        <v>5</v>
      </c>
      <c r="E251" t="s">
        <v>6</v>
      </c>
      <c r="G251" t="s">
        <v>4536</v>
      </c>
      <c r="H251" t="s">
        <v>3788</v>
      </c>
      <c r="I251" t="s">
        <v>3789</v>
      </c>
      <c r="J251" s="8" t="str">
        <f>+LEFT(U251,4)</f>
        <v>BOX-</v>
      </c>
      <c r="K251" t="s">
        <v>10</v>
      </c>
      <c r="L251" s="46">
        <v>505</v>
      </c>
      <c r="M251" t="s">
        <v>1472</v>
      </c>
      <c r="N251" t="s">
        <v>11</v>
      </c>
      <c r="O251" s="49">
        <v>9.41</v>
      </c>
      <c r="P251" s="9">
        <f>ROUND(O251*L251,2)</f>
        <v>4752.05</v>
      </c>
      <c r="Q251" s="10">
        <f>IF(N251="HKD",7.8,IF(N251="CNY",7.30034,1))</f>
        <v>7.3003400000000003</v>
      </c>
      <c r="R251" s="10">
        <f>+ROUND(O251/Q251,4)</f>
        <v>1.2889999999999999</v>
      </c>
      <c r="S251" s="11">
        <f>ROUND(R251*L251,2)</f>
        <v>650.95000000000005</v>
      </c>
      <c r="T251" s="10" t="s">
        <v>349</v>
      </c>
      <c r="U251" t="s">
        <v>1</v>
      </c>
    </row>
    <row r="252" spans="1:21">
      <c r="A252" t="s">
        <v>4285</v>
      </c>
      <c r="B252" s="20">
        <v>45764</v>
      </c>
      <c r="C252" s="20">
        <v>45761</v>
      </c>
      <c r="D252" t="s">
        <v>5</v>
      </c>
      <c r="E252" t="s">
        <v>6</v>
      </c>
      <c r="G252" t="s">
        <v>4536</v>
      </c>
      <c r="H252" t="s">
        <v>3796</v>
      </c>
      <c r="I252" t="s">
        <v>3797</v>
      </c>
      <c r="J252" s="8" t="str">
        <f>+LEFT(U252,4)</f>
        <v>BOX-</v>
      </c>
      <c r="K252" t="s">
        <v>10</v>
      </c>
      <c r="L252" s="46">
        <v>1010</v>
      </c>
      <c r="M252" t="s">
        <v>1472</v>
      </c>
      <c r="N252" t="s">
        <v>11</v>
      </c>
      <c r="O252" s="49">
        <v>12.29</v>
      </c>
      <c r="P252" s="9">
        <f>ROUND(O252*L252,2)</f>
        <v>12412.9</v>
      </c>
      <c r="Q252" s="10">
        <f>IF(N252="HKD",7.8,IF(N252="CNY",7.30034,1))</f>
        <v>7.3003400000000003</v>
      </c>
      <c r="R252" s="10">
        <f>+ROUND(O252/Q252,4)</f>
        <v>1.6835</v>
      </c>
      <c r="S252" s="11">
        <f>ROUND(R252*L252,2)</f>
        <v>1700.34</v>
      </c>
      <c r="T252" s="10" t="s">
        <v>349</v>
      </c>
      <c r="U252" t="s">
        <v>1</v>
      </c>
    </row>
    <row r="253" spans="1:21">
      <c r="A253" t="s">
        <v>4185</v>
      </c>
      <c r="B253" s="20">
        <v>45764</v>
      </c>
      <c r="C253" s="20">
        <v>45750</v>
      </c>
      <c r="D253" t="s">
        <v>149</v>
      </c>
      <c r="E253" t="s">
        <v>150</v>
      </c>
      <c r="G253" t="s">
        <v>4494</v>
      </c>
      <c r="H253" t="s">
        <v>1190</v>
      </c>
      <c r="I253" t="s">
        <v>1191</v>
      </c>
      <c r="J253" s="8" t="str">
        <f>+LEFT(U253,4)</f>
        <v>GLID</v>
      </c>
      <c r="K253" t="s">
        <v>10</v>
      </c>
      <c r="L253" s="46">
        <v>3264</v>
      </c>
      <c r="M253" t="s">
        <v>1472</v>
      </c>
      <c r="N253" t="s">
        <v>11</v>
      </c>
      <c r="O253" s="49">
        <v>4.3726000000000003</v>
      </c>
      <c r="P253" s="9">
        <f>ROUND(O253*L253,2)</f>
        <v>14272.17</v>
      </c>
      <c r="Q253" s="10">
        <f>IF(N253="HKD",7.8,IF(N253="CNY",7.30034,1))</f>
        <v>7.3003400000000003</v>
      </c>
      <c r="R253" s="10">
        <f>+ROUND(O253/Q253,4)</f>
        <v>0.59899999999999998</v>
      </c>
      <c r="S253" s="11">
        <f>ROUND(R253*L253,2)</f>
        <v>1955.14</v>
      </c>
      <c r="T253" s="10" t="s">
        <v>349</v>
      </c>
      <c r="U253" t="s">
        <v>78</v>
      </c>
    </row>
    <row r="254" spans="1:21">
      <c r="A254" t="s">
        <v>4264</v>
      </c>
      <c r="B254" s="20">
        <v>45764</v>
      </c>
      <c r="C254" s="20">
        <v>45747</v>
      </c>
      <c r="D254" t="s">
        <v>287</v>
      </c>
      <c r="E254" t="s">
        <v>288</v>
      </c>
      <c r="G254" t="s">
        <v>4532</v>
      </c>
      <c r="H254" t="s">
        <v>851</v>
      </c>
      <c r="I254" t="s">
        <v>852</v>
      </c>
      <c r="J254" s="8" t="str">
        <f>+LEFT(U254,4)</f>
        <v>GLID</v>
      </c>
      <c r="K254" t="s">
        <v>10</v>
      </c>
      <c r="L254" s="46">
        <v>1800</v>
      </c>
      <c r="M254" t="s">
        <v>1472</v>
      </c>
      <c r="N254" t="s">
        <v>11</v>
      </c>
      <c r="O254" s="49">
        <v>8.15</v>
      </c>
      <c r="P254" s="9">
        <f>ROUND(O254*L254,2)</f>
        <v>14670</v>
      </c>
      <c r="Q254" s="10">
        <f>IF(N254="HKD",7.8,IF(N254="CNY",7.30034,1))</f>
        <v>7.3003400000000003</v>
      </c>
      <c r="R254" s="10">
        <f>+ROUND(O254/Q254,4)</f>
        <v>1.1164000000000001</v>
      </c>
      <c r="S254" s="11">
        <f>ROUND(R254*L254,2)</f>
        <v>2009.52</v>
      </c>
      <c r="T254" s="10" t="s">
        <v>349</v>
      </c>
      <c r="U254" t="s">
        <v>78</v>
      </c>
    </row>
    <row r="255" spans="1:21">
      <c r="A255" t="s">
        <v>4133</v>
      </c>
      <c r="B255" s="20">
        <v>45764</v>
      </c>
      <c r="C255" s="20">
        <v>45727</v>
      </c>
      <c r="D255" t="s">
        <v>94</v>
      </c>
      <c r="E255" t="s">
        <v>95</v>
      </c>
      <c r="G255" t="s">
        <v>4443</v>
      </c>
      <c r="H255" t="s">
        <v>3710</v>
      </c>
      <c r="I255" t="s">
        <v>3711</v>
      </c>
      <c r="J255" s="8" t="str">
        <f>+LEFT(U255,4)</f>
        <v>LID-</v>
      </c>
      <c r="K255" t="s">
        <v>98</v>
      </c>
      <c r="L255" s="46">
        <v>1000</v>
      </c>
      <c r="M255" t="s">
        <v>1472</v>
      </c>
      <c r="N255" t="s">
        <v>11</v>
      </c>
      <c r="O255" s="49">
        <v>3.5</v>
      </c>
      <c r="P255" s="9">
        <f>ROUND(O255*L255,2)</f>
        <v>3500</v>
      </c>
      <c r="Q255" s="10">
        <f>IF(N255="HKD",7.8,IF(N255="CNY",7.30034,1))</f>
        <v>7.3003400000000003</v>
      </c>
      <c r="R255" s="10">
        <f>+ROUND(O255/Q255,4)</f>
        <v>0.47939999999999999</v>
      </c>
      <c r="S255" s="11">
        <f>ROUND(R255*L255,2)</f>
        <v>479.4</v>
      </c>
      <c r="T255" s="10" t="s">
        <v>349</v>
      </c>
      <c r="U255" t="s">
        <v>368</v>
      </c>
    </row>
    <row r="256" spans="1:21">
      <c r="A256" t="s">
        <v>2540</v>
      </c>
      <c r="B256" s="20">
        <v>45764</v>
      </c>
      <c r="C256" s="20">
        <v>45714</v>
      </c>
      <c r="D256" t="s">
        <v>830</v>
      </c>
      <c r="E256" t="s">
        <v>831</v>
      </c>
      <c r="G256" t="s">
        <v>4463</v>
      </c>
      <c r="H256" t="s">
        <v>3166</v>
      </c>
      <c r="I256" t="s">
        <v>3376</v>
      </c>
      <c r="J256" s="8" t="str">
        <f>+LEFT(U256,4)</f>
        <v>LID-</v>
      </c>
      <c r="K256" t="s">
        <v>98</v>
      </c>
      <c r="L256" s="46">
        <v>960</v>
      </c>
      <c r="M256" t="s">
        <v>1472</v>
      </c>
      <c r="N256" t="s">
        <v>11</v>
      </c>
      <c r="O256" s="49">
        <v>4.2</v>
      </c>
      <c r="P256" s="9">
        <f>ROUND(O256*L256,2)</f>
        <v>4032</v>
      </c>
      <c r="Q256" s="10">
        <f>IF(N256="HKD",7.8,IF(N256="CNY",7.30034,1))</f>
        <v>7.3003400000000003</v>
      </c>
      <c r="R256" s="10">
        <f>+ROUND(O256/Q256,4)</f>
        <v>0.57530000000000003</v>
      </c>
      <c r="S256" s="11">
        <f>ROUND(R256*L256,2)</f>
        <v>552.29</v>
      </c>
      <c r="T256" s="10" t="s">
        <v>349</v>
      </c>
      <c r="U256" t="s">
        <v>368</v>
      </c>
    </row>
    <row r="257" spans="1:21">
      <c r="A257" t="s">
        <v>2537</v>
      </c>
      <c r="B257" s="20">
        <v>45764</v>
      </c>
      <c r="C257" s="20">
        <v>45714</v>
      </c>
      <c r="D257" t="s">
        <v>94</v>
      </c>
      <c r="E257" t="s">
        <v>95</v>
      </c>
      <c r="G257" t="s">
        <v>4488</v>
      </c>
      <c r="H257" t="s">
        <v>3165</v>
      </c>
      <c r="I257" t="s">
        <v>3375</v>
      </c>
      <c r="J257" s="8" t="str">
        <f>+LEFT(U257,4)</f>
        <v>LID-</v>
      </c>
      <c r="K257" t="s">
        <v>98</v>
      </c>
      <c r="L257" s="46">
        <v>70</v>
      </c>
      <c r="M257" t="s">
        <v>1472</v>
      </c>
      <c r="N257" t="s">
        <v>11</v>
      </c>
      <c r="O257" s="49">
        <v>4.37</v>
      </c>
      <c r="P257" s="9">
        <f>ROUND(O257*L257,2)</f>
        <v>305.89999999999998</v>
      </c>
      <c r="Q257" s="10">
        <f>IF(N257="HKD",7.8,IF(N257="CNY",7.30034,1))</f>
        <v>7.3003400000000003</v>
      </c>
      <c r="R257" s="10">
        <f>+ROUND(O257/Q257,4)</f>
        <v>0.59860000000000002</v>
      </c>
      <c r="S257" s="11">
        <f>ROUND(R257*L257,2)</f>
        <v>41.9</v>
      </c>
      <c r="T257" s="10" t="s">
        <v>349</v>
      </c>
      <c r="U257" t="s">
        <v>368</v>
      </c>
    </row>
    <row r="258" spans="1:21">
      <c r="A258" t="s">
        <v>4183</v>
      </c>
      <c r="B258" s="20">
        <v>45764</v>
      </c>
      <c r="C258" s="20">
        <v>45714</v>
      </c>
      <c r="D258" t="s">
        <v>94</v>
      </c>
      <c r="E258" t="s">
        <v>95</v>
      </c>
      <c r="G258" t="s">
        <v>4488</v>
      </c>
      <c r="H258" t="s">
        <v>3165</v>
      </c>
      <c r="I258" t="s">
        <v>3375</v>
      </c>
      <c r="J258" s="8" t="str">
        <f>+LEFT(U258,4)</f>
        <v>LID-</v>
      </c>
      <c r="K258" t="s">
        <v>98</v>
      </c>
      <c r="L258" s="46">
        <v>1250</v>
      </c>
      <c r="M258" t="s">
        <v>1472</v>
      </c>
      <c r="N258" t="s">
        <v>11</v>
      </c>
      <c r="O258" s="49">
        <v>4.37</v>
      </c>
      <c r="P258" s="9">
        <f>ROUND(O258*L258,2)</f>
        <v>5462.5</v>
      </c>
      <c r="Q258" s="10">
        <f>IF(N258="HKD",7.8,IF(N258="CNY",7.30034,1))</f>
        <v>7.3003400000000003</v>
      </c>
      <c r="R258" s="10">
        <f>+ROUND(O258/Q258,4)</f>
        <v>0.59860000000000002</v>
      </c>
      <c r="S258" s="11">
        <f>ROUND(R258*L258,2)</f>
        <v>748.25</v>
      </c>
      <c r="T258" s="10" t="s">
        <v>349</v>
      </c>
      <c r="U258" t="s">
        <v>368</v>
      </c>
    </row>
    <row r="259" spans="1:21">
      <c r="A259" t="s">
        <v>3894</v>
      </c>
      <c r="B259" s="20">
        <v>45764</v>
      </c>
      <c r="C259" s="20">
        <v>45755</v>
      </c>
      <c r="D259" t="s">
        <v>169</v>
      </c>
      <c r="E259" t="s">
        <v>170</v>
      </c>
      <c r="G259" t="s">
        <v>4366</v>
      </c>
      <c r="H259" t="s">
        <v>3158</v>
      </c>
      <c r="I259" t="s">
        <v>3368</v>
      </c>
      <c r="J259" s="8" t="str">
        <f>+LEFT(U259,4)</f>
        <v>PAP-</v>
      </c>
      <c r="K259" t="s">
        <v>10</v>
      </c>
      <c r="L259" s="46">
        <v>6000</v>
      </c>
      <c r="M259" t="s">
        <v>1472</v>
      </c>
      <c r="N259" t="s">
        <v>11</v>
      </c>
      <c r="O259" s="49">
        <v>0.12</v>
      </c>
      <c r="P259" s="9">
        <f>ROUND(O259*L259,2)</f>
        <v>720</v>
      </c>
      <c r="Q259" s="10">
        <f>IF(N259="HKD",7.8,IF(N259="CNY",7.30034,1))</f>
        <v>7.3003400000000003</v>
      </c>
      <c r="R259" s="10">
        <f>+ROUND(O259/Q259,4)</f>
        <v>1.6400000000000001E-2</v>
      </c>
      <c r="S259" s="11">
        <f>ROUND(R259*L259,2)</f>
        <v>98.4</v>
      </c>
      <c r="T259" s="10" t="s">
        <v>349</v>
      </c>
      <c r="U259" t="s">
        <v>1094</v>
      </c>
    </row>
    <row r="260" spans="1:21">
      <c r="A260" t="s">
        <v>4007</v>
      </c>
      <c r="B260" s="20">
        <v>45764</v>
      </c>
      <c r="C260" s="20">
        <v>45747</v>
      </c>
      <c r="D260" t="s">
        <v>169</v>
      </c>
      <c r="E260" t="s">
        <v>170</v>
      </c>
      <c r="G260" t="s">
        <v>4408</v>
      </c>
      <c r="H260" t="s">
        <v>178</v>
      </c>
      <c r="I260" t="s">
        <v>179</v>
      </c>
      <c r="J260" s="8" t="str">
        <f>+LEFT(U260,4)</f>
        <v>PRIM</v>
      </c>
      <c r="K260" t="s">
        <v>10</v>
      </c>
      <c r="L260" s="46">
        <v>2500</v>
      </c>
      <c r="M260" t="s">
        <v>1472</v>
      </c>
      <c r="N260" t="s">
        <v>11</v>
      </c>
      <c r="O260" s="49">
        <v>1.53</v>
      </c>
      <c r="P260" s="9">
        <f>ROUND(O260*L260,2)</f>
        <v>3825</v>
      </c>
      <c r="Q260" s="10">
        <f>IF(N260="HKD",7.8,IF(N260="CNY",7.30034,1))</f>
        <v>7.3003400000000003</v>
      </c>
      <c r="R260" s="10">
        <f>+ROUND(O260/Q260,4)</f>
        <v>0.20960000000000001</v>
      </c>
      <c r="S260" s="11">
        <f>ROUND(R260*L260,2)</f>
        <v>524</v>
      </c>
      <c r="T260" s="10" t="s">
        <v>349</v>
      </c>
      <c r="U260" t="s">
        <v>181</v>
      </c>
    </row>
    <row r="261" spans="1:21">
      <c r="A261" t="s">
        <v>4008</v>
      </c>
      <c r="B261" s="20">
        <v>45764</v>
      </c>
      <c r="C261" s="20">
        <v>45761</v>
      </c>
      <c r="D261" t="s">
        <v>5</v>
      </c>
      <c r="E261" t="s">
        <v>6</v>
      </c>
      <c r="G261" t="s">
        <v>4409</v>
      </c>
      <c r="H261" t="s">
        <v>3609</v>
      </c>
      <c r="I261" t="s">
        <v>3610</v>
      </c>
      <c r="J261" s="8" t="str">
        <f>+LEFT(U261,4)</f>
        <v>SHTS</v>
      </c>
      <c r="K261" t="s">
        <v>10</v>
      </c>
      <c r="L261" s="46">
        <v>2020</v>
      </c>
      <c r="M261" t="s">
        <v>1472</v>
      </c>
      <c r="N261" t="s">
        <v>11</v>
      </c>
      <c r="O261" s="49">
        <v>1.6</v>
      </c>
      <c r="P261" s="9">
        <f>ROUND(O261*L261,2)</f>
        <v>3232</v>
      </c>
      <c r="Q261" s="10">
        <f>IF(N261="HKD",7.8,IF(N261="CNY",7.30034,1))</f>
        <v>7.3003400000000003</v>
      </c>
      <c r="R261" s="10">
        <f>+ROUND(O261/Q261,4)</f>
        <v>0.21920000000000001</v>
      </c>
      <c r="S261" s="11">
        <f>ROUND(R261*L261,2)</f>
        <v>442.78</v>
      </c>
      <c r="T261" s="10" t="s">
        <v>349</v>
      </c>
      <c r="U261" t="s">
        <v>9</v>
      </c>
    </row>
    <row r="262" spans="1:21">
      <c r="A262" t="s">
        <v>4048</v>
      </c>
      <c r="B262" s="20">
        <v>45764</v>
      </c>
      <c r="C262" s="20">
        <v>45761</v>
      </c>
      <c r="D262" t="s">
        <v>5</v>
      </c>
      <c r="E262" t="s">
        <v>6</v>
      </c>
      <c r="G262" t="s">
        <v>4409</v>
      </c>
      <c r="H262" t="s">
        <v>3652</v>
      </c>
      <c r="I262" t="s">
        <v>3653</v>
      </c>
      <c r="J262" s="8" t="str">
        <f>+LEFT(U262,4)</f>
        <v>SHTS</v>
      </c>
      <c r="K262" t="s">
        <v>10</v>
      </c>
      <c r="L262" s="46">
        <v>505</v>
      </c>
      <c r="M262" t="s">
        <v>1472</v>
      </c>
      <c r="N262" t="s">
        <v>11</v>
      </c>
      <c r="O262" s="49">
        <v>2.68</v>
      </c>
      <c r="P262" s="9">
        <f>ROUND(O262*L262,2)</f>
        <v>1353.4</v>
      </c>
      <c r="Q262" s="10">
        <f>IF(N262="HKD",7.8,IF(N262="CNY",7.30034,1))</f>
        <v>7.3003400000000003</v>
      </c>
      <c r="R262" s="10">
        <f>+ROUND(O262/Q262,4)</f>
        <v>0.36709999999999998</v>
      </c>
      <c r="S262" s="11">
        <f>ROUND(R262*L262,2)</f>
        <v>185.39</v>
      </c>
      <c r="T262" s="10" t="s">
        <v>349</v>
      </c>
      <c r="U262" t="s">
        <v>9</v>
      </c>
    </row>
    <row r="263" spans="1:21">
      <c r="A263" t="s">
        <v>4053</v>
      </c>
      <c r="B263" s="20">
        <v>45764</v>
      </c>
      <c r="C263" s="20">
        <v>45761</v>
      </c>
      <c r="D263" t="s">
        <v>5</v>
      </c>
      <c r="E263" t="s">
        <v>6</v>
      </c>
      <c r="G263" t="s">
        <v>4409</v>
      </c>
      <c r="H263" t="s">
        <v>3656</v>
      </c>
      <c r="I263" t="s">
        <v>3657</v>
      </c>
      <c r="J263" s="8" t="str">
        <f>+LEFT(U263,4)</f>
        <v>SHTS</v>
      </c>
      <c r="K263" t="s">
        <v>10</v>
      </c>
      <c r="L263" s="46">
        <v>500</v>
      </c>
      <c r="M263" t="s">
        <v>1472</v>
      </c>
      <c r="N263" t="s">
        <v>11</v>
      </c>
      <c r="O263" s="49">
        <v>2.85</v>
      </c>
      <c r="P263" s="9">
        <f>ROUND(O263*L263,2)</f>
        <v>1425</v>
      </c>
      <c r="Q263" s="10">
        <f>IF(N263="HKD",7.8,IF(N263="CNY",7.30034,1))</f>
        <v>7.3003400000000003</v>
      </c>
      <c r="R263" s="10">
        <f>+ROUND(O263/Q263,4)</f>
        <v>0.39040000000000002</v>
      </c>
      <c r="S263" s="11">
        <f>ROUND(R263*L263,2)</f>
        <v>195.2</v>
      </c>
      <c r="T263" s="10" t="s">
        <v>349</v>
      </c>
      <c r="U263" t="s">
        <v>9</v>
      </c>
    </row>
    <row r="264" spans="1:21">
      <c r="A264" t="s">
        <v>4072</v>
      </c>
      <c r="B264" s="20">
        <v>45764</v>
      </c>
      <c r="C264" s="20">
        <v>45761</v>
      </c>
      <c r="D264" t="s">
        <v>5</v>
      </c>
      <c r="E264" t="s">
        <v>6</v>
      </c>
      <c r="G264" t="s">
        <v>4409</v>
      </c>
      <c r="H264" t="s">
        <v>499</v>
      </c>
      <c r="I264" t="s">
        <v>500</v>
      </c>
      <c r="J264" s="8" t="str">
        <f>+LEFT(U264,4)</f>
        <v>SHTS</v>
      </c>
      <c r="K264" t="s">
        <v>10</v>
      </c>
      <c r="L264" s="46">
        <v>1010</v>
      </c>
      <c r="M264" t="s">
        <v>1472</v>
      </c>
      <c r="N264" t="s">
        <v>11</v>
      </c>
      <c r="O264" s="49">
        <v>2.99</v>
      </c>
      <c r="P264" s="9">
        <f>ROUND(O264*L264,2)</f>
        <v>3019.9</v>
      </c>
      <c r="Q264" s="10">
        <f>IF(N264="HKD",7.8,IF(N264="CNY",7.30034,1))</f>
        <v>7.3003400000000003</v>
      </c>
      <c r="R264" s="10">
        <f>+ROUND(O264/Q264,4)</f>
        <v>0.40960000000000002</v>
      </c>
      <c r="S264" s="11">
        <f>ROUND(R264*L264,2)</f>
        <v>413.7</v>
      </c>
      <c r="T264" s="10" t="s">
        <v>349</v>
      </c>
      <c r="U264" t="s">
        <v>9</v>
      </c>
    </row>
    <row r="265" spans="1:21">
      <c r="A265" t="s">
        <v>4210</v>
      </c>
      <c r="B265" s="20">
        <v>45764</v>
      </c>
      <c r="C265" s="20">
        <v>45761</v>
      </c>
      <c r="D265" t="s">
        <v>5</v>
      </c>
      <c r="E265" t="s">
        <v>6</v>
      </c>
      <c r="G265" t="s">
        <v>4409</v>
      </c>
      <c r="H265" t="s">
        <v>3764</v>
      </c>
      <c r="I265" t="s">
        <v>3765</v>
      </c>
      <c r="J265" s="8" t="str">
        <f>+LEFT(U265,4)</f>
        <v>SHTS</v>
      </c>
      <c r="K265" t="s">
        <v>10</v>
      </c>
      <c r="L265" s="46">
        <v>505</v>
      </c>
      <c r="M265" t="s">
        <v>1472</v>
      </c>
      <c r="N265" t="s">
        <v>11</v>
      </c>
      <c r="O265" s="49">
        <v>5.41</v>
      </c>
      <c r="P265" s="9">
        <f>ROUND(O265*L265,2)</f>
        <v>2732.05</v>
      </c>
      <c r="Q265" s="10">
        <f>IF(N265="HKD",7.8,IF(N265="CNY",7.30034,1))</f>
        <v>7.3003400000000003</v>
      </c>
      <c r="R265" s="10">
        <f>+ROUND(O265/Q265,4)</f>
        <v>0.74109999999999998</v>
      </c>
      <c r="S265" s="11">
        <f>ROUND(R265*L265,2)</f>
        <v>374.26</v>
      </c>
      <c r="T265" s="10" t="s">
        <v>349</v>
      </c>
      <c r="U265" t="s">
        <v>9</v>
      </c>
    </row>
    <row r="266" spans="1:21">
      <c r="A266" t="s">
        <v>4215</v>
      </c>
      <c r="B266" s="20">
        <v>45764</v>
      </c>
      <c r="C266" s="20">
        <v>45761</v>
      </c>
      <c r="D266" t="s">
        <v>5</v>
      </c>
      <c r="E266" t="s">
        <v>6</v>
      </c>
      <c r="G266" t="s">
        <v>4409</v>
      </c>
      <c r="H266" t="s">
        <v>3766</v>
      </c>
      <c r="I266" t="s">
        <v>3767</v>
      </c>
      <c r="J266" s="8" t="str">
        <f>+LEFT(U266,4)</f>
        <v>SHTS</v>
      </c>
      <c r="K266" t="s">
        <v>10</v>
      </c>
      <c r="L266" s="46">
        <v>505</v>
      </c>
      <c r="M266" t="s">
        <v>1472</v>
      </c>
      <c r="N266" t="s">
        <v>11</v>
      </c>
      <c r="O266" s="49">
        <v>5.54</v>
      </c>
      <c r="P266" s="9">
        <f>ROUND(O266*L266,2)</f>
        <v>2797.7</v>
      </c>
      <c r="Q266" s="10">
        <f>IF(N266="HKD",7.8,IF(N266="CNY",7.30034,1))</f>
        <v>7.3003400000000003</v>
      </c>
      <c r="R266" s="10">
        <f>+ROUND(O266/Q266,4)</f>
        <v>0.75890000000000002</v>
      </c>
      <c r="S266" s="11">
        <f>ROUND(R266*L266,2)</f>
        <v>383.24</v>
      </c>
      <c r="T266" s="10" t="s">
        <v>349</v>
      </c>
      <c r="U266" t="s">
        <v>9</v>
      </c>
    </row>
    <row r="267" spans="1:21">
      <c r="A267" t="s">
        <v>4198</v>
      </c>
      <c r="B267" s="20">
        <v>45764</v>
      </c>
      <c r="C267" s="20">
        <v>45695</v>
      </c>
      <c r="D267" t="s">
        <v>830</v>
      </c>
      <c r="E267" t="s">
        <v>831</v>
      </c>
      <c r="G267" t="s">
        <v>4497</v>
      </c>
      <c r="H267" t="s">
        <v>834</v>
      </c>
      <c r="I267" t="s">
        <v>835</v>
      </c>
      <c r="J267" s="8" t="str">
        <f>+LEFT(U267,4)</f>
        <v>SKU-</v>
      </c>
      <c r="K267" t="s">
        <v>98</v>
      </c>
      <c r="L267" s="46">
        <v>1750</v>
      </c>
      <c r="M267" t="s">
        <v>1472</v>
      </c>
      <c r="N267" t="s">
        <v>11</v>
      </c>
      <c r="O267" s="49">
        <v>4.9154</v>
      </c>
      <c r="P267" s="9">
        <f>ROUND(O267*L267,2)</f>
        <v>8601.9500000000007</v>
      </c>
      <c r="Q267" s="10">
        <f>IF(N267="HKD",7.8,IF(N267="CNY",7.30034,1))</f>
        <v>7.3003400000000003</v>
      </c>
      <c r="R267" s="10">
        <f>+ROUND(O267/Q267,4)</f>
        <v>0.67330000000000001</v>
      </c>
      <c r="S267" s="11">
        <f>ROUND(R267*L267,2)</f>
        <v>1178.28</v>
      </c>
      <c r="T267" s="10" t="s">
        <v>349</v>
      </c>
      <c r="U267" t="s">
        <v>2</v>
      </c>
    </row>
    <row r="268" spans="1:21">
      <c r="A268" t="s">
        <v>3834</v>
      </c>
      <c r="B268" s="20">
        <v>45764</v>
      </c>
      <c r="C268" s="20">
        <v>45755</v>
      </c>
      <c r="D268" t="s">
        <v>169</v>
      </c>
      <c r="E268" t="s">
        <v>170</v>
      </c>
      <c r="G268" t="s">
        <v>4343</v>
      </c>
      <c r="H268" t="s">
        <v>619</v>
      </c>
      <c r="I268" t="s">
        <v>620</v>
      </c>
      <c r="J268" s="8" t="str">
        <f>+LEFT(U268,4)</f>
        <v>STKR</v>
      </c>
      <c r="K268" t="s">
        <v>10</v>
      </c>
      <c r="L268" s="46">
        <v>4030</v>
      </c>
      <c r="M268" t="s">
        <v>1472</v>
      </c>
      <c r="N268" t="s">
        <v>11</v>
      </c>
      <c r="O268" s="49">
        <v>0.03</v>
      </c>
      <c r="P268" s="9">
        <f>ROUND(O268*L268,2)</f>
        <v>120.9</v>
      </c>
      <c r="Q268" s="10">
        <f>IF(N268="HKD",7.8,IF(N268="CNY",7.30034,1))</f>
        <v>7.3003400000000003</v>
      </c>
      <c r="R268" s="10">
        <f>+ROUND(O268/Q268,4)</f>
        <v>4.1000000000000003E-3</v>
      </c>
      <c r="S268" s="11">
        <f>ROUND(R268*L268,2)</f>
        <v>16.52</v>
      </c>
      <c r="T268" s="10" t="s">
        <v>349</v>
      </c>
      <c r="U268" t="s">
        <v>18</v>
      </c>
    </row>
    <row r="269" spans="1:21">
      <c r="A269" t="s">
        <v>3835</v>
      </c>
      <c r="B269" s="20">
        <v>45764</v>
      </c>
      <c r="C269" s="20">
        <v>45755</v>
      </c>
      <c r="D269" t="s">
        <v>169</v>
      </c>
      <c r="E269" t="s">
        <v>170</v>
      </c>
      <c r="G269" t="s">
        <v>4343</v>
      </c>
      <c r="H269" t="s">
        <v>615</v>
      </c>
      <c r="I269" t="s">
        <v>616</v>
      </c>
      <c r="J269" s="8" t="str">
        <f>+LEFT(U269,4)</f>
        <v>STKR</v>
      </c>
      <c r="K269" t="s">
        <v>10</v>
      </c>
      <c r="L269" s="46">
        <v>4030</v>
      </c>
      <c r="M269" t="s">
        <v>1472</v>
      </c>
      <c r="N269" t="s">
        <v>11</v>
      </c>
      <c r="O269" s="49">
        <v>0.03</v>
      </c>
      <c r="P269" s="9">
        <f>ROUND(O269*L269,2)</f>
        <v>120.9</v>
      </c>
      <c r="Q269" s="10">
        <f>IF(N269="HKD",7.8,IF(N269="CNY",7.30034,1))</f>
        <v>7.3003400000000003</v>
      </c>
      <c r="R269" s="10">
        <f>+ROUND(O269/Q269,4)</f>
        <v>4.1000000000000003E-3</v>
      </c>
      <c r="S269" s="11">
        <f>ROUND(R269*L269,2)</f>
        <v>16.52</v>
      </c>
      <c r="T269" s="10" t="s">
        <v>349</v>
      </c>
      <c r="U269" t="s">
        <v>18</v>
      </c>
    </row>
    <row r="270" spans="1:21">
      <c r="A270" t="s">
        <v>3998</v>
      </c>
      <c r="B270" s="20">
        <v>45763</v>
      </c>
      <c r="C270" s="20">
        <v>45716</v>
      </c>
      <c r="D270" t="s">
        <v>252</v>
      </c>
      <c r="E270" t="s">
        <v>253</v>
      </c>
      <c r="G270" t="s">
        <v>4398</v>
      </c>
      <c r="H270" t="s">
        <v>1530</v>
      </c>
      <c r="I270" t="s">
        <v>1531</v>
      </c>
      <c r="J270" s="8" t="s">
        <v>1527</v>
      </c>
      <c r="K270" t="s">
        <v>10</v>
      </c>
      <c r="L270" s="46">
        <v>2000</v>
      </c>
      <c r="M270" t="s">
        <v>1472</v>
      </c>
      <c r="N270" t="s">
        <v>11</v>
      </c>
      <c r="O270" s="49">
        <v>1.3524</v>
      </c>
      <c r="P270" s="9">
        <f>ROUND(O270*L270,2)</f>
        <v>2704.8</v>
      </c>
      <c r="Q270" s="10">
        <f>IF(N270="HKD",7.8,IF(N270="CNY",7.30034,1))</f>
        <v>7.3003400000000003</v>
      </c>
      <c r="R270" s="10">
        <f>+ROUND(O270/Q270,4)</f>
        <v>0.18529999999999999</v>
      </c>
      <c r="S270" s="11">
        <f>ROUND(R270*L270,2)</f>
        <v>370.6</v>
      </c>
      <c r="T270" s="10" t="s">
        <v>349</v>
      </c>
      <c r="U270" t="s">
        <v>36</v>
      </c>
    </row>
    <row r="271" spans="1:21">
      <c r="A271" t="s">
        <v>4136</v>
      </c>
      <c r="B271" s="20">
        <v>45763</v>
      </c>
      <c r="C271" s="20">
        <v>45762</v>
      </c>
      <c r="D271" t="s">
        <v>569</v>
      </c>
      <c r="E271" t="s">
        <v>570</v>
      </c>
      <c r="G271" t="s">
        <v>4365</v>
      </c>
      <c r="H271" t="s">
        <v>1513</v>
      </c>
      <c r="I271" t="s">
        <v>1514</v>
      </c>
      <c r="J271" s="8" t="s">
        <v>1505</v>
      </c>
      <c r="K271" t="s">
        <v>10</v>
      </c>
      <c r="L271" s="46">
        <v>120</v>
      </c>
      <c r="M271" t="s">
        <v>1472</v>
      </c>
      <c r="N271" t="s">
        <v>11</v>
      </c>
      <c r="O271" s="49">
        <v>3.5</v>
      </c>
      <c r="P271" s="9">
        <f>ROUND(O271*L271,2)</f>
        <v>420</v>
      </c>
      <c r="Q271" s="10">
        <f>IF(N271="HKD",7.8,IF(N271="CNY",7.30034,1))</f>
        <v>7.3003400000000003</v>
      </c>
      <c r="R271" s="10">
        <f>+ROUND(O271/Q271,4)</f>
        <v>0.47939999999999999</v>
      </c>
      <c r="S271" s="11">
        <f>ROUND(R271*L271,2)</f>
        <v>57.53</v>
      </c>
      <c r="T271" s="10" t="s">
        <v>349</v>
      </c>
      <c r="U271" t="s">
        <v>36</v>
      </c>
    </row>
    <row r="272" spans="1:21">
      <c r="A272" t="s">
        <v>4161</v>
      </c>
      <c r="B272" s="20">
        <v>45763</v>
      </c>
      <c r="C272" s="20">
        <v>45762</v>
      </c>
      <c r="D272" t="s">
        <v>569</v>
      </c>
      <c r="E272" t="s">
        <v>570</v>
      </c>
      <c r="G272" t="s">
        <v>4365</v>
      </c>
      <c r="H272" t="s">
        <v>567</v>
      </c>
      <c r="I272" t="s">
        <v>568</v>
      </c>
      <c r="J272" s="8" t="s">
        <v>1505</v>
      </c>
      <c r="K272" t="s">
        <v>10</v>
      </c>
      <c r="L272" s="46">
        <v>100</v>
      </c>
      <c r="M272" t="s">
        <v>1472</v>
      </c>
      <c r="N272" t="s">
        <v>11</v>
      </c>
      <c r="O272" s="49">
        <v>3.85</v>
      </c>
      <c r="P272" s="9">
        <f>ROUND(O272*L272,2)</f>
        <v>385</v>
      </c>
      <c r="Q272" s="10">
        <f>IF(N272="HKD",7.8,IF(N272="CNY",7.30034,1))</f>
        <v>7.3003400000000003</v>
      </c>
      <c r="R272" s="10">
        <f>+ROUND(O272/Q272,4)</f>
        <v>0.52739999999999998</v>
      </c>
      <c r="S272" s="11">
        <f>ROUND(R272*L272,2)</f>
        <v>52.74</v>
      </c>
      <c r="T272" s="10" t="s">
        <v>349</v>
      </c>
      <c r="U272" t="s">
        <v>36</v>
      </c>
    </row>
    <row r="273" spans="1:21">
      <c r="A273" t="s">
        <v>4170</v>
      </c>
      <c r="B273" s="20">
        <v>45763</v>
      </c>
      <c r="C273" s="20">
        <v>45742</v>
      </c>
      <c r="D273" t="s">
        <v>696</v>
      </c>
      <c r="E273" t="s">
        <v>697</v>
      </c>
      <c r="G273" t="s">
        <v>4452</v>
      </c>
      <c r="H273" t="s">
        <v>1539</v>
      </c>
      <c r="I273" t="s">
        <v>1540</v>
      </c>
      <c r="J273" s="8" t="s">
        <v>1536</v>
      </c>
      <c r="K273" t="s">
        <v>10</v>
      </c>
      <c r="L273" s="46">
        <v>1600</v>
      </c>
      <c r="M273" t="s">
        <v>1472</v>
      </c>
      <c r="N273" t="s">
        <v>11</v>
      </c>
      <c r="O273" s="49">
        <v>4.04</v>
      </c>
      <c r="P273" s="9">
        <f>ROUND(O273*L273,2)</f>
        <v>6464</v>
      </c>
      <c r="Q273" s="10">
        <f>IF(N273="HKD",7.8,IF(N273="CNY",7.30034,1))</f>
        <v>7.3003400000000003</v>
      </c>
      <c r="R273" s="10">
        <f>+ROUND(O273/Q273,4)</f>
        <v>0.5534</v>
      </c>
      <c r="S273" s="11">
        <f>ROUND(R273*L273,2)</f>
        <v>885.44</v>
      </c>
      <c r="T273" s="10" t="s">
        <v>349</v>
      </c>
      <c r="U273" t="s">
        <v>36</v>
      </c>
    </row>
    <row r="274" spans="1:21">
      <c r="A274" t="s">
        <v>4197</v>
      </c>
      <c r="B274" s="20">
        <v>45763</v>
      </c>
      <c r="C274" s="20">
        <v>45716</v>
      </c>
      <c r="D274" t="s">
        <v>569</v>
      </c>
      <c r="E274" t="s">
        <v>570</v>
      </c>
      <c r="G274" t="s">
        <v>4365</v>
      </c>
      <c r="H274" t="s">
        <v>1408</v>
      </c>
      <c r="I274" t="s">
        <v>1409</v>
      </c>
      <c r="J274" s="8" t="s">
        <v>1505</v>
      </c>
      <c r="K274" t="s">
        <v>10</v>
      </c>
      <c r="L274" s="46">
        <v>2000</v>
      </c>
      <c r="M274" t="s">
        <v>1472</v>
      </c>
      <c r="N274" t="s">
        <v>11</v>
      </c>
      <c r="O274" s="49">
        <v>4.8019999999999996</v>
      </c>
      <c r="P274" s="9">
        <f>ROUND(O274*L274,2)</f>
        <v>9604</v>
      </c>
      <c r="Q274" s="10">
        <f>IF(N274="HKD",7.8,IF(N274="CNY",7.30034,1))</f>
        <v>7.3003400000000003</v>
      </c>
      <c r="R274" s="10">
        <f>+ROUND(O274/Q274,4)</f>
        <v>0.65780000000000005</v>
      </c>
      <c r="S274" s="11">
        <f>ROUND(R274*L274,2)</f>
        <v>1315.6</v>
      </c>
      <c r="T274" s="10" t="s">
        <v>349</v>
      </c>
      <c r="U274" t="s">
        <v>36</v>
      </c>
    </row>
    <row r="275" spans="1:21">
      <c r="A275" t="s">
        <v>4224</v>
      </c>
      <c r="B275" s="20">
        <v>45763</v>
      </c>
      <c r="C275" s="20">
        <v>45744</v>
      </c>
      <c r="D275" t="s">
        <v>287</v>
      </c>
      <c r="E275" t="s">
        <v>288</v>
      </c>
      <c r="G275" t="s">
        <v>4514</v>
      </c>
      <c r="H275" t="s">
        <v>81</v>
      </c>
      <c r="I275" t="s">
        <v>82</v>
      </c>
      <c r="J275" s="8" t="s">
        <v>1478</v>
      </c>
      <c r="K275" t="s">
        <v>10</v>
      </c>
      <c r="L275" s="46">
        <v>1670</v>
      </c>
      <c r="M275" t="s">
        <v>1472</v>
      </c>
      <c r="N275" t="s">
        <v>11</v>
      </c>
      <c r="O275" s="49">
        <v>6.5929000000000002</v>
      </c>
      <c r="P275" s="9">
        <f>ROUND(O275*L275,2)</f>
        <v>11010.14</v>
      </c>
      <c r="Q275" s="10">
        <f>IF(N275="HKD",7.8,IF(N275="CNY",7.30034,1))</f>
        <v>7.3003400000000003</v>
      </c>
      <c r="R275" s="10">
        <f>+ROUND(O275/Q275,4)</f>
        <v>0.90310000000000001</v>
      </c>
      <c r="S275" s="11">
        <f>ROUND(R275*L275,2)</f>
        <v>1508.18</v>
      </c>
      <c r="T275" s="10" t="s">
        <v>349</v>
      </c>
      <c r="U275" t="s">
        <v>36</v>
      </c>
    </row>
    <row r="276" spans="1:21">
      <c r="A276" t="s">
        <v>4263</v>
      </c>
      <c r="B276" s="20">
        <v>45763</v>
      </c>
      <c r="C276" s="20">
        <v>45747</v>
      </c>
      <c r="D276" t="s">
        <v>287</v>
      </c>
      <c r="E276" t="s">
        <v>288</v>
      </c>
      <c r="G276" t="s">
        <v>4514</v>
      </c>
      <c r="H276" t="s">
        <v>854</v>
      </c>
      <c r="I276" t="s">
        <v>855</v>
      </c>
      <c r="J276" s="8" t="str">
        <f>+LEFT(U276,4)</f>
        <v>GLID</v>
      </c>
      <c r="K276" t="s">
        <v>10</v>
      </c>
      <c r="L276" s="46">
        <v>1800</v>
      </c>
      <c r="M276" t="s">
        <v>1472</v>
      </c>
      <c r="N276" t="s">
        <v>11</v>
      </c>
      <c r="O276" s="49">
        <v>8.15</v>
      </c>
      <c r="P276" s="9">
        <f>ROUND(O276*L276,2)</f>
        <v>14670</v>
      </c>
      <c r="Q276" s="10">
        <f>IF(N276="HKD",7.8,IF(N276="CNY",7.30034,1))</f>
        <v>7.3003400000000003</v>
      </c>
      <c r="R276" s="10">
        <f>+ROUND(O276/Q276,4)</f>
        <v>1.1164000000000001</v>
      </c>
      <c r="S276" s="11">
        <f>ROUND(R276*L276,2)</f>
        <v>2009.52</v>
      </c>
      <c r="T276" s="10" t="s">
        <v>349</v>
      </c>
      <c r="U276" t="s">
        <v>78</v>
      </c>
    </row>
    <row r="277" spans="1:21">
      <c r="A277" t="s">
        <v>4131</v>
      </c>
      <c r="B277" s="20">
        <v>45763</v>
      </c>
      <c r="C277" s="20">
        <v>45700</v>
      </c>
      <c r="D277" t="s">
        <v>94</v>
      </c>
      <c r="E277" t="s">
        <v>95</v>
      </c>
      <c r="G277" t="s">
        <v>4440</v>
      </c>
      <c r="H277" t="s">
        <v>1001</v>
      </c>
      <c r="I277" t="s">
        <v>1002</v>
      </c>
      <c r="J277" s="8" t="str">
        <f>+LEFT(U277,4)</f>
        <v>LID-</v>
      </c>
      <c r="K277" t="s">
        <v>369</v>
      </c>
      <c r="L277" s="46">
        <v>2400</v>
      </c>
      <c r="M277" t="s">
        <v>1472</v>
      </c>
      <c r="N277" t="s">
        <v>11</v>
      </c>
      <c r="O277" s="49">
        <v>3.42</v>
      </c>
      <c r="P277" s="9">
        <f>ROUND(O277*L277,2)</f>
        <v>8208</v>
      </c>
      <c r="Q277" s="10">
        <f>IF(N277="HKD",7.8,IF(N277="CNY",7.30034,1))</f>
        <v>7.3003400000000003</v>
      </c>
      <c r="R277" s="10">
        <f>+ROUND(O277/Q277,4)</f>
        <v>0.46850000000000003</v>
      </c>
      <c r="S277" s="11">
        <f>ROUND(R277*L277,2)</f>
        <v>1124.4000000000001</v>
      </c>
      <c r="T277" s="10" t="s">
        <v>349</v>
      </c>
      <c r="U277" t="s">
        <v>368</v>
      </c>
    </row>
    <row r="278" spans="1:21">
      <c r="A278" t="s">
        <v>4155</v>
      </c>
      <c r="B278" s="20">
        <v>45763</v>
      </c>
      <c r="C278" s="20">
        <v>45695</v>
      </c>
      <c r="D278" t="s">
        <v>94</v>
      </c>
      <c r="E278" t="s">
        <v>95</v>
      </c>
      <c r="G278" t="s">
        <v>4450</v>
      </c>
      <c r="H278" t="s">
        <v>3063</v>
      </c>
      <c r="I278" t="s">
        <v>3279</v>
      </c>
      <c r="J278" s="8" t="str">
        <f>+LEFT(U278,4)</f>
        <v>LID-</v>
      </c>
      <c r="K278" t="s">
        <v>98</v>
      </c>
      <c r="L278" s="46">
        <v>507</v>
      </c>
      <c r="M278" t="s">
        <v>1472</v>
      </c>
      <c r="N278" t="s">
        <v>11</v>
      </c>
      <c r="O278" s="49">
        <v>3.7</v>
      </c>
      <c r="P278" s="9">
        <f>ROUND(O278*L278,2)</f>
        <v>1875.9</v>
      </c>
      <c r="Q278" s="10">
        <f>IF(N278="HKD",7.8,IF(N278="CNY",7.30034,1))</f>
        <v>7.3003400000000003</v>
      </c>
      <c r="R278" s="10">
        <f>+ROUND(O278/Q278,4)</f>
        <v>0.50680000000000003</v>
      </c>
      <c r="S278" s="11">
        <f>ROUND(R278*L278,2)</f>
        <v>256.95</v>
      </c>
      <c r="T278" s="10" t="s">
        <v>349</v>
      </c>
      <c r="U278" t="s">
        <v>368</v>
      </c>
    </row>
    <row r="279" spans="1:21">
      <c r="A279" t="s">
        <v>2537</v>
      </c>
      <c r="B279" s="20">
        <v>45763</v>
      </c>
      <c r="C279" s="20">
        <v>45714</v>
      </c>
      <c r="D279" t="s">
        <v>94</v>
      </c>
      <c r="E279" t="s">
        <v>95</v>
      </c>
      <c r="G279" t="s">
        <v>4489</v>
      </c>
      <c r="H279" t="s">
        <v>3165</v>
      </c>
      <c r="I279" t="s">
        <v>3375</v>
      </c>
      <c r="J279" s="8" t="str">
        <f>+LEFT(U279,4)</f>
        <v>LID-</v>
      </c>
      <c r="K279" t="s">
        <v>98</v>
      </c>
      <c r="L279" s="46">
        <v>630</v>
      </c>
      <c r="M279" t="s">
        <v>1472</v>
      </c>
      <c r="N279" t="s">
        <v>11</v>
      </c>
      <c r="O279" s="49">
        <v>4.37</v>
      </c>
      <c r="P279" s="9">
        <f>ROUND(O279*L279,2)</f>
        <v>2753.1</v>
      </c>
      <c r="Q279" s="10">
        <f>IF(N279="HKD",7.8,IF(N279="CNY",7.30034,1))</f>
        <v>7.3003400000000003</v>
      </c>
      <c r="R279" s="10">
        <f>+ROUND(O279/Q279,4)</f>
        <v>0.59860000000000002</v>
      </c>
      <c r="S279" s="11">
        <f>ROUND(R279*L279,2)</f>
        <v>377.12</v>
      </c>
      <c r="T279" s="10" t="s">
        <v>349</v>
      </c>
      <c r="U279" t="s">
        <v>368</v>
      </c>
    </row>
    <row r="280" spans="1:21">
      <c r="A280" t="s">
        <v>3849</v>
      </c>
      <c r="B280" s="20">
        <v>45763</v>
      </c>
      <c r="C280" s="20">
        <v>45755</v>
      </c>
      <c r="D280" t="s">
        <v>101</v>
      </c>
      <c r="E280" t="s">
        <v>102</v>
      </c>
      <c r="G280" t="s">
        <v>4348</v>
      </c>
      <c r="H280" t="s">
        <v>111</v>
      </c>
      <c r="I280" t="s">
        <v>112</v>
      </c>
      <c r="J280" s="8" t="str">
        <f>+LEFT(U280,4)</f>
        <v>STKR</v>
      </c>
      <c r="K280" t="s">
        <v>10</v>
      </c>
      <c r="L280" s="46">
        <v>3020</v>
      </c>
      <c r="M280" t="s">
        <v>1472</v>
      </c>
      <c r="N280" t="s">
        <v>11</v>
      </c>
      <c r="O280" s="49">
        <v>0.05</v>
      </c>
      <c r="P280" s="9">
        <f>ROUND(O280*L280,2)</f>
        <v>151</v>
      </c>
      <c r="Q280" s="10">
        <f>IF(N280="HKD",7.8,IF(N280="CNY",7.30034,1))</f>
        <v>7.3003400000000003</v>
      </c>
      <c r="R280" s="10">
        <f>+ROUND(O280/Q280,4)</f>
        <v>6.7999999999999996E-3</v>
      </c>
      <c r="S280" s="11">
        <f>ROUND(R280*L280,2)</f>
        <v>20.54</v>
      </c>
      <c r="T280" s="10" t="s">
        <v>349</v>
      </c>
      <c r="U280" t="s">
        <v>18</v>
      </c>
    </row>
    <row r="281" spans="1:21">
      <c r="A281" t="s">
        <v>3850</v>
      </c>
      <c r="B281" s="20">
        <v>45763</v>
      </c>
      <c r="C281" s="20">
        <v>45755</v>
      </c>
      <c r="D281" t="s">
        <v>101</v>
      </c>
      <c r="E281" t="s">
        <v>102</v>
      </c>
      <c r="G281" t="s">
        <v>4348</v>
      </c>
      <c r="H281" t="s">
        <v>108</v>
      </c>
      <c r="I281" t="s">
        <v>109</v>
      </c>
      <c r="J281" s="8" t="str">
        <f>+LEFT(U281,4)</f>
        <v>STKR</v>
      </c>
      <c r="K281" t="s">
        <v>10</v>
      </c>
      <c r="L281" s="46">
        <v>3020</v>
      </c>
      <c r="M281" t="s">
        <v>1472</v>
      </c>
      <c r="N281" t="s">
        <v>11</v>
      </c>
      <c r="O281" s="49">
        <v>0.05</v>
      </c>
      <c r="P281" s="9">
        <f>ROUND(O281*L281,2)</f>
        <v>151</v>
      </c>
      <c r="Q281" s="10">
        <f>IF(N281="HKD",7.8,IF(N281="CNY",7.30034,1))</f>
        <v>7.3003400000000003</v>
      </c>
      <c r="R281" s="10">
        <f>+ROUND(O281/Q281,4)</f>
        <v>6.7999999999999996E-3</v>
      </c>
      <c r="S281" s="11">
        <f>ROUND(R281*L281,2)</f>
        <v>20.54</v>
      </c>
      <c r="T281" s="10" t="s">
        <v>349</v>
      </c>
      <c r="U281" t="s">
        <v>18</v>
      </c>
    </row>
    <row r="282" spans="1:21">
      <c r="A282" t="s">
        <v>3851</v>
      </c>
      <c r="B282" s="20">
        <v>45763</v>
      </c>
      <c r="C282" s="20">
        <v>45758</v>
      </c>
      <c r="D282" t="s">
        <v>101</v>
      </c>
      <c r="E282" t="s">
        <v>102</v>
      </c>
      <c r="G282" t="s">
        <v>4348</v>
      </c>
      <c r="H282" t="s">
        <v>3498</v>
      </c>
      <c r="I282" t="s">
        <v>3499</v>
      </c>
      <c r="J282" s="8" t="str">
        <f>+LEFT(U282,4)</f>
        <v>STKR</v>
      </c>
      <c r="K282" t="s">
        <v>10</v>
      </c>
      <c r="L282" s="46">
        <v>510</v>
      </c>
      <c r="M282" t="s">
        <v>1472</v>
      </c>
      <c r="N282" t="s">
        <v>11</v>
      </c>
      <c r="O282" s="49">
        <v>0.05</v>
      </c>
      <c r="P282" s="9">
        <f>ROUND(O282*L282,2)</f>
        <v>25.5</v>
      </c>
      <c r="Q282" s="10">
        <f>IF(N282="HKD",7.8,IF(N282="CNY",7.30034,1))</f>
        <v>7.3003400000000003</v>
      </c>
      <c r="R282" s="10">
        <f>+ROUND(O282/Q282,4)</f>
        <v>6.7999999999999996E-3</v>
      </c>
      <c r="S282" s="11">
        <f>ROUND(R282*L282,2)</f>
        <v>3.47</v>
      </c>
      <c r="T282" s="10" t="s">
        <v>349</v>
      </c>
      <c r="U282" t="s">
        <v>18</v>
      </c>
    </row>
    <row r="283" spans="1:21">
      <c r="A283" t="s">
        <v>3852</v>
      </c>
      <c r="B283" s="20">
        <v>45763</v>
      </c>
      <c r="C283" s="20">
        <v>45758</v>
      </c>
      <c r="D283" t="s">
        <v>101</v>
      </c>
      <c r="E283" t="s">
        <v>102</v>
      </c>
      <c r="G283" t="s">
        <v>4348</v>
      </c>
      <c r="H283" t="s">
        <v>3500</v>
      </c>
      <c r="I283" t="s">
        <v>3501</v>
      </c>
      <c r="J283" s="8" t="str">
        <f>+LEFT(U283,4)</f>
        <v>STKR</v>
      </c>
      <c r="K283" t="s">
        <v>10</v>
      </c>
      <c r="L283" s="46">
        <v>2020</v>
      </c>
      <c r="M283" t="s">
        <v>1472</v>
      </c>
      <c r="N283" t="s">
        <v>11</v>
      </c>
      <c r="O283" s="49">
        <v>0.05</v>
      </c>
      <c r="P283" s="9">
        <f>ROUND(O283*L283,2)</f>
        <v>101</v>
      </c>
      <c r="Q283" s="10">
        <f>IF(N283="HKD",7.8,IF(N283="CNY",7.30034,1))</f>
        <v>7.3003400000000003</v>
      </c>
      <c r="R283" s="10">
        <f>+ROUND(O283/Q283,4)</f>
        <v>6.7999999999999996E-3</v>
      </c>
      <c r="S283" s="11">
        <f>ROUND(R283*L283,2)</f>
        <v>13.74</v>
      </c>
      <c r="T283" s="10" t="s">
        <v>349</v>
      </c>
      <c r="U283" t="s">
        <v>18</v>
      </c>
    </row>
    <row r="284" spans="1:21">
      <c r="A284" t="s">
        <v>3853</v>
      </c>
      <c r="B284" s="20">
        <v>45763</v>
      </c>
      <c r="C284" s="20">
        <v>45762</v>
      </c>
      <c r="D284" t="s">
        <v>101</v>
      </c>
      <c r="E284" t="s">
        <v>102</v>
      </c>
      <c r="G284" t="s">
        <v>4349</v>
      </c>
      <c r="H284" t="s">
        <v>3502</v>
      </c>
      <c r="I284" t="s">
        <v>3503</v>
      </c>
      <c r="J284" s="8" t="str">
        <f>+LEFT(U284,4)</f>
        <v>STKR</v>
      </c>
      <c r="K284" t="s">
        <v>10</v>
      </c>
      <c r="L284" s="46">
        <v>1110</v>
      </c>
      <c r="M284" t="s">
        <v>1472</v>
      </c>
      <c r="N284" t="s">
        <v>11</v>
      </c>
      <c r="O284" s="49">
        <v>0.05</v>
      </c>
      <c r="P284" s="9">
        <f>ROUND(O284*L284,2)</f>
        <v>55.5</v>
      </c>
      <c r="Q284" s="10">
        <f>IF(N284="HKD",7.8,IF(N284="CNY",7.30034,1))</f>
        <v>7.3003400000000003</v>
      </c>
      <c r="R284" s="10">
        <f>+ROUND(O284/Q284,4)</f>
        <v>6.7999999999999996E-3</v>
      </c>
      <c r="S284" s="11">
        <f>ROUND(R284*L284,2)</f>
        <v>7.55</v>
      </c>
      <c r="T284" s="10" t="s">
        <v>349</v>
      </c>
      <c r="U284" t="s">
        <v>18</v>
      </c>
    </row>
    <row r="285" spans="1:21">
      <c r="A285" t="s">
        <v>3854</v>
      </c>
      <c r="B285" s="20">
        <v>45763</v>
      </c>
      <c r="C285" s="20">
        <v>45762</v>
      </c>
      <c r="D285" t="s">
        <v>101</v>
      </c>
      <c r="E285" t="s">
        <v>102</v>
      </c>
      <c r="G285" t="s">
        <v>4349</v>
      </c>
      <c r="H285" t="s">
        <v>3504</v>
      </c>
      <c r="I285" t="s">
        <v>3505</v>
      </c>
      <c r="J285" s="8" t="str">
        <f>+LEFT(U285,4)</f>
        <v>STKR</v>
      </c>
      <c r="K285" t="s">
        <v>10</v>
      </c>
      <c r="L285" s="46">
        <v>1410</v>
      </c>
      <c r="M285" t="s">
        <v>1472</v>
      </c>
      <c r="N285" t="s">
        <v>11</v>
      </c>
      <c r="O285" s="49">
        <v>0.05</v>
      </c>
      <c r="P285" s="9">
        <f>ROUND(O285*L285,2)</f>
        <v>70.5</v>
      </c>
      <c r="Q285" s="10">
        <f>IF(N285="HKD",7.8,IF(N285="CNY",7.30034,1))</f>
        <v>7.3003400000000003</v>
      </c>
      <c r="R285" s="10">
        <f>+ROUND(O285/Q285,4)</f>
        <v>6.7999999999999996E-3</v>
      </c>
      <c r="S285" s="11">
        <f>ROUND(R285*L285,2)</f>
        <v>9.59</v>
      </c>
      <c r="T285" s="10" t="s">
        <v>349</v>
      </c>
      <c r="U285" t="s">
        <v>18</v>
      </c>
    </row>
    <row r="286" spans="1:21">
      <c r="A286" t="s">
        <v>3855</v>
      </c>
      <c r="B286" s="20">
        <v>45763</v>
      </c>
      <c r="C286" s="20">
        <v>45762</v>
      </c>
      <c r="D286" t="s">
        <v>101</v>
      </c>
      <c r="E286" t="s">
        <v>102</v>
      </c>
      <c r="G286" t="s">
        <v>4349</v>
      </c>
      <c r="H286" t="s">
        <v>3506</v>
      </c>
      <c r="I286" t="s">
        <v>3507</v>
      </c>
      <c r="J286" s="8" t="str">
        <f>+LEFT(U286,4)</f>
        <v>STKR</v>
      </c>
      <c r="K286" t="s">
        <v>10</v>
      </c>
      <c r="L286" s="46">
        <v>1110</v>
      </c>
      <c r="M286" t="s">
        <v>1472</v>
      </c>
      <c r="N286" t="s">
        <v>11</v>
      </c>
      <c r="O286" s="49">
        <v>0.05</v>
      </c>
      <c r="P286" s="9">
        <f>ROUND(O286*L286,2)</f>
        <v>55.5</v>
      </c>
      <c r="Q286" s="10">
        <f>IF(N286="HKD",7.8,IF(N286="CNY",7.30034,1))</f>
        <v>7.3003400000000003</v>
      </c>
      <c r="R286" s="10">
        <f>+ROUND(O286/Q286,4)</f>
        <v>6.7999999999999996E-3</v>
      </c>
      <c r="S286" s="11">
        <f>ROUND(R286*L286,2)</f>
        <v>7.55</v>
      </c>
      <c r="T286" s="10" t="s">
        <v>349</v>
      </c>
      <c r="U286" t="s">
        <v>18</v>
      </c>
    </row>
    <row r="287" spans="1:21">
      <c r="A287" t="s">
        <v>3856</v>
      </c>
      <c r="B287" s="20">
        <v>45763</v>
      </c>
      <c r="C287" s="20">
        <v>45762</v>
      </c>
      <c r="D287" t="s">
        <v>101</v>
      </c>
      <c r="E287" t="s">
        <v>102</v>
      </c>
      <c r="G287" t="s">
        <v>4349</v>
      </c>
      <c r="H287" t="s">
        <v>3508</v>
      </c>
      <c r="I287" t="s">
        <v>3509</v>
      </c>
      <c r="J287" s="8" t="str">
        <f>+LEFT(U287,4)</f>
        <v>STKR</v>
      </c>
      <c r="K287" t="s">
        <v>10</v>
      </c>
      <c r="L287" s="46">
        <v>1010</v>
      </c>
      <c r="M287" t="s">
        <v>1472</v>
      </c>
      <c r="N287" t="s">
        <v>11</v>
      </c>
      <c r="O287" s="49">
        <v>0.05</v>
      </c>
      <c r="P287" s="9">
        <f>ROUND(O287*L287,2)</f>
        <v>50.5</v>
      </c>
      <c r="Q287" s="10">
        <f>IF(N287="HKD",7.8,IF(N287="CNY",7.30034,1))</f>
        <v>7.3003400000000003</v>
      </c>
      <c r="R287" s="10">
        <f>+ROUND(O287/Q287,4)</f>
        <v>6.7999999999999996E-3</v>
      </c>
      <c r="S287" s="11">
        <f>ROUND(R287*L287,2)</f>
        <v>6.87</v>
      </c>
      <c r="T287" s="10" t="s">
        <v>349</v>
      </c>
      <c r="U287" t="s">
        <v>18</v>
      </c>
    </row>
    <row r="288" spans="1:21">
      <c r="A288" t="s">
        <v>3857</v>
      </c>
      <c r="B288" s="20">
        <v>45763</v>
      </c>
      <c r="C288" s="20">
        <v>45762</v>
      </c>
      <c r="D288" t="s">
        <v>101</v>
      </c>
      <c r="E288" t="s">
        <v>102</v>
      </c>
      <c r="G288" t="s">
        <v>4349</v>
      </c>
      <c r="H288" t="s">
        <v>3510</v>
      </c>
      <c r="I288" t="s">
        <v>3511</v>
      </c>
      <c r="J288" s="8" t="str">
        <f>+LEFT(U288,4)</f>
        <v>STKR</v>
      </c>
      <c r="K288" t="s">
        <v>10</v>
      </c>
      <c r="L288" s="46">
        <v>1110</v>
      </c>
      <c r="M288" t="s">
        <v>1472</v>
      </c>
      <c r="N288" t="s">
        <v>11</v>
      </c>
      <c r="O288" s="49">
        <v>0.05</v>
      </c>
      <c r="P288" s="9">
        <f>ROUND(O288*L288,2)</f>
        <v>55.5</v>
      </c>
      <c r="Q288" s="10">
        <f>IF(N288="HKD",7.8,IF(N288="CNY",7.30034,1))</f>
        <v>7.3003400000000003</v>
      </c>
      <c r="R288" s="10">
        <f>+ROUND(O288/Q288,4)</f>
        <v>6.7999999999999996E-3</v>
      </c>
      <c r="S288" s="11">
        <f>ROUND(R288*L288,2)</f>
        <v>7.55</v>
      </c>
      <c r="T288" s="10" t="s">
        <v>349</v>
      </c>
      <c r="U288" t="s">
        <v>18</v>
      </c>
    </row>
    <row r="289" spans="1:21">
      <c r="A289" t="s">
        <v>3889</v>
      </c>
      <c r="B289" s="20">
        <v>45763</v>
      </c>
      <c r="C289" s="20">
        <v>45744</v>
      </c>
      <c r="D289" t="s">
        <v>101</v>
      </c>
      <c r="E289" t="s">
        <v>102</v>
      </c>
      <c r="G289" t="s">
        <v>4348</v>
      </c>
      <c r="H289" t="s">
        <v>3528</v>
      </c>
      <c r="I289" t="s">
        <v>3529</v>
      </c>
      <c r="J289" s="8" t="str">
        <f>+LEFT(U289,4)</f>
        <v>STKR</v>
      </c>
      <c r="K289" t="s">
        <v>10</v>
      </c>
      <c r="L289" s="46">
        <v>1010</v>
      </c>
      <c r="M289" t="s">
        <v>1472</v>
      </c>
      <c r="N289" t="s">
        <v>11</v>
      </c>
      <c r="O289" s="49">
        <v>0.11</v>
      </c>
      <c r="P289" s="9">
        <f>ROUND(O289*L289,2)</f>
        <v>111.1</v>
      </c>
      <c r="Q289" s="10">
        <f>IF(N289="HKD",7.8,IF(N289="CNY",7.30034,1))</f>
        <v>7.3003400000000003</v>
      </c>
      <c r="R289" s="10">
        <f>+ROUND(O289/Q289,4)</f>
        <v>1.5100000000000001E-2</v>
      </c>
      <c r="S289" s="11">
        <f>ROUND(R289*L289,2)</f>
        <v>15.25</v>
      </c>
      <c r="T289" s="10" t="s">
        <v>349</v>
      </c>
      <c r="U289" t="s">
        <v>18</v>
      </c>
    </row>
    <row r="290" spans="1:21">
      <c r="A290" t="s">
        <v>3887</v>
      </c>
      <c r="B290" s="20">
        <v>45763</v>
      </c>
      <c r="C290" s="20">
        <v>45729</v>
      </c>
      <c r="D290" t="s">
        <v>143</v>
      </c>
      <c r="E290" t="s">
        <v>144</v>
      </c>
      <c r="G290" t="s">
        <v>4363</v>
      </c>
      <c r="H290" t="s">
        <v>245</v>
      </c>
      <c r="I290" t="s">
        <v>246</v>
      </c>
      <c r="J290" s="8" t="str">
        <f>+LEFT(U290,4)</f>
        <v>WHR-</v>
      </c>
      <c r="K290" t="s">
        <v>10</v>
      </c>
      <c r="L290" s="46">
        <v>8600</v>
      </c>
      <c r="M290" t="s">
        <v>1472</v>
      </c>
      <c r="N290" t="s">
        <v>11</v>
      </c>
      <c r="O290" s="49">
        <v>0.1096</v>
      </c>
      <c r="P290" s="9">
        <f>ROUND(O290*L290,2)</f>
        <v>942.56</v>
      </c>
      <c r="Q290" s="10">
        <f>IF(N290="HKD",7.8,IF(N290="CNY",7.30034,1))</f>
        <v>7.3003400000000003</v>
      </c>
      <c r="R290" s="10">
        <f>+ROUND(O290/Q290,4)</f>
        <v>1.4999999999999999E-2</v>
      </c>
      <c r="S290" s="11">
        <f>ROUND(R290*L290,2)</f>
        <v>129</v>
      </c>
      <c r="T290" s="10" t="s">
        <v>349</v>
      </c>
      <c r="U290" t="s">
        <v>248</v>
      </c>
    </row>
    <row r="291" spans="1:21">
      <c r="A291" t="s">
        <v>3888</v>
      </c>
      <c r="B291" s="20">
        <v>45763</v>
      </c>
      <c r="C291" s="20">
        <v>45737</v>
      </c>
      <c r="D291" t="s">
        <v>143</v>
      </c>
      <c r="E291" t="s">
        <v>144</v>
      </c>
      <c r="G291" t="s">
        <v>4363</v>
      </c>
      <c r="H291" t="s">
        <v>245</v>
      </c>
      <c r="I291" t="s">
        <v>246</v>
      </c>
      <c r="J291" s="8" t="str">
        <f>+LEFT(U291,4)</f>
        <v>WHR-</v>
      </c>
      <c r="K291" t="s">
        <v>10</v>
      </c>
      <c r="L291" s="46">
        <v>2000</v>
      </c>
      <c r="M291" t="s">
        <v>1472</v>
      </c>
      <c r="N291" t="s">
        <v>11</v>
      </c>
      <c r="O291" s="49">
        <v>0.1096</v>
      </c>
      <c r="P291" s="9">
        <f>ROUND(O291*L291,2)</f>
        <v>219.2</v>
      </c>
      <c r="Q291" s="10">
        <f>IF(N291="HKD",7.8,IF(N291="CNY",7.30034,1))</f>
        <v>7.3003400000000003</v>
      </c>
      <c r="R291" s="10">
        <f>+ROUND(O291/Q291,4)</f>
        <v>1.4999999999999999E-2</v>
      </c>
      <c r="S291" s="11">
        <f>ROUND(R291*L291,2)</f>
        <v>30</v>
      </c>
      <c r="T291" s="10" t="s">
        <v>349</v>
      </c>
      <c r="U291" t="s">
        <v>248</v>
      </c>
    </row>
    <row r="292" spans="1:21">
      <c r="A292" t="s">
        <v>3893</v>
      </c>
      <c r="B292" s="20">
        <v>45763</v>
      </c>
      <c r="C292" s="20">
        <v>45750</v>
      </c>
      <c r="D292" t="s">
        <v>569</v>
      </c>
      <c r="E292" t="s">
        <v>570</v>
      </c>
      <c r="G292" t="s">
        <v>4365</v>
      </c>
      <c r="H292" t="s">
        <v>1412</v>
      </c>
      <c r="I292" t="s">
        <v>1413</v>
      </c>
      <c r="J292" s="8" t="str">
        <f>+LEFT(U292,4)</f>
        <v>WHR-</v>
      </c>
      <c r="K292" t="s">
        <v>10</v>
      </c>
      <c r="L292" s="46">
        <v>1200</v>
      </c>
      <c r="M292" t="s">
        <v>1472</v>
      </c>
      <c r="N292" t="s">
        <v>11</v>
      </c>
      <c r="O292" s="49">
        <v>0.12</v>
      </c>
      <c r="P292" s="9">
        <f>ROUND(O292*L292,2)</f>
        <v>144</v>
      </c>
      <c r="Q292" s="10">
        <f>IF(N292="HKD",7.8,IF(N292="CNY",7.30034,1))</f>
        <v>7.3003400000000003</v>
      </c>
      <c r="R292" s="10">
        <f>+ROUND(O292/Q292,4)</f>
        <v>1.6400000000000001E-2</v>
      </c>
      <c r="S292" s="11">
        <f>ROUND(R292*L292,2)</f>
        <v>19.68</v>
      </c>
      <c r="T292" s="10" t="s">
        <v>349</v>
      </c>
      <c r="U292" t="s">
        <v>248</v>
      </c>
    </row>
    <row r="293" spans="1:21">
      <c r="A293" t="s">
        <v>3976</v>
      </c>
      <c r="B293" s="20">
        <v>45762</v>
      </c>
      <c r="C293" s="20">
        <v>45702</v>
      </c>
      <c r="D293" t="s">
        <v>252</v>
      </c>
      <c r="E293" t="s">
        <v>253</v>
      </c>
      <c r="G293" t="s">
        <v>4398</v>
      </c>
      <c r="H293" t="s">
        <v>688</v>
      </c>
      <c r="I293" t="s">
        <v>689</v>
      </c>
      <c r="J293" s="8" t="s">
        <v>1527</v>
      </c>
      <c r="K293" t="s">
        <v>10</v>
      </c>
      <c r="L293" s="46">
        <v>1050</v>
      </c>
      <c r="M293" t="s">
        <v>1472</v>
      </c>
      <c r="N293" t="s">
        <v>11</v>
      </c>
      <c r="O293" s="49">
        <v>0.9</v>
      </c>
      <c r="P293" s="9">
        <f>ROUND(O293*L293,2)</f>
        <v>945</v>
      </c>
      <c r="Q293" s="10">
        <f>IF(N293="HKD",7.8,IF(N293="CNY",7.30034,1))</f>
        <v>7.3003400000000003</v>
      </c>
      <c r="R293" s="10">
        <f>+ROUND(O293/Q293,4)</f>
        <v>0.12330000000000001</v>
      </c>
      <c r="S293" s="11">
        <f>ROUND(R293*L293,2)</f>
        <v>129.47</v>
      </c>
      <c r="T293" s="10" t="s">
        <v>349</v>
      </c>
      <c r="U293" t="s">
        <v>36</v>
      </c>
    </row>
    <row r="294" spans="1:21">
      <c r="A294" t="s">
        <v>3977</v>
      </c>
      <c r="B294" s="20">
        <v>45762</v>
      </c>
      <c r="C294" s="20">
        <v>45702</v>
      </c>
      <c r="D294" t="s">
        <v>252</v>
      </c>
      <c r="E294" t="s">
        <v>253</v>
      </c>
      <c r="G294" t="s">
        <v>4398</v>
      </c>
      <c r="H294" t="s">
        <v>1026</v>
      </c>
      <c r="I294" t="s">
        <v>1027</v>
      </c>
      <c r="J294" s="8" t="s">
        <v>1527</v>
      </c>
      <c r="K294" t="s">
        <v>10</v>
      </c>
      <c r="L294" s="46">
        <v>1050</v>
      </c>
      <c r="M294" t="s">
        <v>1472</v>
      </c>
      <c r="N294" t="s">
        <v>11</v>
      </c>
      <c r="O294" s="49">
        <v>0.9</v>
      </c>
      <c r="P294" s="9">
        <f>ROUND(O294*L294,2)</f>
        <v>945</v>
      </c>
      <c r="Q294" s="10">
        <f>IF(N294="HKD",7.8,IF(N294="CNY",7.30034,1))</f>
        <v>7.3003400000000003</v>
      </c>
      <c r="R294" s="10">
        <f>+ROUND(O294/Q294,4)</f>
        <v>0.12330000000000001</v>
      </c>
      <c r="S294" s="11">
        <f>ROUND(R294*L294,2)</f>
        <v>129.47</v>
      </c>
      <c r="T294" s="10" t="s">
        <v>349</v>
      </c>
      <c r="U294" t="s">
        <v>36</v>
      </c>
    </row>
    <row r="295" spans="1:21">
      <c r="A295" t="s">
        <v>3996</v>
      </c>
      <c r="B295" s="20">
        <v>45762</v>
      </c>
      <c r="C295" s="20">
        <v>45695</v>
      </c>
      <c r="D295" t="s">
        <v>252</v>
      </c>
      <c r="E295" t="s">
        <v>253</v>
      </c>
      <c r="G295" t="s">
        <v>4398</v>
      </c>
      <c r="H295" t="s">
        <v>1528</v>
      </c>
      <c r="I295" t="s">
        <v>1529</v>
      </c>
      <c r="J295" s="8" t="s">
        <v>1527</v>
      </c>
      <c r="K295" t="s">
        <v>10</v>
      </c>
      <c r="L295" s="46">
        <v>2000</v>
      </c>
      <c r="M295" t="s">
        <v>1472</v>
      </c>
      <c r="N295" t="s">
        <v>11</v>
      </c>
      <c r="O295" s="49">
        <v>1.2838000000000001</v>
      </c>
      <c r="P295" s="9">
        <f>ROUND(O295*L295,2)</f>
        <v>2567.6</v>
      </c>
      <c r="Q295" s="10">
        <f>IF(N295="HKD",7.8,IF(N295="CNY",7.30034,1))</f>
        <v>7.3003400000000003</v>
      </c>
      <c r="R295" s="10">
        <f>+ROUND(O295/Q295,4)</f>
        <v>0.1759</v>
      </c>
      <c r="S295" s="11">
        <f>ROUND(R295*L295,2)</f>
        <v>351.8</v>
      </c>
      <c r="T295" s="10" t="s">
        <v>349</v>
      </c>
      <c r="U295" t="s">
        <v>36</v>
      </c>
    </row>
    <row r="296" spans="1:21">
      <c r="A296" t="s">
        <v>3997</v>
      </c>
      <c r="B296" s="20">
        <v>45762</v>
      </c>
      <c r="C296" s="20">
        <v>45716</v>
      </c>
      <c r="D296" t="s">
        <v>252</v>
      </c>
      <c r="E296" t="s">
        <v>253</v>
      </c>
      <c r="G296" t="s">
        <v>4398</v>
      </c>
      <c r="H296" t="s">
        <v>682</v>
      </c>
      <c r="I296" t="s">
        <v>683</v>
      </c>
      <c r="J296" s="8" t="s">
        <v>1527</v>
      </c>
      <c r="K296" t="s">
        <v>10</v>
      </c>
      <c r="L296" s="46">
        <v>2600</v>
      </c>
      <c r="M296" t="s">
        <v>1472</v>
      </c>
      <c r="N296" t="s">
        <v>11</v>
      </c>
      <c r="O296" s="49">
        <v>1.3524</v>
      </c>
      <c r="P296" s="9">
        <f>ROUND(O296*L296,2)</f>
        <v>3516.24</v>
      </c>
      <c r="Q296" s="10">
        <f>IF(N296="HKD",7.8,IF(N296="CNY",7.30034,1))</f>
        <v>7.3003400000000003</v>
      </c>
      <c r="R296" s="10">
        <f>+ROUND(O296/Q296,4)</f>
        <v>0.18529999999999999</v>
      </c>
      <c r="S296" s="11">
        <f>ROUND(R296*L296,2)</f>
        <v>481.78</v>
      </c>
      <c r="T296" s="10" t="s">
        <v>349</v>
      </c>
      <c r="U296" t="s">
        <v>36</v>
      </c>
    </row>
    <row r="297" spans="1:21">
      <c r="A297" t="s">
        <v>3999</v>
      </c>
      <c r="B297" s="20">
        <v>45762</v>
      </c>
      <c r="C297" s="20">
        <v>45730</v>
      </c>
      <c r="D297" t="s">
        <v>252</v>
      </c>
      <c r="E297" t="s">
        <v>253</v>
      </c>
      <c r="G297" t="s">
        <v>4398</v>
      </c>
      <c r="H297" t="s">
        <v>678</v>
      </c>
      <c r="I297" t="s">
        <v>679</v>
      </c>
      <c r="J297" s="8" t="s">
        <v>1527</v>
      </c>
      <c r="K297" t="s">
        <v>10</v>
      </c>
      <c r="L297" s="46">
        <v>3900</v>
      </c>
      <c r="M297" t="s">
        <v>1472</v>
      </c>
      <c r="N297" t="s">
        <v>11</v>
      </c>
      <c r="O297" s="49">
        <v>1.3524</v>
      </c>
      <c r="P297" s="9">
        <f>ROUND(O297*L297,2)</f>
        <v>5274.36</v>
      </c>
      <c r="Q297" s="10">
        <f>IF(N297="HKD",7.8,IF(N297="CNY",7.30034,1))</f>
        <v>7.3003400000000003</v>
      </c>
      <c r="R297" s="10">
        <f>+ROUND(O297/Q297,4)</f>
        <v>0.18529999999999999</v>
      </c>
      <c r="S297" s="11">
        <f>ROUND(R297*L297,2)</f>
        <v>722.67</v>
      </c>
      <c r="T297" s="10" t="s">
        <v>349</v>
      </c>
      <c r="U297" t="s">
        <v>36</v>
      </c>
    </row>
    <row r="298" spans="1:21">
      <c r="A298" t="s">
        <v>4001</v>
      </c>
      <c r="B298" s="20">
        <v>45762</v>
      </c>
      <c r="C298" s="20">
        <v>45695</v>
      </c>
      <c r="D298" t="s">
        <v>252</v>
      </c>
      <c r="E298" t="s">
        <v>253</v>
      </c>
      <c r="G298" t="s">
        <v>4398</v>
      </c>
      <c r="H298" t="s">
        <v>1530</v>
      </c>
      <c r="I298" t="s">
        <v>1531</v>
      </c>
      <c r="J298" s="8" t="s">
        <v>1527</v>
      </c>
      <c r="K298" t="s">
        <v>10</v>
      </c>
      <c r="L298" s="46">
        <v>3500</v>
      </c>
      <c r="M298" t="s">
        <v>1472</v>
      </c>
      <c r="N298" t="s">
        <v>11</v>
      </c>
      <c r="O298" s="49">
        <v>1.38</v>
      </c>
      <c r="P298" s="9">
        <f>ROUND(O298*L298,2)</f>
        <v>4830</v>
      </c>
      <c r="Q298" s="10">
        <f>IF(N298="HKD",7.8,IF(N298="CNY",7.30034,1))</f>
        <v>7.3003400000000003</v>
      </c>
      <c r="R298" s="10">
        <f>+ROUND(O298/Q298,4)</f>
        <v>0.189</v>
      </c>
      <c r="S298" s="11">
        <f>ROUND(R298*L298,2)</f>
        <v>661.5</v>
      </c>
      <c r="T298" s="10" t="s">
        <v>349</v>
      </c>
      <c r="U298" t="s">
        <v>36</v>
      </c>
    </row>
    <row r="299" spans="1:21">
      <c r="A299" t="s">
        <v>4159</v>
      </c>
      <c r="B299" s="20">
        <v>45762</v>
      </c>
      <c r="C299" s="20">
        <v>45742</v>
      </c>
      <c r="D299" t="s">
        <v>696</v>
      </c>
      <c r="E299" t="s">
        <v>697</v>
      </c>
      <c r="G299" t="s">
        <v>4452</v>
      </c>
      <c r="H299" t="s">
        <v>1537</v>
      </c>
      <c r="I299" t="s">
        <v>1538</v>
      </c>
      <c r="J299" s="8" t="s">
        <v>1536</v>
      </c>
      <c r="K299" t="s">
        <v>10</v>
      </c>
      <c r="L299" s="46">
        <v>1900</v>
      </c>
      <c r="M299" t="s">
        <v>1472</v>
      </c>
      <c r="N299" t="s">
        <v>11</v>
      </c>
      <c r="O299" s="49">
        <v>3.85</v>
      </c>
      <c r="P299" s="9">
        <f>ROUND(O299*L299,2)</f>
        <v>7315</v>
      </c>
      <c r="Q299" s="10">
        <f>IF(N299="HKD",7.8,IF(N299="CNY",7.30034,1))</f>
        <v>7.3003400000000003</v>
      </c>
      <c r="R299" s="10">
        <f>+ROUND(O299/Q299,4)</f>
        <v>0.52739999999999998</v>
      </c>
      <c r="S299" s="11">
        <f>ROUND(R299*L299,2)</f>
        <v>1002.06</v>
      </c>
      <c r="T299" s="10" t="s">
        <v>349</v>
      </c>
      <c r="U299" t="s">
        <v>36</v>
      </c>
    </row>
    <row r="300" spans="1:21">
      <c r="A300" t="s">
        <v>4182</v>
      </c>
      <c r="B300" s="20">
        <v>45762</v>
      </c>
      <c r="C300" s="20">
        <v>45742</v>
      </c>
      <c r="D300" t="s">
        <v>696</v>
      </c>
      <c r="E300" t="s">
        <v>697</v>
      </c>
      <c r="G300" t="s">
        <v>4452</v>
      </c>
      <c r="H300" t="s">
        <v>1541</v>
      </c>
      <c r="I300" t="s">
        <v>1542</v>
      </c>
      <c r="J300" s="8" t="s">
        <v>1536</v>
      </c>
      <c r="K300" t="s">
        <v>10</v>
      </c>
      <c r="L300" s="46">
        <v>1600</v>
      </c>
      <c r="M300" t="s">
        <v>1472</v>
      </c>
      <c r="N300" t="s">
        <v>11</v>
      </c>
      <c r="O300" s="49">
        <v>4.29</v>
      </c>
      <c r="P300" s="9">
        <f>ROUND(O300*L300,2)</f>
        <v>6864</v>
      </c>
      <c r="Q300" s="10">
        <f>IF(N300="HKD",7.8,IF(N300="CNY",7.30034,1))</f>
        <v>7.3003400000000003</v>
      </c>
      <c r="R300" s="10">
        <f>+ROUND(O300/Q300,4)</f>
        <v>0.58760000000000001</v>
      </c>
      <c r="S300" s="11">
        <f>ROUND(R300*L300,2)</f>
        <v>940.16</v>
      </c>
      <c r="T300" s="10" t="s">
        <v>349</v>
      </c>
      <c r="U300" t="s">
        <v>36</v>
      </c>
    </row>
    <row r="301" spans="1:21">
      <c r="A301" t="s">
        <v>4189</v>
      </c>
      <c r="B301" s="20">
        <v>45762</v>
      </c>
      <c r="C301" s="20">
        <v>45742</v>
      </c>
      <c r="D301" t="s">
        <v>696</v>
      </c>
      <c r="E301" t="s">
        <v>697</v>
      </c>
      <c r="G301" t="s">
        <v>4452</v>
      </c>
      <c r="H301" t="s">
        <v>1543</v>
      </c>
      <c r="I301" t="s">
        <v>1544</v>
      </c>
      <c r="J301" s="8" t="s">
        <v>1536</v>
      </c>
      <c r="K301" t="s">
        <v>10</v>
      </c>
      <c r="L301" s="46">
        <v>1600</v>
      </c>
      <c r="M301" t="s">
        <v>1472</v>
      </c>
      <c r="N301" t="s">
        <v>11</v>
      </c>
      <c r="O301" s="49">
        <v>4.53</v>
      </c>
      <c r="P301" s="9">
        <f>ROUND(O301*L301,2)</f>
        <v>7248</v>
      </c>
      <c r="Q301" s="10">
        <f>IF(N301="HKD",7.8,IF(N301="CNY",7.30034,1))</f>
        <v>7.3003400000000003</v>
      </c>
      <c r="R301" s="10">
        <f>+ROUND(O301/Q301,4)</f>
        <v>0.62050000000000005</v>
      </c>
      <c r="S301" s="11">
        <f>ROUND(R301*L301,2)</f>
        <v>992.8</v>
      </c>
      <c r="T301" s="10" t="s">
        <v>349</v>
      </c>
      <c r="U301" t="s">
        <v>36</v>
      </c>
    </row>
    <row r="302" spans="1:21">
      <c r="A302" t="s">
        <v>4213</v>
      </c>
      <c r="B302" s="20">
        <v>45762</v>
      </c>
      <c r="C302" s="20">
        <v>45716</v>
      </c>
      <c r="D302" t="s">
        <v>696</v>
      </c>
      <c r="E302" t="s">
        <v>697</v>
      </c>
      <c r="G302" t="s">
        <v>4508</v>
      </c>
      <c r="H302" t="s">
        <v>694</v>
      </c>
      <c r="I302" t="s">
        <v>695</v>
      </c>
      <c r="J302" s="8" t="s">
        <v>1536</v>
      </c>
      <c r="K302" t="s">
        <v>10</v>
      </c>
      <c r="L302" s="46">
        <v>1600</v>
      </c>
      <c r="M302" t="s">
        <v>1472</v>
      </c>
      <c r="N302" t="s">
        <v>11</v>
      </c>
      <c r="O302" s="49">
        <v>5.49</v>
      </c>
      <c r="P302" s="9">
        <f>ROUND(O302*L302,2)</f>
        <v>8784</v>
      </c>
      <c r="Q302" s="10">
        <f>IF(N302="HKD",7.8,IF(N302="CNY",7.30034,1))</f>
        <v>7.3003400000000003</v>
      </c>
      <c r="R302" s="10">
        <f>+ROUND(O302/Q302,4)</f>
        <v>0.752</v>
      </c>
      <c r="S302" s="11">
        <f>ROUND(R302*L302,2)</f>
        <v>1203.2</v>
      </c>
      <c r="T302" s="10" t="s">
        <v>349</v>
      </c>
      <c r="U302" t="s">
        <v>36</v>
      </c>
    </row>
    <row r="303" spans="1:21">
      <c r="A303" t="s">
        <v>4214</v>
      </c>
      <c r="B303" s="20">
        <v>45762</v>
      </c>
      <c r="C303" s="20">
        <v>45716</v>
      </c>
      <c r="D303" t="s">
        <v>696</v>
      </c>
      <c r="E303" t="s">
        <v>697</v>
      </c>
      <c r="G303" t="s">
        <v>4508</v>
      </c>
      <c r="H303" t="s">
        <v>694</v>
      </c>
      <c r="I303" t="s">
        <v>695</v>
      </c>
      <c r="J303" s="8" t="s">
        <v>1536</v>
      </c>
      <c r="K303" t="s">
        <v>10</v>
      </c>
      <c r="L303" s="46">
        <v>2300</v>
      </c>
      <c r="M303" t="s">
        <v>1472</v>
      </c>
      <c r="N303" t="s">
        <v>11</v>
      </c>
      <c r="O303" s="49">
        <v>5.49</v>
      </c>
      <c r="P303" s="9">
        <f>ROUND(O303*L303,2)</f>
        <v>12627</v>
      </c>
      <c r="Q303" s="10">
        <f>IF(N303="HKD",7.8,IF(N303="CNY",7.30034,1))</f>
        <v>7.3003400000000003</v>
      </c>
      <c r="R303" s="10">
        <f>+ROUND(O303/Q303,4)</f>
        <v>0.752</v>
      </c>
      <c r="S303" s="11">
        <f>ROUND(R303*L303,2)</f>
        <v>1729.6</v>
      </c>
      <c r="T303" s="10" t="s">
        <v>349</v>
      </c>
      <c r="U303" t="s">
        <v>36</v>
      </c>
    </row>
    <row r="304" spans="1:21">
      <c r="A304" t="s">
        <v>4130</v>
      </c>
      <c r="B304" s="20">
        <v>45762</v>
      </c>
      <c r="C304" s="20">
        <v>45761</v>
      </c>
      <c r="D304" t="s">
        <v>5</v>
      </c>
      <c r="E304" t="s">
        <v>6</v>
      </c>
      <c r="G304" t="s">
        <v>4438</v>
      </c>
      <c r="H304" t="s">
        <v>3708</v>
      </c>
      <c r="I304" t="s">
        <v>3709</v>
      </c>
      <c r="J304" s="8" t="str">
        <f>+LEFT(U304,4)</f>
        <v>BOX-</v>
      </c>
      <c r="K304" t="s">
        <v>10</v>
      </c>
      <c r="L304" s="46">
        <v>1010</v>
      </c>
      <c r="M304" t="s">
        <v>1472</v>
      </c>
      <c r="N304" t="s">
        <v>11</v>
      </c>
      <c r="O304" s="49">
        <v>3.4</v>
      </c>
      <c r="P304" s="9">
        <f>ROUND(O304*L304,2)</f>
        <v>3434</v>
      </c>
      <c r="Q304" s="10">
        <f>IF(N304="HKD",7.8,IF(N304="CNY",7.30034,1))</f>
        <v>7.3003400000000003</v>
      </c>
      <c r="R304" s="10">
        <f>+ROUND(O304/Q304,4)</f>
        <v>0.4657</v>
      </c>
      <c r="S304" s="11">
        <f>ROUND(R304*L304,2)</f>
        <v>470.36</v>
      </c>
      <c r="T304" s="10" t="s">
        <v>349</v>
      </c>
      <c r="U304" t="s">
        <v>1</v>
      </c>
    </row>
    <row r="305" spans="1:21">
      <c r="A305" t="s">
        <v>4139</v>
      </c>
      <c r="B305" s="20">
        <v>45762</v>
      </c>
      <c r="C305" s="20">
        <v>45761</v>
      </c>
      <c r="D305" t="s">
        <v>5</v>
      </c>
      <c r="E305" t="s">
        <v>6</v>
      </c>
      <c r="G305" t="s">
        <v>4438</v>
      </c>
      <c r="H305" t="s">
        <v>3712</v>
      </c>
      <c r="I305" t="s">
        <v>3713</v>
      </c>
      <c r="J305" s="8" t="str">
        <f>+LEFT(U305,4)</f>
        <v>BOX-</v>
      </c>
      <c r="K305" t="s">
        <v>10</v>
      </c>
      <c r="L305" s="46">
        <v>1010</v>
      </c>
      <c r="M305" t="s">
        <v>1472</v>
      </c>
      <c r="N305" t="s">
        <v>11</v>
      </c>
      <c r="O305" s="49">
        <v>3.59</v>
      </c>
      <c r="P305" s="9">
        <f>ROUND(O305*L305,2)</f>
        <v>3625.9</v>
      </c>
      <c r="Q305" s="10">
        <f>IF(N305="HKD",7.8,IF(N305="CNY",7.30034,1))</f>
        <v>7.3003400000000003</v>
      </c>
      <c r="R305" s="10">
        <f>+ROUND(O305/Q305,4)</f>
        <v>0.49180000000000001</v>
      </c>
      <c r="S305" s="11">
        <f>ROUND(R305*L305,2)</f>
        <v>496.72</v>
      </c>
      <c r="T305" s="10" t="s">
        <v>349</v>
      </c>
      <c r="U305" t="s">
        <v>1</v>
      </c>
    </row>
    <row r="306" spans="1:21">
      <c r="A306" t="s">
        <v>4125</v>
      </c>
      <c r="B306" s="20">
        <v>45762</v>
      </c>
      <c r="C306" s="20">
        <v>45729</v>
      </c>
      <c r="D306" t="s">
        <v>149</v>
      </c>
      <c r="E306" t="s">
        <v>150</v>
      </c>
      <c r="G306" t="s">
        <v>4435</v>
      </c>
      <c r="H306" t="s">
        <v>1730</v>
      </c>
      <c r="I306" t="s">
        <v>1731</v>
      </c>
      <c r="J306" s="8" t="str">
        <f>+LEFT(U306,4)</f>
        <v>GLID</v>
      </c>
      <c r="K306" t="s">
        <v>10</v>
      </c>
      <c r="L306" s="46">
        <v>1010</v>
      </c>
      <c r="M306" t="s">
        <v>1472</v>
      </c>
      <c r="N306" t="s">
        <v>11</v>
      </c>
      <c r="O306" s="49">
        <v>3.3490000000000002</v>
      </c>
      <c r="P306" s="9">
        <f>ROUND(O306*L306,2)</f>
        <v>3382.49</v>
      </c>
      <c r="Q306" s="10">
        <f>IF(N306="HKD",7.8,IF(N306="CNY",7.30034,1))</f>
        <v>7.3003400000000003</v>
      </c>
      <c r="R306" s="10">
        <f>+ROUND(O306/Q306,4)</f>
        <v>0.4587</v>
      </c>
      <c r="S306" s="11">
        <f>ROUND(R306*L306,2)</f>
        <v>463.29</v>
      </c>
      <c r="T306" s="10" t="s">
        <v>349</v>
      </c>
      <c r="U306" t="s">
        <v>78</v>
      </c>
    </row>
    <row r="307" spans="1:21">
      <c r="A307" t="s">
        <v>4172</v>
      </c>
      <c r="B307" s="20">
        <v>45762</v>
      </c>
      <c r="C307" s="20">
        <v>45729</v>
      </c>
      <c r="D307" t="s">
        <v>149</v>
      </c>
      <c r="E307" t="s">
        <v>150</v>
      </c>
      <c r="G307" t="s">
        <v>4435</v>
      </c>
      <c r="H307" t="s">
        <v>1758</v>
      </c>
      <c r="I307" t="s">
        <v>1759</v>
      </c>
      <c r="J307" s="8" t="str">
        <f>+LEFT(U307,4)</f>
        <v>GLID</v>
      </c>
      <c r="K307" t="s">
        <v>10</v>
      </c>
      <c r="L307" s="46">
        <v>898</v>
      </c>
      <c r="M307" t="s">
        <v>1472</v>
      </c>
      <c r="N307" t="s">
        <v>11</v>
      </c>
      <c r="O307" s="49">
        <v>4.1127000000000002</v>
      </c>
      <c r="P307" s="9">
        <f>ROUND(O307*L307,2)</f>
        <v>3693.2</v>
      </c>
      <c r="Q307" s="10">
        <f>IF(N307="HKD",7.8,IF(N307="CNY",7.30034,1))</f>
        <v>7.3003400000000003</v>
      </c>
      <c r="R307" s="10">
        <f>+ROUND(O307/Q307,4)</f>
        <v>0.56340000000000001</v>
      </c>
      <c r="S307" s="11">
        <f>ROUND(R307*L307,2)</f>
        <v>505.93</v>
      </c>
      <c r="T307" s="10" t="s">
        <v>349</v>
      </c>
      <c r="U307" t="s">
        <v>78</v>
      </c>
    </row>
    <row r="308" spans="1:21">
      <c r="A308" t="s">
        <v>4185</v>
      </c>
      <c r="B308" s="20">
        <v>45762</v>
      </c>
      <c r="C308" s="20">
        <v>45750</v>
      </c>
      <c r="D308" t="s">
        <v>149</v>
      </c>
      <c r="E308" t="s">
        <v>150</v>
      </c>
      <c r="G308" t="s">
        <v>4435</v>
      </c>
      <c r="H308" t="s">
        <v>1190</v>
      </c>
      <c r="I308" t="s">
        <v>1191</v>
      </c>
      <c r="J308" s="8" t="str">
        <f>+LEFT(U308,4)</f>
        <v>GLID</v>
      </c>
      <c r="K308" t="s">
        <v>10</v>
      </c>
      <c r="L308" s="46">
        <v>766</v>
      </c>
      <c r="M308" t="s">
        <v>1472</v>
      </c>
      <c r="N308" t="s">
        <v>11</v>
      </c>
      <c r="O308" s="49">
        <v>4.3726000000000003</v>
      </c>
      <c r="P308" s="9">
        <f>ROUND(O308*L308,2)</f>
        <v>3349.41</v>
      </c>
      <c r="Q308" s="10">
        <f>IF(N308="HKD",7.8,IF(N308="CNY",7.30034,1))</f>
        <v>7.3003400000000003</v>
      </c>
      <c r="R308" s="10">
        <f>+ROUND(O308/Q308,4)</f>
        <v>0.59899999999999998</v>
      </c>
      <c r="S308" s="11">
        <f>ROUND(R308*L308,2)</f>
        <v>458.83</v>
      </c>
      <c r="T308" s="10" t="s">
        <v>349</v>
      </c>
      <c r="U308" t="s">
        <v>78</v>
      </c>
    </row>
    <row r="309" spans="1:21">
      <c r="A309" t="s">
        <v>4202</v>
      </c>
      <c r="B309" s="20">
        <v>45762</v>
      </c>
      <c r="C309" s="20">
        <v>45737</v>
      </c>
      <c r="D309" t="s">
        <v>149</v>
      </c>
      <c r="E309" t="s">
        <v>150</v>
      </c>
      <c r="G309" t="s">
        <v>4435</v>
      </c>
      <c r="H309" t="s">
        <v>3760</v>
      </c>
      <c r="I309" t="s">
        <v>3761</v>
      </c>
      <c r="J309" s="8" t="str">
        <f>+LEFT(U309,4)</f>
        <v>GLID</v>
      </c>
      <c r="K309" t="s">
        <v>10</v>
      </c>
      <c r="L309" s="46">
        <v>520</v>
      </c>
      <c r="M309" t="s">
        <v>1472</v>
      </c>
      <c r="N309" t="s">
        <v>11</v>
      </c>
      <c r="O309" s="49">
        <v>5.0648999999999997</v>
      </c>
      <c r="P309" s="9">
        <f>ROUND(O309*L309,2)</f>
        <v>2633.75</v>
      </c>
      <c r="Q309" s="10">
        <f>IF(N309="HKD",7.8,IF(N309="CNY",7.30034,1))</f>
        <v>7.3003400000000003</v>
      </c>
      <c r="R309" s="10">
        <f>+ROUND(O309/Q309,4)</f>
        <v>0.69379999999999997</v>
      </c>
      <c r="S309" s="11">
        <f>ROUND(R309*L309,2)</f>
        <v>360.78</v>
      </c>
      <c r="T309" s="10" t="s">
        <v>349</v>
      </c>
      <c r="U309" t="s">
        <v>78</v>
      </c>
    </row>
    <row r="310" spans="1:21">
      <c r="A310" t="s">
        <v>4216</v>
      </c>
      <c r="B310" s="20">
        <v>45762</v>
      </c>
      <c r="C310" s="20">
        <v>45728</v>
      </c>
      <c r="D310" t="s">
        <v>149</v>
      </c>
      <c r="E310" t="s">
        <v>150</v>
      </c>
      <c r="G310" t="s">
        <v>4435</v>
      </c>
      <c r="H310" t="s">
        <v>3768</v>
      </c>
      <c r="I310" t="s">
        <v>3769</v>
      </c>
      <c r="J310" s="8" t="str">
        <f>+LEFT(U310,4)</f>
        <v>GLID</v>
      </c>
      <c r="K310" t="s">
        <v>10</v>
      </c>
      <c r="L310" s="46">
        <v>530</v>
      </c>
      <c r="M310" t="s">
        <v>1472</v>
      </c>
      <c r="N310" t="s">
        <v>11</v>
      </c>
      <c r="O310" s="49">
        <v>5.7447999999999997</v>
      </c>
      <c r="P310" s="9">
        <f>ROUND(O310*L310,2)</f>
        <v>3044.74</v>
      </c>
      <c r="Q310" s="10">
        <f>IF(N310="HKD",7.8,IF(N310="CNY",7.30034,1))</f>
        <v>7.3003400000000003</v>
      </c>
      <c r="R310" s="10">
        <f>+ROUND(O310/Q310,4)</f>
        <v>0.78690000000000004</v>
      </c>
      <c r="S310" s="11">
        <f>ROUND(R310*L310,2)</f>
        <v>417.06</v>
      </c>
      <c r="T310" s="10" t="s">
        <v>349</v>
      </c>
      <c r="U310" t="s">
        <v>78</v>
      </c>
    </row>
    <row r="311" spans="1:21">
      <c r="A311" t="s">
        <v>4242</v>
      </c>
      <c r="B311" s="20">
        <v>45762</v>
      </c>
      <c r="C311" s="20">
        <v>45712</v>
      </c>
      <c r="D311" t="s">
        <v>2257</v>
      </c>
      <c r="E311" t="s">
        <v>2258</v>
      </c>
      <c r="G311" t="s">
        <v>4525</v>
      </c>
      <c r="H311" t="s">
        <v>3148</v>
      </c>
      <c r="I311" t="s">
        <v>3358</v>
      </c>
      <c r="J311" s="8" t="str">
        <f>+LEFT(U311,4)</f>
        <v>HDL-</v>
      </c>
      <c r="K311" t="s">
        <v>10</v>
      </c>
      <c r="L311" s="46">
        <v>2500</v>
      </c>
      <c r="M311" t="s">
        <v>1472</v>
      </c>
      <c r="N311" t="s">
        <v>11</v>
      </c>
      <c r="O311" s="49">
        <v>7.4931000000000001</v>
      </c>
      <c r="P311" s="9">
        <f>ROUND(O311*L311,2)</f>
        <v>18732.75</v>
      </c>
      <c r="Q311" s="10">
        <f>IF(N311="HKD",7.8,IF(N311="CNY",7.30034,1))</f>
        <v>7.3003400000000003</v>
      </c>
      <c r="R311" s="10">
        <f>+ROUND(O311/Q311,4)</f>
        <v>1.0264</v>
      </c>
      <c r="S311" s="11">
        <f>ROUND(R311*L311,2)</f>
        <v>2566</v>
      </c>
      <c r="T311" s="10" t="s">
        <v>349</v>
      </c>
      <c r="U311" t="s">
        <v>228</v>
      </c>
    </row>
    <row r="312" spans="1:21">
      <c r="A312" t="s">
        <v>4245</v>
      </c>
      <c r="B312" s="20">
        <v>45762</v>
      </c>
      <c r="C312" s="20">
        <v>45713</v>
      </c>
      <c r="D312" t="s">
        <v>2257</v>
      </c>
      <c r="E312" t="s">
        <v>2258</v>
      </c>
      <c r="G312" t="s">
        <v>4525</v>
      </c>
      <c r="H312" t="s">
        <v>1798</v>
      </c>
      <c r="I312" t="s">
        <v>1799</v>
      </c>
      <c r="J312" s="8" t="str">
        <f>+LEFT(U312,4)</f>
        <v>HDL-</v>
      </c>
      <c r="K312" t="s">
        <v>10</v>
      </c>
      <c r="L312" s="46">
        <v>3000</v>
      </c>
      <c r="M312" t="s">
        <v>1472</v>
      </c>
      <c r="N312" t="s">
        <v>11</v>
      </c>
      <c r="O312" s="49">
        <v>7.4931000000000001</v>
      </c>
      <c r="P312" s="9">
        <f>ROUND(O312*L312,2)</f>
        <v>22479.3</v>
      </c>
      <c r="Q312" s="10">
        <f>IF(N312="HKD",7.8,IF(N312="CNY",7.30034,1))</f>
        <v>7.3003400000000003</v>
      </c>
      <c r="R312" s="10">
        <f>+ROUND(O312/Q312,4)</f>
        <v>1.0264</v>
      </c>
      <c r="S312" s="11">
        <f>ROUND(R312*L312,2)</f>
        <v>3079.2</v>
      </c>
      <c r="T312" s="10" t="s">
        <v>349</v>
      </c>
      <c r="U312" t="s">
        <v>228</v>
      </c>
    </row>
    <row r="313" spans="1:21">
      <c r="A313" t="s">
        <v>4248</v>
      </c>
      <c r="B313" s="20">
        <v>45762</v>
      </c>
      <c r="C313" s="20">
        <v>45713</v>
      </c>
      <c r="D313" t="s">
        <v>2257</v>
      </c>
      <c r="E313" t="s">
        <v>2258</v>
      </c>
      <c r="G313" t="s">
        <v>4525</v>
      </c>
      <c r="H313" t="s">
        <v>1800</v>
      </c>
      <c r="I313" t="s">
        <v>1801</v>
      </c>
      <c r="J313" s="8" t="str">
        <f>+LEFT(U313,4)</f>
        <v>HDL-</v>
      </c>
      <c r="K313" t="s">
        <v>10</v>
      </c>
      <c r="L313" s="46">
        <v>4530</v>
      </c>
      <c r="M313" t="s">
        <v>1472</v>
      </c>
      <c r="N313" t="s">
        <v>11</v>
      </c>
      <c r="O313" s="49">
        <v>7.4931000000000001</v>
      </c>
      <c r="P313" s="9">
        <f>ROUND(O313*L313,2)</f>
        <v>33943.74</v>
      </c>
      <c r="Q313" s="10">
        <f>IF(N313="HKD",7.8,IF(N313="CNY",7.30034,1))</f>
        <v>7.3003400000000003</v>
      </c>
      <c r="R313" s="10">
        <f>+ROUND(O313/Q313,4)</f>
        <v>1.0264</v>
      </c>
      <c r="S313" s="11">
        <f>ROUND(R313*L313,2)</f>
        <v>4649.59</v>
      </c>
      <c r="T313" s="10" t="s">
        <v>349</v>
      </c>
      <c r="U313" t="s">
        <v>228</v>
      </c>
    </row>
    <row r="314" spans="1:21">
      <c r="A314" t="s">
        <v>4271</v>
      </c>
      <c r="B314" s="20">
        <v>45762</v>
      </c>
      <c r="C314" s="20">
        <v>45713</v>
      </c>
      <c r="D314" t="s">
        <v>2257</v>
      </c>
      <c r="E314" t="s">
        <v>2258</v>
      </c>
      <c r="G314" t="s">
        <v>4525</v>
      </c>
      <c r="H314" t="s">
        <v>3149</v>
      </c>
      <c r="I314" t="s">
        <v>3359</v>
      </c>
      <c r="J314" s="8" t="str">
        <f>+LEFT(U314,4)</f>
        <v>HDL-</v>
      </c>
      <c r="K314" t="s">
        <v>10</v>
      </c>
      <c r="L314" s="46">
        <v>3700</v>
      </c>
      <c r="M314" t="s">
        <v>1472</v>
      </c>
      <c r="N314" t="s">
        <v>11</v>
      </c>
      <c r="O314" s="49">
        <v>8.7460000000000004</v>
      </c>
      <c r="P314" s="9">
        <f>ROUND(O314*L314,2)</f>
        <v>32360.2</v>
      </c>
      <c r="Q314" s="10">
        <f>IF(N314="HKD",7.8,IF(N314="CNY",7.30034,1))</f>
        <v>7.3003400000000003</v>
      </c>
      <c r="R314" s="10">
        <f>+ROUND(O314/Q314,4)</f>
        <v>1.198</v>
      </c>
      <c r="S314" s="11">
        <f>ROUND(R314*L314,2)</f>
        <v>4432.6000000000004</v>
      </c>
      <c r="T314" s="10" t="s">
        <v>349</v>
      </c>
      <c r="U314" t="s">
        <v>228</v>
      </c>
    </row>
    <row r="315" spans="1:21">
      <c r="A315" t="s">
        <v>4030</v>
      </c>
      <c r="B315" s="20">
        <v>45762</v>
      </c>
      <c r="C315" s="20">
        <v>45737</v>
      </c>
      <c r="D315" t="s">
        <v>128</v>
      </c>
      <c r="E315" t="s">
        <v>129</v>
      </c>
      <c r="G315" t="s">
        <v>4357</v>
      </c>
      <c r="H315" t="s">
        <v>3625</v>
      </c>
      <c r="I315" t="s">
        <v>3626</v>
      </c>
      <c r="J315" s="8" t="str">
        <f>+LEFT(U315,4)</f>
        <v>LHDL</v>
      </c>
      <c r="K315" t="s">
        <v>10</v>
      </c>
      <c r="L315" s="46">
        <v>520</v>
      </c>
      <c r="M315" t="s">
        <v>1472</v>
      </c>
      <c r="N315" t="s">
        <v>11</v>
      </c>
      <c r="O315" s="49">
        <v>2.2652999999999999</v>
      </c>
      <c r="P315" s="9">
        <f>ROUND(O315*L315,2)</f>
        <v>1177.96</v>
      </c>
      <c r="Q315" s="10">
        <f>IF(N315="HKD",7.8,IF(N315="CNY",7.30034,1))</f>
        <v>7.3003400000000003</v>
      </c>
      <c r="R315" s="10">
        <f>+ROUND(O315/Q315,4)</f>
        <v>0.31030000000000002</v>
      </c>
      <c r="S315" s="11">
        <f>ROUND(R315*L315,2)</f>
        <v>161.36000000000001</v>
      </c>
      <c r="T315" s="10" t="s">
        <v>349</v>
      </c>
      <c r="U315" t="s">
        <v>125</v>
      </c>
    </row>
    <row r="316" spans="1:21">
      <c r="A316" t="s">
        <v>4131</v>
      </c>
      <c r="B316" s="20">
        <v>45762</v>
      </c>
      <c r="C316" s="20">
        <v>45700</v>
      </c>
      <c r="D316" t="s">
        <v>94</v>
      </c>
      <c r="E316" t="s">
        <v>95</v>
      </c>
      <c r="G316" t="s">
        <v>4441</v>
      </c>
      <c r="H316" t="s">
        <v>1001</v>
      </c>
      <c r="I316" t="s">
        <v>1002</v>
      </c>
      <c r="J316" s="8" t="str">
        <f>+LEFT(U316,4)</f>
        <v>LID-</v>
      </c>
      <c r="K316" t="s">
        <v>369</v>
      </c>
      <c r="L316" s="46">
        <v>2730</v>
      </c>
      <c r="M316" t="s">
        <v>1472</v>
      </c>
      <c r="N316" t="s">
        <v>11</v>
      </c>
      <c r="O316" s="49">
        <v>3.42</v>
      </c>
      <c r="P316" s="9">
        <f>ROUND(O316*L316,2)</f>
        <v>9336.6</v>
      </c>
      <c r="Q316" s="10">
        <f>IF(N316="HKD",7.8,IF(N316="CNY",7.30034,1))</f>
        <v>7.3003400000000003</v>
      </c>
      <c r="R316" s="10">
        <f>+ROUND(O316/Q316,4)</f>
        <v>0.46850000000000003</v>
      </c>
      <c r="S316" s="11">
        <f>ROUND(R316*L316,2)</f>
        <v>1279.01</v>
      </c>
      <c r="T316" s="10" t="s">
        <v>349</v>
      </c>
      <c r="U316" t="s">
        <v>368</v>
      </c>
    </row>
    <row r="317" spans="1:21">
      <c r="A317" t="s">
        <v>4137</v>
      </c>
      <c r="B317" s="20">
        <v>45762</v>
      </c>
      <c r="C317" s="20">
        <v>45700</v>
      </c>
      <c r="D317" t="s">
        <v>94</v>
      </c>
      <c r="E317" t="s">
        <v>95</v>
      </c>
      <c r="G317" t="s">
        <v>4446</v>
      </c>
      <c r="H317" t="s">
        <v>1734</v>
      </c>
      <c r="I317" t="s">
        <v>1735</v>
      </c>
      <c r="J317" s="8" t="str">
        <f>+LEFT(U317,4)</f>
        <v>LID-</v>
      </c>
      <c r="K317" t="s">
        <v>369</v>
      </c>
      <c r="L317" s="46">
        <v>417</v>
      </c>
      <c r="M317" t="s">
        <v>1472</v>
      </c>
      <c r="N317" t="s">
        <v>11</v>
      </c>
      <c r="O317" s="49">
        <v>3.53</v>
      </c>
      <c r="P317" s="9">
        <f>ROUND(O317*L317,2)</f>
        <v>1472.01</v>
      </c>
      <c r="Q317" s="10">
        <f>IF(N317="HKD",7.8,IF(N317="CNY",7.30034,1))</f>
        <v>7.3003400000000003</v>
      </c>
      <c r="R317" s="10">
        <f>+ROUND(O317/Q317,4)</f>
        <v>0.48349999999999999</v>
      </c>
      <c r="S317" s="11">
        <f>ROUND(R317*L317,2)</f>
        <v>201.62</v>
      </c>
      <c r="T317" s="10" t="s">
        <v>349</v>
      </c>
      <c r="U317" t="s">
        <v>368</v>
      </c>
    </row>
    <row r="318" spans="1:21">
      <c r="A318" t="s">
        <v>4158</v>
      </c>
      <c r="B318" s="20">
        <v>45762</v>
      </c>
      <c r="C318" s="20">
        <v>45700</v>
      </c>
      <c r="D318" t="s">
        <v>94</v>
      </c>
      <c r="E318" t="s">
        <v>95</v>
      </c>
      <c r="G318" t="s">
        <v>4446</v>
      </c>
      <c r="H318" t="s">
        <v>1742</v>
      </c>
      <c r="I318" t="s">
        <v>1743</v>
      </c>
      <c r="J318" s="8" t="str">
        <f>+LEFT(U318,4)</f>
        <v>LID-</v>
      </c>
      <c r="K318" t="s">
        <v>369</v>
      </c>
      <c r="L318" s="46">
        <v>1000</v>
      </c>
      <c r="M318" t="s">
        <v>1472</v>
      </c>
      <c r="N318" t="s">
        <v>11</v>
      </c>
      <c r="O318" s="49">
        <v>3.75</v>
      </c>
      <c r="P318" s="9">
        <f>ROUND(O318*L318,2)</f>
        <v>3750</v>
      </c>
      <c r="Q318" s="10">
        <f>IF(N318="HKD",7.8,IF(N318="CNY",7.30034,1))</f>
        <v>7.3003400000000003</v>
      </c>
      <c r="R318" s="10">
        <f>+ROUND(O318/Q318,4)</f>
        <v>0.51370000000000005</v>
      </c>
      <c r="S318" s="11">
        <f>ROUND(R318*L318,2)</f>
        <v>513.70000000000005</v>
      </c>
      <c r="T318" s="10" t="s">
        <v>349</v>
      </c>
      <c r="U318" t="s">
        <v>368</v>
      </c>
    </row>
    <row r="319" spans="1:21">
      <c r="A319" t="s">
        <v>4163</v>
      </c>
      <c r="B319" s="20">
        <v>45762</v>
      </c>
      <c r="C319" s="20">
        <v>45700</v>
      </c>
      <c r="D319" t="s">
        <v>94</v>
      </c>
      <c r="E319" t="s">
        <v>95</v>
      </c>
      <c r="G319" t="s">
        <v>4446</v>
      </c>
      <c r="H319" t="s">
        <v>1750</v>
      </c>
      <c r="I319" t="s">
        <v>1751</v>
      </c>
      <c r="J319" s="8" t="str">
        <f>+LEFT(U319,4)</f>
        <v>LID-</v>
      </c>
      <c r="K319" t="s">
        <v>369</v>
      </c>
      <c r="L319" s="46">
        <v>691</v>
      </c>
      <c r="M319" t="s">
        <v>1472</v>
      </c>
      <c r="N319" t="s">
        <v>11</v>
      </c>
      <c r="O319" s="49">
        <v>3.92</v>
      </c>
      <c r="P319" s="9">
        <f>ROUND(O319*L319,2)</f>
        <v>2708.72</v>
      </c>
      <c r="Q319" s="10">
        <f>IF(N319="HKD",7.8,IF(N319="CNY",7.30034,1))</f>
        <v>7.3003400000000003</v>
      </c>
      <c r="R319" s="10">
        <f>+ROUND(O319/Q319,4)</f>
        <v>0.53700000000000003</v>
      </c>
      <c r="S319" s="11">
        <f>ROUND(R319*L319,2)</f>
        <v>371.07</v>
      </c>
      <c r="T319" s="10" t="s">
        <v>349</v>
      </c>
      <c r="U319" t="s">
        <v>368</v>
      </c>
    </row>
    <row r="320" spans="1:21">
      <c r="A320" t="s">
        <v>2540</v>
      </c>
      <c r="B320" s="20">
        <v>45762</v>
      </c>
      <c r="C320" s="20">
        <v>45714</v>
      </c>
      <c r="D320" t="s">
        <v>830</v>
      </c>
      <c r="E320" t="s">
        <v>831</v>
      </c>
      <c r="G320" t="s">
        <v>4464</v>
      </c>
      <c r="H320" t="s">
        <v>3166</v>
      </c>
      <c r="I320" t="s">
        <v>3376</v>
      </c>
      <c r="J320" s="8" t="str">
        <f>+LEFT(U320,4)</f>
        <v>LID-</v>
      </c>
      <c r="K320" t="s">
        <v>98</v>
      </c>
      <c r="L320" s="46">
        <v>820</v>
      </c>
      <c r="M320" t="s">
        <v>1472</v>
      </c>
      <c r="N320" t="s">
        <v>11</v>
      </c>
      <c r="O320" s="49">
        <v>4.2</v>
      </c>
      <c r="P320" s="9">
        <f>ROUND(O320*L320,2)</f>
        <v>3444</v>
      </c>
      <c r="Q320" s="10">
        <f>IF(N320="HKD",7.8,IF(N320="CNY",7.30034,1))</f>
        <v>7.3003400000000003</v>
      </c>
      <c r="R320" s="10">
        <f>+ROUND(O320/Q320,4)</f>
        <v>0.57530000000000003</v>
      </c>
      <c r="S320" s="11">
        <f>ROUND(R320*L320,2)</f>
        <v>471.75</v>
      </c>
      <c r="T320" s="10" t="s">
        <v>349</v>
      </c>
      <c r="U320" t="s">
        <v>368</v>
      </c>
    </row>
    <row r="321" spans="1:21">
      <c r="A321" t="s">
        <v>4191</v>
      </c>
      <c r="B321" s="20">
        <v>45762</v>
      </c>
      <c r="C321" s="20">
        <v>45714</v>
      </c>
      <c r="D321" t="s">
        <v>830</v>
      </c>
      <c r="E321" t="s">
        <v>831</v>
      </c>
      <c r="G321" t="s">
        <v>4464</v>
      </c>
      <c r="H321" t="s">
        <v>3750</v>
      </c>
      <c r="I321" t="s">
        <v>3751</v>
      </c>
      <c r="J321" s="8" t="str">
        <f>+LEFT(U321,4)</f>
        <v>LID-</v>
      </c>
      <c r="K321" t="s">
        <v>98</v>
      </c>
      <c r="L321" s="46">
        <v>560</v>
      </c>
      <c r="M321" t="s">
        <v>1472</v>
      </c>
      <c r="N321" t="s">
        <v>11</v>
      </c>
      <c r="O321" s="49">
        <v>4.5999999999999996</v>
      </c>
      <c r="P321" s="9">
        <f>ROUND(O321*L321,2)</f>
        <v>2576</v>
      </c>
      <c r="Q321" s="10">
        <f>IF(N321="HKD",7.8,IF(N321="CNY",7.30034,1))</f>
        <v>7.3003400000000003</v>
      </c>
      <c r="R321" s="10">
        <f>+ROUND(O321/Q321,4)</f>
        <v>0.63009999999999999</v>
      </c>
      <c r="S321" s="11">
        <f>ROUND(R321*L321,2)</f>
        <v>352.86</v>
      </c>
      <c r="T321" s="10" t="s">
        <v>349</v>
      </c>
      <c r="U321" t="s">
        <v>368</v>
      </c>
    </row>
    <row r="322" spans="1:21">
      <c r="A322" t="s">
        <v>4275</v>
      </c>
      <c r="B322" s="20">
        <v>45762</v>
      </c>
      <c r="C322" s="20">
        <v>45664</v>
      </c>
      <c r="D322" t="s">
        <v>94</v>
      </c>
      <c r="E322" t="s">
        <v>95</v>
      </c>
      <c r="G322" t="s">
        <v>4441</v>
      </c>
      <c r="H322" t="s">
        <v>3784</v>
      </c>
      <c r="I322" t="s">
        <v>3785</v>
      </c>
      <c r="J322" s="8" t="str">
        <f>+LEFT(U322,4)</f>
        <v>LID-</v>
      </c>
      <c r="K322" t="s">
        <v>98</v>
      </c>
      <c r="L322" s="46">
        <v>550</v>
      </c>
      <c r="M322" t="s">
        <v>1472</v>
      </c>
      <c r="N322" t="s">
        <v>11</v>
      </c>
      <c r="O322" s="49">
        <v>8.9</v>
      </c>
      <c r="P322" s="9">
        <f>ROUND(O322*L322,2)</f>
        <v>4895</v>
      </c>
      <c r="Q322" s="10">
        <f>IF(N322="HKD",7.8,IF(N322="CNY",7.30034,1))</f>
        <v>7.3003400000000003</v>
      </c>
      <c r="R322" s="10">
        <f>+ROUND(O322/Q322,4)</f>
        <v>1.2191000000000001</v>
      </c>
      <c r="S322" s="11">
        <f>ROUND(R322*L322,2)</f>
        <v>670.51</v>
      </c>
      <c r="T322" s="10" t="s">
        <v>349</v>
      </c>
      <c r="U322" t="s">
        <v>368</v>
      </c>
    </row>
    <row r="323" spans="1:21">
      <c r="A323" t="s">
        <v>3931</v>
      </c>
      <c r="B323" s="20">
        <v>45762</v>
      </c>
      <c r="C323" s="20">
        <v>45744</v>
      </c>
      <c r="D323" t="s">
        <v>169</v>
      </c>
      <c r="E323" t="s">
        <v>170</v>
      </c>
      <c r="G323" t="s">
        <v>4378</v>
      </c>
      <c r="H323" t="s">
        <v>1098</v>
      </c>
      <c r="I323" t="s">
        <v>1099</v>
      </c>
      <c r="J323" s="8" t="str">
        <f>+LEFT(U323,4)</f>
        <v>PAP-</v>
      </c>
      <c r="K323" t="s">
        <v>10</v>
      </c>
      <c r="L323" s="46">
        <v>18000</v>
      </c>
      <c r="M323" t="s">
        <v>1472</v>
      </c>
      <c r="N323" t="s">
        <v>11</v>
      </c>
      <c r="O323" s="49">
        <v>0.23</v>
      </c>
      <c r="P323" s="9">
        <f>ROUND(O323*L323,2)</f>
        <v>4140</v>
      </c>
      <c r="Q323" s="10">
        <f>IF(N323="HKD",7.8,IF(N323="CNY",7.30034,1))</f>
        <v>7.3003400000000003</v>
      </c>
      <c r="R323" s="10">
        <f>+ROUND(O323/Q323,4)</f>
        <v>3.15E-2</v>
      </c>
      <c r="S323" s="11">
        <f>ROUND(R323*L323,2)</f>
        <v>567</v>
      </c>
      <c r="T323" s="10" t="s">
        <v>349</v>
      </c>
      <c r="U323" t="s">
        <v>1094</v>
      </c>
    </row>
    <row r="324" spans="1:21">
      <c r="A324" t="s">
        <v>3935</v>
      </c>
      <c r="B324" s="20">
        <v>45762</v>
      </c>
      <c r="C324" s="20">
        <v>45744</v>
      </c>
      <c r="D324" t="s">
        <v>169</v>
      </c>
      <c r="E324" t="s">
        <v>170</v>
      </c>
      <c r="G324" t="s">
        <v>4379</v>
      </c>
      <c r="H324" t="s">
        <v>3558</v>
      </c>
      <c r="I324" t="s">
        <v>3559</v>
      </c>
      <c r="J324" s="8" t="str">
        <f>+LEFT(U324,4)</f>
        <v>PAP-</v>
      </c>
      <c r="K324" t="s">
        <v>10</v>
      </c>
      <c r="L324" s="46">
        <v>4000</v>
      </c>
      <c r="M324" t="s">
        <v>1472</v>
      </c>
      <c r="N324" t="s">
        <v>11</v>
      </c>
      <c r="O324" s="49">
        <v>0.24</v>
      </c>
      <c r="P324" s="9">
        <f>ROUND(O324*L324,2)</f>
        <v>960</v>
      </c>
      <c r="Q324" s="10">
        <f>IF(N324="HKD",7.8,IF(N324="CNY",7.30034,1))</f>
        <v>7.3003400000000003</v>
      </c>
      <c r="R324" s="10">
        <f>+ROUND(O324/Q324,4)</f>
        <v>3.2899999999999999E-2</v>
      </c>
      <c r="S324" s="11">
        <f>ROUND(R324*L324,2)</f>
        <v>131.6</v>
      </c>
      <c r="T324" s="10" t="s">
        <v>349</v>
      </c>
      <c r="U324" t="s">
        <v>1094</v>
      </c>
    </row>
    <row r="325" spans="1:21">
      <c r="A325" t="s">
        <v>3935</v>
      </c>
      <c r="B325" s="20">
        <v>45762</v>
      </c>
      <c r="C325" s="20">
        <v>45744</v>
      </c>
      <c r="D325" t="s">
        <v>169</v>
      </c>
      <c r="E325" t="s">
        <v>170</v>
      </c>
      <c r="G325" t="s">
        <v>4379</v>
      </c>
      <c r="H325" t="s">
        <v>3558</v>
      </c>
      <c r="I325" t="s">
        <v>3559</v>
      </c>
      <c r="J325" s="8" t="str">
        <f>+LEFT(U325,4)</f>
        <v>PAP-</v>
      </c>
      <c r="K325" t="s">
        <v>10</v>
      </c>
      <c r="L325" s="46">
        <v>2000</v>
      </c>
      <c r="M325" t="s">
        <v>1472</v>
      </c>
      <c r="N325" t="s">
        <v>11</v>
      </c>
      <c r="O325" s="49">
        <v>0.24</v>
      </c>
      <c r="P325" s="9">
        <f>ROUND(O325*L325,2)</f>
        <v>480</v>
      </c>
      <c r="Q325" s="10">
        <f>IF(N325="HKD",7.8,IF(N325="CNY",7.30034,1))</f>
        <v>7.3003400000000003</v>
      </c>
      <c r="R325" s="10">
        <f>+ROUND(O325/Q325,4)</f>
        <v>3.2899999999999999E-2</v>
      </c>
      <c r="S325" s="11">
        <f>ROUND(R325*L325,2)</f>
        <v>65.8</v>
      </c>
      <c r="T325" s="10" t="s">
        <v>349</v>
      </c>
      <c r="U325" t="s">
        <v>1094</v>
      </c>
    </row>
    <row r="326" spans="1:21">
      <c r="A326" t="s">
        <v>3946</v>
      </c>
      <c r="B326" s="20">
        <v>45762</v>
      </c>
      <c r="C326" s="20">
        <v>45744</v>
      </c>
      <c r="D326" t="s">
        <v>169</v>
      </c>
      <c r="E326" t="s">
        <v>170</v>
      </c>
      <c r="G326" t="s">
        <v>4378</v>
      </c>
      <c r="H326" t="s">
        <v>1095</v>
      </c>
      <c r="I326" t="s">
        <v>1096</v>
      </c>
      <c r="J326" s="8" t="str">
        <f>+LEFT(U326,4)</f>
        <v>PAP-</v>
      </c>
      <c r="K326" t="s">
        <v>10</v>
      </c>
      <c r="L326" s="46">
        <v>27000</v>
      </c>
      <c r="M326" t="s">
        <v>1472</v>
      </c>
      <c r="N326" t="s">
        <v>11</v>
      </c>
      <c r="O326" s="49">
        <v>0.28999999999999998</v>
      </c>
      <c r="P326" s="9">
        <f>ROUND(O326*L326,2)</f>
        <v>7830</v>
      </c>
      <c r="Q326" s="10">
        <f>IF(N326="HKD",7.8,IF(N326="CNY",7.30034,1))</f>
        <v>7.3003400000000003</v>
      </c>
      <c r="R326" s="10">
        <f>+ROUND(O326/Q326,4)</f>
        <v>3.9699999999999999E-2</v>
      </c>
      <c r="S326" s="11">
        <f>ROUND(R326*L326,2)</f>
        <v>1071.9000000000001</v>
      </c>
      <c r="T326" s="10" t="s">
        <v>349</v>
      </c>
      <c r="U326" t="s">
        <v>1094</v>
      </c>
    </row>
    <row r="327" spans="1:21">
      <c r="A327" t="s">
        <v>3869</v>
      </c>
      <c r="B327" s="20">
        <v>45762</v>
      </c>
      <c r="C327" s="20">
        <v>45737</v>
      </c>
      <c r="D327" t="s">
        <v>128</v>
      </c>
      <c r="E327" t="s">
        <v>129</v>
      </c>
      <c r="G327" t="s">
        <v>4357</v>
      </c>
      <c r="H327" t="s">
        <v>954</v>
      </c>
      <c r="I327" t="s">
        <v>955</v>
      </c>
      <c r="J327" s="8" t="str">
        <f>+LEFT(U327,4)</f>
        <v>RIV-</v>
      </c>
      <c r="K327" t="s">
        <v>10</v>
      </c>
      <c r="L327" s="46">
        <v>1000</v>
      </c>
      <c r="M327" t="s">
        <v>1472</v>
      </c>
      <c r="N327" t="s">
        <v>11</v>
      </c>
      <c r="O327" s="49">
        <v>7.0099999999999996E-2</v>
      </c>
      <c r="P327" s="9">
        <f>ROUND(O327*L327,2)</f>
        <v>70.099999999999994</v>
      </c>
      <c r="Q327" s="10">
        <f>IF(N327="HKD",7.8,IF(N327="CNY",7.30034,1))</f>
        <v>7.3003400000000003</v>
      </c>
      <c r="R327" s="10">
        <f>+ROUND(O327/Q327,4)</f>
        <v>9.5999999999999992E-3</v>
      </c>
      <c r="S327" s="11">
        <f>ROUND(R327*L327,2)</f>
        <v>9.6</v>
      </c>
      <c r="T327" s="10" t="s">
        <v>349</v>
      </c>
      <c r="U327" t="s">
        <v>132</v>
      </c>
    </row>
    <row r="328" spans="1:21">
      <c r="A328" t="s">
        <v>3870</v>
      </c>
      <c r="B328" s="20">
        <v>45762</v>
      </c>
      <c r="C328" s="20">
        <v>45744</v>
      </c>
      <c r="D328" t="s">
        <v>128</v>
      </c>
      <c r="E328" t="s">
        <v>129</v>
      </c>
      <c r="G328" t="s">
        <v>4357</v>
      </c>
      <c r="H328" t="s">
        <v>954</v>
      </c>
      <c r="I328" t="s">
        <v>955</v>
      </c>
      <c r="J328" s="8" t="str">
        <f>+LEFT(U328,4)</f>
        <v>RIV-</v>
      </c>
      <c r="K328" t="s">
        <v>10</v>
      </c>
      <c r="L328" s="46">
        <v>6000</v>
      </c>
      <c r="M328" t="s">
        <v>1472</v>
      </c>
      <c r="N328" t="s">
        <v>11</v>
      </c>
      <c r="O328" s="49">
        <v>7.0099999999999996E-2</v>
      </c>
      <c r="P328" s="9">
        <f>ROUND(O328*L328,2)</f>
        <v>420.6</v>
      </c>
      <c r="Q328" s="10">
        <f>IF(N328="HKD",7.8,IF(N328="CNY",7.30034,1))</f>
        <v>7.3003400000000003</v>
      </c>
      <c r="R328" s="10">
        <f>+ROUND(O328/Q328,4)</f>
        <v>9.5999999999999992E-3</v>
      </c>
      <c r="S328" s="11">
        <f>ROUND(R328*L328,2)</f>
        <v>57.6</v>
      </c>
      <c r="T328" s="10" t="s">
        <v>349</v>
      </c>
      <c r="U328" t="s">
        <v>132</v>
      </c>
    </row>
    <row r="329" spans="1:21">
      <c r="A329" t="s">
        <v>3881</v>
      </c>
      <c r="B329" s="20">
        <v>45762</v>
      </c>
      <c r="C329" s="20">
        <v>45737</v>
      </c>
      <c r="D329" t="s">
        <v>128</v>
      </c>
      <c r="E329" t="s">
        <v>129</v>
      </c>
      <c r="G329" t="s">
        <v>4357</v>
      </c>
      <c r="H329" t="s">
        <v>1587</v>
      </c>
      <c r="I329" t="s">
        <v>1588</v>
      </c>
      <c r="J329" s="8" t="str">
        <f>+LEFT(U329,4)</f>
        <v>RIV-</v>
      </c>
      <c r="K329" t="s">
        <v>10</v>
      </c>
      <c r="L329" s="46">
        <v>2000</v>
      </c>
      <c r="M329" t="s">
        <v>1472</v>
      </c>
      <c r="N329" t="s">
        <v>11</v>
      </c>
      <c r="O329" s="49">
        <v>9.6100000000000005E-2</v>
      </c>
      <c r="P329" s="9">
        <f>ROUND(O329*L329,2)</f>
        <v>192.2</v>
      </c>
      <c r="Q329" s="10">
        <f>IF(N329="HKD",7.8,IF(N329="CNY",7.30034,1))</f>
        <v>7.3003400000000003</v>
      </c>
      <c r="R329" s="10">
        <f>+ROUND(O329/Q329,4)</f>
        <v>1.32E-2</v>
      </c>
      <c r="S329" s="11">
        <f>ROUND(R329*L329,2)</f>
        <v>26.4</v>
      </c>
      <c r="T329" s="10" t="s">
        <v>349</v>
      </c>
      <c r="U329" t="s">
        <v>132</v>
      </c>
    </row>
    <row r="330" spans="1:21">
      <c r="A330" t="s">
        <v>4282</v>
      </c>
      <c r="B330" s="20">
        <v>45762</v>
      </c>
      <c r="C330" s="20">
        <v>45761</v>
      </c>
      <c r="D330" t="s">
        <v>2259</v>
      </c>
      <c r="E330" t="s">
        <v>2260</v>
      </c>
      <c r="G330" t="s">
        <v>4539</v>
      </c>
      <c r="H330" t="s">
        <v>1808</v>
      </c>
      <c r="I330" t="s">
        <v>1809</v>
      </c>
      <c r="J330" s="8" t="str">
        <f>+LEFT(U330,4)</f>
        <v>SSM-</v>
      </c>
      <c r="K330" t="s">
        <v>10</v>
      </c>
      <c r="L330" s="46">
        <v>32993</v>
      </c>
      <c r="M330" t="s">
        <v>186</v>
      </c>
      <c r="N330" t="s">
        <v>11</v>
      </c>
      <c r="O330" s="49">
        <v>11.7699</v>
      </c>
      <c r="P330" s="9">
        <f>ROUND(O330*L330,2)</f>
        <v>388324.31</v>
      </c>
      <c r="Q330" s="10">
        <f>IF(N330="HKD",7.8,IF(N330="CNY",7.30034,1))</f>
        <v>7.3003400000000003</v>
      </c>
      <c r="R330" s="10">
        <f>+ROUND(O330/Q330,4)</f>
        <v>1.6122000000000001</v>
      </c>
      <c r="S330" s="11">
        <f>ROUND(R330*L330,2)</f>
        <v>53191.31</v>
      </c>
      <c r="T330" s="10" t="s">
        <v>349</v>
      </c>
      <c r="U330" t="s">
        <v>33</v>
      </c>
    </row>
    <row r="331" spans="1:21">
      <c r="A331" t="s">
        <v>4284</v>
      </c>
      <c r="B331" s="20">
        <v>45762</v>
      </c>
      <c r="C331" s="20">
        <v>45761</v>
      </c>
      <c r="D331" t="s">
        <v>4330</v>
      </c>
      <c r="E331" t="s">
        <v>4331</v>
      </c>
      <c r="G331" t="s">
        <v>4540</v>
      </c>
      <c r="H331" t="s">
        <v>1814</v>
      </c>
      <c r="I331" t="s">
        <v>1815</v>
      </c>
      <c r="J331" s="8" t="str">
        <f>+LEFT(U331,4)</f>
        <v>SSM-</v>
      </c>
      <c r="K331" t="s">
        <v>10</v>
      </c>
      <c r="L331" s="46">
        <v>21937</v>
      </c>
      <c r="M331" t="s">
        <v>186</v>
      </c>
      <c r="N331" t="s">
        <v>11</v>
      </c>
      <c r="O331" s="49">
        <v>12.1991</v>
      </c>
      <c r="P331" s="9">
        <f>ROUND(O331*L331,2)</f>
        <v>267611.65999999997</v>
      </c>
      <c r="Q331" s="10">
        <f>IF(N331="HKD",7.8,IF(N331="CNY",7.30034,1))</f>
        <v>7.3003400000000003</v>
      </c>
      <c r="R331" s="10">
        <f>+ROUND(O331/Q331,4)</f>
        <v>1.671</v>
      </c>
      <c r="S331" s="11">
        <f>ROUND(R331*L331,2)</f>
        <v>36656.730000000003</v>
      </c>
      <c r="T331" s="10" t="s">
        <v>349</v>
      </c>
      <c r="U331" t="s">
        <v>33</v>
      </c>
    </row>
    <row r="332" spans="1:21">
      <c r="A332" t="s">
        <v>3831</v>
      </c>
      <c r="B332" s="20">
        <v>45762</v>
      </c>
      <c r="C332" s="20">
        <v>45713</v>
      </c>
      <c r="D332" t="s">
        <v>169</v>
      </c>
      <c r="E332" t="s">
        <v>170</v>
      </c>
      <c r="G332" t="s">
        <v>4341</v>
      </c>
      <c r="H332" t="s">
        <v>3494</v>
      </c>
      <c r="I332" t="s">
        <v>3495</v>
      </c>
      <c r="J332" s="8" t="str">
        <f>+LEFT(U332,4)</f>
        <v>STKR</v>
      </c>
      <c r="K332" t="s">
        <v>10</v>
      </c>
      <c r="L332" s="46">
        <v>3600</v>
      </c>
      <c r="M332" t="s">
        <v>1472</v>
      </c>
      <c r="N332" t="s">
        <v>11</v>
      </c>
      <c r="O332" s="49">
        <v>0.03</v>
      </c>
      <c r="P332" s="9">
        <f>ROUND(O332*L332,2)</f>
        <v>108</v>
      </c>
      <c r="Q332" s="10">
        <f>IF(N332="HKD",7.8,IF(N332="CNY",7.30034,1))</f>
        <v>7.3003400000000003</v>
      </c>
      <c r="R332" s="10">
        <f>+ROUND(O332/Q332,4)</f>
        <v>4.1000000000000003E-3</v>
      </c>
      <c r="S332" s="11">
        <f>ROUND(R332*L332,2)</f>
        <v>14.76</v>
      </c>
      <c r="T332" s="10" t="s">
        <v>349</v>
      </c>
      <c r="U332" t="s">
        <v>18</v>
      </c>
    </row>
    <row r="333" spans="1:21">
      <c r="A333" t="s">
        <v>3832</v>
      </c>
      <c r="B333" s="20">
        <v>45762</v>
      </c>
      <c r="C333" s="20">
        <v>45713</v>
      </c>
      <c r="D333" t="s">
        <v>169</v>
      </c>
      <c r="E333" t="s">
        <v>170</v>
      </c>
      <c r="G333" t="s">
        <v>4341</v>
      </c>
      <c r="H333" t="s">
        <v>3494</v>
      </c>
      <c r="I333" t="s">
        <v>3495</v>
      </c>
      <c r="J333" s="8" t="str">
        <f>+LEFT(U333,4)</f>
        <v>STKR</v>
      </c>
      <c r="K333" t="s">
        <v>10</v>
      </c>
      <c r="L333" s="46">
        <v>50</v>
      </c>
      <c r="M333" t="s">
        <v>1472</v>
      </c>
      <c r="N333" t="s">
        <v>11</v>
      </c>
      <c r="O333" s="49">
        <v>0.03</v>
      </c>
      <c r="P333" s="9">
        <f>ROUND(O333*L333,2)</f>
        <v>1.5</v>
      </c>
      <c r="Q333" s="10">
        <f>IF(N333="HKD",7.8,IF(N333="CNY",7.30034,1))</f>
        <v>7.3003400000000003</v>
      </c>
      <c r="R333" s="10">
        <f>+ROUND(O333/Q333,4)</f>
        <v>4.1000000000000003E-3</v>
      </c>
      <c r="S333" s="11">
        <f>ROUND(R333*L333,2)</f>
        <v>0.21</v>
      </c>
      <c r="T333" s="10" t="s">
        <v>349</v>
      </c>
      <c r="U333" t="s">
        <v>18</v>
      </c>
    </row>
    <row r="334" spans="1:21">
      <c r="A334" t="s">
        <v>3833</v>
      </c>
      <c r="B334" s="20">
        <v>45762</v>
      </c>
      <c r="C334" s="20">
        <v>45744</v>
      </c>
      <c r="D334" t="s">
        <v>169</v>
      </c>
      <c r="E334" t="s">
        <v>170</v>
      </c>
      <c r="G334" t="s">
        <v>4342</v>
      </c>
      <c r="H334" t="s">
        <v>1136</v>
      </c>
      <c r="I334" t="s">
        <v>1137</v>
      </c>
      <c r="J334" s="8" t="str">
        <f>+LEFT(U334,4)</f>
        <v>STKR</v>
      </c>
      <c r="K334" t="s">
        <v>10</v>
      </c>
      <c r="L334" s="46">
        <v>900</v>
      </c>
      <c r="M334" t="s">
        <v>1472</v>
      </c>
      <c r="N334" t="s">
        <v>11</v>
      </c>
      <c r="O334" s="49">
        <v>0.03</v>
      </c>
      <c r="P334" s="9">
        <f>ROUND(O334*L334,2)</f>
        <v>27</v>
      </c>
      <c r="Q334" s="10">
        <f>IF(N334="HKD",7.8,IF(N334="CNY",7.30034,1))</f>
        <v>7.3003400000000003</v>
      </c>
      <c r="R334" s="10">
        <f>+ROUND(O334/Q334,4)</f>
        <v>4.1000000000000003E-3</v>
      </c>
      <c r="S334" s="11">
        <f>ROUND(R334*L334,2)</f>
        <v>3.69</v>
      </c>
      <c r="T334" s="10" t="s">
        <v>349</v>
      </c>
      <c r="U334" t="s">
        <v>18</v>
      </c>
    </row>
    <row r="335" spans="1:21">
      <c r="A335" t="s">
        <v>3844</v>
      </c>
      <c r="B335" s="20">
        <v>45762</v>
      </c>
      <c r="C335" s="20">
        <v>45744</v>
      </c>
      <c r="D335" t="s">
        <v>169</v>
      </c>
      <c r="E335" t="s">
        <v>170</v>
      </c>
      <c r="G335" t="s">
        <v>4347</v>
      </c>
      <c r="H335" t="s">
        <v>3496</v>
      </c>
      <c r="I335" t="s">
        <v>3497</v>
      </c>
      <c r="J335" s="8" t="str">
        <f>+LEFT(U335,4)</f>
        <v>STKR</v>
      </c>
      <c r="K335" t="s">
        <v>10</v>
      </c>
      <c r="L335" s="46">
        <v>1010</v>
      </c>
      <c r="M335" t="s">
        <v>1472</v>
      </c>
      <c r="N335" t="s">
        <v>11</v>
      </c>
      <c r="O335" s="49">
        <v>4.2000000000000003E-2</v>
      </c>
      <c r="P335" s="9">
        <f>ROUND(O335*L335,2)</f>
        <v>42.42</v>
      </c>
      <c r="Q335" s="10">
        <f>IF(N335="HKD",7.8,IF(N335="CNY",7.30034,1))</f>
        <v>7.3003400000000003</v>
      </c>
      <c r="R335" s="10">
        <f>+ROUND(O335/Q335,4)</f>
        <v>5.7999999999999996E-3</v>
      </c>
      <c r="S335" s="11">
        <f>ROUND(R335*L335,2)</f>
        <v>5.86</v>
      </c>
      <c r="T335" s="10" t="s">
        <v>349</v>
      </c>
      <c r="U335" t="s">
        <v>18</v>
      </c>
    </row>
    <row r="336" spans="1:21">
      <c r="A336" t="s">
        <v>3912</v>
      </c>
      <c r="B336" s="20">
        <v>45762</v>
      </c>
      <c r="C336" s="20">
        <v>45744</v>
      </c>
      <c r="D336" t="s">
        <v>169</v>
      </c>
      <c r="E336" t="s">
        <v>170</v>
      </c>
      <c r="G336" t="s">
        <v>4342</v>
      </c>
      <c r="H336" t="s">
        <v>3544</v>
      </c>
      <c r="I336" t="s">
        <v>3545</v>
      </c>
      <c r="J336" s="8" t="str">
        <f>+LEFT(U336,4)</f>
        <v>STKR</v>
      </c>
      <c r="K336" t="s">
        <v>10</v>
      </c>
      <c r="L336" s="46">
        <v>2020</v>
      </c>
      <c r="M336" t="s">
        <v>1472</v>
      </c>
      <c r="N336" t="s">
        <v>11</v>
      </c>
      <c r="O336" s="49">
        <v>0.16</v>
      </c>
      <c r="P336" s="9">
        <f>ROUND(O336*L336,2)</f>
        <v>323.2</v>
      </c>
      <c r="Q336" s="10">
        <f>IF(N336="HKD",7.8,IF(N336="CNY",7.30034,1))</f>
        <v>7.3003400000000003</v>
      </c>
      <c r="R336" s="10">
        <f>+ROUND(O336/Q336,4)</f>
        <v>2.1899999999999999E-2</v>
      </c>
      <c r="S336" s="11">
        <f>ROUND(R336*L336,2)</f>
        <v>44.24</v>
      </c>
      <c r="T336" s="10" t="s">
        <v>349</v>
      </c>
      <c r="U336" t="s">
        <v>18</v>
      </c>
    </row>
    <row r="337" spans="1:21">
      <c r="A337" t="s">
        <v>3942</v>
      </c>
      <c r="B337" s="20">
        <v>45762</v>
      </c>
      <c r="C337" s="20">
        <v>45744</v>
      </c>
      <c r="D337" t="s">
        <v>169</v>
      </c>
      <c r="E337" t="s">
        <v>170</v>
      </c>
      <c r="G337" t="s">
        <v>4382</v>
      </c>
      <c r="H337" t="s">
        <v>3566</v>
      </c>
      <c r="I337" t="s">
        <v>3567</v>
      </c>
      <c r="J337" s="8" t="str">
        <f>+LEFT(U337,4)</f>
        <v>U&amp;C-</v>
      </c>
      <c r="K337" t="s">
        <v>10</v>
      </c>
      <c r="L337" s="46">
        <v>1010</v>
      </c>
      <c r="M337" t="s">
        <v>1472</v>
      </c>
      <c r="N337" t="s">
        <v>11</v>
      </c>
      <c r="O337" s="49">
        <v>0.26700000000000002</v>
      </c>
      <c r="P337" s="9">
        <f>ROUND(O337*L337,2)</f>
        <v>269.67</v>
      </c>
      <c r="Q337" s="10">
        <f>IF(N337="HKD",7.8,IF(N337="CNY",7.30034,1))</f>
        <v>7.3003400000000003</v>
      </c>
      <c r="R337" s="10">
        <f>+ROUND(O337/Q337,4)</f>
        <v>3.6600000000000001E-2</v>
      </c>
      <c r="S337" s="11">
        <f>ROUND(R337*L337,2)</f>
        <v>36.97</v>
      </c>
      <c r="T337" s="10" t="s">
        <v>349</v>
      </c>
      <c r="U337" t="s">
        <v>177</v>
      </c>
    </row>
    <row r="338" spans="1:21">
      <c r="A338" t="s">
        <v>3944</v>
      </c>
      <c r="B338" s="20">
        <v>45762</v>
      </c>
      <c r="C338" s="20">
        <v>45744</v>
      </c>
      <c r="D338" t="s">
        <v>169</v>
      </c>
      <c r="E338" t="s">
        <v>170</v>
      </c>
      <c r="G338" t="s">
        <v>4384</v>
      </c>
      <c r="H338" t="s">
        <v>1619</v>
      </c>
      <c r="I338" t="s">
        <v>1620</v>
      </c>
      <c r="J338" s="8" t="str">
        <f>+LEFT(U338,4)</f>
        <v>U&amp;C-</v>
      </c>
      <c r="K338" t="s">
        <v>10</v>
      </c>
      <c r="L338" s="46">
        <v>3520</v>
      </c>
      <c r="M338" t="s">
        <v>1472</v>
      </c>
      <c r="N338" t="s">
        <v>11</v>
      </c>
      <c r="O338" s="49">
        <v>0.27500000000000002</v>
      </c>
      <c r="P338" s="9">
        <f>ROUND(O338*L338,2)</f>
        <v>968</v>
      </c>
      <c r="Q338" s="10">
        <f>IF(N338="HKD",7.8,IF(N338="CNY",7.30034,1))</f>
        <v>7.3003400000000003</v>
      </c>
      <c r="R338" s="10">
        <f>+ROUND(O338/Q338,4)</f>
        <v>3.7699999999999997E-2</v>
      </c>
      <c r="S338" s="11">
        <f>ROUND(R338*L338,2)</f>
        <v>132.69999999999999</v>
      </c>
      <c r="T338" s="10" t="s">
        <v>349</v>
      </c>
      <c r="U338" t="s">
        <v>177</v>
      </c>
    </row>
    <row r="339" spans="1:21">
      <c r="A339" t="s">
        <v>3941</v>
      </c>
      <c r="B339" s="20">
        <v>45762</v>
      </c>
      <c r="C339" s="20">
        <v>45744</v>
      </c>
      <c r="D339" t="s">
        <v>169</v>
      </c>
      <c r="E339" t="s">
        <v>170</v>
      </c>
      <c r="G339" t="s">
        <v>4382</v>
      </c>
      <c r="H339" t="s">
        <v>3564</v>
      </c>
      <c r="I339" t="s">
        <v>3565</v>
      </c>
      <c r="J339" s="8" t="str">
        <f>+LEFT(U339,4)</f>
        <v>WACD</v>
      </c>
      <c r="K339" t="s">
        <v>10</v>
      </c>
      <c r="L339" s="46">
        <v>1010</v>
      </c>
      <c r="M339" t="s">
        <v>1472</v>
      </c>
      <c r="N339" t="s">
        <v>11</v>
      </c>
      <c r="O339" s="49">
        <v>0.26500000000000001</v>
      </c>
      <c r="P339" s="9">
        <f>ROUND(O339*L339,2)</f>
        <v>267.64999999999998</v>
      </c>
      <c r="Q339" s="10">
        <f>IF(N339="HKD",7.8,IF(N339="CNY",7.30034,1))</f>
        <v>7.3003400000000003</v>
      </c>
      <c r="R339" s="10">
        <f>+ROUND(O339/Q339,4)</f>
        <v>3.6299999999999999E-2</v>
      </c>
      <c r="S339" s="11">
        <f>ROUND(R339*L339,2)</f>
        <v>36.659999999999997</v>
      </c>
      <c r="T339" s="10" t="s">
        <v>349</v>
      </c>
      <c r="U339" t="s">
        <v>635</v>
      </c>
    </row>
    <row r="340" spans="1:21">
      <c r="A340" t="s">
        <v>3951</v>
      </c>
      <c r="B340" s="20">
        <v>45762</v>
      </c>
      <c r="C340" s="20">
        <v>45744</v>
      </c>
      <c r="D340" t="s">
        <v>169</v>
      </c>
      <c r="E340" t="s">
        <v>170</v>
      </c>
      <c r="G340" t="s">
        <v>4382</v>
      </c>
      <c r="H340" t="s">
        <v>3094</v>
      </c>
      <c r="I340" t="s">
        <v>1628</v>
      </c>
      <c r="J340" s="8" t="str">
        <f>+LEFT(U340,4)</f>
        <v>WACD</v>
      </c>
      <c r="K340" t="s">
        <v>10</v>
      </c>
      <c r="L340" s="46">
        <v>2500</v>
      </c>
      <c r="M340" t="s">
        <v>1472</v>
      </c>
      <c r="N340" t="s">
        <v>11</v>
      </c>
      <c r="O340" s="49">
        <v>0.39200000000000002</v>
      </c>
      <c r="P340" s="9">
        <f>ROUND(O340*L340,2)</f>
        <v>980</v>
      </c>
      <c r="Q340" s="10">
        <f>IF(N340="HKD",7.8,IF(N340="CNY",7.30034,1))</f>
        <v>7.3003400000000003</v>
      </c>
      <c r="R340" s="10">
        <f>+ROUND(O340/Q340,4)</f>
        <v>5.3699999999999998E-2</v>
      </c>
      <c r="S340" s="11">
        <f>ROUND(R340*L340,2)</f>
        <v>134.25</v>
      </c>
      <c r="T340" s="10" t="s">
        <v>349</v>
      </c>
      <c r="U340" t="s">
        <v>635</v>
      </c>
    </row>
    <row r="341" spans="1:21">
      <c r="A341" t="s">
        <v>4087</v>
      </c>
      <c r="B341" s="20">
        <v>45761</v>
      </c>
      <c r="C341" s="20">
        <v>45741</v>
      </c>
      <c r="D341" t="s">
        <v>187</v>
      </c>
      <c r="E341" t="s">
        <v>188</v>
      </c>
      <c r="G341" t="s">
        <v>4430</v>
      </c>
      <c r="H341" t="s">
        <v>208</v>
      </c>
      <c r="I341" t="s">
        <v>209</v>
      </c>
      <c r="J341" s="8" t="str">
        <f>+LEFT(U341,4)</f>
        <v>ALM-</v>
      </c>
      <c r="K341" t="s">
        <v>98</v>
      </c>
      <c r="L341" s="46">
        <v>700</v>
      </c>
      <c r="M341" t="s">
        <v>186</v>
      </c>
      <c r="N341" t="s">
        <v>11</v>
      </c>
      <c r="O341" s="49">
        <v>3.1415999999999999</v>
      </c>
      <c r="P341" s="9">
        <f>ROUND(O341*L341,2)</f>
        <v>2199.12</v>
      </c>
      <c r="Q341" s="10">
        <f>IF(N341="HKD",7.8,IF(N341="CNY",7.30034,1))</f>
        <v>7.3003400000000003</v>
      </c>
      <c r="R341" s="10">
        <f>+ROUND(O341/Q341,4)</f>
        <v>0.43030000000000002</v>
      </c>
      <c r="S341" s="11">
        <f>ROUND(R341*L341,2)</f>
        <v>301.20999999999998</v>
      </c>
      <c r="T341" s="10" t="s">
        <v>349</v>
      </c>
      <c r="U341" t="s">
        <v>191</v>
      </c>
    </row>
    <row r="342" spans="1:21">
      <c r="A342" t="s">
        <v>4088</v>
      </c>
      <c r="B342" s="20">
        <v>45761</v>
      </c>
      <c r="C342" s="20">
        <v>45741</v>
      </c>
      <c r="D342" t="s">
        <v>187</v>
      </c>
      <c r="E342" t="s">
        <v>188</v>
      </c>
      <c r="G342" t="s">
        <v>4430</v>
      </c>
      <c r="H342" t="s">
        <v>199</v>
      </c>
      <c r="I342" t="s">
        <v>200</v>
      </c>
      <c r="J342" s="8" t="str">
        <f>+LEFT(U342,4)</f>
        <v>ALM-</v>
      </c>
      <c r="K342" t="s">
        <v>98</v>
      </c>
      <c r="L342" s="46">
        <v>350</v>
      </c>
      <c r="M342" t="s">
        <v>186</v>
      </c>
      <c r="N342" t="s">
        <v>11</v>
      </c>
      <c r="O342" s="49">
        <v>3.1415999999999999</v>
      </c>
      <c r="P342" s="9">
        <f>ROUND(O342*L342,2)</f>
        <v>1099.56</v>
      </c>
      <c r="Q342" s="10">
        <f>IF(N342="HKD",7.8,IF(N342="CNY",7.30034,1))</f>
        <v>7.3003400000000003</v>
      </c>
      <c r="R342" s="10">
        <f>+ROUND(O342/Q342,4)</f>
        <v>0.43030000000000002</v>
      </c>
      <c r="S342" s="11">
        <f>ROUND(R342*L342,2)</f>
        <v>150.61000000000001</v>
      </c>
      <c r="T342" s="10" t="s">
        <v>349</v>
      </c>
      <c r="U342" t="s">
        <v>191</v>
      </c>
    </row>
    <row r="343" spans="1:21">
      <c r="A343" t="s">
        <v>4089</v>
      </c>
      <c r="B343" s="20">
        <v>45761</v>
      </c>
      <c r="C343" s="20">
        <v>45741</v>
      </c>
      <c r="D343" t="s">
        <v>187</v>
      </c>
      <c r="E343" t="s">
        <v>188</v>
      </c>
      <c r="G343" t="s">
        <v>4430</v>
      </c>
      <c r="H343" t="s">
        <v>3682</v>
      </c>
      <c r="I343" t="s">
        <v>3683</v>
      </c>
      <c r="J343" s="8" t="str">
        <f>+LEFT(U343,4)</f>
        <v>ALM-</v>
      </c>
      <c r="K343" t="s">
        <v>98</v>
      </c>
      <c r="L343" s="46">
        <v>150</v>
      </c>
      <c r="M343" t="s">
        <v>186</v>
      </c>
      <c r="N343" t="s">
        <v>11</v>
      </c>
      <c r="O343" s="49">
        <v>3.1415999999999999</v>
      </c>
      <c r="P343" s="9">
        <f>ROUND(O343*L343,2)</f>
        <v>471.24</v>
      </c>
      <c r="Q343" s="10">
        <f>IF(N343="HKD",7.8,IF(N343="CNY",7.30034,1))</f>
        <v>7.3003400000000003</v>
      </c>
      <c r="R343" s="10">
        <f>+ROUND(O343/Q343,4)</f>
        <v>0.43030000000000002</v>
      </c>
      <c r="S343" s="11">
        <f>ROUND(R343*L343,2)</f>
        <v>64.55</v>
      </c>
      <c r="T343" s="10" t="s">
        <v>349</v>
      </c>
      <c r="U343" t="s">
        <v>191</v>
      </c>
    </row>
    <row r="344" spans="1:21">
      <c r="A344" t="s">
        <v>4090</v>
      </c>
      <c r="B344" s="20">
        <v>45761</v>
      </c>
      <c r="C344" s="20">
        <v>45741</v>
      </c>
      <c r="D344" t="s">
        <v>187</v>
      </c>
      <c r="E344" t="s">
        <v>188</v>
      </c>
      <c r="G344" t="s">
        <v>4430</v>
      </c>
      <c r="H344" t="s">
        <v>3684</v>
      </c>
      <c r="I344" t="s">
        <v>3685</v>
      </c>
      <c r="J344" s="8" t="str">
        <f>+LEFT(U344,4)</f>
        <v>ALM-</v>
      </c>
      <c r="K344" t="s">
        <v>98</v>
      </c>
      <c r="L344" s="46">
        <v>350</v>
      </c>
      <c r="M344" t="s">
        <v>186</v>
      </c>
      <c r="N344" t="s">
        <v>11</v>
      </c>
      <c r="O344" s="49">
        <v>3.1415999999999999</v>
      </c>
      <c r="P344" s="9">
        <f>ROUND(O344*L344,2)</f>
        <v>1099.56</v>
      </c>
      <c r="Q344" s="10">
        <f>IF(N344="HKD",7.8,IF(N344="CNY",7.30034,1))</f>
        <v>7.3003400000000003</v>
      </c>
      <c r="R344" s="10">
        <f>+ROUND(O344/Q344,4)</f>
        <v>0.43030000000000002</v>
      </c>
      <c r="S344" s="11">
        <f>ROUND(R344*L344,2)</f>
        <v>150.61000000000001</v>
      </c>
      <c r="T344" s="10" t="s">
        <v>349</v>
      </c>
      <c r="U344" t="s">
        <v>191</v>
      </c>
    </row>
    <row r="345" spans="1:21">
      <c r="A345" t="s">
        <v>4091</v>
      </c>
      <c r="B345" s="20">
        <v>45761</v>
      </c>
      <c r="C345" s="20">
        <v>45742</v>
      </c>
      <c r="D345" t="s">
        <v>187</v>
      </c>
      <c r="E345" t="s">
        <v>188</v>
      </c>
      <c r="G345" t="s">
        <v>4430</v>
      </c>
      <c r="H345" t="s">
        <v>1217</v>
      </c>
      <c r="I345" t="s">
        <v>1218</v>
      </c>
      <c r="J345" s="8" t="str">
        <f>+LEFT(U345,4)</f>
        <v>ALM-</v>
      </c>
      <c r="K345" t="s">
        <v>98</v>
      </c>
      <c r="L345" s="46">
        <v>300</v>
      </c>
      <c r="M345" t="s">
        <v>186</v>
      </c>
      <c r="N345" t="s">
        <v>11</v>
      </c>
      <c r="O345" s="49">
        <v>3.1415999999999999</v>
      </c>
      <c r="P345" s="9">
        <f>ROUND(O345*L345,2)</f>
        <v>942.48</v>
      </c>
      <c r="Q345" s="10">
        <f>IF(N345="HKD",7.8,IF(N345="CNY",7.30034,1))</f>
        <v>7.3003400000000003</v>
      </c>
      <c r="R345" s="10">
        <f>+ROUND(O345/Q345,4)</f>
        <v>0.43030000000000002</v>
      </c>
      <c r="S345" s="11">
        <f>ROUND(R345*L345,2)</f>
        <v>129.09</v>
      </c>
      <c r="T345" s="10" t="s">
        <v>349</v>
      </c>
      <c r="U345" t="s">
        <v>191</v>
      </c>
    </row>
    <row r="346" spans="1:21">
      <c r="A346" t="s">
        <v>4092</v>
      </c>
      <c r="B346" s="20">
        <v>45761</v>
      </c>
      <c r="C346" s="20">
        <v>45747</v>
      </c>
      <c r="D346" t="s">
        <v>187</v>
      </c>
      <c r="E346" t="s">
        <v>188</v>
      </c>
      <c r="G346" t="s">
        <v>4430</v>
      </c>
      <c r="H346" t="s">
        <v>214</v>
      </c>
      <c r="I346" t="s">
        <v>215</v>
      </c>
      <c r="J346" s="8" t="str">
        <f>+LEFT(U346,4)</f>
        <v>ALM-</v>
      </c>
      <c r="K346" t="s">
        <v>98</v>
      </c>
      <c r="L346" s="46">
        <v>150</v>
      </c>
      <c r="M346" t="s">
        <v>186</v>
      </c>
      <c r="N346" t="s">
        <v>11</v>
      </c>
      <c r="O346" s="49">
        <v>3.1415999999999999</v>
      </c>
      <c r="P346" s="9">
        <f>ROUND(O346*L346,2)</f>
        <v>471.24</v>
      </c>
      <c r="Q346" s="10">
        <f>IF(N346="HKD",7.8,IF(N346="CNY",7.30034,1))</f>
        <v>7.3003400000000003</v>
      </c>
      <c r="R346" s="10">
        <f>+ROUND(O346/Q346,4)</f>
        <v>0.43030000000000002</v>
      </c>
      <c r="S346" s="11">
        <f>ROUND(R346*L346,2)</f>
        <v>64.55</v>
      </c>
      <c r="T346" s="10" t="s">
        <v>349</v>
      </c>
      <c r="U346" t="s">
        <v>191</v>
      </c>
    </row>
    <row r="347" spans="1:21">
      <c r="A347" t="s">
        <v>4093</v>
      </c>
      <c r="B347" s="20">
        <v>45761</v>
      </c>
      <c r="C347" s="20">
        <v>45747</v>
      </c>
      <c r="D347" t="s">
        <v>187</v>
      </c>
      <c r="E347" t="s">
        <v>188</v>
      </c>
      <c r="G347" t="s">
        <v>4430</v>
      </c>
      <c r="H347" t="s">
        <v>3188</v>
      </c>
      <c r="I347" t="s">
        <v>3395</v>
      </c>
      <c r="J347" s="8" t="str">
        <f>+LEFT(U347,4)</f>
        <v>ALM-</v>
      </c>
      <c r="K347" t="s">
        <v>98</v>
      </c>
      <c r="L347" s="46">
        <v>50</v>
      </c>
      <c r="M347" t="s">
        <v>186</v>
      </c>
      <c r="N347" t="s">
        <v>11</v>
      </c>
      <c r="O347" s="49">
        <v>3.1415999999999999</v>
      </c>
      <c r="P347" s="9">
        <f>ROUND(O347*L347,2)</f>
        <v>157.08000000000001</v>
      </c>
      <c r="Q347" s="10">
        <f>IF(N347="HKD",7.8,IF(N347="CNY",7.30034,1))</f>
        <v>7.3003400000000003</v>
      </c>
      <c r="R347" s="10">
        <f>+ROUND(O347/Q347,4)</f>
        <v>0.43030000000000002</v>
      </c>
      <c r="S347" s="11">
        <f>ROUND(R347*L347,2)</f>
        <v>21.52</v>
      </c>
      <c r="T347" s="10" t="s">
        <v>349</v>
      </c>
      <c r="U347" t="s">
        <v>191</v>
      </c>
    </row>
    <row r="348" spans="1:21">
      <c r="A348" t="s">
        <v>4094</v>
      </c>
      <c r="B348" s="20">
        <v>45761</v>
      </c>
      <c r="C348" s="20">
        <v>45747</v>
      </c>
      <c r="D348" t="s">
        <v>187</v>
      </c>
      <c r="E348" t="s">
        <v>188</v>
      </c>
      <c r="G348" t="s">
        <v>4430</v>
      </c>
      <c r="H348" t="s">
        <v>1717</v>
      </c>
      <c r="I348" t="s">
        <v>1214</v>
      </c>
      <c r="J348" s="8" t="str">
        <f>+LEFT(U348,4)</f>
        <v>ALM-</v>
      </c>
      <c r="K348" t="s">
        <v>98</v>
      </c>
      <c r="L348" s="46">
        <v>50</v>
      </c>
      <c r="M348" t="s">
        <v>186</v>
      </c>
      <c r="N348" t="s">
        <v>11</v>
      </c>
      <c r="O348" s="49">
        <v>3.1415999999999999</v>
      </c>
      <c r="P348" s="9">
        <f>ROUND(O348*L348,2)</f>
        <v>157.08000000000001</v>
      </c>
      <c r="Q348" s="10">
        <f>IF(N348="HKD",7.8,IF(N348="CNY",7.30034,1))</f>
        <v>7.3003400000000003</v>
      </c>
      <c r="R348" s="10">
        <f>+ROUND(O348/Q348,4)</f>
        <v>0.43030000000000002</v>
      </c>
      <c r="S348" s="11">
        <f>ROUND(R348*L348,2)</f>
        <v>21.52</v>
      </c>
      <c r="T348" s="10" t="s">
        <v>349</v>
      </c>
      <c r="U348" t="s">
        <v>191</v>
      </c>
    </row>
    <row r="349" spans="1:21">
      <c r="A349" t="s">
        <v>4095</v>
      </c>
      <c r="B349" s="20">
        <v>45761</v>
      </c>
      <c r="C349" s="20">
        <v>45747</v>
      </c>
      <c r="D349" t="s">
        <v>187</v>
      </c>
      <c r="E349" t="s">
        <v>188</v>
      </c>
      <c r="G349" t="s">
        <v>4430</v>
      </c>
      <c r="H349" t="s">
        <v>199</v>
      </c>
      <c r="I349" t="s">
        <v>200</v>
      </c>
      <c r="J349" s="8" t="str">
        <f>+LEFT(U349,4)</f>
        <v>ALM-</v>
      </c>
      <c r="K349" t="s">
        <v>98</v>
      </c>
      <c r="L349" s="46">
        <v>100</v>
      </c>
      <c r="M349" t="s">
        <v>186</v>
      </c>
      <c r="N349" t="s">
        <v>11</v>
      </c>
      <c r="O349" s="49">
        <v>3.1415999999999999</v>
      </c>
      <c r="P349" s="9">
        <f>ROUND(O349*L349,2)</f>
        <v>314.16000000000003</v>
      </c>
      <c r="Q349" s="10">
        <f>IF(N349="HKD",7.8,IF(N349="CNY",7.30034,1))</f>
        <v>7.3003400000000003</v>
      </c>
      <c r="R349" s="10">
        <f>+ROUND(O349/Q349,4)</f>
        <v>0.43030000000000002</v>
      </c>
      <c r="S349" s="11">
        <f>ROUND(R349*L349,2)</f>
        <v>43.03</v>
      </c>
      <c r="T349" s="10" t="s">
        <v>349</v>
      </c>
      <c r="U349" t="s">
        <v>191</v>
      </c>
    </row>
    <row r="350" spans="1:21">
      <c r="A350" t="s">
        <v>4096</v>
      </c>
      <c r="B350" s="20">
        <v>45761</v>
      </c>
      <c r="C350" s="20">
        <v>45747</v>
      </c>
      <c r="D350" t="s">
        <v>187</v>
      </c>
      <c r="E350" t="s">
        <v>188</v>
      </c>
      <c r="G350" t="s">
        <v>4430</v>
      </c>
      <c r="H350" t="s">
        <v>3686</v>
      </c>
      <c r="I350" t="s">
        <v>3687</v>
      </c>
      <c r="J350" s="8" t="str">
        <f>+LEFT(U350,4)</f>
        <v>ALM-</v>
      </c>
      <c r="K350" t="s">
        <v>98</v>
      </c>
      <c r="L350" s="46">
        <v>400</v>
      </c>
      <c r="M350" t="s">
        <v>186</v>
      </c>
      <c r="N350" t="s">
        <v>11</v>
      </c>
      <c r="O350" s="49">
        <v>3.1415999999999999</v>
      </c>
      <c r="P350" s="9">
        <f>ROUND(O350*L350,2)</f>
        <v>1256.6400000000001</v>
      </c>
      <c r="Q350" s="10">
        <f>IF(N350="HKD",7.8,IF(N350="CNY",7.30034,1))</f>
        <v>7.3003400000000003</v>
      </c>
      <c r="R350" s="10">
        <f>+ROUND(O350/Q350,4)</f>
        <v>0.43030000000000002</v>
      </c>
      <c r="S350" s="11">
        <f>ROUND(R350*L350,2)</f>
        <v>172.12</v>
      </c>
      <c r="T350" s="10" t="s">
        <v>349</v>
      </c>
      <c r="U350" t="s">
        <v>191</v>
      </c>
    </row>
    <row r="351" spans="1:21">
      <c r="A351" t="s">
        <v>4097</v>
      </c>
      <c r="B351" s="20">
        <v>45761</v>
      </c>
      <c r="C351" s="20">
        <v>45747</v>
      </c>
      <c r="D351" t="s">
        <v>187</v>
      </c>
      <c r="E351" t="s">
        <v>188</v>
      </c>
      <c r="G351" t="s">
        <v>4430</v>
      </c>
      <c r="H351" t="s">
        <v>3688</v>
      </c>
      <c r="I351" t="s">
        <v>3689</v>
      </c>
      <c r="J351" s="8" t="str">
        <f>+LEFT(U351,4)</f>
        <v>ALM-</v>
      </c>
      <c r="K351" t="s">
        <v>98</v>
      </c>
      <c r="L351" s="46">
        <v>50</v>
      </c>
      <c r="M351" t="s">
        <v>186</v>
      </c>
      <c r="N351" t="s">
        <v>11</v>
      </c>
      <c r="O351" s="49">
        <v>3.1415999999999999</v>
      </c>
      <c r="P351" s="9">
        <f>ROUND(O351*L351,2)</f>
        <v>157.08000000000001</v>
      </c>
      <c r="Q351" s="10">
        <f>IF(N351="HKD",7.8,IF(N351="CNY",7.30034,1))</f>
        <v>7.3003400000000003</v>
      </c>
      <c r="R351" s="10">
        <f>+ROUND(O351/Q351,4)</f>
        <v>0.43030000000000002</v>
      </c>
      <c r="S351" s="11">
        <f>ROUND(R351*L351,2)</f>
        <v>21.52</v>
      </c>
      <c r="T351" s="10" t="s">
        <v>349</v>
      </c>
      <c r="U351" t="s">
        <v>191</v>
      </c>
    </row>
    <row r="352" spans="1:21">
      <c r="A352" t="s">
        <v>4098</v>
      </c>
      <c r="B352" s="20">
        <v>45761</v>
      </c>
      <c r="C352" s="20">
        <v>45747</v>
      </c>
      <c r="D352" t="s">
        <v>187</v>
      </c>
      <c r="E352" t="s">
        <v>188</v>
      </c>
      <c r="G352" t="s">
        <v>4430</v>
      </c>
      <c r="H352" t="s">
        <v>3690</v>
      </c>
      <c r="I352" t="s">
        <v>3691</v>
      </c>
      <c r="J352" s="8" t="str">
        <f>+LEFT(U352,4)</f>
        <v>ALM-</v>
      </c>
      <c r="K352" t="s">
        <v>98</v>
      </c>
      <c r="L352" s="46">
        <v>50</v>
      </c>
      <c r="M352" t="s">
        <v>186</v>
      </c>
      <c r="N352" t="s">
        <v>11</v>
      </c>
      <c r="O352" s="49">
        <v>3.1415999999999999</v>
      </c>
      <c r="P352" s="9">
        <f>ROUND(O352*L352,2)</f>
        <v>157.08000000000001</v>
      </c>
      <c r="Q352" s="10">
        <f>IF(N352="HKD",7.8,IF(N352="CNY",7.30034,1))</f>
        <v>7.3003400000000003</v>
      </c>
      <c r="R352" s="10">
        <f>+ROUND(O352/Q352,4)</f>
        <v>0.43030000000000002</v>
      </c>
      <c r="S352" s="11">
        <f>ROUND(R352*L352,2)</f>
        <v>21.52</v>
      </c>
      <c r="T352" s="10" t="s">
        <v>349</v>
      </c>
      <c r="U352" t="s">
        <v>191</v>
      </c>
    </row>
    <row r="353" spans="1:21">
      <c r="A353" t="s">
        <v>4144</v>
      </c>
      <c r="B353" s="20">
        <v>45761</v>
      </c>
      <c r="C353" s="20">
        <v>45747</v>
      </c>
      <c r="D353" t="s">
        <v>187</v>
      </c>
      <c r="E353" t="s">
        <v>188</v>
      </c>
      <c r="G353" t="s">
        <v>4430</v>
      </c>
      <c r="H353" t="s">
        <v>3720</v>
      </c>
      <c r="I353" t="s">
        <v>3721</v>
      </c>
      <c r="J353" s="8" t="str">
        <f>+LEFT(U353,4)</f>
        <v>ALM-</v>
      </c>
      <c r="K353" t="s">
        <v>98</v>
      </c>
      <c r="L353" s="46">
        <v>75</v>
      </c>
      <c r="M353" t="s">
        <v>186</v>
      </c>
      <c r="N353" t="s">
        <v>11</v>
      </c>
      <c r="O353" s="49">
        <v>3.6282999999999999</v>
      </c>
      <c r="P353" s="9">
        <f>ROUND(O353*L353,2)</f>
        <v>272.12</v>
      </c>
      <c r="Q353" s="10">
        <f>IF(N353="HKD",7.8,IF(N353="CNY",7.30034,1))</f>
        <v>7.3003400000000003</v>
      </c>
      <c r="R353" s="10">
        <f>+ROUND(O353/Q353,4)</f>
        <v>0.497</v>
      </c>
      <c r="S353" s="11">
        <f>ROUND(R353*L353,2)</f>
        <v>37.28</v>
      </c>
      <c r="T353" s="10" t="s">
        <v>349</v>
      </c>
      <c r="U353" t="s">
        <v>191</v>
      </c>
    </row>
    <row r="354" spans="1:21">
      <c r="A354" t="s">
        <v>4145</v>
      </c>
      <c r="B354" s="20">
        <v>45761</v>
      </c>
      <c r="C354" s="20">
        <v>45750</v>
      </c>
      <c r="D354" t="s">
        <v>187</v>
      </c>
      <c r="E354" t="s">
        <v>188</v>
      </c>
      <c r="G354" t="s">
        <v>4430</v>
      </c>
      <c r="H354" t="s">
        <v>3722</v>
      </c>
      <c r="I354" t="s">
        <v>3723</v>
      </c>
      <c r="J354" s="8" t="str">
        <f>+LEFT(U354,4)</f>
        <v>ALM-</v>
      </c>
      <c r="K354" t="s">
        <v>98</v>
      </c>
      <c r="L354" s="46">
        <v>50</v>
      </c>
      <c r="M354" t="s">
        <v>186</v>
      </c>
      <c r="N354" t="s">
        <v>11</v>
      </c>
      <c r="O354" s="49">
        <v>3.6282999999999999</v>
      </c>
      <c r="P354" s="9">
        <f>ROUND(O354*L354,2)</f>
        <v>181.42</v>
      </c>
      <c r="Q354" s="10">
        <f>IF(N354="HKD",7.8,IF(N354="CNY",7.30034,1))</f>
        <v>7.3003400000000003</v>
      </c>
      <c r="R354" s="10">
        <f>+ROUND(O354/Q354,4)</f>
        <v>0.497</v>
      </c>
      <c r="S354" s="11">
        <f>ROUND(R354*L354,2)</f>
        <v>24.85</v>
      </c>
      <c r="T354" s="10" t="s">
        <v>349</v>
      </c>
      <c r="U354" t="s">
        <v>191</v>
      </c>
    </row>
    <row r="355" spans="1:21">
      <c r="A355" t="s">
        <v>4146</v>
      </c>
      <c r="B355" s="20">
        <v>45761</v>
      </c>
      <c r="C355" s="20">
        <v>45750</v>
      </c>
      <c r="D355" t="s">
        <v>187</v>
      </c>
      <c r="E355" t="s">
        <v>188</v>
      </c>
      <c r="G355" t="s">
        <v>4430</v>
      </c>
      <c r="H355" t="s">
        <v>1223</v>
      </c>
      <c r="I355" t="s">
        <v>1224</v>
      </c>
      <c r="J355" s="8" t="str">
        <f>+LEFT(U355,4)</f>
        <v>ALM-</v>
      </c>
      <c r="K355" t="s">
        <v>98</v>
      </c>
      <c r="L355" s="46">
        <v>50</v>
      </c>
      <c r="M355" t="s">
        <v>186</v>
      </c>
      <c r="N355" t="s">
        <v>11</v>
      </c>
      <c r="O355" s="49">
        <v>3.6282999999999999</v>
      </c>
      <c r="P355" s="9">
        <f>ROUND(O355*L355,2)</f>
        <v>181.42</v>
      </c>
      <c r="Q355" s="10">
        <f>IF(N355="HKD",7.8,IF(N355="CNY",7.30034,1))</f>
        <v>7.3003400000000003</v>
      </c>
      <c r="R355" s="10">
        <f>+ROUND(O355/Q355,4)</f>
        <v>0.497</v>
      </c>
      <c r="S355" s="11">
        <f>ROUND(R355*L355,2)</f>
        <v>24.85</v>
      </c>
      <c r="T355" s="10" t="s">
        <v>349</v>
      </c>
      <c r="U355" t="s">
        <v>191</v>
      </c>
    </row>
    <row r="356" spans="1:21">
      <c r="A356" t="s">
        <v>4147</v>
      </c>
      <c r="B356" s="20">
        <v>45761</v>
      </c>
      <c r="C356" s="20">
        <v>45750</v>
      </c>
      <c r="D356" t="s">
        <v>187</v>
      </c>
      <c r="E356" t="s">
        <v>188</v>
      </c>
      <c r="G356" t="s">
        <v>4430</v>
      </c>
      <c r="H356" t="s">
        <v>3724</v>
      </c>
      <c r="I356" t="s">
        <v>3725</v>
      </c>
      <c r="J356" s="8" t="str">
        <f>+LEFT(U356,4)</f>
        <v>ALM-</v>
      </c>
      <c r="K356" t="s">
        <v>98</v>
      </c>
      <c r="L356" s="46">
        <v>70</v>
      </c>
      <c r="M356" t="s">
        <v>186</v>
      </c>
      <c r="N356" t="s">
        <v>11</v>
      </c>
      <c r="O356" s="49">
        <v>3.6282999999999999</v>
      </c>
      <c r="P356" s="9">
        <f>ROUND(O356*L356,2)</f>
        <v>253.98</v>
      </c>
      <c r="Q356" s="10">
        <f>IF(N356="HKD",7.8,IF(N356="CNY",7.30034,1))</f>
        <v>7.3003400000000003</v>
      </c>
      <c r="R356" s="10">
        <f>+ROUND(O356/Q356,4)</f>
        <v>0.497</v>
      </c>
      <c r="S356" s="11">
        <f>ROUND(R356*L356,2)</f>
        <v>34.79</v>
      </c>
      <c r="T356" s="10" t="s">
        <v>349</v>
      </c>
      <c r="U356" t="s">
        <v>191</v>
      </c>
    </row>
    <row r="357" spans="1:21">
      <c r="A357" t="s">
        <v>4148</v>
      </c>
      <c r="B357" s="20">
        <v>45761</v>
      </c>
      <c r="C357" s="20">
        <v>45750</v>
      </c>
      <c r="D357" t="s">
        <v>187</v>
      </c>
      <c r="E357" t="s">
        <v>188</v>
      </c>
      <c r="G357" t="s">
        <v>4430</v>
      </c>
      <c r="H357" t="s">
        <v>1740</v>
      </c>
      <c r="I357" t="s">
        <v>1741</v>
      </c>
      <c r="J357" s="8" t="str">
        <f>+LEFT(U357,4)</f>
        <v>ALM-</v>
      </c>
      <c r="K357" t="s">
        <v>98</v>
      </c>
      <c r="L357" s="46">
        <v>90</v>
      </c>
      <c r="M357" t="s">
        <v>186</v>
      </c>
      <c r="N357" t="s">
        <v>11</v>
      </c>
      <c r="O357" s="49">
        <v>3.6282999999999999</v>
      </c>
      <c r="P357" s="9">
        <f>ROUND(O357*L357,2)</f>
        <v>326.55</v>
      </c>
      <c r="Q357" s="10">
        <f>IF(N357="HKD",7.8,IF(N357="CNY",7.30034,1))</f>
        <v>7.3003400000000003</v>
      </c>
      <c r="R357" s="10">
        <f>+ROUND(O357/Q357,4)</f>
        <v>0.497</v>
      </c>
      <c r="S357" s="11">
        <f>ROUND(R357*L357,2)</f>
        <v>44.73</v>
      </c>
      <c r="T357" s="10" t="s">
        <v>349</v>
      </c>
      <c r="U357" t="s">
        <v>191</v>
      </c>
    </row>
    <row r="358" spans="1:21">
      <c r="A358" t="s">
        <v>4228</v>
      </c>
      <c r="B358" s="20">
        <v>45761</v>
      </c>
      <c r="C358" s="20">
        <v>45702</v>
      </c>
      <c r="D358" t="s">
        <v>287</v>
      </c>
      <c r="E358" t="s">
        <v>288</v>
      </c>
      <c r="G358" t="s">
        <v>4517</v>
      </c>
      <c r="H358" t="s">
        <v>3064</v>
      </c>
      <c r="I358" t="s">
        <v>83</v>
      </c>
      <c r="J358" s="8" t="s">
        <v>1478</v>
      </c>
      <c r="K358" t="s">
        <v>10</v>
      </c>
      <c r="L358" s="46">
        <v>5000</v>
      </c>
      <c r="M358" t="s">
        <v>1472</v>
      </c>
      <c r="N358" t="s">
        <v>11</v>
      </c>
      <c r="O358" s="49">
        <v>7.3479999999999999</v>
      </c>
      <c r="P358" s="9">
        <f>ROUND(O358*L358,2)</f>
        <v>36740</v>
      </c>
      <c r="Q358" s="10">
        <f>IF(N358="HKD",7.8,IF(N358="CNY",7.30034,1))</f>
        <v>7.3003400000000003</v>
      </c>
      <c r="R358" s="10">
        <f>+ROUND(O358/Q358,4)</f>
        <v>1.0065</v>
      </c>
      <c r="S358" s="11">
        <f>ROUND(R358*L358,2)</f>
        <v>5032.5</v>
      </c>
      <c r="T358" s="10" t="s">
        <v>349</v>
      </c>
      <c r="U358" t="s">
        <v>36</v>
      </c>
    </row>
    <row r="359" spans="1:21">
      <c r="A359" t="s">
        <v>2761</v>
      </c>
      <c r="B359" s="20">
        <v>45761</v>
      </c>
      <c r="C359" s="20">
        <v>45730</v>
      </c>
      <c r="D359" t="s">
        <v>806</v>
      </c>
      <c r="E359" t="s">
        <v>807</v>
      </c>
      <c r="G359" t="s">
        <v>4359</v>
      </c>
      <c r="H359" t="s">
        <v>3250</v>
      </c>
      <c r="I359" t="s">
        <v>3457</v>
      </c>
      <c r="J359" s="8" t="str">
        <f>+LEFT(U359,4)</f>
        <v>BAG-</v>
      </c>
      <c r="K359" t="s">
        <v>10</v>
      </c>
      <c r="L359" s="46">
        <v>10000</v>
      </c>
      <c r="M359" t="s">
        <v>1472</v>
      </c>
      <c r="N359" t="s">
        <v>11</v>
      </c>
      <c r="O359" s="49">
        <v>9.6000000000000002E-2</v>
      </c>
      <c r="P359" s="9">
        <f>ROUND(O359*L359,2)</f>
        <v>960</v>
      </c>
      <c r="Q359" s="10">
        <f>IF(N359="HKD",7.8,IF(N359="CNY",7.30034,1))</f>
        <v>7.3003400000000003</v>
      </c>
      <c r="R359" s="10">
        <f>+ROUND(O359/Q359,4)</f>
        <v>1.32E-2</v>
      </c>
      <c r="S359" s="11">
        <f>ROUND(R359*L359,2)</f>
        <v>132</v>
      </c>
      <c r="T359" s="10" t="s">
        <v>349</v>
      </c>
      <c r="U359" t="s">
        <v>810</v>
      </c>
    </row>
    <row r="360" spans="1:21">
      <c r="A360" t="s">
        <v>3890</v>
      </c>
      <c r="B360" s="20">
        <v>45761</v>
      </c>
      <c r="C360" s="20">
        <v>45755</v>
      </c>
      <c r="D360" t="s">
        <v>806</v>
      </c>
      <c r="E360" t="s">
        <v>807</v>
      </c>
      <c r="G360" t="s">
        <v>4359</v>
      </c>
      <c r="H360" t="s">
        <v>3251</v>
      </c>
      <c r="I360" t="s">
        <v>3458</v>
      </c>
      <c r="J360" s="8" t="str">
        <f>+LEFT(U360,4)</f>
        <v>BAG-</v>
      </c>
      <c r="K360" t="s">
        <v>10</v>
      </c>
      <c r="L360" s="46">
        <v>5000</v>
      </c>
      <c r="M360" t="s">
        <v>1472</v>
      </c>
      <c r="N360" t="s">
        <v>11</v>
      </c>
      <c r="O360" s="49">
        <v>0.113</v>
      </c>
      <c r="P360" s="9">
        <f>ROUND(O360*L360,2)</f>
        <v>565</v>
      </c>
      <c r="Q360" s="10">
        <f>IF(N360="HKD",7.8,IF(N360="CNY",7.30034,1))</f>
        <v>7.3003400000000003</v>
      </c>
      <c r="R360" s="10">
        <f>+ROUND(O360/Q360,4)</f>
        <v>1.55E-2</v>
      </c>
      <c r="S360" s="11">
        <f>ROUND(R360*L360,2)</f>
        <v>77.5</v>
      </c>
      <c r="T360" s="10" t="s">
        <v>349</v>
      </c>
      <c r="U360" t="s">
        <v>810</v>
      </c>
    </row>
    <row r="361" spans="1:21">
      <c r="A361" t="s">
        <v>3928</v>
      </c>
      <c r="B361" s="20">
        <v>45761</v>
      </c>
      <c r="C361" s="20">
        <v>45755</v>
      </c>
      <c r="D361" t="s">
        <v>806</v>
      </c>
      <c r="E361" t="s">
        <v>807</v>
      </c>
      <c r="G361" t="s">
        <v>4359</v>
      </c>
      <c r="H361" t="s">
        <v>3550</v>
      </c>
      <c r="I361" t="s">
        <v>3551</v>
      </c>
      <c r="J361" s="8" t="str">
        <f>+LEFT(U361,4)</f>
        <v>BAG-</v>
      </c>
      <c r="K361" t="s">
        <v>10</v>
      </c>
      <c r="L361" s="46">
        <v>2000</v>
      </c>
      <c r="M361" t="s">
        <v>1472</v>
      </c>
      <c r="N361" t="s">
        <v>11</v>
      </c>
      <c r="O361" s="49">
        <v>0.21</v>
      </c>
      <c r="P361" s="9">
        <f>ROUND(O361*L361,2)</f>
        <v>420</v>
      </c>
      <c r="Q361" s="10">
        <f>IF(N361="HKD",7.8,IF(N361="CNY",7.30034,1))</f>
        <v>7.3003400000000003</v>
      </c>
      <c r="R361" s="10">
        <f>+ROUND(O361/Q361,4)</f>
        <v>2.8799999999999999E-2</v>
      </c>
      <c r="S361" s="11">
        <f>ROUND(R361*L361,2)</f>
        <v>57.6</v>
      </c>
      <c r="T361" s="10" t="s">
        <v>349</v>
      </c>
      <c r="U361" t="s">
        <v>810</v>
      </c>
    </row>
    <row r="362" spans="1:21">
      <c r="A362" t="s">
        <v>3959</v>
      </c>
      <c r="B362" s="20">
        <v>45761</v>
      </c>
      <c r="C362" s="20">
        <v>45744</v>
      </c>
      <c r="D362" t="s">
        <v>21</v>
      </c>
      <c r="E362" t="s">
        <v>22</v>
      </c>
      <c r="G362" t="s">
        <v>4392</v>
      </c>
      <c r="H362" t="s">
        <v>1448</v>
      </c>
      <c r="I362" t="s">
        <v>1449</v>
      </c>
      <c r="J362" s="8" t="str">
        <f>+LEFT(U362,4)</f>
        <v>BRKT</v>
      </c>
      <c r="K362" t="s">
        <v>10</v>
      </c>
      <c r="L362" s="46">
        <v>1030</v>
      </c>
      <c r="M362" t="s">
        <v>1472</v>
      </c>
      <c r="N362" t="s">
        <v>11</v>
      </c>
      <c r="O362" s="49">
        <v>0.57969999999999999</v>
      </c>
      <c r="P362" s="9">
        <f>ROUND(O362*L362,2)</f>
        <v>597.09</v>
      </c>
      <c r="Q362" s="10">
        <f>IF(N362="HKD",7.8,IF(N362="CNY",7.30034,1))</f>
        <v>7.3003400000000003</v>
      </c>
      <c r="R362" s="10">
        <f>+ROUND(O362/Q362,4)</f>
        <v>7.9399999999999998E-2</v>
      </c>
      <c r="S362" s="11">
        <f>ROUND(R362*L362,2)</f>
        <v>81.78</v>
      </c>
      <c r="T362" s="10" t="s">
        <v>349</v>
      </c>
      <c r="U362" t="s">
        <v>442</v>
      </c>
    </row>
    <row r="363" spans="1:21">
      <c r="A363" t="s">
        <v>3972</v>
      </c>
      <c r="B363" s="20">
        <v>45761</v>
      </c>
      <c r="C363" s="20">
        <v>45750</v>
      </c>
      <c r="D363" t="s">
        <v>651</v>
      </c>
      <c r="E363" t="s">
        <v>652</v>
      </c>
      <c r="G363" t="s">
        <v>4396</v>
      </c>
      <c r="H363" t="s">
        <v>3238</v>
      </c>
      <c r="I363" t="s">
        <v>3445</v>
      </c>
      <c r="J363" s="8" t="str">
        <f>+LEFT(U363,4)</f>
        <v>FG--</v>
      </c>
      <c r="K363" t="s">
        <v>10</v>
      </c>
      <c r="L363" s="46">
        <v>4100</v>
      </c>
      <c r="M363" t="s">
        <v>1472</v>
      </c>
      <c r="N363" t="s">
        <v>11</v>
      </c>
      <c r="O363" s="49">
        <v>0.82320000000000004</v>
      </c>
      <c r="P363" s="9">
        <f>ROUND(O363*L363,2)</f>
        <v>3375.12</v>
      </c>
      <c r="Q363" s="10">
        <f>IF(N363="HKD",7.8,IF(N363="CNY",7.30034,1))</f>
        <v>7.3003400000000003</v>
      </c>
      <c r="R363" s="10">
        <f>+ROUND(O363/Q363,4)</f>
        <v>0.1128</v>
      </c>
      <c r="S363" s="11">
        <f>ROUND(R363*L363,2)</f>
        <v>462.48</v>
      </c>
      <c r="T363" s="10" t="s">
        <v>349</v>
      </c>
      <c r="U363" t="s">
        <v>64</v>
      </c>
    </row>
    <row r="364" spans="1:21">
      <c r="A364" t="s">
        <v>4011</v>
      </c>
      <c r="B364" s="20">
        <v>45761</v>
      </c>
      <c r="C364" s="20">
        <v>45744</v>
      </c>
      <c r="D364" t="s">
        <v>651</v>
      </c>
      <c r="E364" t="s">
        <v>652</v>
      </c>
      <c r="G364" t="s">
        <v>4410</v>
      </c>
      <c r="H364" t="s">
        <v>3116</v>
      </c>
      <c r="I364" t="s">
        <v>3330</v>
      </c>
      <c r="J364" s="8" t="str">
        <f>+LEFT(U364,4)</f>
        <v>HDL-</v>
      </c>
      <c r="K364" t="s">
        <v>10</v>
      </c>
      <c r="L364" s="46">
        <v>1020</v>
      </c>
      <c r="M364" t="s">
        <v>1472</v>
      </c>
      <c r="N364" t="s">
        <v>11</v>
      </c>
      <c r="O364" s="49">
        <v>1.76</v>
      </c>
      <c r="P364" s="9">
        <f>ROUND(O364*L364,2)</f>
        <v>1795.2</v>
      </c>
      <c r="Q364" s="10">
        <f>IF(N364="HKD",7.8,IF(N364="CNY",7.30034,1))</f>
        <v>7.3003400000000003</v>
      </c>
      <c r="R364" s="10">
        <f>+ROUND(O364/Q364,4)</f>
        <v>0.24110000000000001</v>
      </c>
      <c r="S364" s="11">
        <f>ROUND(R364*L364,2)</f>
        <v>245.92</v>
      </c>
      <c r="T364" s="10" t="s">
        <v>349</v>
      </c>
      <c r="U364" t="s">
        <v>228</v>
      </c>
    </row>
    <row r="365" spans="1:21">
      <c r="A365" t="s">
        <v>4017</v>
      </c>
      <c r="B365" s="20">
        <v>45761</v>
      </c>
      <c r="C365" s="20">
        <v>45750</v>
      </c>
      <c r="D365" t="s">
        <v>651</v>
      </c>
      <c r="E365" t="s">
        <v>652</v>
      </c>
      <c r="G365" t="s">
        <v>4410</v>
      </c>
      <c r="H365" t="s">
        <v>1674</v>
      </c>
      <c r="I365" t="s">
        <v>1675</v>
      </c>
      <c r="J365" s="8" t="str">
        <f>+LEFT(U365,4)</f>
        <v>HDL-</v>
      </c>
      <c r="K365" t="s">
        <v>10</v>
      </c>
      <c r="L365" s="46">
        <v>5100</v>
      </c>
      <c r="M365" t="s">
        <v>1472</v>
      </c>
      <c r="N365" t="s">
        <v>11</v>
      </c>
      <c r="O365" s="49">
        <v>2.0632000000000001</v>
      </c>
      <c r="P365" s="9">
        <f>ROUND(O365*L365,2)</f>
        <v>10522.32</v>
      </c>
      <c r="Q365" s="10">
        <f>IF(N365="HKD",7.8,IF(N365="CNY",7.30034,1))</f>
        <v>7.3003400000000003</v>
      </c>
      <c r="R365" s="10">
        <f>+ROUND(O365/Q365,4)</f>
        <v>0.28260000000000002</v>
      </c>
      <c r="S365" s="11">
        <f>ROUND(R365*L365,2)</f>
        <v>1441.26</v>
      </c>
      <c r="T365" s="10" t="s">
        <v>349</v>
      </c>
      <c r="U365" t="s">
        <v>228</v>
      </c>
    </row>
    <row r="366" spans="1:21">
      <c r="A366" t="s">
        <v>4018</v>
      </c>
      <c r="B366" s="20">
        <v>45761</v>
      </c>
      <c r="C366" s="20">
        <v>45744</v>
      </c>
      <c r="D366" t="s">
        <v>651</v>
      </c>
      <c r="E366" t="s">
        <v>652</v>
      </c>
      <c r="G366" t="s">
        <v>4410</v>
      </c>
      <c r="H366" t="s">
        <v>1674</v>
      </c>
      <c r="I366" t="s">
        <v>1675</v>
      </c>
      <c r="J366" s="8" t="str">
        <f>+LEFT(U366,4)</f>
        <v>HDL-</v>
      </c>
      <c r="K366" t="s">
        <v>10</v>
      </c>
      <c r="L366" s="46">
        <v>520</v>
      </c>
      <c r="M366" t="s">
        <v>1472</v>
      </c>
      <c r="N366" t="s">
        <v>11</v>
      </c>
      <c r="O366" s="49">
        <v>2.1269999999999998</v>
      </c>
      <c r="P366" s="9">
        <f>ROUND(O366*L366,2)</f>
        <v>1106.04</v>
      </c>
      <c r="Q366" s="10">
        <f>IF(N366="HKD",7.8,IF(N366="CNY",7.30034,1))</f>
        <v>7.3003400000000003</v>
      </c>
      <c r="R366" s="10">
        <f>+ROUND(O366/Q366,4)</f>
        <v>0.29139999999999999</v>
      </c>
      <c r="S366" s="11">
        <f>ROUND(R366*L366,2)</f>
        <v>151.53</v>
      </c>
      <c r="T366" s="10" t="s">
        <v>349</v>
      </c>
      <c r="U366" t="s">
        <v>228</v>
      </c>
    </row>
    <row r="367" spans="1:21">
      <c r="A367" t="s">
        <v>4032</v>
      </c>
      <c r="B367" s="20">
        <v>45761</v>
      </c>
      <c r="C367" s="20">
        <v>45750</v>
      </c>
      <c r="D367" t="s">
        <v>651</v>
      </c>
      <c r="E367" t="s">
        <v>652</v>
      </c>
      <c r="G367" t="s">
        <v>4410</v>
      </c>
      <c r="H367" t="s">
        <v>3200</v>
      </c>
      <c r="I367" t="s">
        <v>3407</v>
      </c>
      <c r="J367" s="8" t="str">
        <f>+LEFT(U367,4)</f>
        <v>HDL-</v>
      </c>
      <c r="K367" t="s">
        <v>10</v>
      </c>
      <c r="L367" s="46">
        <v>4050</v>
      </c>
      <c r="M367" t="s">
        <v>1472</v>
      </c>
      <c r="N367" t="s">
        <v>11</v>
      </c>
      <c r="O367" s="49">
        <v>2.3401999999999998</v>
      </c>
      <c r="P367" s="9">
        <f>ROUND(O367*L367,2)</f>
        <v>9477.81</v>
      </c>
      <c r="Q367" s="10">
        <f>IF(N367="HKD",7.8,IF(N367="CNY",7.30034,1))</f>
        <v>7.3003400000000003</v>
      </c>
      <c r="R367" s="10">
        <f>+ROUND(O367/Q367,4)</f>
        <v>0.3206</v>
      </c>
      <c r="S367" s="11">
        <f>ROUND(R367*L367,2)</f>
        <v>1298.43</v>
      </c>
      <c r="T367" s="10" t="s">
        <v>349</v>
      </c>
      <c r="U367" t="s">
        <v>228</v>
      </c>
    </row>
    <row r="368" spans="1:21">
      <c r="A368" t="s">
        <v>4241</v>
      </c>
      <c r="B368" s="20">
        <v>45761</v>
      </c>
      <c r="C368" s="20">
        <v>45712</v>
      </c>
      <c r="D368" t="s">
        <v>2257</v>
      </c>
      <c r="E368" t="s">
        <v>2258</v>
      </c>
      <c r="G368" t="s">
        <v>4524</v>
      </c>
      <c r="H368" t="s">
        <v>3148</v>
      </c>
      <c r="I368" t="s">
        <v>3358</v>
      </c>
      <c r="J368" s="8" t="str">
        <f>+LEFT(U368,4)</f>
        <v>HDL-</v>
      </c>
      <c r="K368" t="s">
        <v>10</v>
      </c>
      <c r="L368" s="46">
        <v>3000</v>
      </c>
      <c r="M368" t="s">
        <v>1472</v>
      </c>
      <c r="N368" t="s">
        <v>11</v>
      </c>
      <c r="O368" s="49">
        <v>7.4931000000000001</v>
      </c>
      <c r="P368" s="9">
        <f>ROUND(O368*L368,2)</f>
        <v>22479.3</v>
      </c>
      <c r="Q368" s="10">
        <f>IF(N368="HKD",7.8,IF(N368="CNY",7.30034,1))</f>
        <v>7.3003400000000003</v>
      </c>
      <c r="R368" s="10">
        <f>+ROUND(O368/Q368,4)</f>
        <v>1.0264</v>
      </c>
      <c r="S368" s="11">
        <f>ROUND(R368*L368,2)</f>
        <v>3079.2</v>
      </c>
      <c r="T368" s="10" t="s">
        <v>349</v>
      </c>
      <c r="U368" t="s">
        <v>228</v>
      </c>
    </row>
    <row r="369" spans="1:21">
      <c r="A369" t="s">
        <v>4244</v>
      </c>
      <c r="B369" s="20">
        <v>45761</v>
      </c>
      <c r="C369" s="20">
        <v>45713</v>
      </c>
      <c r="D369" t="s">
        <v>2257</v>
      </c>
      <c r="E369" t="s">
        <v>2258</v>
      </c>
      <c r="G369" t="s">
        <v>4524</v>
      </c>
      <c r="H369" t="s">
        <v>1798</v>
      </c>
      <c r="I369" t="s">
        <v>1799</v>
      </c>
      <c r="J369" s="8" t="str">
        <f>+LEFT(U369,4)</f>
        <v>HDL-</v>
      </c>
      <c r="K369" t="s">
        <v>10</v>
      </c>
      <c r="L369" s="46">
        <v>3000</v>
      </c>
      <c r="M369" t="s">
        <v>1472</v>
      </c>
      <c r="N369" t="s">
        <v>11</v>
      </c>
      <c r="O369" s="49">
        <v>7.4931000000000001</v>
      </c>
      <c r="P369" s="9">
        <f>ROUND(O369*L369,2)</f>
        <v>22479.3</v>
      </c>
      <c r="Q369" s="10">
        <f>IF(N369="HKD",7.8,IF(N369="CNY",7.30034,1))</f>
        <v>7.3003400000000003</v>
      </c>
      <c r="R369" s="10">
        <f>+ROUND(O369/Q369,4)</f>
        <v>1.0264</v>
      </c>
      <c r="S369" s="11">
        <f>ROUND(R369*L369,2)</f>
        <v>3079.2</v>
      </c>
      <c r="T369" s="10" t="s">
        <v>349</v>
      </c>
      <c r="U369" t="s">
        <v>228</v>
      </c>
    </row>
    <row r="370" spans="1:21">
      <c r="A370" t="s">
        <v>4247</v>
      </c>
      <c r="B370" s="20">
        <v>45761</v>
      </c>
      <c r="C370" s="20">
        <v>45713</v>
      </c>
      <c r="D370" t="s">
        <v>2257</v>
      </c>
      <c r="E370" t="s">
        <v>2258</v>
      </c>
      <c r="G370" t="s">
        <v>4524</v>
      </c>
      <c r="H370" t="s">
        <v>1800</v>
      </c>
      <c r="I370" t="s">
        <v>1801</v>
      </c>
      <c r="J370" s="8" t="str">
        <f>+LEFT(U370,4)</f>
        <v>HDL-</v>
      </c>
      <c r="K370" t="s">
        <v>10</v>
      </c>
      <c r="L370" s="46">
        <v>4020</v>
      </c>
      <c r="M370" t="s">
        <v>1472</v>
      </c>
      <c r="N370" t="s">
        <v>11</v>
      </c>
      <c r="O370" s="49">
        <v>7.4931000000000001</v>
      </c>
      <c r="P370" s="9">
        <f>ROUND(O370*L370,2)</f>
        <v>30122.26</v>
      </c>
      <c r="Q370" s="10">
        <f>IF(N370="HKD",7.8,IF(N370="CNY",7.30034,1))</f>
        <v>7.3003400000000003</v>
      </c>
      <c r="R370" s="10">
        <f>+ROUND(O370/Q370,4)</f>
        <v>1.0264</v>
      </c>
      <c r="S370" s="11">
        <f>ROUND(R370*L370,2)</f>
        <v>4126.13</v>
      </c>
      <c r="T370" s="10" t="s">
        <v>349</v>
      </c>
      <c r="U370" t="s">
        <v>228</v>
      </c>
    </row>
    <row r="371" spans="1:21">
      <c r="A371" t="s">
        <v>4266</v>
      </c>
      <c r="B371" s="20">
        <v>45761</v>
      </c>
      <c r="C371" s="20">
        <v>45712</v>
      </c>
      <c r="D371" t="s">
        <v>2257</v>
      </c>
      <c r="E371" t="s">
        <v>2258</v>
      </c>
      <c r="G371" t="s">
        <v>4524</v>
      </c>
      <c r="H371" t="s">
        <v>3147</v>
      </c>
      <c r="I371" t="s">
        <v>3357</v>
      </c>
      <c r="J371" s="8" t="str">
        <f>+LEFT(U371,4)</f>
        <v>HDL-</v>
      </c>
      <c r="K371" t="s">
        <v>10</v>
      </c>
      <c r="L371" s="46">
        <v>3450</v>
      </c>
      <c r="M371" t="s">
        <v>1472</v>
      </c>
      <c r="N371" t="s">
        <v>11</v>
      </c>
      <c r="O371" s="49">
        <v>8.5710999999999995</v>
      </c>
      <c r="P371" s="9">
        <f>ROUND(O371*L371,2)</f>
        <v>29570.3</v>
      </c>
      <c r="Q371" s="10">
        <f>IF(N371="HKD",7.8,IF(N371="CNY",7.30034,1))</f>
        <v>7.3003400000000003</v>
      </c>
      <c r="R371" s="10">
        <f>+ROUND(O371/Q371,4)</f>
        <v>1.1740999999999999</v>
      </c>
      <c r="S371" s="11">
        <f>ROUND(R371*L371,2)</f>
        <v>4050.65</v>
      </c>
      <c r="T371" s="10" t="s">
        <v>349</v>
      </c>
      <c r="U371" t="s">
        <v>228</v>
      </c>
    </row>
    <row r="372" spans="1:21">
      <c r="A372" t="s">
        <v>4020</v>
      </c>
      <c r="B372" s="20">
        <v>45761</v>
      </c>
      <c r="C372" s="20">
        <v>45729</v>
      </c>
      <c r="D372" t="s">
        <v>28</v>
      </c>
      <c r="E372" t="s">
        <v>29</v>
      </c>
      <c r="G372" t="s">
        <v>4414</v>
      </c>
      <c r="H372" t="s">
        <v>3072</v>
      </c>
      <c r="I372" t="s">
        <v>3289</v>
      </c>
      <c r="J372" s="8" t="str">
        <f>+LEFT(U372,4)</f>
        <v>LHDL</v>
      </c>
      <c r="K372" t="s">
        <v>10</v>
      </c>
      <c r="L372" s="46">
        <v>1020</v>
      </c>
      <c r="M372" t="s">
        <v>1472</v>
      </c>
      <c r="N372" t="s">
        <v>11</v>
      </c>
      <c r="O372" s="49">
        <v>2.1898</v>
      </c>
      <c r="P372" s="9">
        <f>ROUND(O372*L372,2)</f>
        <v>2233.6</v>
      </c>
      <c r="Q372" s="10">
        <f>IF(N372="HKD",7.8,IF(N372="CNY",7.30034,1))</f>
        <v>7.3003400000000003</v>
      </c>
      <c r="R372" s="10">
        <f>+ROUND(O372/Q372,4)</f>
        <v>0.3</v>
      </c>
      <c r="S372" s="11">
        <f>ROUND(R372*L372,2)</f>
        <v>306</v>
      </c>
      <c r="T372" s="10" t="s">
        <v>349</v>
      </c>
      <c r="U372" t="s">
        <v>125</v>
      </c>
    </row>
    <row r="373" spans="1:21">
      <c r="A373" t="s">
        <v>4021</v>
      </c>
      <c r="B373" s="20">
        <v>45761</v>
      </c>
      <c r="C373" s="20">
        <v>45729</v>
      </c>
      <c r="D373" t="s">
        <v>28</v>
      </c>
      <c r="E373" t="s">
        <v>29</v>
      </c>
      <c r="G373" t="s">
        <v>4414</v>
      </c>
      <c r="H373" t="s">
        <v>3074</v>
      </c>
      <c r="I373" t="s">
        <v>3290</v>
      </c>
      <c r="J373" s="8" t="str">
        <f>+LEFT(U373,4)</f>
        <v>LHDL</v>
      </c>
      <c r="K373" t="s">
        <v>10</v>
      </c>
      <c r="L373" s="46">
        <v>960</v>
      </c>
      <c r="M373" t="s">
        <v>1472</v>
      </c>
      <c r="N373" t="s">
        <v>11</v>
      </c>
      <c r="O373" s="49">
        <v>2.1898</v>
      </c>
      <c r="P373" s="9">
        <f>ROUND(O373*L373,2)</f>
        <v>2102.21</v>
      </c>
      <c r="Q373" s="10">
        <f>IF(N373="HKD",7.8,IF(N373="CNY",7.30034,1))</f>
        <v>7.3003400000000003</v>
      </c>
      <c r="R373" s="10">
        <f>+ROUND(O373/Q373,4)</f>
        <v>0.3</v>
      </c>
      <c r="S373" s="11">
        <f>ROUND(R373*L373,2)</f>
        <v>288</v>
      </c>
      <c r="T373" s="10" t="s">
        <v>349</v>
      </c>
      <c r="U373" t="s">
        <v>125</v>
      </c>
    </row>
    <row r="374" spans="1:21">
      <c r="A374" t="s">
        <v>4022</v>
      </c>
      <c r="B374" s="20">
        <v>45761</v>
      </c>
      <c r="C374" s="20">
        <v>45729</v>
      </c>
      <c r="D374" t="s">
        <v>28</v>
      </c>
      <c r="E374" t="s">
        <v>29</v>
      </c>
      <c r="G374" t="s">
        <v>4414</v>
      </c>
      <c r="H374" t="s">
        <v>3613</v>
      </c>
      <c r="I374" t="s">
        <v>3614</v>
      </c>
      <c r="J374" s="8" t="str">
        <f>+LEFT(U374,4)</f>
        <v>LHDL</v>
      </c>
      <c r="K374" t="s">
        <v>10</v>
      </c>
      <c r="L374" s="46">
        <v>500</v>
      </c>
      <c r="M374" t="s">
        <v>1472</v>
      </c>
      <c r="N374" t="s">
        <v>11</v>
      </c>
      <c r="O374" s="49">
        <v>2.1898</v>
      </c>
      <c r="P374" s="9">
        <f>ROUND(O374*L374,2)</f>
        <v>1094.9000000000001</v>
      </c>
      <c r="Q374" s="10">
        <f>IF(N374="HKD",7.8,IF(N374="CNY",7.30034,1))</f>
        <v>7.3003400000000003</v>
      </c>
      <c r="R374" s="10">
        <f>+ROUND(O374/Q374,4)</f>
        <v>0.3</v>
      </c>
      <c r="S374" s="11">
        <f>ROUND(R374*L374,2)</f>
        <v>150</v>
      </c>
      <c r="T374" s="10" t="s">
        <v>349</v>
      </c>
      <c r="U374" t="s">
        <v>125</v>
      </c>
    </row>
    <row r="375" spans="1:21">
      <c r="A375" t="s">
        <v>4023</v>
      </c>
      <c r="B375" s="20">
        <v>45761</v>
      </c>
      <c r="C375" s="20">
        <v>45729</v>
      </c>
      <c r="D375" t="s">
        <v>28</v>
      </c>
      <c r="E375" t="s">
        <v>29</v>
      </c>
      <c r="G375" t="s">
        <v>4414</v>
      </c>
      <c r="H375" t="s">
        <v>3075</v>
      </c>
      <c r="I375" t="s">
        <v>3291</v>
      </c>
      <c r="J375" s="8" t="str">
        <f>+LEFT(U375,4)</f>
        <v>LHDL</v>
      </c>
      <c r="K375" t="s">
        <v>10</v>
      </c>
      <c r="L375" s="46">
        <v>1010</v>
      </c>
      <c r="M375" t="s">
        <v>1472</v>
      </c>
      <c r="N375" t="s">
        <v>11</v>
      </c>
      <c r="O375" s="49">
        <v>2.1898</v>
      </c>
      <c r="P375" s="9">
        <f>ROUND(O375*L375,2)</f>
        <v>2211.6999999999998</v>
      </c>
      <c r="Q375" s="10">
        <f>IF(N375="HKD",7.8,IF(N375="CNY",7.30034,1))</f>
        <v>7.3003400000000003</v>
      </c>
      <c r="R375" s="10">
        <f>+ROUND(O375/Q375,4)</f>
        <v>0.3</v>
      </c>
      <c r="S375" s="11">
        <f>ROUND(R375*L375,2)</f>
        <v>303</v>
      </c>
      <c r="T375" s="10" t="s">
        <v>349</v>
      </c>
      <c r="U375" t="s">
        <v>125</v>
      </c>
    </row>
    <row r="376" spans="1:21">
      <c r="A376" t="s">
        <v>4120</v>
      </c>
      <c r="B376" s="20">
        <v>45761</v>
      </c>
      <c r="C376" s="20">
        <v>45728</v>
      </c>
      <c r="D376" t="s">
        <v>94</v>
      </c>
      <c r="E376" t="s">
        <v>95</v>
      </c>
      <c r="G376" t="s">
        <v>4433</v>
      </c>
      <c r="H376" t="s">
        <v>3700</v>
      </c>
      <c r="I376" t="s">
        <v>3701</v>
      </c>
      <c r="J376" s="8" t="str">
        <f>+LEFT(U376,4)</f>
        <v>LID-</v>
      </c>
      <c r="K376" t="s">
        <v>98</v>
      </c>
      <c r="L376" s="46">
        <v>950</v>
      </c>
      <c r="M376" t="s">
        <v>1472</v>
      </c>
      <c r="N376" t="s">
        <v>11</v>
      </c>
      <c r="O376" s="49">
        <v>3.3</v>
      </c>
      <c r="P376" s="9">
        <f>ROUND(O376*L376,2)</f>
        <v>3135</v>
      </c>
      <c r="Q376" s="10">
        <f>IF(N376="HKD",7.8,IF(N376="CNY",7.30034,1))</f>
        <v>7.3003400000000003</v>
      </c>
      <c r="R376" s="10">
        <f>+ROUND(O376/Q376,4)</f>
        <v>0.45200000000000001</v>
      </c>
      <c r="S376" s="11">
        <f>ROUND(R376*L376,2)</f>
        <v>429.4</v>
      </c>
      <c r="T376" s="10" t="s">
        <v>349</v>
      </c>
      <c r="U376" t="s">
        <v>368</v>
      </c>
    </row>
    <row r="377" spans="1:21">
      <c r="A377" t="s">
        <v>4156</v>
      </c>
      <c r="B377" s="20">
        <v>45761</v>
      </c>
      <c r="C377" s="20">
        <v>45664</v>
      </c>
      <c r="D377" t="s">
        <v>94</v>
      </c>
      <c r="E377" t="s">
        <v>95</v>
      </c>
      <c r="G377" t="s">
        <v>4451</v>
      </c>
      <c r="H377" t="s">
        <v>1742</v>
      </c>
      <c r="I377" t="s">
        <v>1743</v>
      </c>
      <c r="J377" s="8" t="str">
        <f>+LEFT(U377,4)</f>
        <v>LID-</v>
      </c>
      <c r="K377" t="s">
        <v>369</v>
      </c>
      <c r="L377" s="46">
        <v>1030</v>
      </c>
      <c r="M377" t="s">
        <v>1472</v>
      </c>
      <c r="N377" t="s">
        <v>11</v>
      </c>
      <c r="O377" s="49">
        <v>3.75</v>
      </c>
      <c r="P377" s="9">
        <f>ROUND(O377*L377,2)</f>
        <v>3862.5</v>
      </c>
      <c r="Q377" s="10">
        <f>IF(N377="HKD",7.8,IF(N377="CNY",7.30034,1))</f>
        <v>7.3003400000000003</v>
      </c>
      <c r="R377" s="10">
        <f>+ROUND(O377/Q377,4)</f>
        <v>0.51370000000000005</v>
      </c>
      <c r="S377" s="11">
        <f>ROUND(R377*L377,2)</f>
        <v>529.11</v>
      </c>
      <c r="T377" s="10" t="s">
        <v>349</v>
      </c>
      <c r="U377" t="s">
        <v>368</v>
      </c>
    </row>
    <row r="378" spans="1:21">
      <c r="A378" t="s">
        <v>4157</v>
      </c>
      <c r="B378" s="20">
        <v>45761</v>
      </c>
      <c r="C378" s="20">
        <v>45700</v>
      </c>
      <c r="D378" t="s">
        <v>94</v>
      </c>
      <c r="E378" t="s">
        <v>95</v>
      </c>
      <c r="G378" t="s">
        <v>4451</v>
      </c>
      <c r="H378" t="s">
        <v>1742</v>
      </c>
      <c r="I378" t="s">
        <v>1743</v>
      </c>
      <c r="J378" s="8" t="str">
        <f>+LEFT(U378,4)</f>
        <v>LID-</v>
      </c>
      <c r="K378" t="s">
        <v>369</v>
      </c>
      <c r="L378" s="46">
        <v>30</v>
      </c>
      <c r="M378" t="s">
        <v>1472</v>
      </c>
      <c r="N378" t="s">
        <v>11</v>
      </c>
      <c r="O378" s="49">
        <v>3.75</v>
      </c>
      <c r="P378" s="9">
        <f>ROUND(O378*L378,2)</f>
        <v>112.5</v>
      </c>
      <c r="Q378" s="10">
        <f>IF(N378="HKD",7.8,IF(N378="CNY",7.30034,1))</f>
        <v>7.3003400000000003</v>
      </c>
      <c r="R378" s="10">
        <f>+ROUND(O378/Q378,4)</f>
        <v>0.51370000000000005</v>
      </c>
      <c r="S378" s="11">
        <f>ROUND(R378*L378,2)</f>
        <v>15.41</v>
      </c>
      <c r="T378" s="10" t="s">
        <v>349</v>
      </c>
      <c r="U378" t="s">
        <v>368</v>
      </c>
    </row>
    <row r="379" spans="1:21">
      <c r="A379" t="s">
        <v>4158</v>
      </c>
      <c r="B379" s="20">
        <v>45761</v>
      </c>
      <c r="C379" s="20">
        <v>45700</v>
      </c>
      <c r="D379" t="s">
        <v>94</v>
      </c>
      <c r="E379" t="s">
        <v>95</v>
      </c>
      <c r="G379" t="s">
        <v>4451</v>
      </c>
      <c r="H379" t="s">
        <v>1742</v>
      </c>
      <c r="I379" t="s">
        <v>1743</v>
      </c>
      <c r="J379" s="8" t="str">
        <f>+LEFT(U379,4)</f>
        <v>LID-</v>
      </c>
      <c r="K379" t="s">
        <v>369</v>
      </c>
      <c r="L379" s="46">
        <v>30</v>
      </c>
      <c r="M379" t="s">
        <v>1472</v>
      </c>
      <c r="N379" t="s">
        <v>11</v>
      </c>
      <c r="O379" s="49">
        <v>3.75</v>
      </c>
      <c r="P379" s="9">
        <f>ROUND(O379*L379,2)</f>
        <v>112.5</v>
      </c>
      <c r="Q379" s="10">
        <f>IF(N379="HKD",7.8,IF(N379="CNY",7.30034,1))</f>
        <v>7.3003400000000003</v>
      </c>
      <c r="R379" s="10">
        <f>+ROUND(O379/Q379,4)</f>
        <v>0.51370000000000005</v>
      </c>
      <c r="S379" s="11">
        <f>ROUND(R379*L379,2)</f>
        <v>15.41</v>
      </c>
      <c r="T379" s="10" t="s">
        <v>349</v>
      </c>
      <c r="U379" t="s">
        <v>368</v>
      </c>
    </row>
    <row r="380" spans="1:21">
      <c r="A380" t="s">
        <v>2325</v>
      </c>
      <c r="B380" s="20">
        <v>45761</v>
      </c>
      <c r="C380" s="20">
        <v>45664</v>
      </c>
      <c r="D380" t="s">
        <v>94</v>
      </c>
      <c r="E380" t="s">
        <v>95</v>
      </c>
      <c r="G380" t="s">
        <v>4453</v>
      </c>
      <c r="H380" t="s">
        <v>1750</v>
      </c>
      <c r="I380" t="s">
        <v>1751</v>
      </c>
      <c r="J380" s="8" t="str">
        <f>+LEFT(U380,4)</f>
        <v>LID-</v>
      </c>
      <c r="K380" t="s">
        <v>369</v>
      </c>
      <c r="L380" s="46">
        <v>1070</v>
      </c>
      <c r="M380" t="s">
        <v>1472</v>
      </c>
      <c r="N380" t="s">
        <v>11</v>
      </c>
      <c r="O380" s="49">
        <v>3.92</v>
      </c>
      <c r="P380" s="9">
        <f>ROUND(O380*L380,2)</f>
        <v>4194.3999999999996</v>
      </c>
      <c r="Q380" s="10">
        <f>IF(N380="HKD",7.8,IF(N380="CNY",7.30034,1))</f>
        <v>7.3003400000000003</v>
      </c>
      <c r="R380" s="10">
        <f>+ROUND(O380/Q380,4)</f>
        <v>0.53700000000000003</v>
      </c>
      <c r="S380" s="11">
        <f>ROUND(R380*L380,2)</f>
        <v>574.59</v>
      </c>
      <c r="T380" s="10" t="s">
        <v>349</v>
      </c>
      <c r="U380" t="s">
        <v>368</v>
      </c>
    </row>
    <row r="381" spans="1:21">
      <c r="A381" t="s">
        <v>4163</v>
      </c>
      <c r="B381" s="20">
        <v>45761</v>
      </c>
      <c r="C381" s="20">
        <v>45700</v>
      </c>
      <c r="D381" t="s">
        <v>94</v>
      </c>
      <c r="E381" t="s">
        <v>95</v>
      </c>
      <c r="G381" t="s">
        <v>4453</v>
      </c>
      <c r="H381" t="s">
        <v>1750</v>
      </c>
      <c r="I381" t="s">
        <v>1751</v>
      </c>
      <c r="J381" s="8" t="str">
        <f>+LEFT(U381,4)</f>
        <v>LID-</v>
      </c>
      <c r="K381" t="s">
        <v>369</v>
      </c>
      <c r="L381" s="46">
        <v>290</v>
      </c>
      <c r="M381" t="s">
        <v>1472</v>
      </c>
      <c r="N381" t="s">
        <v>11</v>
      </c>
      <c r="O381" s="49">
        <v>3.92</v>
      </c>
      <c r="P381" s="9">
        <f>ROUND(O381*L381,2)</f>
        <v>1136.8</v>
      </c>
      <c r="Q381" s="10">
        <f>IF(N381="HKD",7.8,IF(N381="CNY",7.30034,1))</f>
        <v>7.3003400000000003</v>
      </c>
      <c r="R381" s="10">
        <f>+ROUND(O381/Q381,4)</f>
        <v>0.53700000000000003</v>
      </c>
      <c r="S381" s="11">
        <f>ROUND(R381*L381,2)</f>
        <v>155.72999999999999</v>
      </c>
      <c r="T381" s="10" t="s">
        <v>349</v>
      </c>
      <c r="U381" t="s">
        <v>368</v>
      </c>
    </row>
    <row r="382" spans="1:21">
      <c r="A382" t="s">
        <v>2540</v>
      </c>
      <c r="B382" s="20">
        <v>45761</v>
      </c>
      <c r="C382" s="20">
        <v>45714</v>
      </c>
      <c r="D382" t="s">
        <v>830</v>
      </c>
      <c r="E382" t="s">
        <v>831</v>
      </c>
      <c r="G382" t="s">
        <v>4465</v>
      </c>
      <c r="H382" t="s">
        <v>3166</v>
      </c>
      <c r="I382" t="s">
        <v>3376</v>
      </c>
      <c r="J382" s="8" t="str">
        <f>+LEFT(U382,4)</f>
        <v>LID-</v>
      </c>
      <c r="K382" t="s">
        <v>98</v>
      </c>
      <c r="L382" s="46">
        <v>960</v>
      </c>
      <c r="M382" t="s">
        <v>1472</v>
      </c>
      <c r="N382" t="s">
        <v>11</v>
      </c>
      <c r="O382" s="49">
        <v>4.2</v>
      </c>
      <c r="P382" s="9">
        <f>ROUND(O382*L382,2)</f>
        <v>4032</v>
      </c>
      <c r="Q382" s="10">
        <f>IF(N382="HKD",7.8,IF(N382="CNY",7.30034,1))</f>
        <v>7.3003400000000003</v>
      </c>
      <c r="R382" s="10">
        <f>+ROUND(O382/Q382,4)</f>
        <v>0.57530000000000003</v>
      </c>
      <c r="S382" s="11">
        <f>ROUND(R382*L382,2)</f>
        <v>552.29</v>
      </c>
      <c r="T382" s="10" t="s">
        <v>349</v>
      </c>
      <c r="U382" t="s">
        <v>368</v>
      </c>
    </row>
    <row r="383" spans="1:21">
      <c r="A383" t="s">
        <v>4179</v>
      </c>
      <c r="B383" s="20">
        <v>45761</v>
      </c>
      <c r="C383" s="20">
        <v>45714</v>
      </c>
      <c r="D383" t="s">
        <v>94</v>
      </c>
      <c r="E383" t="s">
        <v>95</v>
      </c>
      <c r="G383" t="s">
        <v>4484</v>
      </c>
      <c r="H383" t="s">
        <v>3164</v>
      </c>
      <c r="I383" t="s">
        <v>3374</v>
      </c>
      <c r="J383" s="8" t="str">
        <f>+LEFT(U383,4)</f>
        <v>LID-</v>
      </c>
      <c r="K383" t="s">
        <v>98</v>
      </c>
      <c r="L383" s="46">
        <v>265</v>
      </c>
      <c r="M383" t="s">
        <v>1472</v>
      </c>
      <c r="N383" t="s">
        <v>11</v>
      </c>
      <c r="O383" s="49">
        <v>4.26</v>
      </c>
      <c r="P383" s="9">
        <f>ROUND(O383*L383,2)</f>
        <v>1128.9000000000001</v>
      </c>
      <c r="Q383" s="10">
        <f>IF(N383="HKD",7.8,IF(N383="CNY",7.30034,1))</f>
        <v>7.3003400000000003</v>
      </c>
      <c r="R383" s="10">
        <f>+ROUND(O383/Q383,4)</f>
        <v>0.58350000000000002</v>
      </c>
      <c r="S383" s="11">
        <f>ROUND(R383*L383,2)</f>
        <v>154.63</v>
      </c>
      <c r="T383" s="10" t="s">
        <v>349</v>
      </c>
      <c r="U383" t="s">
        <v>368</v>
      </c>
    </row>
    <row r="384" spans="1:21">
      <c r="A384" t="s">
        <v>4180</v>
      </c>
      <c r="B384" s="20">
        <v>45761</v>
      </c>
      <c r="C384" s="20">
        <v>45714</v>
      </c>
      <c r="D384" t="s">
        <v>94</v>
      </c>
      <c r="E384" t="s">
        <v>95</v>
      </c>
      <c r="G384" t="s">
        <v>4484</v>
      </c>
      <c r="H384" t="s">
        <v>3164</v>
      </c>
      <c r="I384" t="s">
        <v>3374</v>
      </c>
      <c r="J384" s="8" t="str">
        <f>+LEFT(U384,4)</f>
        <v>LID-</v>
      </c>
      <c r="K384" t="s">
        <v>98</v>
      </c>
      <c r="L384" s="46">
        <v>475</v>
      </c>
      <c r="M384" t="s">
        <v>1472</v>
      </c>
      <c r="N384" t="s">
        <v>11</v>
      </c>
      <c r="O384" s="49">
        <v>4.26</v>
      </c>
      <c r="P384" s="9">
        <f>ROUND(O384*L384,2)</f>
        <v>2023.5</v>
      </c>
      <c r="Q384" s="10">
        <f>IF(N384="HKD",7.8,IF(N384="CNY",7.30034,1))</f>
        <v>7.3003400000000003</v>
      </c>
      <c r="R384" s="10">
        <f>+ROUND(O384/Q384,4)</f>
        <v>0.58350000000000002</v>
      </c>
      <c r="S384" s="11">
        <f>ROUND(R384*L384,2)</f>
        <v>277.16000000000003</v>
      </c>
      <c r="T384" s="10" t="s">
        <v>349</v>
      </c>
      <c r="U384" t="s">
        <v>368</v>
      </c>
    </row>
    <row r="385" spans="1:21">
      <c r="A385" t="s">
        <v>4191</v>
      </c>
      <c r="B385" s="20">
        <v>45761</v>
      </c>
      <c r="C385" s="20">
        <v>45714</v>
      </c>
      <c r="D385" t="s">
        <v>830</v>
      </c>
      <c r="E385" t="s">
        <v>831</v>
      </c>
      <c r="G385" t="s">
        <v>4465</v>
      </c>
      <c r="H385" t="s">
        <v>3750</v>
      </c>
      <c r="I385" t="s">
        <v>3751</v>
      </c>
      <c r="J385" s="8" t="str">
        <f>+LEFT(U385,4)</f>
        <v>LID-</v>
      </c>
      <c r="K385" t="s">
        <v>98</v>
      </c>
      <c r="L385" s="46">
        <v>960</v>
      </c>
      <c r="M385" t="s">
        <v>1472</v>
      </c>
      <c r="N385" t="s">
        <v>11</v>
      </c>
      <c r="O385" s="49">
        <v>4.5999999999999996</v>
      </c>
      <c r="P385" s="9">
        <f>ROUND(O385*L385,2)</f>
        <v>4416</v>
      </c>
      <c r="Q385" s="10">
        <f>IF(N385="HKD",7.8,IF(N385="CNY",7.30034,1))</f>
        <v>7.3003400000000003</v>
      </c>
      <c r="R385" s="10">
        <f>+ROUND(O385/Q385,4)</f>
        <v>0.63009999999999999</v>
      </c>
      <c r="S385" s="11">
        <f>ROUND(R385*L385,2)</f>
        <v>604.9</v>
      </c>
      <c r="T385" s="10" t="s">
        <v>349</v>
      </c>
      <c r="U385" t="s">
        <v>368</v>
      </c>
    </row>
    <row r="386" spans="1:21">
      <c r="A386" t="s">
        <v>4275</v>
      </c>
      <c r="B386" s="20">
        <v>45761</v>
      </c>
      <c r="C386" s="20">
        <v>45664</v>
      </c>
      <c r="D386" t="s">
        <v>94</v>
      </c>
      <c r="E386" t="s">
        <v>95</v>
      </c>
      <c r="G386" t="s">
        <v>4535</v>
      </c>
      <c r="H386" t="s">
        <v>3784</v>
      </c>
      <c r="I386" t="s">
        <v>3785</v>
      </c>
      <c r="J386" s="8" t="str">
        <f>+LEFT(U386,4)</f>
        <v>LID-</v>
      </c>
      <c r="K386" t="s">
        <v>98</v>
      </c>
      <c r="L386" s="46">
        <v>500</v>
      </c>
      <c r="M386" t="s">
        <v>1472</v>
      </c>
      <c r="N386" t="s">
        <v>11</v>
      </c>
      <c r="O386" s="49">
        <v>8.9</v>
      </c>
      <c r="P386" s="9">
        <f>ROUND(O386*L386,2)</f>
        <v>4450</v>
      </c>
      <c r="Q386" s="10">
        <f>IF(N386="HKD",7.8,IF(N386="CNY",7.30034,1))</f>
        <v>7.3003400000000003</v>
      </c>
      <c r="R386" s="10">
        <f>+ROUND(O386/Q386,4)</f>
        <v>1.2191000000000001</v>
      </c>
      <c r="S386" s="11">
        <f>ROUND(R386*L386,2)</f>
        <v>609.54999999999995</v>
      </c>
      <c r="T386" s="10" t="s">
        <v>349</v>
      </c>
      <c r="U386" t="s">
        <v>368</v>
      </c>
    </row>
    <row r="387" spans="1:21">
      <c r="A387" t="s">
        <v>3839</v>
      </c>
      <c r="B387" s="20">
        <v>45761</v>
      </c>
      <c r="C387" s="20">
        <v>45744</v>
      </c>
      <c r="D387" t="s">
        <v>235</v>
      </c>
      <c r="E387" t="s">
        <v>236</v>
      </c>
      <c r="G387" t="s">
        <v>4346</v>
      </c>
      <c r="H387" t="s">
        <v>233</v>
      </c>
      <c r="I387" t="s">
        <v>234</v>
      </c>
      <c r="J387" s="8" t="str">
        <f>+LEFT(U387,4)</f>
        <v>RIV-</v>
      </c>
      <c r="K387" t="s">
        <v>10</v>
      </c>
      <c r="L387" s="46">
        <v>33500</v>
      </c>
      <c r="M387" t="s">
        <v>1472</v>
      </c>
      <c r="N387" t="s">
        <v>11</v>
      </c>
      <c r="O387" s="49">
        <v>4.0800000000000003E-2</v>
      </c>
      <c r="P387" s="9">
        <f>ROUND(O387*L387,2)</f>
        <v>1366.8</v>
      </c>
      <c r="Q387" s="10">
        <f>IF(N387="HKD",7.8,IF(N387="CNY",7.30034,1))</f>
        <v>7.3003400000000003</v>
      </c>
      <c r="R387" s="10">
        <f>+ROUND(O387/Q387,4)</f>
        <v>5.5999999999999999E-3</v>
      </c>
      <c r="S387" s="11">
        <f>ROUND(R387*L387,2)</f>
        <v>187.6</v>
      </c>
      <c r="T387" s="10" t="s">
        <v>349</v>
      </c>
      <c r="U387" t="s">
        <v>132</v>
      </c>
    </row>
    <row r="388" spans="1:21">
      <c r="A388" t="s">
        <v>3843</v>
      </c>
      <c r="B388" s="20">
        <v>45761</v>
      </c>
      <c r="C388" s="20">
        <v>45750</v>
      </c>
      <c r="D388" t="s">
        <v>235</v>
      </c>
      <c r="E388" t="s">
        <v>236</v>
      </c>
      <c r="G388" t="s">
        <v>4346</v>
      </c>
      <c r="H388" t="s">
        <v>233</v>
      </c>
      <c r="I388" t="s">
        <v>234</v>
      </c>
      <c r="J388" s="8" t="str">
        <f>+LEFT(U388,4)</f>
        <v>RIV-</v>
      </c>
      <c r="K388" t="s">
        <v>10</v>
      </c>
      <c r="L388" s="46">
        <v>15000</v>
      </c>
      <c r="M388" t="s">
        <v>1472</v>
      </c>
      <c r="N388" t="s">
        <v>11</v>
      </c>
      <c r="O388" s="49">
        <v>4.1599999999999998E-2</v>
      </c>
      <c r="P388" s="9">
        <f>ROUND(O388*L388,2)</f>
        <v>624</v>
      </c>
      <c r="Q388" s="10">
        <f>IF(N388="HKD",7.8,IF(N388="CNY",7.30034,1))</f>
        <v>7.3003400000000003</v>
      </c>
      <c r="R388" s="10">
        <f>+ROUND(O388/Q388,4)</f>
        <v>5.7000000000000002E-3</v>
      </c>
      <c r="S388" s="11">
        <f>ROUND(R388*L388,2)</f>
        <v>85.5</v>
      </c>
      <c r="T388" s="10" t="s">
        <v>349</v>
      </c>
      <c r="U388" t="s">
        <v>132</v>
      </c>
    </row>
    <row r="389" spans="1:21">
      <c r="A389" t="s">
        <v>3968</v>
      </c>
      <c r="B389" s="20">
        <v>45761</v>
      </c>
      <c r="C389" s="20">
        <v>45750</v>
      </c>
      <c r="D389" t="s">
        <v>235</v>
      </c>
      <c r="E389" t="s">
        <v>236</v>
      </c>
      <c r="G389" t="s">
        <v>4346</v>
      </c>
      <c r="H389" t="s">
        <v>1348</v>
      </c>
      <c r="I389" t="s">
        <v>1349</v>
      </c>
      <c r="J389" s="8" t="str">
        <f>+LEFT(U389,4)</f>
        <v>SCR-</v>
      </c>
      <c r="K389" t="s">
        <v>10</v>
      </c>
      <c r="L389" s="46">
        <v>3850</v>
      </c>
      <c r="M389" t="s">
        <v>1472</v>
      </c>
      <c r="N389" t="s">
        <v>11</v>
      </c>
      <c r="O389" s="49">
        <v>0.67030000000000001</v>
      </c>
      <c r="P389" s="9">
        <f>ROUND(O389*L389,2)</f>
        <v>2580.66</v>
      </c>
      <c r="Q389" s="10">
        <f>IF(N389="HKD",7.8,IF(N389="CNY",7.30034,1))</f>
        <v>7.3003400000000003</v>
      </c>
      <c r="R389" s="10">
        <f>+ROUND(O389/Q389,4)</f>
        <v>9.1800000000000007E-2</v>
      </c>
      <c r="S389" s="11">
        <f>ROUND(R389*L389,2)</f>
        <v>353.43</v>
      </c>
      <c r="T389" s="10" t="s">
        <v>349</v>
      </c>
      <c r="U389" t="s">
        <v>166</v>
      </c>
    </row>
    <row r="390" spans="1:21">
      <c r="A390" t="s">
        <v>4037</v>
      </c>
      <c r="B390" s="20">
        <v>45761</v>
      </c>
      <c r="C390" s="20">
        <v>45729</v>
      </c>
      <c r="D390" t="s">
        <v>28</v>
      </c>
      <c r="E390" t="s">
        <v>29</v>
      </c>
      <c r="G390" t="s">
        <v>4414</v>
      </c>
      <c r="H390" t="s">
        <v>3635</v>
      </c>
      <c r="I390" t="s">
        <v>3614</v>
      </c>
      <c r="J390" s="8" t="str">
        <f>+LEFT(U390,4)</f>
        <v>SHDL</v>
      </c>
      <c r="K390" t="s">
        <v>10</v>
      </c>
      <c r="L390" s="46">
        <v>960</v>
      </c>
      <c r="M390" t="s">
        <v>1472</v>
      </c>
      <c r="N390" t="s">
        <v>11</v>
      </c>
      <c r="O390" s="49">
        <v>2.4588000000000001</v>
      </c>
      <c r="P390" s="9">
        <f>ROUND(O390*L390,2)</f>
        <v>2360.4499999999998</v>
      </c>
      <c r="Q390" s="10">
        <f>IF(N390="HKD",7.8,IF(N390="CNY",7.30034,1))</f>
        <v>7.3003400000000003</v>
      </c>
      <c r="R390" s="10">
        <f>+ROUND(O390/Q390,4)</f>
        <v>0.33679999999999999</v>
      </c>
      <c r="S390" s="11">
        <f>ROUND(R390*L390,2)</f>
        <v>323.33</v>
      </c>
      <c r="T390" s="10" t="s">
        <v>349</v>
      </c>
      <c r="U390" t="s">
        <v>722</v>
      </c>
    </row>
    <row r="391" spans="1:21">
      <c r="A391" t="s">
        <v>1923</v>
      </c>
      <c r="B391" s="20">
        <v>45761</v>
      </c>
      <c r="C391" s="20">
        <v>45674</v>
      </c>
      <c r="D391" t="s">
        <v>169</v>
      </c>
      <c r="E391" t="s">
        <v>170</v>
      </c>
      <c r="G391" t="s">
        <v>4406</v>
      </c>
      <c r="H391" t="s">
        <v>1124</v>
      </c>
      <c r="I391" t="s">
        <v>643</v>
      </c>
      <c r="J391" s="8" t="str">
        <f>+LEFT(U391,4)</f>
        <v>U&amp;C-</v>
      </c>
      <c r="K391" t="s">
        <v>10</v>
      </c>
      <c r="L391" s="46">
        <v>800</v>
      </c>
      <c r="M391" t="s">
        <v>1472</v>
      </c>
      <c r="N391" t="s">
        <v>11</v>
      </c>
      <c r="O391" s="49">
        <v>1.29</v>
      </c>
      <c r="P391" s="9">
        <f>ROUND(O391*L391,2)</f>
        <v>1032</v>
      </c>
      <c r="Q391" s="10">
        <f>IF(N391="HKD",7.8,IF(N391="CNY",7.30034,1))</f>
        <v>7.3003400000000003</v>
      </c>
      <c r="R391" s="10">
        <f>+ROUND(O391/Q391,4)</f>
        <v>0.1767</v>
      </c>
      <c r="S391" s="11">
        <f>ROUND(R391*L391,2)</f>
        <v>141.36000000000001</v>
      </c>
      <c r="T391" s="10" t="s">
        <v>349</v>
      </c>
      <c r="U391" t="s">
        <v>177</v>
      </c>
    </row>
    <row r="392" spans="1:21">
      <c r="A392" t="s">
        <v>4228</v>
      </c>
      <c r="B392" s="20">
        <v>45758</v>
      </c>
      <c r="C392" s="20">
        <v>45702</v>
      </c>
      <c r="D392" t="s">
        <v>287</v>
      </c>
      <c r="E392" t="s">
        <v>288</v>
      </c>
      <c r="G392" t="s">
        <v>4518</v>
      </c>
      <c r="H392" t="s">
        <v>3064</v>
      </c>
      <c r="I392" t="s">
        <v>83</v>
      </c>
      <c r="J392" s="8" t="s">
        <v>1478</v>
      </c>
      <c r="K392" t="s">
        <v>10</v>
      </c>
      <c r="L392" s="46">
        <v>-5000</v>
      </c>
      <c r="M392" t="s">
        <v>1472</v>
      </c>
      <c r="N392" t="s">
        <v>11</v>
      </c>
      <c r="O392" s="49">
        <v>7.3479999999999999</v>
      </c>
      <c r="P392" s="9">
        <f>ROUND(O392*L392,2)</f>
        <v>-36740</v>
      </c>
      <c r="Q392" s="10">
        <f>IF(N392="HKD",7.8,IF(N392="CNY",7.30034,1))</f>
        <v>7.3003400000000003</v>
      </c>
      <c r="R392" s="10">
        <f>+ROUND(O392/Q392,4)</f>
        <v>1.0065</v>
      </c>
      <c r="S392" s="11">
        <f>ROUND(R392*L392,2)</f>
        <v>-5032.5</v>
      </c>
      <c r="T392" s="10" t="s">
        <v>349</v>
      </c>
      <c r="U392" t="s">
        <v>36</v>
      </c>
    </row>
    <row r="393" spans="1:21">
      <c r="A393" t="s">
        <v>4236</v>
      </c>
      <c r="B393" s="20">
        <v>45758</v>
      </c>
      <c r="C393" s="20">
        <v>45727</v>
      </c>
      <c r="D393" t="s">
        <v>287</v>
      </c>
      <c r="E393" t="s">
        <v>288</v>
      </c>
      <c r="G393" t="s">
        <v>4521</v>
      </c>
      <c r="H393" t="s">
        <v>3064</v>
      </c>
      <c r="I393" t="s">
        <v>83</v>
      </c>
      <c r="J393" s="8" t="s">
        <v>1478</v>
      </c>
      <c r="K393" t="s">
        <v>10</v>
      </c>
      <c r="L393" s="46">
        <v>2050</v>
      </c>
      <c r="M393" t="s">
        <v>1472</v>
      </c>
      <c r="N393" t="s">
        <v>11</v>
      </c>
      <c r="O393" s="49">
        <v>7.4237000000000002</v>
      </c>
      <c r="P393" s="9">
        <f>ROUND(O393*L393,2)</f>
        <v>15218.59</v>
      </c>
      <c r="Q393" s="10">
        <f>IF(N393="HKD",7.8,IF(N393="CNY",7.30034,1))</f>
        <v>7.3003400000000003</v>
      </c>
      <c r="R393" s="10">
        <f>+ROUND(O393/Q393,4)</f>
        <v>1.0168999999999999</v>
      </c>
      <c r="S393" s="11">
        <f>ROUND(R393*L393,2)</f>
        <v>2084.65</v>
      </c>
      <c r="T393" s="10" t="s">
        <v>349</v>
      </c>
      <c r="U393" t="s">
        <v>36</v>
      </c>
    </row>
    <row r="394" spans="1:21">
      <c r="A394" t="s">
        <v>3861</v>
      </c>
      <c r="B394" s="20">
        <v>45758</v>
      </c>
      <c r="C394" s="20">
        <v>45748</v>
      </c>
      <c r="D394" t="s">
        <v>806</v>
      </c>
      <c r="E394" t="s">
        <v>807</v>
      </c>
      <c r="G394" t="s">
        <v>4351</v>
      </c>
      <c r="H394" t="s">
        <v>3516</v>
      </c>
      <c r="I394" t="s">
        <v>3517</v>
      </c>
      <c r="J394" s="8" t="str">
        <f>+LEFT(U394,4)</f>
        <v>BAG-</v>
      </c>
      <c r="K394" t="s">
        <v>10</v>
      </c>
      <c r="L394" s="46">
        <v>5000</v>
      </c>
      <c r="M394" t="s">
        <v>1472</v>
      </c>
      <c r="N394" t="s">
        <v>11</v>
      </c>
      <c r="O394" s="49">
        <v>0.06</v>
      </c>
      <c r="P394" s="9">
        <f>ROUND(O394*L394,2)</f>
        <v>300</v>
      </c>
      <c r="Q394" s="10">
        <f>IF(N394="HKD",7.8,IF(N394="CNY",7.30034,1))</f>
        <v>7.3003400000000003</v>
      </c>
      <c r="R394" s="10">
        <f>+ROUND(O394/Q394,4)</f>
        <v>8.2000000000000007E-3</v>
      </c>
      <c r="S394" s="11">
        <f>ROUND(R394*L394,2)</f>
        <v>41</v>
      </c>
      <c r="T394" s="10" t="s">
        <v>349</v>
      </c>
      <c r="U394" t="s">
        <v>810</v>
      </c>
    </row>
    <row r="395" spans="1:21">
      <c r="A395" t="s">
        <v>3864</v>
      </c>
      <c r="B395" s="20">
        <v>45758</v>
      </c>
      <c r="C395" s="20">
        <v>45742</v>
      </c>
      <c r="D395" t="s">
        <v>806</v>
      </c>
      <c r="E395" t="s">
        <v>807</v>
      </c>
      <c r="G395" t="s">
        <v>4353</v>
      </c>
      <c r="H395" t="s">
        <v>3518</v>
      </c>
      <c r="I395" t="s">
        <v>3519</v>
      </c>
      <c r="J395" s="8" t="str">
        <f>+LEFT(U395,4)</f>
        <v>BAG-</v>
      </c>
      <c r="K395" t="s">
        <v>10</v>
      </c>
      <c r="L395" s="46">
        <v>5000</v>
      </c>
      <c r="M395" t="s">
        <v>1472</v>
      </c>
      <c r="N395" t="s">
        <v>11</v>
      </c>
      <c r="O395" s="49">
        <v>6.7000000000000004E-2</v>
      </c>
      <c r="P395" s="9">
        <f>ROUND(O395*L395,2)</f>
        <v>335</v>
      </c>
      <c r="Q395" s="10">
        <f>IF(N395="HKD",7.8,IF(N395="CNY",7.30034,1))</f>
        <v>7.3003400000000003</v>
      </c>
      <c r="R395" s="10">
        <f>+ROUND(O395/Q395,4)</f>
        <v>9.1999999999999998E-3</v>
      </c>
      <c r="S395" s="11">
        <f>ROUND(R395*L395,2)</f>
        <v>46</v>
      </c>
      <c r="T395" s="10" t="s">
        <v>349</v>
      </c>
      <c r="U395" t="s">
        <v>810</v>
      </c>
    </row>
    <row r="396" spans="1:21">
      <c r="A396" t="s">
        <v>3865</v>
      </c>
      <c r="B396" s="20">
        <v>45758</v>
      </c>
      <c r="C396" s="20">
        <v>45748</v>
      </c>
      <c r="D396" t="s">
        <v>806</v>
      </c>
      <c r="E396" t="s">
        <v>807</v>
      </c>
      <c r="G396" t="s">
        <v>4351</v>
      </c>
      <c r="H396" t="s">
        <v>3518</v>
      </c>
      <c r="I396" t="s">
        <v>3519</v>
      </c>
      <c r="J396" s="8" t="str">
        <f>+LEFT(U396,4)</f>
        <v>BAG-</v>
      </c>
      <c r="K396" t="s">
        <v>10</v>
      </c>
      <c r="L396" s="46">
        <v>5000</v>
      </c>
      <c r="M396" t="s">
        <v>1472</v>
      </c>
      <c r="N396" t="s">
        <v>11</v>
      </c>
      <c r="O396" s="49">
        <v>6.7000000000000004E-2</v>
      </c>
      <c r="P396" s="9">
        <f>ROUND(O396*L396,2)</f>
        <v>335</v>
      </c>
      <c r="Q396" s="10">
        <f>IF(N396="HKD",7.8,IF(N396="CNY",7.30034,1))</f>
        <v>7.3003400000000003</v>
      </c>
      <c r="R396" s="10">
        <f>+ROUND(O396/Q396,4)</f>
        <v>9.1999999999999998E-3</v>
      </c>
      <c r="S396" s="11">
        <f>ROUND(R396*L396,2)</f>
        <v>46</v>
      </c>
      <c r="T396" s="10" t="s">
        <v>349</v>
      </c>
      <c r="U396" t="s">
        <v>810</v>
      </c>
    </row>
    <row r="397" spans="1:21">
      <c r="A397" t="s">
        <v>3872</v>
      </c>
      <c r="B397" s="20">
        <v>45758</v>
      </c>
      <c r="C397" s="20">
        <v>45742</v>
      </c>
      <c r="D397" t="s">
        <v>806</v>
      </c>
      <c r="E397" t="s">
        <v>807</v>
      </c>
      <c r="G397" t="s">
        <v>4353</v>
      </c>
      <c r="H397" t="s">
        <v>3522</v>
      </c>
      <c r="I397" t="s">
        <v>3523</v>
      </c>
      <c r="J397" s="8" t="str">
        <f>+LEFT(U397,4)</f>
        <v>BAG-</v>
      </c>
      <c r="K397" t="s">
        <v>10</v>
      </c>
      <c r="L397" s="46">
        <v>2000</v>
      </c>
      <c r="M397" t="s">
        <v>1472</v>
      </c>
      <c r="N397" t="s">
        <v>11</v>
      </c>
      <c r="O397" s="49">
        <v>7.8799999999999995E-2</v>
      </c>
      <c r="P397" s="9">
        <f>ROUND(O397*L397,2)</f>
        <v>157.6</v>
      </c>
      <c r="Q397" s="10">
        <f>IF(N397="HKD",7.8,IF(N397="CNY",7.30034,1))</f>
        <v>7.3003400000000003</v>
      </c>
      <c r="R397" s="10">
        <f>+ROUND(O397/Q397,4)</f>
        <v>1.0800000000000001E-2</v>
      </c>
      <c r="S397" s="11">
        <f>ROUND(R397*L397,2)</f>
        <v>21.6</v>
      </c>
      <c r="T397" s="10" t="s">
        <v>349</v>
      </c>
      <c r="U397" t="s">
        <v>810</v>
      </c>
    </row>
    <row r="398" spans="1:21">
      <c r="A398" t="s">
        <v>3873</v>
      </c>
      <c r="B398" s="20">
        <v>45758</v>
      </c>
      <c r="C398" s="20">
        <v>45742</v>
      </c>
      <c r="D398" t="s">
        <v>806</v>
      </c>
      <c r="E398" t="s">
        <v>807</v>
      </c>
      <c r="G398" t="s">
        <v>4351</v>
      </c>
      <c r="H398" t="s">
        <v>3524</v>
      </c>
      <c r="I398" t="s">
        <v>3525</v>
      </c>
      <c r="J398" s="8" t="str">
        <f>+LEFT(U398,4)</f>
        <v>BAG-</v>
      </c>
      <c r="K398" t="s">
        <v>10</v>
      </c>
      <c r="L398" s="46">
        <v>2000</v>
      </c>
      <c r="M398" t="s">
        <v>1472</v>
      </c>
      <c r="N398" t="s">
        <v>11</v>
      </c>
      <c r="O398" s="49">
        <v>0.08</v>
      </c>
      <c r="P398" s="9">
        <f>ROUND(O398*L398,2)</f>
        <v>160</v>
      </c>
      <c r="Q398" s="10">
        <f>IF(N398="HKD",7.8,IF(N398="CNY",7.30034,1))</f>
        <v>7.3003400000000003</v>
      </c>
      <c r="R398" s="10">
        <f>+ROUND(O398/Q398,4)</f>
        <v>1.0999999999999999E-2</v>
      </c>
      <c r="S398" s="11">
        <f>ROUND(R398*L398,2)</f>
        <v>22</v>
      </c>
      <c r="T398" s="10" t="s">
        <v>349</v>
      </c>
      <c r="U398" t="s">
        <v>810</v>
      </c>
    </row>
    <row r="399" spans="1:21">
      <c r="A399" t="s">
        <v>3875</v>
      </c>
      <c r="B399" s="20">
        <v>45758</v>
      </c>
      <c r="C399" s="20">
        <v>45742</v>
      </c>
      <c r="D399" t="s">
        <v>806</v>
      </c>
      <c r="E399" t="s">
        <v>807</v>
      </c>
      <c r="G399" t="s">
        <v>4351</v>
      </c>
      <c r="H399" t="s">
        <v>3214</v>
      </c>
      <c r="I399" t="s">
        <v>3421</v>
      </c>
      <c r="J399" s="8" t="str">
        <f>+LEFT(U399,4)</f>
        <v>BAG-</v>
      </c>
      <c r="K399" t="s">
        <v>10</v>
      </c>
      <c r="L399" s="46">
        <v>5000</v>
      </c>
      <c r="M399" t="s">
        <v>1472</v>
      </c>
      <c r="N399" t="s">
        <v>11</v>
      </c>
      <c r="O399" s="49">
        <v>8.7999999999999995E-2</v>
      </c>
      <c r="P399" s="9">
        <f>ROUND(O399*L399,2)</f>
        <v>440</v>
      </c>
      <c r="Q399" s="10">
        <f>IF(N399="HKD",7.8,IF(N399="CNY",7.30034,1))</f>
        <v>7.3003400000000003</v>
      </c>
      <c r="R399" s="10">
        <f>+ROUND(O399/Q399,4)</f>
        <v>1.21E-2</v>
      </c>
      <c r="S399" s="11">
        <f>ROUND(R399*L399,2)</f>
        <v>60.5</v>
      </c>
      <c r="T399" s="10" t="s">
        <v>349</v>
      </c>
      <c r="U399" t="s">
        <v>810</v>
      </c>
    </row>
    <row r="400" spans="1:21">
      <c r="A400" t="s">
        <v>2761</v>
      </c>
      <c r="B400" s="20">
        <v>45758</v>
      </c>
      <c r="C400" s="20">
        <v>45730</v>
      </c>
      <c r="D400" t="s">
        <v>806</v>
      </c>
      <c r="E400" t="s">
        <v>807</v>
      </c>
      <c r="G400" t="s">
        <v>4360</v>
      </c>
      <c r="H400" t="s">
        <v>3250</v>
      </c>
      <c r="I400" t="s">
        <v>3457</v>
      </c>
      <c r="J400" s="8" t="str">
        <f>+LEFT(U400,4)</f>
        <v>BAG-</v>
      </c>
      <c r="K400" t="s">
        <v>10</v>
      </c>
      <c r="L400" s="46">
        <v>-10000</v>
      </c>
      <c r="M400" t="s">
        <v>1472</v>
      </c>
      <c r="N400" t="s">
        <v>11</v>
      </c>
      <c r="O400" s="49">
        <v>9.6000000000000002E-2</v>
      </c>
      <c r="P400" s="9">
        <f>ROUND(O400*L400,2)</f>
        <v>-960</v>
      </c>
      <c r="Q400" s="10">
        <f>IF(N400="HKD",7.8,IF(N400="CNY",7.30034,1))</f>
        <v>7.3003400000000003</v>
      </c>
      <c r="R400" s="10">
        <f>+ROUND(O400/Q400,4)</f>
        <v>1.32E-2</v>
      </c>
      <c r="S400" s="11">
        <f>ROUND(R400*L400,2)</f>
        <v>-132</v>
      </c>
      <c r="T400" s="10" t="s">
        <v>349</v>
      </c>
      <c r="U400" t="s">
        <v>810</v>
      </c>
    </row>
    <row r="401" spans="1:21">
      <c r="A401" t="s">
        <v>3882</v>
      </c>
      <c r="B401" s="20">
        <v>45758</v>
      </c>
      <c r="C401" s="20">
        <v>45742</v>
      </c>
      <c r="D401" t="s">
        <v>806</v>
      </c>
      <c r="E401" t="s">
        <v>807</v>
      </c>
      <c r="G401" t="s">
        <v>4353</v>
      </c>
      <c r="H401" t="s">
        <v>3215</v>
      </c>
      <c r="I401" t="s">
        <v>3422</v>
      </c>
      <c r="J401" s="8" t="str">
        <f>+LEFT(U401,4)</f>
        <v>BAG-</v>
      </c>
      <c r="K401" t="s">
        <v>10</v>
      </c>
      <c r="L401" s="46">
        <v>1300</v>
      </c>
      <c r="M401" t="s">
        <v>1472</v>
      </c>
      <c r="N401" t="s">
        <v>11</v>
      </c>
      <c r="O401" s="49">
        <v>0.1</v>
      </c>
      <c r="P401" s="9">
        <f>ROUND(O401*L401,2)</f>
        <v>130</v>
      </c>
      <c r="Q401" s="10">
        <f>IF(N401="HKD",7.8,IF(N401="CNY",7.30034,1))</f>
        <v>7.3003400000000003</v>
      </c>
      <c r="R401" s="10">
        <f>+ROUND(O401/Q401,4)</f>
        <v>1.37E-2</v>
      </c>
      <c r="S401" s="11">
        <f>ROUND(R401*L401,2)</f>
        <v>17.809999999999999</v>
      </c>
      <c r="T401" s="10" t="s">
        <v>349</v>
      </c>
      <c r="U401" t="s">
        <v>810</v>
      </c>
    </row>
    <row r="402" spans="1:21">
      <c r="A402" t="s">
        <v>3896</v>
      </c>
      <c r="B402" s="20">
        <v>45758</v>
      </c>
      <c r="C402" s="20">
        <v>45742</v>
      </c>
      <c r="D402" t="s">
        <v>806</v>
      </c>
      <c r="E402" t="s">
        <v>807</v>
      </c>
      <c r="G402" t="s">
        <v>4353</v>
      </c>
      <c r="H402" t="s">
        <v>3216</v>
      </c>
      <c r="I402" t="s">
        <v>3423</v>
      </c>
      <c r="J402" s="8" t="str">
        <f>+LEFT(U402,4)</f>
        <v>BAG-</v>
      </c>
      <c r="K402" t="s">
        <v>10</v>
      </c>
      <c r="L402" s="46">
        <v>8000</v>
      </c>
      <c r="M402" t="s">
        <v>1472</v>
      </c>
      <c r="N402" t="s">
        <v>11</v>
      </c>
      <c r="O402" s="49">
        <v>0.13</v>
      </c>
      <c r="P402" s="9">
        <f>ROUND(O402*L402,2)</f>
        <v>1040</v>
      </c>
      <c r="Q402" s="10">
        <f>IF(N402="HKD",7.8,IF(N402="CNY",7.30034,1))</f>
        <v>7.3003400000000003</v>
      </c>
      <c r="R402" s="10">
        <f>+ROUND(O402/Q402,4)</f>
        <v>1.78E-2</v>
      </c>
      <c r="S402" s="11">
        <f>ROUND(R402*L402,2)</f>
        <v>142.4</v>
      </c>
      <c r="T402" s="10" t="s">
        <v>349</v>
      </c>
      <c r="U402" t="s">
        <v>810</v>
      </c>
    </row>
    <row r="403" spans="1:21">
      <c r="A403" t="s">
        <v>3900</v>
      </c>
      <c r="B403" s="20">
        <v>45758</v>
      </c>
      <c r="C403" s="20">
        <v>45742</v>
      </c>
      <c r="D403" t="s">
        <v>806</v>
      </c>
      <c r="E403" t="s">
        <v>807</v>
      </c>
      <c r="G403" t="s">
        <v>4351</v>
      </c>
      <c r="H403" t="s">
        <v>3530</v>
      </c>
      <c r="I403" t="s">
        <v>3531</v>
      </c>
      <c r="J403" s="8" t="str">
        <f>+LEFT(U403,4)</f>
        <v>BAG-</v>
      </c>
      <c r="K403" t="s">
        <v>10</v>
      </c>
      <c r="L403" s="46">
        <v>1000</v>
      </c>
      <c r="M403" t="s">
        <v>1472</v>
      </c>
      <c r="N403" t="s">
        <v>11</v>
      </c>
      <c r="O403" s="49">
        <v>0.14000000000000001</v>
      </c>
      <c r="P403" s="9">
        <f>ROUND(O403*L403,2)</f>
        <v>140</v>
      </c>
      <c r="Q403" s="10">
        <f>IF(N403="HKD",7.8,IF(N403="CNY",7.30034,1))</f>
        <v>7.3003400000000003</v>
      </c>
      <c r="R403" s="10">
        <f>+ROUND(O403/Q403,4)</f>
        <v>1.9199999999999998E-2</v>
      </c>
      <c r="S403" s="11">
        <f>ROUND(R403*L403,2)</f>
        <v>19.2</v>
      </c>
      <c r="T403" s="10" t="s">
        <v>349</v>
      </c>
      <c r="U403" t="s">
        <v>810</v>
      </c>
    </row>
    <row r="404" spans="1:21">
      <c r="A404" t="s">
        <v>3901</v>
      </c>
      <c r="B404" s="20">
        <v>45758</v>
      </c>
      <c r="C404" s="20">
        <v>45742</v>
      </c>
      <c r="D404" t="s">
        <v>806</v>
      </c>
      <c r="E404" t="s">
        <v>807</v>
      </c>
      <c r="G404" t="s">
        <v>4353</v>
      </c>
      <c r="H404" t="s">
        <v>3217</v>
      </c>
      <c r="I404" t="s">
        <v>3424</v>
      </c>
      <c r="J404" s="8" t="str">
        <f>+LEFT(U404,4)</f>
        <v>BAG-</v>
      </c>
      <c r="K404" t="s">
        <v>10</v>
      </c>
      <c r="L404" s="46">
        <v>9500</v>
      </c>
      <c r="M404" t="s">
        <v>1472</v>
      </c>
      <c r="N404" t="s">
        <v>11</v>
      </c>
      <c r="O404" s="49">
        <v>0.14000000000000001</v>
      </c>
      <c r="P404" s="9">
        <f>ROUND(O404*L404,2)</f>
        <v>1330</v>
      </c>
      <c r="Q404" s="10">
        <f>IF(N404="HKD",7.8,IF(N404="CNY",7.30034,1))</f>
        <v>7.3003400000000003</v>
      </c>
      <c r="R404" s="10">
        <f>+ROUND(O404/Q404,4)</f>
        <v>1.9199999999999998E-2</v>
      </c>
      <c r="S404" s="11">
        <f>ROUND(R404*L404,2)</f>
        <v>182.4</v>
      </c>
      <c r="T404" s="10" t="s">
        <v>349</v>
      </c>
      <c r="U404" t="s">
        <v>810</v>
      </c>
    </row>
    <row r="405" spans="1:21">
      <c r="A405" t="s">
        <v>3919</v>
      </c>
      <c r="B405" s="20">
        <v>45758</v>
      </c>
      <c r="C405" s="20">
        <v>45742</v>
      </c>
      <c r="D405" t="s">
        <v>806</v>
      </c>
      <c r="E405" t="s">
        <v>807</v>
      </c>
      <c r="G405" t="s">
        <v>4353</v>
      </c>
      <c r="H405" t="s">
        <v>3248</v>
      </c>
      <c r="I405" t="s">
        <v>3455</v>
      </c>
      <c r="J405" s="8" t="str">
        <f>+LEFT(U405,4)</f>
        <v>BAG-</v>
      </c>
      <c r="K405" t="s">
        <v>10</v>
      </c>
      <c r="L405" s="46">
        <v>10000</v>
      </c>
      <c r="M405" t="s">
        <v>1472</v>
      </c>
      <c r="N405" t="s">
        <v>11</v>
      </c>
      <c r="O405" s="49">
        <v>0.185</v>
      </c>
      <c r="P405" s="9">
        <f>ROUND(O405*L405,2)</f>
        <v>1850</v>
      </c>
      <c r="Q405" s="10">
        <f>IF(N405="HKD",7.8,IF(N405="CNY",7.30034,1))</f>
        <v>7.3003400000000003</v>
      </c>
      <c r="R405" s="10">
        <f>+ROUND(O405/Q405,4)</f>
        <v>2.53E-2</v>
      </c>
      <c r="S405" s="11">
        <f>ROUND(R405*L405,2)</f>
        <v>253</v>
      </c>
      <c r="T405" s="10" t="s">
        <v>349</v>
      </c>
      <c r="U405" t="s">
        <v>810</v>
      </c>
    </row>
    <row r="406" spans="1:21">
      <c r="A406" t="s">
        <v>3920</v>
      </c>
      <c r="B406" s="20">
        <v>45758</v>
      </c>
      <c r="C406" s="20">
        <v>45748</v>
      </c>
      <c r="D406" t="s">
        <v>806</v>
      </c>
      <c r="E406" t="s">
        <v>807</v>
      </c>
      <c r="G406" t="s">
        <v>4351</v>
      </c>
      <c r="H406" t="s">
        <v>3248</v>
      </c>
      <c r="I406" t="s">
        <v>3455</v>
      </c>
      <c r="J406" s="8" t="str">
        <f>+LEFT(U406,4)</f>
        <v>BAG-</v>
      </c>
      <c r="K406" t="s">
        <v>10</v>
      </c>
      <c r="L406" s="46">
        <v>9600</v>
      </c>
      <c r="M406" t="s">
        <v>1472</v>
      </c>
      <c r="N406" t="s">
        <v>11</v>
      </c>
      <c r="O406" s="49">
        <v>0.185</v>
      </c>
      <c r="P406" s="9">
        <f>ROUND(O406*L406,2)</f>
        <v>1776</v>
      </c>
      <c r="Q406" s="10">
        <f>IF(N406="HKD",7.8,IF(N406="CNY",7.30034,1))</f>
        <v>7.3003400000000003</v>
      </c>
      <c r="R406" s="10">
        <f>+ROUND(O406/Q406,4)</f>
        <v>2.53E-2</v>
      </c>
      <c r="S406" s="11">
        <f>ROUND(R406*L406,2)</f>
        <v>242.88</v>
      </c>
      <c r="T406" s="10" t="s">
        <v>349</v>
      </c>
      <c r="U406" t="s">
        <v>810</v>
      </c>
    </row>
    <row r="407" spans="1:21">
      <c r="A407" t="s">
        <v>3927</v>
      </c>
      <c r="B407" s="20">
        <v>45758</v>
      </c>
      <c r="C407" s="20">
        <v>45748</v>
      </c>
      <c r="D407" t="s">
        <v>806</v>
      </c>
      <c r="E407" t="s">
        <v>807</v>
      </c>
      <c r="G407" t="s">
        <v>4351</v>
      </c>
      <c r="H407" t="s">
        <v>3546</v>
      </c>
      <c r="I407" t="s">
        <v>3547</v>
      </c>
      <c r="J407" s="8" t="str">
        <f>+LEFT(U407,4)</f>
        <v>BAG-</v>
      </c>
      <c r="K407" t="s">
        <v>10</v>
      </c>
      <c r="L407" s="46">
        <v>5000</v>
      </c>
      <c r="M407" t="s">
        <v>1472</v>
      </c>
      <c r="N407" t="s">
        <v>11</v>
      </c>
      <c r="O407" s="49">
        <v>0.2</v>
      </c>
      <c r="P407" s="9">
        <f>ROUND(O407*L407,2)</f>
        <v>1000</v>
      </c>
      <c r="Q407" s="10">
        <f>IF(N407="HKD",7.8,IF(N407="CNY",7.30034,1))</f>
        <v>7.3003400000000003</v>
      </c>
      <c r="R407" s="10">
        <f>+ROUND(O407/Q407,4)</f>
        <v>2.7400000000000001E-2</v>
      </c>
      <c r="S407" s="11">
        <f>ROUND(R407*L407,2)</f>
        <v>137</v>
      </c>
      <c r="T407" s="10" t="s">
        <v>349</v>
      </c>
      <c r="U407" t="s">
        <v>810</v>
      </c>
    </row>
    <row r="408" spans="1:21">
      <c r="A408" t="s">
        <v>3933</v>
      </c>
      <c r="B408" s="20">
        <v>45758</v>
      </c>
      <c r="C408" s="20">
        <v>45742</v>
      </c>
      <c r="D408" t="s">
        <v>806</v>
      </c>
      <c r="E408" t="s">
        <v>807</v>
      </c>
      <c r="G408" t="s">
        <v>4351</v>
      </c>
      <c r="H408" t="s">
        <v>3554</v>
      </c>
      <c r="I408" t="s">
        <v>3555</v>
      </c>
      <c r="J408" s="8" t="str">
        <f>+LEFT(U408,4)</f>
        <v>BAG-</v>
      </c>
      <c r="K408" t="s">
        <v>10</v>
      </c>
      <c r="L408" s="46">
        <v>1000</v>
      </c>
      <c r="M408" t="s">
        <v>1472</v>
      </c>
      <c r="N408" t="s">
        <v>11</v>
      </c>
      <c r="O408" s="49">
        <v>0.23699999999999999</v>
      </c>
      <c r="P408" s="9">
        <f>ROUND(O408*L408,2)</f>
        <v>237</v>
      </c>
      <c r="Q408" s="10">
        <f>IF(N408="HKD",7.8,IF(N408="CNY",7.30034,1))</f>
        <v>7.3003400000000003</v>
      </c>
      <c r="R408" s="10">
        <f>+ROUND(O408/Q408,4)</f>
        <v>3.2500000000000001E-2</v>
      </c>
      <c r="S408" s="11">
        <f>ROUND(R408*L408,2)</f>
        <v>32.5</v>
      </c>
      <c r="T408" s="10" t="s">
        <v>349</v>
      </c>
      <c r="U408" t="s">
        <v>810</v>
      </c>
    </row>
    <row r="409" spans="1:21">
      <c r="A409" t="s">
        <v>3939</v>
      </c>
      <c r="B409" s="20">
        <v>45758</v>
      </c>
      <c r="C409" s="20">
        <v>45742</v>
      </c>
      <c r="D409" t="s">
        <v>806</v>
      </c>
      <c r="E409" t="s">
        <v>807</v>
      </c>
      <c r="G409" t="s">
        <v>4353</v>
      </c>
      <c r="H409" t="s">
        <v>3562</v>
      </c>
      <c r="I409" t="s">
        <v>3563</v>
      </c>
      <c r="J409" s="8" t="str">
        <f>+LEFT(U409,4)</f>
        <v>BAG-</v>
      </c>
      <c r="K409" t="s">
        <v>10</v>
      </c>
      <c r="L409" s="46">
        <v>1300</v>
      </c>
      <c r="M409" t="s">
        <v>1472</v>
      </c>
      <c r="N409" t="s">
        <v>11</v>
      </c>
      <c r="O409" s="49">
        <v>0.26</v>
      </c>
      <c r="P409" s="9">
        <f>ROUND(O409*L409,2)</f>
        <v>338</v>
      </c>
      <c r="Q409" s="10">
        <f>IF(N409="HKD",7.8,IF(N409="CNY",7.30034,1))</f>
        <v>7.3003400000000003</v>
      </c>
      <c r="R409" s="10">
        <f>+ROUND(O409/Q409,4)</f>
        <v>3.56E-2</v>
      </c>
      <c r="S409" s="11">
        <f>ROUND(R409*L409,2)</f>
        <v>46.28</v>
      </c>
      <c r="T409" s="10" t="s">
        <v>349</v>
      </c>
      <c r="U409" t="s">
        <v>810</v>
      </c>
    </row>
    <row r="410" spans="1:21">
      <c r="A410" t="s">
        <v>3947</v>
      </c>
      <c r="B410" s="20">
        <v>45758</v>
      </c>
      <c r="C410" s="20">
        <v>45742</v>
      </c>
      <c r="D410" t="s">
        <v>806</v>
      </c>
      <c r="E410" t="s">
        <v>807</v>
      </c>
      <c r="G410" t="s">
        <v>4353</v>
      </c>
      <c r="H410" t="s">
        <v>3569</v>
      </c>
      <c r="I410" t="s">
        <v>3570</v>
      </c>
      <c r="J410" s="8" t="str">
        <f>+LEFT(U410,4)</f>
        <v>BAG-</v>
      </c>
      <c r="K410" t="s">
        <v>10</v>
      </c>
      <c r="L410" s="46">
        <v>2000</v>
      </c>
      <c r="M410" t="s">
        <v>1472</v>
      </c>
      <c r="N410" t="s">
        <v>11</v>
      </c>
      <c r="O410" s="49">
        <v>0.32</v>
      </c>
      <c r="P410" s="9">
        <f>ROUND(O410*L410,2)</f>
        <v>640</v>
      </c>
      <c r="Q410" s="10">
        <f>IF(N410="HKD",7.8,IF(N410="CNY",7.30034,1))</f>
        <v>7.3003400000000003</v>
      </c>
      <c r="R410" s="10">
        <f>+ROUND(O410/Q410,4)</f>
        <v>4.3799999999999999E-2</v>
      </c>
      <c r="S410" s="11">
        <f>ROUND(R410*L410,2)</f>
        <v>87.6</v>
      </c>
      <c r="T410" s="10" t="s">
        <v>349</v>
      </c>
      <c r="U410" t="s">
        <v>810</v>
      </c>
    </row>
    <row r="411" spans="1:21">
      <c r="A411" t="s">
        <v>3952</v>
      </c>
      <c r="B411" s="20">
        <v>45758</v>
      </c>
      <c r="C411" s="20">
        <v>45742</v>
      </c>
      <c r="D411" t="s">
        <v>806</v>
      </c>
      <c r="E411" t="s">
        <v>807</v>
      </c>
      <c r="G411" t="s">
        <v>4351</v>
      </c>
      <c r="H411" t="s">
        <v>3575</v>
      </c>
      <c r="I411" t="s">
        <v>3576</v>
      </c>
      <c r="J411" s="8" t="str">
        <f>+LEFT(U411,4)</f>
        <v>BAG-</v>
      </c>
      <c r="K411" t="s">
        <v>10</v>
      </c>
      <c r="L411" s="46">
        <v>1100</v>
      </c>
      <c r="M411" t="s">
        <v>1472</v>
      </c>
      <c r="N411" t="s">
        <v>11</v>
      </c>
      <c r="O411" s="49">
        <v>0.41599999999999998</v>
      </c>
      <c r="P411" s="9">
        <f>ROUND(O411*L411,2)</f>
        <v>457.6</v>
      </c>
      <c r="Q411" s="10">
        <f>IF(N411="HKD",7.8,IF(N411="CNY",7.30034,1))</f>
        <v>7.3003400000000003</v>
      </c>
      <c r="R411" s="10">
        <f>+ROUND(O411/Q411,4)</f>
        <v>5.7000000000000002E-2</v>
      </c>
      <c r="S411" s="11">
        <f>ROUND(R411*L411,2)</f>
        <v>62.7</v>
      </c>
      <c r="T411" s="10" t="s">
        <v>349</v>
      </c>
      <c r="U411" t="s">
        <v>810</v>
      </c>
    </row>
    <row r="412" spans="1:21">
      <c r="A412" t="s">
        <v>3830</v>
      </c>
      <c r="B412" s="20">
        <v>45758</v>
      </c>
      <c r="C412" s="20">
        <v>45729</v>
      </c>
      <c r="D412" t="s">
        <v>709</v>
      </c>
      <c r="E412" t="s">
        <v>710</v>
      </c>
      <c r="G412" t="s">
        <v>4340</v>
      </c>
      <c r="H412" t="s">
        <v>3492</v>
      </c>
      <c r="I412" t="s">
        <v>3493</v>
      </c>
      <c r="J412" s="8" t="str">
        <f>+LEFT(U412,4)</f>
        <v>HDL-</v>
      </c>
      <c r="K412" t="s">
        <v>10</v>
      </c>
      <c r="L412" s="46">
        <v>1030</v>
      </c>
      <c r="M412" t="s">
        <v>1472</v>
      </c>
      <c r="N412" t="s">
        <v>11</v>
      </c>
      <c r="O412" s="49">
        <v>0</v>
      </c>
      <c r="P412" s="9">
        <f>ROUND(O412*L412,2)</f>
        <v>0</v>
      </c>
      <c r="Q412" s="10">
        <f>IF(N412="HKD",7.8,IF(N412="CNY",7.30034,1))</f>
        <v>7.3003400000000003</v>
      </c>
      <c r="R412" s="10">
        <f>+ROUND(O412/Q412,4)</f>
        <v>0</v>
      </c>
      <c r="S412" s="11">
        <f>ROUND(R412*L412,2)</f>
        <v>0</v>
      </c>
      <c r="T412" s="10" t="s">
        <v>349</v>
      </c>
      <c r="U412" t="s">
        <v>228</v>
      </c>
    </row>
    <row r="413" spans="1:21">
      <c r="A413" t="s">
        <v>4162</v>
      </c>
      <c r="B413" s="20">
        <v>45758</v>
      </c>
      <c r="C413" s="20">
        <v>45729</v>
      </c>
      <c r="D413" t="s">
        <v>709</v>
      </c>
      <c r="E413" t="s">
        <v>710</v>
      </c>
      <c r="G413" t="s">
        <v>4340</v>
      </c>
      <c r="H413" t="s">
        <v>3728</v>
      </c>
      <c r="I413" t="s">
        <v>3729</v>
      </c>
      <c r="J413" s="8" t="str">
        <f>+LEFT(U413,4)</f>
        <v>HDL-</v>
      </c>
      <c r="K413" t="s">
        <v>10</v>
      </c>
      <c r="L413" s="46">
        <v>1030</v>
      </c>
      <c r="M413" t="s">
        <v>1472</v>
      </c>
      <c r="N413" t="s">
        <v>11</v>
      </c>
      <c r="O413" s="49">
        <v>3.8557999999999999</v>
      </c>
      <c r="P413" s="9">
        <f>ROUND(O413*L413,2)</f>
        <v>3971.47</v>
      </c>
      <c r="Q413" s="10">
        <f>IF(N413="HKD",7.8,IF(N413="CNY",7.30034,1))</f>
        <v>7.3003400000000003</v>
      </c>
      <c r="R413" s="10">
        <f>+ROUND(O413/Q413,4)</f>
        <v>0.5282</v>
      </c>
      <c r="S413" s="11">
        <f>ROUND(R413*L413,2)</f>
        <v>544.04999999999995</v>
      </c>
      <c r="T413" s="10" t="s">
        <v>349</v>
      </c>
      <c r="U413" t="s">
        <v>228</v>
      </c>
    </row>
    <row r="414" spans="1:21">
      <c r="A414" t="s">
        <v>4166</v>
      </c>
      <c r="B414" s="20">
        <v>45758</v>
      </c>
      <c r="C414" s="20">
        <v>45729</v>
      </c>
      <c r="D414" t="s">
        <v>709</v>
      </c>
      <c r="E414" t="s">
        <v>710</v>
      </c>
      <c r="G414" t="s">
        <v>4340</v>
      </c>
      <c r="H414" t="s">
        <v>3734</v>
      </c>
      <c r="I414" t="s">
        <v>3735</v>
      </c>
      <c r="J414" s="8" t="str">
        <f>+LEFT(U414,4)</f>
        <v>HDL-</v>
      </c>
      <c r="K414" t="s">
        <v>10</v>
      </c>
      <c r="L414" s="46">
        <v>1030</v>
      </c>
      <c r="M414" t="s">
        <v>1472</v>
      </c>
      <c r="N414" t="s">
        <v>11</v>
      </c>
      <c r="O414" s="49">
        <v>3.9895999999999998</v>
      </c>
      <c r="P414" s="9">
        <f>ROUND(O414*L414,2)</f>
        <v>4109.29</v>
      </c>
      <c r="Q414" s="10">
        <f>IF(N414="HKD",7.8,IF(N414="CNY",7.30034,1))</f>
        <v>7.3003400000000003</v>
      </c>
      <c r="R414" s="10">
        <f>+ROUND(O414/Q414,4)</f>
        <v>0.54649999999999999</v>
      </c>
      <c r="S414" s="11">
        <f>ROUND(R414*L414,2)</f>
        <v>562.9</v>
      </c>
      <c r="T414" s="10" t="s">
        <v>349</v>
      </c>
      <c r="U414" t="s">
        <v>228</v>
      </c>
    </row>
    <row r="415" spans="1:21">
      <c r="A415" t="s">
        <v>4173</v>
      </c>
      <c r="B415" s="20">
        <v>45758</v>
      </c>
      <c r="C415" s="20">
        <v>45729</v>
      </c>
      <c r="D415" t="s">
        <v>709</v>
      </c>
      <c r="E415" t="s">
        <v>710</v>
      </c>
      <c r="G415" t="s">
        <v>4340</v>
      </c>
      <c r="H415" t="s">
        <v>3740</v>
      </c>
      <c r="I415" t="s">
        <v>3741</v>
      </c>
      <c r="J415" s="8" t="str">
        <f>+LEFT(U415,4)</f>
        <v>HDL-</v>
      </c>
      <c r="K415" t="s">
        <v>10</v>
      </c>
      <c r="L415" s="46">
        <v>1040</v>
      </c>
      <c r="M415" t="s">
        <v>1472</v>
      </c>
      <c r="N415" t="s">
        <v>11</v>
      </c>
      <c r="O415" s="49">
        <v>4.1307999999999998</v>
      </c>
      <c r="P415" s="9">
        <f>ROUND(O415*L415,2)</f>
        <v>4296.03</v>
      </c>
      <c r="Q415" s="10">
        <f>IF(N415="HKD",7.8,IF(N415="CNY",7.30034,1))</f>
        <v>7.3003400000000003</v>
      </c>
      <c r="R415" s="10">
        <f>+ROUND(O415/Q415,4)</f>
        <v>0.56579999999999997</v>
      </c>
      <c r="S415" s="11">
        <f>ROUND(R415*L415,2)</f>
        <v>588.42999999999995</v>
      </c>
      <c r="T415" s="10" t="s">
        <v>349</v>
      </c>
      <c r="U415" t="s">
        <v>4560</v>
      </c>
    </row>
    <row r="416" spans="1:21">
      <c r="A416" t="s">
        <v>4174</v>
      </c>
      <c r="B416" s="20">
        <v>45758</v>
      </c>
      <c r="C416" s="20">
        <v>45729</v>
      </c>
      <c r="D416" t="s">
        <v>709</v>
      </c>
      <c r="E416" t="s">
        <v>710</v>
      </c>
      <c r="G416" t="s">
        <v>4340</v>
      </c>
      <c r="H416" t="s">
        <v>3742</v>
      </c>
      <c r="I416" t="s">
        <v>3743</v>
      </c>
      <c r="J416" s="8" t="str">
        <f>+LEFT(U416,4)</f>
        <v>HDL-</v>
      </c>
      <c r="K416" t="s">
        <v>10</v>
      </c>
      <c r="L416" s="46">
        <v>1030</v>
      </c>
      <c r="M416" t="s">
        <v>1472</v>
      </c>
      <c r="N416" t="s">
        <v>11</v>
      </c>
      <c r="O416" s="49">
        <v>4.1307999999999998</v>
      </c>
      <c r="P416" s="9">
        <f>ROUND(O416*L416,2)</f>
        <v>4254.72</v>
      </c>
      <c r="Q416" s="10">
        <f>IF(N416="HKD",7.8,IF(N416="CNY",7.30034,1))</f>
        <v>7.3003400000000003</v>
      </c>
      <c r="R416" s="10">
        <f>+ROUND(O416/Q416,4)</f>
        <v>0.56579999999999997</v>
      </c>
      <c r="S416" s="11">
        <f>ROUND(R416*L416,2)</f>
        <v>582.77</v>
      </c>
      <c r="T416" s="10" t="s">
        <v>349</v>
      </c>
      <c r="U416" t="s">
        <v>228</v>
      </c>
    </row>
    <row r="417" spans="1:21">
      <c r="A417" t="s">
        <v>3974</v>
      </c>
      <c r="B417" s="20">
        <v>45758</v>
      </c>
      <c r="C417" s="20">
        <v>45750</v>
      </c>
      <c r="D417" t="s">
        <v>709</v>
      </c>
      <c r="E417" t="s">
        <v>710</v>
      </c>
      <c r="G417" t="s">
        <v>4340</v>
      </c>
      <c r="H417" t="s">
        <v>1641</v>
      </c>
      <c r="I417" t="s">
        <v>1642</v>
      </c>
      <c r="J417" s="8" t="str">
        <f>+LEFT(U417,4)</f>
        <v>KNOB</v>
      </c>
      <c r="K417" t="s">
        <v>10</v>
      </c>
      <c r="L417" s="46">
        <v>4000</v>
      </c>
      <c r="M417" t="s">
        <v>1472</v>
      </c>
      <c r="N417" t="s">
        <v>11</v>
      </c>
      <c r="O417" s="49">
        <v>0.87629999999999997</v>
      </c>
      <c r="P417" s="9">
        <f>ROUND(O417*L417,2)</f>
        <v>3505.2</v>
      </c>
      <c r="Q417" s="10">
        <f>IF(N417="HKD",7.8,IF(N417="CNY",7.30034,1))</f>
        <v>7.3003400000000003</v>
      </c>
      <c r="R417" s="10">
        <f>+ROUND(O417/Q417,4)</f>
        <v>0.12</v>
      </c>
      <c r="S417" s="11">
        <f>ROUND(R417*L417,2)</f>
        <v>480</v>
      </c>
      <c r="T417" s="10" t="s">
        <v>349</v>
      </c>
      <c r="U417" t="s">
        <v>32</v>
      </c>
    </row>
    <row r="418" spans="1:21">
      <c r="A418" t="s">
        <v>4009</v>
      </c>
      <c r="B418" s="20">
        <v>45758</v>
      </c>
      <c r="C418" s="20">
        <v>45750</v>
      </c>
      <c r="D418" t="s">
        <v>709</v>
      </c>
      <c r="E418" t="s">
        <v>710</v>
      </c>
      <c r="G418" t="s">
        <v>4340</v>
      </c>
      <c r="H418" t="s">
        <v>3227</v>
      </c>
      <c r="I418" t="s">
        <v>3434</v>
      </c>
      <c r="J418" s="8" t="str">
        <f>+LEFT(U418,4)</f>
        <v>KNOB</v>
      </c>
      <c r="K418" t="s">
        <v>10</v>
      </c>
      <c r="L418" s="46">
        <v>3050</v>
      </c>
      <c r="M418" t="s">
        <v>1472</v>
      </c>
      <c r="N418" t="s">
        <v>11</v>
      </c>
      <c r="O418" s="49">
        <v>1.6423000000000001</v>
      </c>
      <c r="P418" s="9">
        <f>ROUND(O418*L418,2)</f>
        <v>5009.0200000000004</v>
      </c>
      <c r="Q418" s="10">
        <f>IF(N418="HKD",7.8,IF(N418="CNY",7.30034,1))</f>
        <v>7.3003400000000003</v>
      </c>
      <c r="R418" s="10">
        <f>+ROUND(O418/Q418,4)</f>
        <v>0.22500000000000001</v>
      </c>
      <c r="S418" s="11">
        <f>ROUND(R418*L418,2)</f>
        <v>686.25</v>
      </c>
      <c r="T418" s="10" t="s">
        <v>349</v>
      </c>
      <c r="U418" t="s">
        <v>32</v>
      </c>
    </row>
    <row r="419" spans="1:21">
      <c r="A419" t="s">
        <v>2535</v>
      </c>
      <c r="B419" s="20">
        <v>45758</v>
      </c>
      <c r="C419" s="20">
        <v>45714</v>
      </c>
      <c r="D419" t="s">
        <v>94</v>
      </c>
      <c r="E419" t="s">
        <v>95</v>
      </c>
      <c r="G419" t="s">
        <v>4478</v>
      </c>
      <c r="H419" t="s">
        <v>3164</v>
      </c>
      <c r="I419" t="s">
        <v>3374</v>
      </c>
      <c r="J419" s="8" t="str">
        <f>+LEFT(U419,4)</f>
        <v>LID-</v>
      </c>
      <c r="K419" t="s">
        <v>98</v>
      </c>
      <c r="L419" s="46">
        <v>45</v>
      </c>
      <c r="M419" t="s">
        <v>1472</v>
      </c>
      <c r="N419" t="s">
        <v>11</v>
      </c>
      <c r="O419" s="49">
        <v>4.26</v>
      </c>
      <c r="P419" s="9">
        <f>ROUND(O419*L419,2)</f>
        <v>191.7</v>
      </c>
      <c r="Q419" s="10">
        <f>IF(N419="HKD",7.8,IF(N419="CNY",7.30034,1))</f>
        <v>7.3003400000000003</v>
      </c>
      <c r="R419" s="10">
        <f>+ROUND(O419/Q419,4)</f>
        <v>0.58350000000000002</v>
      </c>
      <c r="S419" s="11">
        <f>ROUND(R419*L419,2)</f>
        <v>26.26</v>
      </c>
      <c r="T419" s="10" t="s">
        <v>349</v>
      </c>
      <c r="U419" t="s">
        <v>368</v>
      </c>
    </row>
    <row r="420" spans="1:21">
      <c r="A420" t="s">
        <v>4179</v>
      </c>
      <c r="B420" s="20">
        <v>45758</v>
      </c>
      <c r="C420" s="20">
        <v>45714</v>
      </c>
      <c r="D420" t="s">
        <v>94</v>
      </c>
      <c r="E420" t="s">
        <v>95</v>
      </c>
      <c r="G420" t="s">
        <v>4485</v>
      </c>
      <c r="H420" t="s">
        <v>3164</v>
      </c>
      <c r="I420" t="s">
        <v>3374</v>
      </c>
      <c r="J420" s="8" t="str">
        <f>+LEFT(U420,4)</f>
        <v>LID-</v>
      </c>
      <c r="K420" t="s">
        <v>98</v>
      </c>
      <c r="L420" s="46">
        <v>250</v>
      </c>
      <c r="M420" t="s">
        <v>1472</v>
      </c>
      <c r="N420" t="s">
        <v>11</v>
      </c>
      <c r="O420" s="49">
        <v>4.26</v>
      </c>
      <c r="P420" s="9">
        <f>ROUND(O420*L420,2)</f>
        <v>1065</v>
      </c>
      <c r="Q420" s="10">
        <f>IF(N420="HKD",7.8,IF(N420="CNY",7.30034,1))</f>
        <v>7.3003400000000003</v>
      </c>
      <c r="R420" s="10">
        <f>+ROUND(O420/Q420,4)</f>
        <v>0.58350000000000002</v>
      </c>
      <c r="S420" s="11">
        <f>ROUND(R420*L420,2)</f>
        <v>145.88</v>
      </c>
      <c r="T420" s="10" t="s">
        <v>349</v>
      </c>
      <c r="U420" t="s">
        <v>368</v>
      </c>
    </row>
    <row r="421" spans="1:21">
      <c r="A421" t="s">
        <v>4179</v>
      </c>
      <c r="B421" s="20">
        <v>45758</v>
      </c>
      <c r="C421" s="20">
        <v>45714</v>
      </c>
      <c r="D421" t="s">
        <v>94</v>
      </c>
      <c r="E421" t="s">
        <v>95</v>
      </c>
      <c r="G421" t="s">
        <v>4478</v>
      </c>
      <c r="H421" t="s">
        <v>3164</v>
      </c>
      <c r="I421" t="s">
        <v>3374</v>
      </c>
      <c r="J421" s="8" t="str">
        <f>+LEFT(U421,4)</f>
        <v>LID-</v>
      </c>
      <c r="K421" t="s">
        <v>98</v>
      </c>
      <c r="L421" s="46">
        <v>795</v>
      </c>
      <c r="M421" t="s">
        <v>1472</v>
      </c>
      <c r="N421" t="s">
        <v>11</v>
      </c>
      <c r="O421" s="49">
        <v>4.26</v>
      </c>
      <c r="P421" s="9">
        <f>ROUND(O421*L421,2)</f>
        <v>3386.7</v>
      </c>
      <c r="Q421" s="10">
        <f>IF(N421="HKD",7.8,IF(N421="CNY",7.30034,1))</f>
        <v>7.3003400000000003</v>
      </c>
      <c r="R421" s="10">
        <f>+ROUND(O421/Q421,4)</f>
        <v>0.58350000000000002</v>
      </c>
      <c r="S421" s="11">
        <f>ROUND(R421*L421,2)</f>
        <v>463.88</v>
      </c>
      <c r="T421" s="10" t="s">
        <v>349</v>
      </c>
      <c r="U421" t="s">
        <v>368</v>
      </c>
    </row>
    <row r="422" spans="1:21">
      <c r="A422" t="s">
        <v>4186</v>
      </c>
      <c r="B422" s="20">
        <v>45758</v>
      </c>
      <c r="C422" s="20">
        <v>45728</v>
      </c>
      <c r="D422" t="s">
        <v>94</v>
      </c>
      <c r="E422" t="s">
        <v>95</v>
      </c>
      <c r="G422" t="s">
        <v>4495</v>
      </c>
      <c r="H422" t="s">
        <v>3746</v>
      </c>
      <c r="I422" t="s">
        <v>3747</v>
      </c>
      <c r="J422" s="8" t="str">
        <f>+LEFT(U422,4)</f>
        <v>LID-</v>
      </c>
      <c r="K422" t="s">
        <v>98</v>
      </c>
      <c r="L422" s="46">
        <v>1000</v>
      </c>
      <c r="M422" t="s">
        <v>1472</v>
      </c>
      <c r="N422" t="s">
        <v>11</v>
      </c>
      <c r="O422" s="49">
        <v>4.4000000000000004</v>
      </c>
      <c r="P422" s="9">
        <f>ROUND(O422*L422,2)</f>
        <v>4400</v>
      </c>
      <c r="Q422" s="10">
        <f>IF(N422="HKD",7.8,IF(N422="CNY",7.30034,1))</f>
        <v>7.3003400000000003</v>
      </c>
      <c r="R422" s="10">
        <f>+ROUND(O422/Q422,4)</f>
        <v>0.60270000000000001</v>
      </c>
      <c r="S422" s="11">
        <f>ROUND(R422*L422,2)</f>
        <v>602.70000000000005</v>
      </c>
      <c r="T422" s="10" t="s">
        <v>349</v>
      </c>
      <c r="U422" t="s">
        <v>368</v>
      </c>
    </row>
    <row r="423" spans="1:21">
      <c r="A423" t="s">
        <v>3950</v>
      </c>
      <c r="B423" s="20">
        <v>45758</v>
      </c>
      <c r="C423" s="20">
        <v>45729</v>
      </c>
      <c r="D423" t="s">
        <v>709</v>
      </c>
      <c r="E423" t="s">
        <v>710</v>
      </c>
      <c r="G423" t="s">
        <v>4340</v>
      </c>
      <c r="H423" t="s">
        <v>1282</v>
      </c>
      <c r="I423" t="s">
        <v>1283</v>
      </c>
      <c r="J423" s="8" t="str">
        <f>+LEFT(U423,4)</f>
        <v>MISC</v>
      </c>
      <c r="K423" t="s">
        <v>10</v>
      </c>
      <c r="L423" s="46">
        <v>1000</v>
      </c>
      <c r="M423" t="s">
        <v>1472</v>
      </c>
      <c r="N423" t="s">
        <v>11</v>
      </c>
      <c r="O423" s="49">
        <v>0.39100000000000001</v>
      </c>
      <c r="P423" s="9">
        <f>ROUND(O423*L423,2)</f>
        <v>391</v>
      </c>
      <c r="Q423" s="10">
        <f>IF(N423="HKD",7.8,IF(N423="CNY",7.30034,1))</f>
        <v>7.3003400000000003</v>
      </c>
      <c r="R423" s="10">
        <f>+ROUND(O423/Q423,4)</f>
        <v>5.3600000000000002E-2</v>
      </c>
      <c r="S423" s="11">
        <f>ROUND(R423*L423,2)</f>
        <v>53.6</v>
      </c>
      <c r="T423" s="10" t="s">
        <v>349</v>
      </c>
      <c r="U423" t="s">
        <v>25</v>
      </c>
    </row>
    <row r="424" spans="1:21">
      <c r="A424" t="s">
        <v>3878</v>
      </c>
      <c r="B424" s="20">
        <v>45758</v>
      </c>
      <c r="C424" s="20">
        <v>45716</v>
      </c>
      <c r="D424" t="s">
        <v>128</v>
      </c>
      <c r="E424" t="s">
        <v>129</v>
      </c>
      <c r="G424" t="s">
        <v>4361</v>
      </c>
      <c r="H424" t="s">
        <v>1587</v>
      </c>
      <c r="I424" t="s">
        <v>1588</v>
      </c>
      <c r="J424" s="8" t="str">
        <f>+LEFT(U424,4)</f>
        <v>RIV-</v>
      </c>
      <c r="K424" t="s">
        <v>10</v>
      </c>
      <c r="L424" s="46">
        <v>5000</v>
      </c>
      <c r="M424" t="s">
        <v>1472</v>
      </c>
      <c r="N424" t="s">
        <v>11</v>
      </c>
      <c r="O424" s="49">
        <v>9.6100000000000005E-2</v>
      </c>
      <c r="P424" s="9">
        <f>ROUND(O424*L424,2)</f>
        <v>480.5</v>
      </c>
      <c r="Q424" s="10">
        <f>IF(N424="HKD",7.8,IF(N424="CNY",7.30034,1))</f>
        <v>7.3003400000000003</v>
      </c>
      <c r="R424" s="10">
        <f>+ROUND(O424/Q424,4)</f>
        <v>1.32E-2</v>
      </c>
      <c r="S424" s="11">
        <f>ROUND(R424*L424,2)</f>
        <v>66</v>
      </c>
      <c r="T424" s="10" t="s">
        <v>349</v>
      </c>
      <c r="U424" t="s">
        <v>132</v>
      </c>
    </row>
    <row r="425" spans="1:21">
      <c r="A425" t="s">
        <v>3879</v>
      </c>
      <c r="B425" s="20">
        <v>45758</v>
      </c>
      <c r="C425" s="20">
        <v>45729</v>
      </c>
      <c r="D425" t="s">
        <v>128</v>
      </c>
      <c r="E425" t="s">
        <v>129</v>
      </c>
      <c r="G425" t="s">
        <v>4361</v>
      </c>
      <c r="H425" t="s">
        <v>1587</v>
      </c>
      <c r="I425" t="s">
        <v>1588</v>
      </c>
      <c r="J425" s="8" t="str">
        <f>+LEFT(U425,4)</f>
        <v>RIV-</v>
      </c>
      <c r="K425" t="s">
        <v>10</v>
      </c>
      <c r="L425" s="46">
        <v>3200</v>
      </c>
      <c r="M425" t="s">
        <v>1472</v>
      </c>
      <c r="N425" t="s">
        <v>11</v>
      </c>
      <c r="O425" s="49">
        <v>9.6100000000000005E-2</v>
      </c>
      <c r="P425" s="9">
        <f>ROUND(O425*L425,2)</f>
        <v>307.52</v>
      </c>
      <c r="Q425" s="10">
        <f>IF(N425="HKD",7.8,IF(N425="CNY",7.30034,1))</f>
        <v>7.3003400000000003</v>
      </c>
      <c r="R425" s="10">
        <f>+ROUND(O425/Q425,4)</f>
        <v>1.32E-2</v>
      </c>
      <c r="S425" s="11">
        <f>ROUND(R425*L425,2)</f>
        <v>42.24</v>
      </c>
      <c r="T425" s="10" t="s">
        <v>349</v>
      </c>
      <c r="U425" t="s">
        <v>132</v>
      </c>
    </row>
    <row r="426" spans="1:21">
      <c r="A426" t="s">
        <v>3880</v>
      </c>
      <c r="B426" s="20">
        <v>45758</v>
      </c>
      <c r="C426" s="20">
        <v>45729</v>
      </c>
      <c r="D426" t="s">
        <v>128</v>
      </c>
      <c r="E426" t="s">
        <v>129</v>
      </c>
      <c r="G426" t="s">
        <v>4361</v>
      </c>
      <c r="H426" t="s">
        <v>1587</v>
      </c>
      <c r="I426" t="s">
        <v>1588</v>
      </c>
      <c r="J426" s="8" t="str">
        <f>+LEFT(U426,4)</f>
        <v>RIV-</v>
      </c>
      <c r="K426" t="s">
        <v>10</v>
      </c>
      <c r="L426" s="46">
        <v>7200</v>
      </c>
      <c r="M426" t="s">
        <v>1472</v>
      </c>
      <c r="N426" t="s">
        <v>11</v>
      </c>
      <c r="O426" s="49">
        <v>9.6100000000000005E-2</v>
      </c>
      <c r="P426" s="9">
        <f>ROUND(O426*L426,2)</f>
        <v>691.92</v>
      </c>
      <c r="Q426" s="10">
        <f>IF(N426="HKD",7.8,IF(N426="CNY",7.30034,1))</f>
        <v>7.3003400000000003</v>
      </c>
      <c r="R426" s="10">
        <f>+ROUND(O426/Q426,4)</f>
        <v>1.32E-2</v>
      </c>
      <c r="S426" s="11">
        <f>ROUND(R426*L426,2)</f>
        <v>95.04</v>
      </c>
      <c r="T426" s="10" t="s">
        <v>349</v>
      </c>
      <c r="U426" t="s">
        <v>132</v>
      </c>
    </row>
    <row r="427" spans="1:21">
      <c r="A427" t="s">
        <v>4014</v>
      </c>
      <c r="B427" s="20">
        <v>45758</v>
      </c>
      <c r="C427" s="20">
        <v>45729</v>
      </c>
      <c r="D427" t="s">
        <v>128</v>
      </c>
      <c r="E427" t="s">
        <v>129</v>
      </c>
      <c r="G427" t="s">
        <v>4361</v>
      </c>
      <c r="H427" t="s">
        <v>1666</v>
      </c>
      <c r="I427" t="s">
        <v>1667</v>
      </c>
      <c r="J427" s="8" t="str">
        <f>+LEFT(U427,4)</f>
        <v>SHDL</v>
      </c>
      <c r="K427" t="s">
        <v>10</v>
      </c>
      <c r="L427" s="46">
        <v>430</v>
      </c>
      <c r="M427" t="s">
        <v>1472</v>
      </c>
      <c r="N427" t="s">
        <v>11</v>
      </c>
      <c r="O427" s="49">
        <v>1.8715999999999999</v>
      </c>
      <c r="P427" s="9">
        <f>ROUND(O427*L427,2)</f>
        <v>804.79</v>
      </c>
      <c r="Q427" s="10">
        <f>IF(N427="HKD",7.8,IF(N427="CNY",7.30034,1))</f>
        <v>7.3003400000000003</v>
      </c>
      <c r="R427" s="10">
        <f>+ROUND(O427/Q427,4)</f>
        <v>0.25640000000000002</v>
      </c>
      <c r="S427" s="11">
        <f>ROUND(R427*L427,2)</f>
        <v>110.25</v>
      </c>
      <c r="T427" s="10" t="s">
        <v>349</v>
      </c>
      <c r="U427" t="s">
        <v>722</v>
      </c>
    </row>
    <row r="428" spans="1:21">
      <c r="A428" t="s">
        <v>4228</v>
      </c>
      <c r="B428" s="20">
        <v>45757</v>
      </c>
      <c r="C428" s="20">
        <v>45702</v>
      </c>
      <c r="D428" t="s">
        <v>287</v>
      </c>
      <c r="E428" t="s">
        <v>288</v>
      </c>
      <c r="G428" t="s">
        <v>4519</v>
      </c>
      <c r="H428" t="s">
        <v>3064</v>
      </c>
      <c r="I428" t="s">
        <v>83</v>
      </c>
      <c r="J428" s="8" t="s">
        <v>1478</v>
      </c>
      <c r="K428" t="s">
        <v>10</v>
      </c>
      <c r="L428" s="46">
        <v>5000</v>
      </c>
      <c r="M428" t="s">
        <v>1472</v>
      </c>
      <c r="N428" t="s">
        <v>11</v>
      </c>
      <c r="O428" s="49">
        <v>7.3479999999999999</v>
      </c>
      <c r="P428" s="9">
        <f>ROUND(O428*L428,2)</f>
        <v>36740</v>
      </c>
      <c r="Q428" s="10">
        <f>IF(N428="HKD",7.8,IF(N428="CNY",7.30034,1))</f>
        <v>7.3003400000000003</v>
      </c>
      <c r="R428" s="10">
        <f>+ROUND(O428/Q428,4)</f>
        <v>1.0065</v>
      </c>
      <c r="S428" s="11">
        <f>ROUND(R428*L428,2)</f>
        <v>5032.5</v>
      </c>
      <c r="T428" s="10" t="s">
        <v>349</v>
      </c>
      <c r="U428" t="s">
        <v>36</v>
      </c>
    </row>
    <row r="429" spans="1:21">
      <c r="A429" t="s">
        <v>3961</v>
      </c>
      <c r="B429" s="20">
        <v>45757</v>
      </c>
      <c r="C429" s="20">
        <v>45750</v>
      </c>
      <c r="D429" t="s">
        <v>28</v>
      </c>
      <c r="E429" t="s">
        <v>29</v>
      </c>
      <c r="G429" t="s">
        <v>4375</v>
      </c>
      <c r="H429" t="s">
        <v>1145</v>
      </c>
      <c r="I429" t="s">
        <v>1146</v>
      </c>
      <c r="J429" s="8" t="str">
        <f>+LEFT(U429,4)</f>
        <v>BRKT</v>
      </c>
      <c r="K429" t="s">
        <v>10</v>
      </c>
      <c r="L429" s="46">
        <v>4040</v>
      </c>
      <c r="M429" t="s">
        <v>1472</v>
      </c>
      <c r="N429" t="s">
        <v>11</v>
      </c>
      <c r="O429" s="49">
        <v>0.59809999999999997</v>
      </c>
      <c r="P429" s="9">
        <f>ROUND(O429*L429,2)</f>
        <v>2416.3200000000002</v>
      </c>
      <c r="Q429" s="10">
        <f>IF(N429="HKD",7.8,IF(N429="CNY",7.30034,1))</f>
        <v>7.3003400000000003</v>
      </c>
      <c r="R429" s="10">
        <f>+ROUND(O429/Q429,4)</f>
        <v>8.1900000000000001E-2</v>
      </c>
      <c r="S429" s="11">
        <f>ROUND(R429*L429,2)</f>
        <v>330.88</v>
      </c>
      <c r="T429" s="10" t="s">
        <v>349</v>
      </c>
      <c r="U429" t="s">
        <v>442</v>
      </c>
    </row>
    <row r="430" spans="1:21">
      <c r="A430" t="s">
        <v>3963</v>
      </c>
      <c r="B430" s="20">
        <v>45757</v>
      </c>
      <c r="C430" s="20">
        <v>45744</v>
      </c>
      <c r="D430" t="s">
        <v>28</v>
      </c>
      <c r="E430" t="s">
        <v>29</v>
      </c>
      <c r="G430" t="s">
        <v>4375</v>
      </c>
      <c r="H430" t="s">
        <v>3585</v>
      </c>
      <c r="I430" t="s">
        <v>3586</v>
      </c>
      <c r="J430" s="8" t="str">
        <f>+LEFT(U430,4)</f>
        <v>BRKT</v>
      </c>
      <c r="K430" t="s">
        <v>10</v>
      </c>
      <c r="L430" s="46">
        <v>2030</v>
      </c>
      <c r="M430" t="s">
        <v>1472</v>
      </c>
      <c r="N430" t="s">
        <v>11</v>
      </c>
      <c r="O430" s="49">
        <v>0.63560000000000005</v>
      </c>
      <c r="P430" s="9">
        <f>ROUND(O430*L430,2)</f>
        <v>1290.27</v>
      </c>
      <c r="Q430" s="10">
        <f>IF(N430="HKD",7.8,IF(N430="CNY",7.30034,1))</f>
        <v>7.3003400000000003</v>
      </c>
      <c r="R430" s="10">
        <f>+ROUND(O430/Q430,4)</f>
        <v>8.7099999999999997E-2</v>
      </c>
      <c r="S430" s="11">
        <f>ROUND(R430*L430,2)</f>
        <v>176.81</v>
      </c>
      <c r="T430" s="10" t="s">
        <v>349</v>
      </c>
      <c r="U430" t="s">
        <v>442</v>
      </c>
    </row>
    <row r="431" spans="1:21">
      <c r="A431" t="s">
        <v>3965</v>
      </c>
      <c r="B431" s="20">
        <v>45757</v>
      </c>
      <c r="C431" s="20">
        <v>45744</v>
      </c>
      <c r="D431" t="s">
        <v>28</v>
      </c>
      <c r="E431" t="s">
        <v>29</v>
      </c>
      <c r="G431" t="s">
        <v>4375</v>
      </c>
      <c r="H431" t="s">
        <v>1152</v>
      </c>
      <c r="I431" t="s">
        <v>1153</v>
      </c>
      <c r="J431" s="8" t="str">
        <f>+LEFT(U431,4)</f>
        <v>BRKT</v>
      </c>
      <c r="K431" t="s">
        <v>10</v>
      </c>
      <c r="L431" s="46">
        <v>550</v>
      </c>
      <c r="M431" t="s">
        <v>1472</v>
      </c>
      <c r="N431" t="s">
        <v>11</v>
      </c>
      <c r="O431" s="49">
        <v>0.6522</v>
      </c>
      <c r="P431" s="9">
        <f>ROUND(O431*L431,2)</f>
        <v>358.71</v>
      </c>
      <c r="Q431" s="10">
        <f>IF(N431="HKD",7.8,IF(N431="CNY",7.30034,1))</f>
        <v>7.3003400000000003</v>
      </c>
      <c r="R431" s="10">
        <f>+ROUND(O431/Q431,4)</f>
        <v>8.9300000000000004E-2</v>
      </c>
      <c r="S431" s="11">
        <f>ROUND(R431*L431,2)</f>
        <v>49.12</v>
      </c>
      <c r="T431" s="10" t="s">
        <v>349</v>
      </c>
      <c r="U431" t="s">
        <v>442</v>
      </c>
    </row>
    <row r="432" spans="1:21">
      <c r="A432" t="s">
        <v>4024</v>
      </c>
      <c r="B432" s="20">
        <v>45757</v>
      </c>
      <c r="C432" s="20">
        <v>45749</v>
      </c>
      <c r="D432" t="s">
        <v>28</v>
      </c>
      <c r="E432" t="s">
        <v>29</v>
      </c>
      <c r="G432" t="s">
        <v>4415</v>
      </c>
      <c r="H432" t="s">
        <v>3615</v>
      </c>
      <c r="I432" t="s">
        <v>3616</v>
      </c>
      <c r="J432" s="8" t="str">
        <f>+LEFT(U432,4)</f>
        <v>LHDL</v>
      </c>
      <c r="K432" t="s">
        <v>10</v>
      </c>
      <c r="L432" s="46">
        <v>104</v>
      </c>
      <c r="M432" t="s">
        <v>1472</v>
      </c>
      <c r="N432" t="s">
        <v>11</v>
      </c>
      <c r="O432" s="49">
        <v>2.1898</v>
      </c>
      <c r="P432" s="9">
        <f>ROUND(O432*L432,2)</f>
        <v>227.74</v>
      </c>
      <c r="Q432" s="10">
        <f>IF(N432="HKD",7.8,IF(N432="CNY",7.30034,1))</f>
        <v>7.3003400000000003</v>
      </c>
      <c r="R432" s="10">
        <f>+ROUND(O432/Q432,4)</f>
        <v>0.3</v>
      </c>
      <c r="S432" s="11">
        <f>ROUND(R432*L432,2)</f>
        <v>31.2</v>
      </c>
      <c r="T432" s="10" t="s">
        <v>349</v>
      </c>
      <c r="U432" t="s">
        <v>125</v>
      </c>
    </row>
    <row r="433" spans="1:21">
      <c r="A433" t="s">
        <v>4025</v>
      </c>
      <c r="B433" s="20">
        <v>45757</v>
      </c>
      <c r="C433" s="20">
        <v>45749</v>
      </c>
      <c r="D433" t="s">
        <v>28</v>
      </c>
      <c r="E433" t="s">
        <v>29</v>
      </c>
      <c r="G433" t="s">
        <v>4415</v>
      </c>
      <c r="H433" t="s">
        <v>3617</v>
      </c>
      <c r="I433" t="s">
        <v>3618</v>
      </c>
      <c r="J433" s="8" t="str">
        <f>+LEFT(U433,4)</f>
        <v>LHDL</v>
      </c>
      <c r="K433" t="s">
        <v>10</v>
      </c>
      <c r="L433" s="46">
        <v>53</v>
      </c>
      <c r="M433" t="s">
        <v>1472</v>
      </c>
      <c r="N433" t="s">
        <v>11</v>
      </c>
      <c r="O433" s="49">
        <v>2.1898</v>
      </c>
      <c r="P433" s="9">
        <f>ROUND(O433*L433,2)</f>
        <v>116.06</v>
      </c>
      <c r="Q433" s="10">
        <f>IF(N433="HKD",7.8,IF(N433="CNY",7.30034,1))</f>
        <v>7.3003400000000003</v>
      </c>
      <c r="R433" s="10">
        <f>+ROUND(O433/Q433,4)</f>
        <v>0.3</v>
      </c>
      <c r="S433" s="11">
        <f>ROUND(R433*L433,2)</f>
        <v>15.9</v>
      </c>
      <c r="T433" s="10" t="s">
        <v>349</v>
      </c>
      <c r="U433" t="s">
        <v>125</v>
      </c>
    </row>
    <row r="434" spans="1:21">
      <c r="A434" t="s">
        <v>4026</v>
      </c>
      <c r="B434" s="20">
        <v>45757</v>
      </c>
      <c r="C434" s="20">
        <v>45749</v>
      </c>
      <c r="D434" t="s">
        <v>28</v>
      </c>
      <c r="E434" t="s">
        <v>29</v>
      </c>
      <c r="G434" t="s">
        <v>4415</v>
      </c>
      <c r="H434" t="s">
        <v>3619</v>
      </c>
      <c r="I434" t="s">
        <v>3620</v>
      </c>
      <c r="J434" s="8" t="str">
        <f>+LEFT(U434,4)</f>
        <v>LHDL</v>
      </c>
      <c r="K434" t="s">
        <v>10</v>
      </c>
      <c r="L434" s="46">
        <v>32</v>
      </c>
      <c r="M434" t="s">
        <v>1472</v>
      </c>
      <c r="N434" t="s">
        <v>11</v>
      </c>
      <c r="O434" s="49">
        <v>2.1898</v>
      </c>
      <c r="P434" s="9">
        <f>ROUND(O434*L434,2)</f>
        <v>70.069999999999993</v>
      </c>
      <c r="Q434" s="10">
        <f>IF(N434="HKD",7.8,IF(N434="CNY",7.30034,1))</f>
        <v>7.3003400000000003</v>
      </c>
      <c r="R434" s="10">
        <f>+ROUND(O434/Q434,4)</f>
        <v>0.3</v>
      </c>
      <c r="S434" s="11">
        <f>ROUND(R434*L434,2)</f>
        <v>9.6</v>
      </c>
      <c r="T434" s="10" t="s">
        <v>349</v>
      </c>
      <c r="U434" t="s">
        <v>125</v>
      </c>
    </row>
    <row r="435" spans="1:21">
      <c r="A435" t="s">
        <v>4027</v>
      </c>
      <c r="B435" s="20">
        <v>45757</v>
      </c>
      <c r="C435" s="20">
        <v>45749</v>
      </c>
      <c r="D435" t="s">
        <v>28</v>
      </c>
      <c r="E435" t="s">
        <v>29</v>
      </c>
      <c r="G435" t="s">
        <v>4415</v>
      </c>
      <c r="H435" t="s">
        <v>3613</v>
      </c>
      <c r="I435" t="s">
        <v>3614</v>
      </c>
      <c r="J435" s="8" t="str">
        <f>+LEFT(U435,4)</f>
        <v>LHDL</v>
      </c>
      <c r="K435" t="s">
        <v>10</v>
      </c>
      <c r="L435" s="46">
        <v>32</v>
      </c>
      <c r="M435" t="s">
        <v>1472</v>
      </c>
      <c r="N435" t="s">
        <v>11</v>
      </c>
      <c r="O435" s="49">
        <v>2.1898</v>
      </c>
      <c r="P435" s="9">
        <f>ROUND(O435*L435,2)</f>
        <v>70.069999999999993</v>
      </c>
      <c r="Q435" s="10">
        <f>IF(N435="HKD",7.8,IF(N435="CNY",7.30034,1))</f>
        <v>7.3003400000000003</v>
      </c>
      <c r="R435" s="10">
        <f>+ROUND(O435/Q435,4)</f>
        <v>0.3</v>
      </c>
      <c r="S435" s="11">
        <f>ROUND(R435*L435,2)</f>
        <v>9.6</v>
      </c>
      <c r="T435" s="10" t="s">
        <v>349</v>
      </c>
      <c r="U435" t="s">
        <v>125</v>
      </c>
    </row>
    <row r="436" spans="1:21">
      <c r="A436" t="s">
        <v>4028</v>
      </c>
      <c r="B436" s="20">
        <v>45757</v>
      </c>
      <c r="C436" s="20">
        <v>45749</v>
      </c>
      <c r="D436" t="s">
        <v>28</v>
      </c>
      <c r="E436" t="s">
        <v>29</v>
      </c>
      <c r="G436" t="s">
        <v>4415</v>
      </c>
      <c r="H436" t="s">
        <v>3621</v>
      </c>
      <c r="I436" t="s">
        <v>3622</v>
      </c>
      <c r="J436" s="8" t="str">
        <f>+LEFT(U436,4)</f>
        <v>LHDL</v>
      </c>
      <c r="K436" t="s">
        <v>10</v>
      </c>
      <c r="L436" s="46">
        <v>22</v>
      </c>
      <c r="M436" t="s">
        <v>1472</v>
      </c>
      <c r="N436" t="s">
        <v>11</v>
      </c>
      <c r="O436" s="49">
        <v>2.1898</v>
      </c>
      <c r="P436" s="9">
        <f>ROUND(O436*L436,2)</f>
        <v>48.18</v>
      </c>
      <c r="Q436" s="10">
        <f>IF(N436="HKD",7.8,IF(N436="CNY",7.30034,1))</f>
        <v>7.3003400000000003</v>
      </c>
      <c r="R436" s="10">
        <f>+ROUND(O436/Q436,4)</f>
        <v>0.3</v>
      </c>
      <c r="S436" s="11">
        <f>ROUND(R436*L436,2)</f>
        <v>6.6</v>
      </c>
      <c r="T436" s="10" t="s">
        <v>349</v>
      </c>
      <c r="U436" t="s">
        <v>125</v>
      </c>
    </row>
    <row r="437" spans="1:21">
      <c r="A437" t="s">
        <v>4153</v>
      </c>
      <c r="B437" s="20">
        <v>45757</v>
      </c>
      <c r="C437" s="20">
        <v>45700</v>
      </c>
      <c r="D437" t="s">
        <v>94</v>
      </c>
      <c r="E437" t="s">
        <v>95</v>
      </c>
      <c r="G437" t="s">
        <v>4449</v>
      </c>
      <c r="H437" t="s">
        <v>997</v>
      </c>
      <c r="I437" t="s">
        <v>998</v>
      </c>
      <c r="J437" s="8" t="str">
        <f>+LEFT(U437,4)</f>
        <v>LID-</v>
      </c>
      <c r="K437" t="s">
        <v>369</v>
      </c>
      <c r="L437" s="46">
        <v>486</v>
      </c>
      <c r="M437" t="s">
        <v>1472</v>
      </c>
      <c r="N437" t="s">
        <v>11</v>
      </c>
      <c r="O437" s="49">
        <v>3.64</v>
      </c>
      <c r="P437" s="9">
        <f>ROUND(O437*L437,2)</f>
        <v>1769.04</v>
      </c>
      <c r="Q437" s="10">
        <f>IF(N437="HKD",7.8,IF(N437="CNY",7.30034,1))</f>
        <v>7.3003400000000003</v>
      </c>
      <c r="R437" s="10">
        <f>+ROUND(O437/Q437,4)</f>
        <v>0.49859999999999999</v>
      </c>
      <c r="S437" s="11">
        <f>ROUND(R437*L437,2)</f>
        <v>242.32</v>
      </c>
      <c r="T437" s="10" t="s">
        <v>349</v>
      </c>
      <c r="U437" t="s">
        <v>368</v>
      </c>
    </row>
    <row r="438" spans="1:21">
      <c r="A438" t="s">
        <v>4157</v>
      </c>
      <c r="B438" s="20">
        <v>45757</v>
      </c>
      <c r="C438" s="20">
        <v>45700</v>
      </c>
      <c r="D438" t="s">
        <v>94</v>
      </c>
      <c r="E438" t="s">
        <v>95</v>
      </c>
      <c r="G438" t="s">
        <v>4449</v>
      </c>
      <c r="H438" t="s">
        <v>1742</v>
      </c>
      <c r="I438" t="s">
        <v>1743</v>
      </c>
      <c r="J438" s="8" t="str">
        <f>+LEFT(U438,4)</f>
        <v>LID-</v>
      </c>
      <c r="K438" t="s">
        <v>369</v>
      </c>
      <c r="L438" s="46">
        <v>1000</v>
      </c>
      <c r="M438" t="s">
        <v>1472</v>
      </c>
      <c r="N438" t="s">
        <v>11</v>
      </c>
      <c r="O438" s="49">
        <v>3.75</v>
      </c>
      <c r="P438" s="9">
        <f>ROUND(O438*L438,2)</f>
        <v>3750</v>
      </c>
      <c r="Q438" s="10">
        <f>IF(N438="HKD",7.8,IF(N438="CNY",7.30034,1))</f>
        <v>7.3003400000000003</v>
      </c>
      <c r="R438" s="10">
        <f>+ROUND(O438/Q438,4)</f>
        <v>0.51370000000000005</v>
      </c>
      <c r="S438" s="11">
        <f>ROUND(R438*L438,2)</f>
        <v>513.70000000000005</v>
      </c>
      <c r="T438" s="10" t="s">
        <v>349</v>
      </c>
      <c r="U438" t="s">
        <v>368</v>
      </c>
    </row>
    <row r="439" spans="1:21">
      <c r="A439" t="s">
        <v>2540</v>
      </c>
      <c r="B439" s="20">
        <v>45757</v>
      </c>
      <c r="C439" s="20">
        <v>45714</v>
      </c>
      <c r="D439" t="s">
        <v>830</v>
      </c>
      <c r="E439" t="s">
        <v>831</v>
      </c>
      <c r="G439" t="s">
        <v>4466</v>
      </c>
      <c r="H439" t="s">
        <v>3166</v>
      </c>
      <c r="I439" t="s">
        <v>3376</v>
      </c>
      <c r="J439" s="8" t="str">
        <f>+LEFT(U439,4)</f>
        <v>LID-</v>
      </c>
      <c r="K439" t="s">
        <v>98</v>
      </c>
      <c r="L439" s="46">
        <v>960</v>
      </c>
      <c r="M439" t="s">
        <v>1472</v>
      </c>
      <c r="N439" t="s">
        <v>11</v>
      </c>
      <c r="O439" s="49">
        <v>4.2</v>
      </c>
      <c r="P439" s="9">
        <f>ROUND(O439*L439,2)</f>
        <v>4032</v>
      </c>
      <c r="Q439" s="10">
        <f>IF(N439="HKD",7.8,IF(N439="CNY",7.30034,1))</f>
        <v>7.3003400000000003</v>
      </c>
      <c r="R439" s="10">
        <f>+ROUND(O439/Q439,4)</f>
        <v>0.57530000000000003</v>
      </c>
      <c r="S439" s="11">
        <f>ROUND(R439*L439,2)</f>
        <v>552.29</v>
      </c>
      <c r="T439" s="10" t="s">
        <v>349</v>
      </c>
      <c r="U439" t="s">
        <v>368</v>
      </c>
    </row>
    <row r="440" spans="1:21">
      <c r="A440" t="s">
        <v>2535</v>
      </c>
      <c r="B440" s="20">
        <v>45757</v>
      </c>
      <c r="C440" s="20">
        <v>45714</v>
      </c>
      <c r="D440" t="s">
        <v>94</v>
      </c>
      <c r="E440" t="s">
        <v>95</v>
      </c>
      <c r="G440" t="s">
        <v>4479</v>
      </c>
      <c r="H440" t="s">
        <v>3164</v>
      </c>
      <c r="I440" t="s">
        <v>3374</v>
      </c>
      <c r="J440" s="8" t="str">
        <f>+LEFT(U440,4)</f>
        <v>LID-</v>
      </c>
      <c r="K440" t="s">
        <v>98</v>
      </c>
      <c r="L440" s="46">
        <v>600</v>
      </c>
      <c r="M440" t="s">
        <v>1472</v>
      </c>
      <c r="N440" t="s">
        <v>11</v>
      </c>
      <c r="O440" s="49">
        <v>4.26</v>
      </c>
      <c r="P440" s="9">
        <f>ROUND(O440*L440,2)</f>
        <v>2556</v>
      </c>
      <c r="Q440" s="10">
        <f>IF(N440="HKD",7.8,IF(N440="CNY",7.30034,1))</f>
        <v>7.3003400000000003</v>
      </c>
      <c r="R440" s="10">
        <f>+ROUND(O440/Q440,4)</f>
        <v>0.58350000000000002</v>
      </c>
      <c r="S440" s="11">
        <f>ROUND(R440*L440,2)</f>
        <v>350.1</v>
      </c>
      <c r="T440" s="10" t="s">
        <v>349</v>
      </c>
      <c r="U440" t="s">
        <v>368</v>
      </c>
    </row>
    <row r="441" spans="1:21">
      <c r="A441" t="s">
        <v>2535</v>
      </c>
      <c r="B441" s="20">
        <v>45757</v>
      </c>
      <c r="C441" s="20">
        <v>45714</v>
      </c>
      <c r="D441" t="s">
        <v>94</v>
      </c>
      <c r="E441" t="s">
        <v>95</v>
      </c>
      <c r="G441" t="s">
        <v>4480</v>
      </c>
      <c r="H441" t="s">
        <v>3164</v>
      </c>
      <c r="I441" t="s">
        <v>3374</v>
      </c>
      <c r="J441" s="8" t="str">
        <f>+LEFT(U441,4)</f>
        <v>LID-</v>
      </c>
      <c r="K441" t="s">
        <v>98</v>
      </c>
      <c r="L441" s="46">
        <v>553</v>
      </c>
      <c r="M441" t="s">
        <v>1472</v>
      </c>
      <c r="N441" t="s">
        <v>11</v>
      </c>
      <c r="O441" s="49">
        <v>4.26</v>
      </c>
      <c r="P441" s="9">
        <f>ROUND(O441*L441,2)</f>
        <v>2355.7800000000002</v>
      </c>
      <c r="Q441" s="10">
        <f>IF(N441="HKD",7.8,IF(N441="CNY",7.30034,1))</f>
        <v>7.3003400000000003</v>
      </c>
      <c r="R441" s="10">
        <f>+ROUND(O441/Q441,4)</f>
        <v>0.58350000000000002</v>
      </c>
      <c r="S441" s="11">
        <f>ROUND(R441*L441,2)</f>
        <v>322.68</v>
      </c>
      <c r="T441" s="10" t="s">
        <v>349</v>
      </c>
      <c r="U441" t="s">
        <v>368</v>
      </c>
    </row>
    <row r="442" spans="1:21">
      <c r="A442" t="s">
        <v>4190</v>
      </c>
      <c r="B442" s="20">
        <v>45757</v>
      </c>
      <c r="C442" s="20">
        <v>45714</v>
      </c>
      <c r="D442" t="s">
        <v>830</v>
      </c>
      <c r="E442" t="s">
        <v>831</v>
      </c>
      <c r="G442" t="s">
        <v>4466</v>
      </c>
      <c r="H442" t="s">
        <v>3750</v>
      </c>
      <c r="I442" t="s">
        <v>3751</v>
      </c>
      <c r="J442" s="8" t="str">
        <f>+LEFT(U442,4)</f>
        <v>LID-</v>
      </c>
      <c r="K442" t="s">
        <v>98</v>
      </c>
      <c r="L442" s="46">
        <v>1008</v>
      </c>
      <c r="M442" t="s">
        <v>1472</v>
      </c>
      <c r="N442" t="s">
        <v>11</v>
      </c>
      <c r="O442" s="49">
        <v>4.5999999999999996</v>
      </c>
      <c r="P442" s="9">
        <f>ROUND(O442*L442,2)</f>
        <v>4636.8</v>
      </c>
      <c r="Q442" s="10">
        <f>IF(N442="HKD",7.8,IF(N442="CNY",7.30034,1))</f>
        <v>7.3003400000000003</v>
      </c>
      <c r="R442" s="10">
        <f>+ROUND(O442/Q442,4)</f>
        <v>0.63009999999999999</v>
      </c>
      <c r="S442" s="11">
        <f>ROUND(R442*L442,2)</f>
        <v>635.14</v>
      </c>
      <c r="T442" s="10" t="s">
        <v>349</v>
      </c>
      <c r="U442" t="s">
        <v>368</v>
      </c>
    </row>
    <row r="443" spans="1:21">
      <c r="A443" t="s">
        <v>3924</v>
      </c>
      <c r="B443" s="20">
        <v>45757</v>
      </c>
      <c r="C443" s="20">
        <v>45744</v>
      </c>
      <c r="D443" t="s">
        <v>28</v>
      </c>
      <c r="E443" t="s">
        <v>29</v>
      </c>
      <c r="G443" t="s">
        <v>4375</v>
      </c>
      <c r="H443" t="s">
        <v>1175</v>
      </c>
      <c r="I443" t="s">
        <v>1176</v>
      </c>
      <c r="J443" s="8" t="str">
        <f>+LEFT(U443,4)</f>
        <v>MISC</v>
      </c>
      <c r="K443" t="s">
        <v>10</v>
      </c>
      <c r="L443" s="46">
        <v>500</v>
      </c>
      <c r="M443" t="s">
        <v>1472</v>
      </c>
      <c r="N443" t="s">
        <v>11</v>
      </c>
      <c r="O443" s="49">
        <v>0.18720000000000001</v>
      </c>
      <c r="P443" s="9">
        <f>ROUND(O443*L443,2)</f>
        <v>93.6</v>
      </c>
      <c r="Q443" s="10">
        <f>IF(N443="HKD",7.8,IF(N443="CNY",7.30034,1))</f>
        <v>7.3003400000000003</v>
      </c>
      <c r="R443" s="10">
        <f>+ROUND(O443/Q443,4)</f>
        <v>2.5600000000000001E-2</v>
      </c>
      <c r="S443" s="11">
        <f>ROUND(R443*L443,2)</f>
        <v>12.8</v>
      </c>
      <c r="T443" s="10" t="s">
        <v>349</v>
      </c>
      <c r="U443" t="s">
        <v>25</v>
      </c>
    </row>
    <row r="444" spans="1:21">
      <c r="A444" t="s">
        <v>3973</v>
      </c>
      <c r="B444" s="20">
        <v>45757</v>
      </c>
      <c r="C444" s="20">
        <v>45740</v>
      </c>
      <c r="D444" t="s">
        <v>746</v>
      </c>
      <c r="E444" t="s">
        <v>747</v>
      </c>
      <c r="G444" t="s">
        <v>4397</v>
      </c>
      <c r="H444" t="s">
        <v>3589</v>
      </c>
      <c r="I444" t="s">
        <v>3590</v>
      </c>
      <c r="J444" s="8" t="str">
        <f>+LEFT(U444,4)</f>
        <v>SSM-</v>
      </c>
      <c r="K444" t="s">
        <v>10</v>
      </c>
      <c r="L444" s="46">
        <v>1400</v>
      </c>
      <c r="M444" t="s">
        <v>1472</v>
      </c>
      <c r="N444" t="s">
        <v>11</v>
      </c>
      <c r="O444" s="49">
        <v>0.83189999999999997</v>
      </c>
      <c r="P444" s="9">
        <f>ROUND(O444*L444,2)</f>
        <v>1164.6600000000001</v>
      </c>
      <c r="Q444" s="10">
        <f>IF(N444="HKD",7.8,IF(N444="CNY",7.30034,1))</f>
        <v>7.3003400000000003</v>
      </c>
      <c r="R444" s="10">
        <f>+ROUND(O444/Q444,4)</f>
        <v>0.114</v>
      </c>
      <c r="S444" s="11">
        <f>ROUND(R444*L444,2)</f>
        <v>159.6</v>
      </c>
      <c r="T444" s="10" t="s">
        <v>349</v>
      </c>
      <c r="U444" t="s">
        <v>33</v>
      </c>
    </row>
    <row r="445" spans="1:21">
      <c r="A445" t="s">
        <v>3975</v>
      </c>
      <c r="B445" s="20">
        <v>45757</v>
      </c>
      <c r="C445" s="20">
        <v>45740</v>
      </c>
      <c r="D445" t="s">
        <v>746</v>
      </c>
      <c r="E445" t="s">
        <v>747</v>
      </c>
      <c r="G445" t="s">
        <v>4397</v>
      </c>
      <c r="H445" t="s">
        <v>3591</v>
      </c>
      <c r="I445" t="s">
        <v>3592</v>
      </c>
      <c r="J445" s="8" t="str">
        <f>+LEFT(U445,4)</f>
        <v>SSM-</v>
      </c>
      <c r="K445" t="s">
        <v>10</v>
      </c>
      <c r="L445" s="46">
        <v>650</v>
      </c>
      <c r="M445" t="s">
        <v>1472</v>
      </c>
      <c r="N445" t="s">
        <v>11</v>
      </c>
      <c r="O445" s="49">
        <v>0.89380000000000004</v>
      </c>
      <c r="P445" s="9">
        <f>ROUND(O445*L445,2)</f>
        <v>580.97</v>
      </c>
      <c r="Q445" s="10">
        <f>IF(N445="HKD",7.8,IF(N445="CNY",7.30034,1))</f>
        <v>7.3003400000000003</v>
      </c>
      <c r="R445" s="10">
        <f>+ROUND(O445/Q445,4)</f>
        <v>0.12239999999999999</v>
      </c>
      <c r="S445" s="11">
        <f>ROUND(R445*L445,2)</f>
        <v>79.56</v>
      </c>
      <c r="T445" s="10" t="s">
        <v>349</v>
      </c>
      <c r="U445" t="s">
        <v>33</v>
      </c>
    </row>
    <row r="446" spans="1:21">
      <c r="A446" t="s">
        <v>3980</v>
      </c>
      <c r="B446" s="20">
        <v>45757</v>
      </c>
      <c r="C446" s="20">
        <v>45740</v>
      </c>
      <c r="D446" t="s">
        <v>746</v>
      </c>
      <c r="E446" t="s">
        <v>747</v>
      </c>
      <c r="G446" t="s">
        <v>4397</v>
      </c>
      <c r="H446" t="s">
        <v>753</v>
      </c>
      <c r="I446" t="s">
        <v>754</v>
      </c>
      <c r="J446" s="8" t="str">
        <f>+LEFT(U446,4)</f>
        <v>SSM-</v>
      </c>
      <c r="K446" t="s">
        <v>10</v>
      </c>
      <c r="L446" s="46">
        <v>2000</v>
      </c>
      <c r="M446" t="s">
        <v>1472</v>
      </c>
      <c r="N446" t="s">
        <v>11</v>
      </c>
      <c r="O446" s="49">
        <v>0.94689999999999996</v>
      </c>
      <c r="P446" s="9">
        <f>ROUND(O446*L446,2)</f>
        <v>1893.8</v>
      </c>
      <c r="Q446" s="10">
        <f>IF(N446="HKD",7.8,IF(N446="CNY",7.30034,1))</f>
        <v>7.3003400000000003</v>
      </c>
      <c r="R446" s="10">
        <f>+ROUND(O446/Q446,4)</f>
        <v>0.12970000000000001</v>
      </c>
      <c r="S446" s="11">
        <f>ROUND(R446*L446,2)</f>
        <v>259.39999999999998</v>
      </c>
      <c r="T446" s="10" t="s">
        <v>349</v>
      </c>
      <c r="U446" t="s">
        <v>33</v>
      </c>
    </row>
    <row r="447" spans="1:21">
      <c r="A447" t="s">
        <v>3990</v>
      </c>
      <c r="B447" s="20">
        <v>45757</v>
      </c>
      <c r="C447" s="20">
        <v>45740</v>
      </c>
      <c r="D447" t="s">
        <v>746</v>
      </c>
      <c r="E447" t="s">
        <v>747</v>
      </c>
      <c r="G447" t="s">
        <v>4397</v>
      </c>
      <c r="H447" t="s">
        <v>750</v>
      </c>
      <c r="I447" t="s">
        <v>751</v>
      </c>
      <c r="J447" s="8" t="str">
        <f>+LEFT(U447,4)</f>
        <v>SSM-</v>
      </c>
      <c r="K447" t="s">
        <v>10</v>
      </c>
      <c r="L447" s="46">
        <v>6000</v>
      </c>
      <c r="M447" t="s">
        <v>1472</v>
      </c>
      <c r="N447" t="s">
        <v>11</v>
      </c>
      <c r="O447" s="49">
        <v>1.0530999999999999</v>
      </c>
      <c r="P447" s="9">
        <f>ROUND(O447*L447,2)</f>
        <v>6318.6</v>
      </c>
      <c r="Q447" s="10">
        <f>IF(N447="HKD",7.8,IF(N447="CNY",7.30034,1))</f>
        <v>7.3003400000000003</v>
      </c>
      <c r="R447" s="10">
        <f>+ROUND(O447/Q447,4)</f>
        <v>0.14430000000000001</v>
      </c>
      <c r="S447" s="11">
        <f>ROUND(R447*L447,2)</f>
        <v>865.8</v>
      </c>
      <c r="T447" s="10" t="s">
        <v>349</v>
      </c>
      <c r="U447" t="s">
        <v>33</v>
      </c>
    </row>
    <row r="448" spans="1:21">
      <c r="A448" t="s">
        <v>4000</v>
      </c>
      <c r="B448" s="20">
        <v>45757</v>
      </c>
      <c r="C448" s="20">
        <v>45740</v>
      </c>
      <c r="D448" t="s">
        <v>746</v>
      </c>
      <c r="E448" t="s">
        <v>747</v>
      </c>
      <c r="G448" t="s">
        <v>4397</v>
      </c>
      <c r="H448" t="s">
        <v>3603</v>
      </c>
      <c r="I448" t="s">
        <v>3604</v>
      </c>
      <c r="J448" s="8" t="str">
        <f>+LEFT(U448,4)</f>
        <v>SSM-</v>
      </c>
      <c r="K448" t="s">
        <v>10</v>
      </c>
      <c r="L448" s="46">
        <v>2150</v>
      </c>
      <c r="M448" t="s">
        <v>1472</v>
      </c>
      <c r="N448" t="s">
        <v>11</v>
      </c>
      <c r="O448" s="49">
        <v>1.3628</v>
      </c>
      <c r="P448" s="9">
        <f>ROUND(O448*L448,2)</f>
        <v>2930.02</v>
      </c>
      <c r="Q448" s="10">
        <f>IF(N448="HKD",7.8,IF(N448="CNY",7.30034,1))</f>
        <v>7.3003400000000003</v>
      </c>
      <c r="R448" s="10">
        <f>+ROUND(O448/Q448,4)</f>
        <v>0.1867</v>
      </c>
      <c r="S448" s="11">
        <f>ROUND(R448*L448,2)</f>
        <v>401.41</v>
      </c>
      <c r="T448" s="10" t="s">
        <v>349</v>
      </c>
      <c r="U448" t="s">
        <v>33</v>
      </c>
    </row>
    <row r="449" spans="1:21">
      <c r="A449" t="s">
        <v>4003</v>
      </c>
      <c r="B449" s="20">
        <v>45757</v>
      </c>
      <c r="C449" s="20">
        <v>45740</v>
      </c>
      <c r="D449" t="s">
        <v>746</v>
      </c>
      <c r="E449" t="s">
        <v>747</v>
      </c>
      <c r="G449" t="s">
        <v>4397</v>
      </c>
      <c r="H449" t="s">
        <v>3607</v>
      </c>
      <c r="I449" t="s">
        <v>3608</v>
      </c>
      <c r="J449" s="8" t="str">
        <f>+LEFT(U449,4)</f>
        <v>SSM-</v>
      </c>
      <c r="K449" t="s">
        <v>10</v>
      </c>
      <c r="L449" s="46">
        <v>1100</v>
      </c>
      <c r="M449" t="s">
        <v>1472</v>
      </c>
      <c r="N449" t="s">
        <v>11</v>
      </c>
      <c r="O449" s="49">
        <v>1.4513</v>
      </c>
      <c r="P449" s="9">
        <f>ROUND(O449*L449,2)</f>
        <v>1596.43</v>
      </c>
      <c r="Q449" s="10">
        <f>IF(N449="HKD",7.8,IF(N449="CNY",7.30034,1))</f>
        <v>7.3003400000000003</v>
      </c>
      <c r="R449" s="10">
        <f>+ROUND(O449/Q449,4)</f>
        <v>0.1988</v>
      </c>
      <c r="S449" s="11">
        <f>ROUND(R449*L449,2)</f>
        <v>218.68</v>
      </c>
      <c r="T449" s="10" t="s">
        <v>349</v>
      </c>
      <c r="U449" t="s">
        <v>33</v>
      </c>
    </row>
    <row r="450" spans="1:21">
      <c r="A450" t="s">
        <v>4224</v>
      </c>
      <c r="B450" s="20">
        <v>45756</v>
      </c>
      <c r="C450" s="20">
        <v>45744</v>
      </c>
      <c r="D450" t="s">
        <v>287</v>
      </c>
      <c r="E450" t="s">
        <v>288</v>
      </c>
      <c r="G450" t="s">
        <v>4515</v>
      </c>
      <c r="H450" t="s">
        <v>81</v>
      </c>
      <c r="I450" t="s">
        <v>82</v>
      </c>
      <c r="J450" s="8" t="s">
        <v>1478</v>
      </c>
      <c r="K450" t="s">
        <v>10</v>
      </c>
      <c r="L450" s="46">
        <v>2460</v>
      </c>
      <c r="M450" t="s">
        <v>1472</v>
      </c>
      <c r="N450" t="s">
        <v>11</v>
      </c>
      <c r="O450" s="49">
        <v>6.5929000000000002</v>
      </c>
      <c r="P450" s="9">
        <f>ROUND(O450*L450,2)</f>
        <v>16218.53</v>
      </c>
      <c r="Q450" s="10">
        <f>IF(N450="HKD",7.8,IF(N450="CNY",7.30034,1))</f>
        <v>7.3003400000000003</v>
      </c>
      <c r="R450" s="10">
        <f>+ROUND(O450/Q450,4)</f>
        <v>0.90310000000000001</v>
      </c>
      <c r="S450" s="11">
        <f>ROUND(R450*L450,2)</f>
        <v>2221.63</v>
      </c>
      <c r="T450" s="10" t="s">
        <v>349</v>
      </c>
      <c r="U450" t="s">
        <v>36</v>
      </c>
    </row>
    <row r="451" spans="1:21">
      <c r="A451" t="s">
        <v>4234</v>
      </c>
      <c r="B451" s="20">
        <v>45756</v>
      </c>
      <c r="C451" s="20">
        <v>45741</v>
      </c>
      <c r="D451" t="s">
        <v>287</v>
      </c>
      <c r="E451" t="s">
        <v>288</v>
      </c>
      <c r="G451" t="s">
        <v>4515</v>
      </c>
      <c r="H451" t="s">
        <v>1557</v>
      </c>
      <c r="I451" t="s">
        <v>1558</v>
      </c>
      <c r="J451" s="8" t="s">
        <v>1478</v>
      </c>
      <c r="K451" t="s">
        <v>10</v>
      </c>
      <c r="L451" s="46">
        <v>2200</v>
      </c>
      <c r="M451" t="s">
        <v>1472</v>
      </c>
      <c r="N451" t="s">
        <v>11</v>
      </c>
      <c r="O451" s="49">
        <v>7.42</v>
      </c>
      <c r="P451" s="9">
        <f>ROUND(O451*L451,2)</f>
        <v>16324</v>
      </c>
      <c r="Q451" s="10">
        <f>IF(N451="HKD",7.8,IF(N451="CNY",7.30034,1))</f>
        <v>7.3003400000000003</v>
      </c>
      <c r="R451" s="10">
        <f>+ROUND(O451/Q451,4)</f>
        <v>1.0164</v>
      </c>
      <c r="S451" s="11">
        <f>ROUND(R451*L451,2)</f>
        <v>2236.08</v>
      </c>
      <c r="T451" s="10" t="s">
        <v>349</v>
      </c>
      <c r="U451" t="s">
        <v>36</v>
      </c>
    </row>
    <row r="452" spans="1:21">
      <c r="A452" t="s">
        <v>4254</v>
      </c>
      <c r="B452" s="20">
        <v>45756</v>
      </c>
      <c r="C452" s="20">
        <v>45702</v>
      </c>
      <c r="D452" t="s">
        <v>287</v>
      </c>
      <c r="E452" t="s">
        <v>288</v>
      </c>
      <c r="G452" t="s">
        <v>4515</v>
      </c>
      <c r="H452" t="s">
        <v>935</v>
      </c>
      <c r="I452" t="s">
        <v>936</v>
      </c>
      <c r="J452" s="8" t="s">
        <v>1478</v>
      </c>
      <c r="K452" t="s">
        <v>10</v>
      </c>
      <c r="L452" s="46">
        <v>1900</v>
      </c>
      <c r="M452" t="s">
        <v>1472</v>
      </c>
      <c r="N452" t="s">
        <v>11</v>
      </c>
      <c r="O452" s="49">
        <v>7.5751999999999997</v>
      </c>
      <c r="P452" s="9">
        <f>ROUND(O452*L452,2)</f>
        <v>14392.88</v>
      </c>
      <c r="Q452" s="10">
        <f>IF(N452="HKD",7.8,IF(N452="CNY",7.30034,1))</f>
        <v>7.3003400000000003</v>
      </c>
      <c r="R452" s="10">
        <f>+ROUND(O452/Q452,4)</f>
        <v>1.0377000000000001</v>
      </c>
      <c r="S452" s="11">
        <f>ROUND(R452*L452,2)</f>
        <v>1971.63</v>
      </c>
      <c r="T452" s="10" t="s">
        <v>349</v>
      </c>
      <c r="U452" t="s">
        <v>36</v>
      </c>
    </row>
    <row r="453" spans="1:21">
      <c r="A453" t="s">
        <v>4311</v>
      </c>
      <c r="B453" s="20">
        <v>45756</v>
      </c>
      <c r="C453" s="20">
        <v>45741</v>
      </c>
      <c r="D453" t="s">
        <v>311</v>
      </c>
      <c r="E453" t="s">
        <v>312</v>
      </c>
      <c r="G453" t="s">
        <v>4353</v>
      </c>
      <c r="H453" t="s">
        <v>3199</v>
      </c>
      <c r="I453" t="s">
        <v>3406</v>
      </c>
      <c r="J453" s="8" t="str">
        <f>+LEFT(U453,4)</f>
        <v>EXM-</v>
      </c>
      <c r="K453" t="s">
        <v>10</v>
      </c>
      <c r="L453" s="46">
        <v>25</v>
      </c>
      <c r="M453" t="s">
        <v>186</v>
      </c>
      <c r="N453" t="s">
        <v>11</v>
      </c>
      <c r="O453" s="49">
        <v>88.495599999999996</v>
      </c>
      <c r="P453" s="9">
        <f>ROUND(O453*L453,2)</f>
        <v>2212.39</v>
      </c>
      <c r="Q453" s="10">
        <f>IF(N453="HKD",7.8,IF(N453="CNY",7.30034,1))</f>
        <v>7.3003400000000003</v>
      </c>
      <c r="R453" s="10">
        <f>+ROUND(O453/Q453,4)</f>
        <v>12.1221</v>
      </c>
      <c r="S453" s="11">
        <f>ROUND(R453*L453,2)</f>
        <v>303.05</v>
      </c>
      <c r="T453" s="10" t="s">
        <v>349</v>
      </c>
      <c r="U453" t="s">
        <v>315</v>
      </c>
    </row>
    <row r="454" spans="1:21">
      <c r="A454" t="s">
        <v>4308</v>
      </c>
      <c r="B454" s="20">
        <v>45756</v>
      </c>
      <c r="C454" s="20">
        <v>45737</v>
      </c>
      <c r="D454" t="s">
        <v>311</v>
      </c>
      <c r="E454" t="s">
        <v>312</v>
      </c>
      <c r="G454" t="s">
        <v>4549</v>
      </c>
      <c r="H454" t="s">
        <v>3816</v>
      </c>
      <c r="I454" t="s">
        <v>3817</v>
      </c>
      <c r="J454" s="8" t="str">
        <f>+LEFT(U454,4)</f>
        <v>INM-</v>
      </c>
      <c r="K454" t="s">
        <v>10</v>
      </c>
      <c r="L454" s="46">
        <v>75</v>
      </c>
      <c r="M454" t="s">
        <v>186</v>
      </c>
      <c r="N454" t="s">
        <v>11</v>
      </c>
      <c r="O454" s="49">
        <v>77.876099999999994</v>
      </c>
      <c r="P454" s="9">
        <f>ROUND(O454*L454,2)</f>
        <v>5840.71</v>
      </c>
      <c r="Q454" s="10">
        <f>IF(N454="HKD",7.8,IF(N454="CNY",7.30034,1))</f>
        <v>7.3003400000000003</v>
      </c>
      <c r="R454" s="10">
        <f>+ROUND(O454/Q454,4)</f>
        <v>10.6675</v>
      </c>
      <c r="S454" s="11">
        <f>ROUND(R454*L454,2)</f>
        <v>800.06</v>
      </c>
      <c r="T454" s="10" t="s">
        <v>349</v>
      </c>
      <c r="U454" t="s">
        <v>327</v>
      </c>
    </row>
    <row r="455" spans="1:21">
      <c r="A455" t="s">
        <v>4309</v>
      </c>
      <c r="B455" s="20">
        <v>45756</v>
      </c>
      <c r="C455" s="20">
        <v>45737</v>
      </c>
      <c r="D455" t="s">
        <v>311</v>
      </c>
      <c r="E455" t="s">
        <v>312</v>
      </c>
      <c r="G455" t="s">
        <v>4549</v>
      </c>
      <c r="H455" t="s">
        <v>3818</v>
      </c>
      <c r="I455" t="s">
        <v>3819</v>
      </c>
      <c r="J455" s="8" t="str">
        <f>+LEFT(U455,4)</f>
        <v>INM-</v>
      </c>
      <c r="K455" t="s">
        <v>10</v>
      </c>
      <c r="L455" s="46">
        <v>30</v>
      </c>
      <c r="M455" t="s">
        <v>186</v>
      </c>
      <c r="N455" t="s">
        <v>11</v>
      </c>
      <c r="O455" s="49">
        <v>77.876099999999994</v>
      </c>
      <c r="P455" s="9">
        <f>ROUND(O455*L455,2)</f>
        <v>2336.2800000000002</v>
      </c>
      <c r="Q455" s="10">
        <f>IF(N455="HKD",7.8,IF(N455="CNY",7.30034,1))</f>
        <v>7.3003400000000003</v>
      </c>
      <c r="R455" s="10">
        <f>+ROUND(O455/Q455,4)</f>
        <v>10.6675</v>
      </c>
      <c r="S455" s="11">
        <f>ROUND(R455*L455,2)</f>
        <v>320.02999999999997</v>
      </c>
      <c r="T455" s="10" t="s">
        <v>349</v>
      </c>
      <c r="U455" t="s">
        <v>327</v>
      </c>
    </row>
    <row r="456" spans="1:21">
      <c r="A456" t="s">
        <v>4314</v>
      </c>
      <c r="B456" s="20">
        <v>45756</v>
      </c>
      <c r="C456" s="20">
        <v>45740</v>
      </c>
      <c r="D456" t="s">
        <v>311</v>
      </c>
      <c r="E456" t="s">
        <v>312</v>
      </c>
      <c r="G456" t="s">
        <v>4553</v>
      </c>
      <c r="H456" t="s">
        <v>662</v>
      </c>
      <c r="I456" t="s">
        <v>663</v>
      </c>
      <c r="J456" s="8" t="str">
        <f>+LEFT(U456,4)</f>
        <v>INM-</v>
      </c>
      <c r="K456" t="s">
        <v>10</v>
      </c>
      <c r="L456" s="46">
        <v>100</v>
      </c>
      <c r="M456" t="s">
        <v>186</v>
      </c>
      <c r="N456" t="s">
        <v>11</v>
      </c>
      <c r="O456" s="49">
        <v>92.743399999999994</v>
      </c>
      <c r="P456" s="9">
        <f>ROUND(O456*L456,2)</f>
        <v>9274.34</v>
      </c>
      <c r="Q456" s="10">
        <f>IF(N456="HKD",7.8,IF(N456="CNY",7.30034,1))</f>
        <v>7.3003400000000003</v>
      </c>
      <c r="R456" s="10">
        <f>+ROUND(O456/Q456,4)</f>
        <v>12.704000000000001</v>
      </c>
      <c r="S456" s="11">
        <f>ROUND(R456*L456,2)</f>
        <v>1270.4000000000001</v>
      </c>
      <c r="T456" s="10" t="s">
        <v>349</v>
      </c>
      <c r="U456" t="s">
        <v>327</v>
      </c>
    </row>
    <row r="457" spans="1:21">
      <c r="A457" t="s">
        <v>4207</v>
      </c>
      <c r="B457" s="20">
        <v>45756</v>
      </c>
      <c r="C457" s="20">
        <v>45729</v>
      </c>
      <c r="D457" t="s">
        <v>143</v>
      </c>
      <c r="E457" t="s">
        <v>144</v>
      </c>
      <c r="G457" t="s">
        <v>4501</v>
      </c>
      <c r="H457" t="s">
        <v>141</v>
      </c>
      <c r="I457" t="s">
        <v>142</v>
      </c>
      <c r="J457" s="8" t="str">
        <f>+LEFT(U457,4)</f>
        <v>KNOB</v>
      </c>
      <c r="K457" t="s">
        <v>10</v>
      </c>
      <c r="L457" s="46">
        <v>1110</v>
      </c>
      <c r="M457" t="s">
        <v>1472</v>
      </c>
      <c r="N457" t="s">
        <v>11</v>
      </c>
      <c r="O457" s="49">
        <v>5.0999999999999996</v>
      </c>
      <c r="P457" s="9">
        <f>ROUND(O457*L457,2)</f>
        <v>5661</v>
      </c>
      <c r="Q457" s="10">
        <f>IF(N457="HKD",7.8,IF(N457="CNY",7.30034,1))</f>
        <v>7.3003400000000003</v>
      </c>
      <c r="R457" s="10">
        <f>+ROUND(O457/Q457,4)</f>
        <v>0.6986</v>
      </c>
      <c r="S457" s="11">
        <f>ROUND(R457*L457,2)</f>
        <v>775.45</v>
      </c>
      <c r="T457" s="10" t="s">
        <v>349</v>
      </c>
      <c r="U457" t="s">
        <v>32</v>
      </c>
    </row>
    <row r="458" spans="1:21">
      <c r="A458" t="s">
        <v>2322</v>
      </c>
      <c r="B458" s="20">
        <v>45756</v>
      </c>
      <c r="C458" s="20">
        <v>45664</v>
      </c>
      <c r="D458" t="s">
        <v>94</v>
      </c>
      <c r="E458" t="s">
        <v>95</v>
      </c>
      <c r="G458" t="s">
        <v>4439</v>
      </c>
      <c r="H458" t="s">
        <v>1001</v>
      </c>
      <c r="I458" t="s">
        <v>1002</v>
      </c>
      <c r="J458" s="8" t="str">
        <f>+LEFT(U458,4)</f>
        <v>LID-</v>
      </c>
      <c r="K458" t="s">
        <v>369</v>
      </c>
      <c r="L458" s="46">
        <v>1038</v>
      </c>
      <c r="M458" t="s">
        <v>1472</v>
      </c>
      <c r="N458" t="s">
        <v>11</v>
      </c>
      <c r="O458" s="49">
        <v>3.42</v>
      </c>
      <c r="P458" s="9">
        <f>ROUND(O458*L458,2)</f>
        <v>3549.96</v>
      </c>
      <c r="Q458" s="10">
        <f>IF(N458="HKD",7.8,IF(N458="CNY",7.30034,1))</f>
        <v>7.3003400000000003</v>
      </c>
      <c r="R458" s="10">
        <f>+ROUND(O458/Q458,4)</f>
        <v>0.46850000000000003</v>
      </c>
      <c r="S458" s="11">
        <f>ROUND(R458*L458,2)</f>
        <v>486.3</v>
      </c>
      <c r="T458" s="10" t="s">
        <v>349</v>
      </c>
      <c r="U458" t="s">
        <v>368</v>
      </c>
    </row>
    <row r="459" spans="1:21">
      <c r="A459" t="s">
        <v>2324</v>
      </c>
      <c r="B459" s="20">
        <v>45756</v>
      </c>
      <c r="C459" s="20">
        <v>45664</v>
      </c>
      <c r="D459" t="s">
        <v>94</v>
      </c>
      <c r="E459" t="s">
        <v>95</v>
      </c>
      <c r="G459" t="s">
        <v>4439</v>
      </c>
      <c r="H459" t="s">
        <v>997</v>
      </c>
      <c r="I459" t="s">
        <v>998</v>
      </c>
      <c r="J459" s="8" t="str">
        <f>+LEFT(U459,4)</f>
        <v>LID-</v>
      </c>
      <c r="K459" t="s">
        <v>369</v>
      </c>
      <c r="L459" s="46">
        <v>656</v>
      </c>
      <c r="M459" t="s">
        <v>1472</v>
      </c>
      <c r="N459" t="s">
        <v>11</v>
      </c>
      <c r="O459" s="49">
        <v>3.64</v>
      </c>
      <c r="P459" s="9">
        <f>ROUND(O459*L459,2)</f>
        <v>2387.84</v>
      </c>
      <c r="Q459" s="10">
        <f>IF(N459="HKD",7.8,IF(N459="CNY",7.30034,1))</f>
        <v>7.3003400000000003</v>
      </c>
      <c r="R459" s="10">
        <f>+ROUND(O459/Q459,4)</f>
        <v>0.49859999999999999</v>
      </c>
      <c r="S459" s="11">
        <f>ROUND(R459*L459,2)</f>
        <v>327.08</v>
      </c>
      <c r="T459" s="10" t="s">
        <v>349</v>
      </c>
      <c r="U459" t="s">
        <v>368</v>
      </c>
    </row>
    <row r="460" spans="1:21">
      <c r="A460" t="s">
        <v>4153</v>
      </c>
      <c r="B460" s="20">
        <v>45756</v>
      </c>
      <c r="C460" s="20">
        <v>45700</v>
      </c>
      <c r="D460" t="s">
        <v>94</v>
      </c>
      <c r="E460" t="s">
        <v>95</v>
      </c>
      <c r="G460" t="s">
        <v>4439</v>
      </c>
      <c r="H460" t="s">
        <v>997</v>
      </c>
      <c r="I460" t="s">
        <v>998</v>
      </c>
      <c r="J460" s="8" t="str">
        <f>+LEFT(U460,4)</f>
        <v>LID-</v>
      </c>
      <c r="K460" t="s">
        <v>369</v>
      </c>
      <c r="L460" s="46">
        <v>544</v>
      </c>
      <c r="M460" t="s">
        <v>1472</v>
      </c>
      <c r="N460" t="s">
        <v>11</v>
      </c>
      <c r="O460" s="49">
        <v>3.64</v>
      </c>
      <c r="P460" s="9">
        <f>ROUND(O460*L460,2)</f>
        <v>1980.16</v>
      </c>
      <c r="Q460" s="10">
        <f>IF(N460="HKD",7.8,IF(N460="CNY",7.30034,1))</f>
        <v>7.3003400000000003</v>
      </c>
      <c r="R460" s="10">
        <f>+ROUND(O460/Q460,4)</f>
        <v>0.49859999999999999</v>
      </c>
      <c r="S460" s="11">
        <f>ROUND(R460*L460,2)</f>
        <v>271.24</v>
      </c>
      <c r="T460" s="10" t="s">
        <v>349</v>
      </c>
      <c r="U460" t="s">
        <v>368</v>
      </c>
    </row>
    <row r="461" spans="1:21">
      <c r="A461" t="s">
        <v>4295</v>
      </c>
      <c r="B461" s="20">
        <v>45756</v>
      </c>
      <c r="C461" s="20">
        <v>45702</v>
      </c>
      <c r="D461" t="s">
        <v>143</v>
      </c>
      <c r="E461" t="s">
        <v>144</v>
      </c>
      <c r="G461" t="s">
        <v>4501</v>
      </c>
      <c r="H461" t="s">
        <v>3808</v>
      </c>
      <c r="I461" t="s">
        <v>3809</v>
      </c>
      <c r="J461" s="8" t="str">
        <f>+LEFT(U461,4)</f>
        <v>SHDL</v>
      </c>
      <c r="K461" t="s">
        <v>10</v>
      </c>
      <c r="L461" s="46">
        <v>1050</v>
      </c>
      <c r="M461" t="s">
        <v>1472</v>
      </c>
      <c r="N461" t="s">
        <v>11</v>
      </c>
      <c r="O461" s="49">
        <v>16.168399999999998</v>
      </c>
      <c r="P461" s="9">
        <f>ROUND(O461*L461,2)</f>
        <v>16976.82</v>
      </c>
      <c r="Q461" s="10">
        <f>IF(N461="HKD",7.8,IF(N461="CNY",7.30034,1))</f>
        <v>7.3003400000000003</v>
      </c>
      <c r="R461" s="10">
        <f>+ROUND(O461/Q461,4)</f>
        <v>2.2147000000000001</v>
      </c>
      <c r="S461" s="11">
        <f>ROUND(R461*L461,2)</f>
        <v>2325.44</v>
      </c>
      <c r="T461" s="10" t="s">
        <v>349</v>
      </c>
      <c r="U461" t="s">
        <v>722</v>
      </c>
    </row>
    <row r="462" spans="1:21">
      <c r="A462" t="s">
        <v>3970</v>
      </c>
      <c r="B462" s="20">
        <v>45755</v>
      </c>
      <c r="C462" s="20">
        <v>45742</v>
      </c>
      <c r="D462" t="s">
        <v>121</v>
      </c>
      <c r="E462" t="s">
        <v>122</v>
      </c>
      <c r="G462" t="s">
        <v>4395</v>
      </c>
      <c r="H462" t="s">
        <v>1306</v>
      </c>
      <c r="I462" t="s">
        <v>1307</v>
      </c>
      <c r="J462" s="8" t="s">
        <v>1527</v>
      </c>
      <c r="K462" t="s">
        <v>10</v>
      </c>
      <c r="L462" s="46">
        <v>3050</v>
      </c>
      <c r="M462" t="s">
        <v>1472</v>
      </c>
      <c r="N462" t="s">
        <v>11</v>
      </c>
      <c r="O462" s="49">
        <v>0.8</v>
      </c>
      <c r="P462" s="9">
        <f>ROUND(O462*L462,2)</f>
        <v>2440</v>
      </c>
      <c r="Q462" s="10">
        <f>IF(N462="HKD",7.8,IF(N462="CNY",7.30034,1))</f>
        <v>7.3003400000000003</v>
      </c>
      <c r="R462" s="10">
        <f>+ROUND(O462/Q462,4)</f>
        <v>0.1096</v>
      </c>
      <c r="S462" s="11">
        <f>ROUND(R462*L462,2)</f>
        <v>334.28</v>
      </c>
      <c r="T462" s="10" t="s">
        <v>349</v>
      </c>
      <c r="U462" t="s">
        <v>36</v>
      </c>
    </row>
    <row r="463" spans="1:21">
      <c r="A463" t="s">
        <v>3971</v>
      </c>
      <c r="B463" s="20">
        <v>45755</v>
      </c>
      <c r="C463" s="20">
        <v>45742</v>
      </c>
      <c r="D463" t="s">
        <v>121</v>
      </c>
      <c r="E463" t="s">
        <v>122</v>
      </c>
      <c r="G463" t="s">
        <v>4395</v>
      </c>
      <c r="H463" t="s">
        <v>1548</v>
      </c>
      <c r="I463" t="s">
        <v>1549</v>
      </c>
      <c r="J463" s="8" t="s">
        <v>1527</v>
      </c>
      <c r="K463" t="s">
        <v>10</v>
      </c>
      <c r="L463" s="46">
        <v>1850</v>
      </c>
      <c r="M463" t="s">
        <v>1472</v>
      </c>
      <c r="N463" t="s">
        <v>11</v>
      </c>
      <c r="O463" s="49">
        <v>0.8</v>
      </c>
      <c r="P463" s="9">
        <f>ROUND(O463*L463,2)</f>
        <v>1480</v>
      </c>
      <c r="Q463" s="10">
        <f>IF(N463="HKD",7.8,IF(N463="CNY",7.30034,1))</f>
        <v>7.3003400000000003</v>
      </c>
      <c r="R463" s="10">
        <f>+ROUND(O463/Q463,4)</f>
        <v>0.1096</v>
      </c>
      <c r="S463" s="11">
        <f>ROUND(R463*L463,2)</f>
        <v>202.76</v>
      </c>
      <c r="T463" s="10" t="s">
        <v>349</v>
      </c>
      <c r="U463" t="s">
        <v>36</v>
      </c>
    </row>
    <row r="464" spans="1:21">
      <c r="A464" t="s">
        <v>3882</v>
      </c>
      <c r="B464" s="20">
        <v>45755</v>
      </c>
      <c r="C464" s="20">
        <v>45742</v>
      </c>
      <c r="D464" t="s">
        <v>806</v>
      </c>
      <c r="E464" t="s">
        <v>807</v>
      </c>
      <c r="G464" t="s">
        <v>4362</v>
      </c>
      <c r="H464" t="s">
        <v>3215</v>
      </c>
      <c r="I464" t="s">
        <v>3422</v>
      </c>
      <c r="J464" s="8" t="str">
        <f>+LEFT(U464,4)</f>
        <v>BAG-</v>
      </c>
      <c r="K464" t="s">
        <v>10</v>
      </c>
      <c r="L464" s="46">
        <v>7000</v>
      </c>
      <c r="M464" t="s">
        <v>1472</v>
      </c>
      <c r="N464" t="s">
        <v>11</v>
      </c>
      <c r="O464" s="49">
        <v>0.1</v>
      </c>
      <c r="P464" s="9">
        <f>ROUND(O464*L464,2)</f>
        <v>700</v>
      </c>
      <c r="Q464" s="10">
        <f>IF(N464="HKD",7.8,IF(N464="CNY",7.30034,1))</f>
        <v>7.3003400000000003</v>
      </c>
      <c r="R464" s="10">
        <f>+ROUND(O464/Q464,4)</f>
        <v>1.37E-2</v>
      </c>
      <c r="S464" s="11">
        <f>ROUND(R464*L464,2)</f>
        <v>95.9</v>
      </c>
      <c r="T464" s="10" t="s">
        <v>349</v>
      </c>
      <c r="U464" t="s">
        <v>810</v>
      </c>
    </row>
    <row r="465" spans="1:21">
      <c r="A465" t="s">
        <v>3896</v>
      </c>
      <c r="B465" s="20">
        <v>45755</v>
      </c>
      <c r="C465" s="20">
        <v>45742</v>
      </c>
      <c r="D465" t="s">
        <v>806</v>
      </c>
      <c r="E465" t="s">
        <v>807</v>
      </c>
      <c r="G465" t="s">
        <v>4362</v>
      </c>
      <c r="H465" t="s">
        <v>3216</v>
      </c>
      <c r="I465" t="s">
        <v>3423</v>
      </c>
      <c r="J465" s="8" t="str">
        <f>+LEFT(U465,4)</f>
        <v>BAG-</v>
      </c>
      <c r="K465" t="s">
        <v>10</v>
      </c>
      <c r="L465" s="46">
        <v>12000</v>
      </c>
      <c r="M465" t="s">
        <v>1472</v>
      </c>
      <c r="N465" t="s">
        <v>11</v>
      </c>
      <c r="O465" s="49">
        <v>0.13</v>
      </c>
      <c r="P465" s="9">
        <f>ROUND(O465*L465,2)</f>
        <v>1560</v>
      </c>
      <c r="Q465" s="10">
        <f>IF(N465="HKD",7.8,IF(N465="CNY",7.30034,1))</f>
        <v>7.3003400000000003</v>
      </c>
      <c r="R465" s="10">
        <f>+ROUND(O465/Q465,4)</f>
        <v>1.78E-2</v>
      </c>
      <c r="S465" s="11">
        <f>ROUND(R465*L465,2)</f>
        <v>213.6</v>
      </c>
      <c r="T465" s="10" t="s">
        <v>349</v>
      </c>
      <c r="U465" t="s">
        <v>810</v>
      </c>
    </row>
    <row r="466" spans="1:21">
      <c r="A466" t="s">
        <v>4034</v>
      </c>
      <c r="B466" s="20">
        <v>45755</v>
      </c>
      <c r="C466" s="20">
        <v>45749</v>
      </c>
      <c r="D466" t="s">
        <v>5</v>
      </c>
      <c r="E466" t="s">
        <v>6</v>
      </c>
      <c r="G466" t="s">
        <v>4417</v>
      </c>
      <c r="H466" t="s">
        <v>3631</v>
      </c>
      <c r="I466" t="s">
        <v>3632</v>
      </c>
      <c r="J466" s="8" t="str">
        <f>+LEFT(U466,4)</f>
        <v>BOX-</v>
      </c>
      <c r="K466" t="s">
        <v>10</v>
      </c>
      <c r="L466" s="46">
        <v>1010</v>
      </c>
      <c r="M466" t="s">
        <v>1472</v>
      </c>
      <c r="N466" t="s">
        <v>11</v>
      </c>
      <c r="O466" s="49">
        <v>2.39</v>
      </c>
      <c r="P466" s="9">
        <f>ROUND(O466*L466,2)</f>
        <v>2413.9</v>
      </c>
      <c r="Q466" s="10">
        <f>IF(N466="HKD",7.8,IF(N466="CNY",7.30034,1))</f>
        <v>7.3003400000000003</v>
      </c>
      <c r="R466" s="10">
        <f>+ROUND(O466/Q466,4)</f>
        <v>0.32740000000000002</v>
      </c>
      <c r="S466" s="11">
        <f>ROUND(R466*L466,2)</f>
        <v>330.67</v>
      </c>
      <c r="T466" s="10" t="s">
        <v>349</v>
      </c>
      <c r="U466" t="s">
        <v>1</v>
      </c>
    </row>
    <row r="467" spans="1:21">
      <c r="A467" t="s">
        <v>4046</v>
      </c>
      <c r="B467" s="20">
        <v>45755</v>
      </c>
      <c r="C467" s="20">
        <v>45749</v>
      </c>
      <c r="D467" t="s">
        <v>5</v>
      </c>
      <c r="E467" t="s">
        <v>6</v>
      </c>
      <c r="G467" t="s">
        <v>4417</v>
      </c>
      <c r="H467" t="s">
        <v>3648</v>
      </c>
      <c r="I467" t="s">
        <v>3649</v>
      </c>
      <c r="J467" s="8" t="str">
        <f>+LEFT(U467,4)</f>
        <v>BOX-</v>
      </c>
      <c r="K467" t="s">
        <v>10</v>
      </c>
      <c r="L467" s="46">
        <v>505</v>
      </c>
      <c r="M467" t="s">
        <v>1472</v>
      </c>
      <c r="N467" t="s">
        <v>11</v>
      </c>
      <c r="O467" s="49">
        <v>2.68</v>
      </c>
      <c r="P467" s="9">
        <f>ROUND(O467*L467,2)</f>
        <v>1353.4</v>
      </c>
      <c r="Q467" s="10">
        <f>IF(N467="HKD",7.8,IF(N467="CNY",7.30034,1))</f>
        <v>7.3003400000000003</v>
      </c>
      <c r="R467" s="10">
        <f>+ROUND(O467/Q467,4)</f>
        <v>0.36709999999999998</v>
      </c>
      <c r="S467" s="11">
        <f>ROUND(R467*L467,2)</f>
        <v>185.39</v>
      </c>
      <c r="T467" s="10" t="s">
        <v>349</v>
      </c>
      <c r="U467" t="s">
        <v>1</v>
      </c>
    </row>
    <row r="468" spans="1:21">
      <c r="A468" t="s">
        <v>4126</v>
      </c>
      <c r="B468" s="20">
        <v>45755</v>
      </c>
      <c r="C468" s="20">
        <v>45749</v>
      </c>
      <c r="D468" t="s">
        <v>5</v>
      </c>
      <c r="E468" t="s">
        <v>6</v>
      </c>
      <c r="G468" t="s">
        <v>4417</v>
      </c>
      <c r="H468" t="s">
        <v>3706</v>
      </c>
      <c r="I468" t="s">
        <v>3707</v>
      </c>
      <c r="J468" s="8" t="str">
        <f>+LEFT(U468,4)</f>
        <v>BOX-</v>
      </c>
      <c r="K468" t="s">
        <v>10</v>
      </c>
      <c r="L468" s="46">
        <v>1010</v>
      </c>
      <c r="M468" t="s">
        <v>1472</v>
      </c>
      <c r="N468" t="s">
        <v>11</v>
      </c>
      <c r="O468" s="49">
        <v>3.39</v>
      </c>
      <c r="P468" s="9">
        <f>ROUND(O468*L468,2)</f>
        <v>3423.9</v>
      </c>
      <c r="Q468" s="10">
        <f>IF(N468="HKD",7.8,IF(N468="CNY",7.30034,1))</f>
        <v>7.3003400000000003</v>
      </c>
      <c r="R468" s="10">
        <f>+ROUND(O468/Q468,4)</f>
        <v>0.46439999999999998</v>
      </c>
      <c r="S468" s="11">
        <f>ROUND(R468*L468,2)</f>
        <v>469.04</v>
      </c>
      <c r="T468" s="10" t="s">
        <v>349</v>
      </c>
      <c r="U468" t="s">
        <v>1</v>
      </c>
    </row>
    <row r="469" spans="1:21">
      <c r="A469" t="s">
        <v>4188</v>
      </c>
      <c r="B469" s="20">
        <v>45755</v>
      </c>
      <c r="C469" s="20">
        <v>45749</v>
      </c>
      <c r="D469" t="s">
        <v>5</v>
      </c>
      <c r="E469" t="s">
        <v>6</v>
      </c>
      <c r="G469" t="s">
        <v>4417</v>
      </c>
      <c r="H469" t="s">
        <v>3748</v>
      </c>
      <c r="I469" t="s">
        <v>3749</v>
      </c>
      <c r="J469" s="8" t="str">
        <f>+LEFT(U469,4)</f>
        <v>BOX-</v>
      </c>
      <c r="K469" t="s">
        <v>10</v>
      </c>
      <c r="L469" s="46">
        <v>1010</v>
      </c>
      <c r="M469" t="s">
        <v>1472</v>
      </c>
      <c r="N469" t="s">
        <v>11</v>
      </c>
      <c r="O469" s="49">
        <v>4.46</v>
      </c>
      <c r="P469" s="9">
        <f>ROUND(O469*L469,2)</f>
        <v>4504.6000000000004</v>
      </c>
      <c r="Q469" s="10">
        <f>IF(N469="HKD",7.8,IF(N469="CNY",7.30034,1))</f>
        <v>7.3003400000000003</v>
      </c>
      <c r="R469" s="10">
        <f>+ROUND(O469/Q469,4)</f>
        <v>0.6109</v>
      </c>
      <c r="S469" s="11">
        <f>ROUND(R469*L469,2)</f>
        <v>617.01</v>
      </c>
      <c r="T469" s="10" t="s">
        <v>349</v>
      </c>
      <c r="U469" t="s">
        <v>1</v>
      </c>
    </row>
    <row r="470" spans="1:21">
      <c r="A470" t="s">
        <v>4194</v>
      </c>
      <c r="B470" s="20">
        <v>45755</v>
      </c>
      <c r="C470" s="20">
        <v>45749</v>
      </c>
      <c r="D470" t="s">
        <v>5</v>
      </c>
      <c r="E470" t="s">
        <v>6</v>
      </c>
      <c r="G470" t="s">
        <v>4417</v>
      </c>
      <c r="H470" t="s">
        <v>3756</v>
      </c>
      <c r="I470" t="s">
        <v>3757</v>
      </c>
      <c r="J470" s="8" t="str">
        <f>+LEFT(U470,4)</f>
        <v>BOX-</v>
      </c>
      <c r="K470" t="s">
        <v>10</v>
      </c>
      <c r="L470" s="46">
        <v>1010</v>
      </c>
      <c r="M470" t="s">
        <v>1472</v>
      </c>
      <c r="N470" t="s">
        <v>11</v>
      </c>
      <c r="O470" s="49">
        <v>4.66</v>
      </c>
      <c r="P470" s="9">
        <f>ROUND(O470*L470,2)</f>
        <v>4706.6000000000004</v>
      </c>
      <c r="Q470" s="10">
        <f>IF(N470="HKD",7.8,IF(N470="CNY",7.30034,1))</f>
        <v>7.3003400000000003</v>
      </c>
      <c r="R470" s="10">
        <f>+ROUND(O470/Q470,4)</f>
        <v>0.63829999999999998</v>
      </c>
      <c r="S470" s="11">
        <f>ROUND(R470*L470,2)</f>
        <v>644.67999999999995</v>
      </c>
      <c r="T470" s="10" t="s">
        <v>349</v>
      </c>
      <c r="U470" t="s">
        <v>1</v>
      </c>
    </row>
    <row r="471" spans="1:21">
      <c r="A471" t="s">
        <v>4208</v>
      </c>
      <c r="B471" s="20">
        <v>45755</v>
      </c>
      <c r="C471" s="20">
        <v>45749</v>
      </c>
      <c r="D471" t="s">
        <v>5</v>
      </c>
      <c r="E471" t="s">
        <v>6</v>
      </c>
      <c r="G471" t="s">
        <v>4502</v>
      </c>
      <c r="H471" t="s">
        <v>1774</v>
      </c>
      <c r="I471" t="s">
        <v>1775</v>
      </c>
      <c r="J471" s="8" t="str">
        <f>+LEFT(U471,4)</f>
        <v>BOX-</v>
      </c>
      <c r="K471" t="s">
        <v>10</v>
      </c>
      <c r="L471" s="46">
        <v>1010</v>
      </c>
      <c r="M471" t="s">
        <v>1472</v>
      </c>
      <c r="N471" t="s">
        <v>11</v>
      </c>
      <c r="O471" s="49">
        <v>5.17</v>
      </c>
      <c r="P471" s="9">
        <f>ROUND(O471*L471,2)</f>
        <v>5221.7</v>
      </c>
      <c r="Q471" s="10">
        <f>IF(N471="HKD",7.8,IF(N471="CNY",7.30034,1))</f>
        <v>7.3003400000000003</v>
      </c>
      <c r="R471" s="10">
        <f>+ROUND(O471/Q471,4)</f>
        <v>0.70820000000000005</v>
      </c>
      <c r="S471" s="11">
        <f>ROUND(R471*L471,2)</f>
        <v>715.28</v>
      </c>
      <c r="T471" s="10" t="s">
        <v>349</v>
      </c>
      <c r="U471" t="s">
        <v>1</v>
      </c>
    </row>
    <row r="472" spans="1:21">
      <c r="A472" t="s">
        <v>4209</v>
      </c>
      <c r="B472" s="20">
        <v>45755</v>
      </c>
      <c r="C472" s="20">
        <v>45749</v>
      </c>
      <c r="D472" t="s">
        <v>5</v>
      </c>
      <c r="E472" t="s">
        <v>6</v>
      </c>
      <c r="G472" t="s">
        <v>4417</v>
      </c>
      <c r="H472" t="s">
        <v>3762</v>
      </c>
      <c r="I472" t="s">
        <v>3763</v>
      </c>
      <c r="J472" s="8" t="str">
        <f>+LEFT(U472,4)</f>
        <v>BOX-</v>
      </c>
      <c r="K472" t="s">
        <v>10</v>
      </c>
      <c r="L472" s="46">
        <v>1010</v>
      </c>
      <c r="M472" t="s">
        <v>1472</v>
      </c>
      <c r="N472" t="s">
        <v>11</v>
      </c>
      <c r="O472" s="49">
        <v>5.19</v>
      </c>
      <c r="P472" s="9">
        <f>ROUND(O472*L472,2)</f>
        <v>5241.8999999999996</v>
      </c>
      <c r="Q472" s="10">
        <f>IF(N472="HKD",7.8,IF(N472="CNY",7.30034,1))</f>
        <v>7.3003400000000003</v>
      </c>
      <c r="R472" s="10">
        <f>+ROUND(O472/Q472,4)</f>
        <v>0.71089999999999998</v>
      </c>
      <c r="S472" s="11">
        <f>ROUND(R472*L472,2)</f>
        <v>718.01</v>
      </c>
      <c r="T472" s="10" t="s">
        <v>349</v>
      </c>
      <c r="U472" t="s">
        <v>1</v>
      </c>
    </row>
    <row r="473" spans="1:21">
      <c r="A473" t="s">
        <v>4225</v>
      </c>
      <c r="B473" s="20">
        <v>45755</v>
      </c>
      <c r="C473" s="20">
        <v>45706</v>
      </c>
      <c r="D473" t="s">
        <v>5</v>
      </c>
      <c r="E473" t="s">
        <v>6</v>
      </c>
      <c r="G473" t="s">
        <v>4417</v>
      </c>
      <c r="H473" t="s">
        <v>390</v>
      </c>
      <c r="I473" t="s">
        <v>391</v>
      </c>
      <c r="J473" s="8" t="str">
        <f>+LEFT(U473,4)</f>
        <v>BOX-</v>
      </c>
      <c r="K473" t="s">
        <v>10</v>
      </c>
      <c r="L473" s="46">
        <v>2020</v>
      </c>
      <c r="M473" t="s">
        <v>1472</v>
      </c>
      <c r="N473" t="s">
        <v>11</v>
      </c>
      <c r="O473" s="49">
        <v>6.88</v>
      </c>
      <c r="P473" s="9">
        <f>ROUND(O473*L473,2)</f>
        <v>13897.6</v>
      </c>
      <c r="Q473" s="10">
        <f>IF(N473="HKD",7.8,IF(N473="CNY",7.30034,1))</f>
        <v>7.3003400000000003</v>
      </c>
      <c r="R473" s="10">
        <f>+ROUND(O473/Q473,4)</f>
        <v>0.94240000000000002</v>
      </c>
      <c r="S473" s="11">
        <f>ROUND(R473*L473,2)</f>
        <v>1903.65</v>
      </c>
      <c r="T473" s="10" t="s">
        <v>349</v>
      </c>
      <c r="U473" t="s">
        <v>1</v>
      </c>
    </row>
    <row r="474" spans="1:21">
      <c r="A474" t="s">
        <v>4226</v>
      </c>
      <c r="B474" s="20">
        <v>45755</v>
      </c>
      <c r="C474" s="20">
        <v>45706</v>
      </c>
      <c r="D474" t="s">
        <v>5</v>
      </c>
      <c r="E474" t="s">
        <v>6</v>
      </c>
      <c r="G474" t="s">
        <v>4417</v>
      </c>
      <c r="H474" t="s">
        <v>390</v>
      </c>
      <c r="I474" t="s">
        <v>391</v>
      </c>
      <c r="J474" s="8" t="str">
        <f>+LEFT(U474,4)</f>
        <v>BOX-</v>
      </c>
      <c r="K474" t="s">
        <v>10</v>
      </c>
      <c r="L474" s="46">
        <v>1010</v>
      </c>
      <c r="M474" t="s">
        <v>1472</v>
      </c>
      <c r="N474" t="s">
        <v>11</v>
      </c>
      <c r="O474" s="49">
        <v>6.88</v>
      </c>
      <c r="P474" s="9">
        <f>ROUND(O474*L474,2)</f>
        <v>6948.8</v>
      </c>
      <c r="Q474" s="10">
        <f>IF(N474="HKD",7.8,IF(N474="CNY",7.30034,1))</f>
        <v>7.3003400000000003</v>
      </c>
      <c r="R474" s="10">
        <f>+ROUND(O474/Q474,4)</f>
        <v>0.94240000000000002</v>
      </c>
      <c r="S474" s="11">
        <f>ROUND(R474*L474,2)</f>
        <v>951.82</v>
      </c>
      <c r="T474" s="10" t="s">
        <v>349</v>
      </c>
      <c r="U474" t="s">
        <v>1</v>
      </c>
    </row>
    <row r="475" spans="1:21">
      <c r="A475" t="s">
        <v>4255</v>
      </c>
      <c r="B475" s="20">
        <v>45755</v>
      </c>
      <c r="C475" s="20">
        <v>45749</v>
      </c>
      <c r="D475" t="s">
        <v>5</v>
      </c>
      <c r="E475" t="s">
        <v>6</v>
      </c>
      <c r="G475" t="s">
        <v>4502</v>
      </c>
      <c r="H475" t="s">
        <v>480</v>
      </c>
      <c r="I475" t="s">
        <v>481</v>
      </c>
      <c r="J475" s="8" t="str">
        <f>+LEFT(U475,4)</f>
        <v>BOX-</v>
      </c>
      <c r="K475" t="s">
        <v>10</v>
      </c>
      <c r="L475" s="46">
        <v>1010</v>
      </c>
      <c r="M475" t="s">
        <v>1472</v>
      </c>
      <c r="N475" t="s">
        <v>11</v>
      </c>
      <c r="O475" s="49">
        <v>7.6</v>
      </c>
      <c r="P475" s="9">
        <f>ROUND(O475*L475,2)</f>
        <v>7676</v>
      </c>
      <c r="Q475" s="10">
        <f>IF(N475="HKD",7.8,IF(N475="CNY",7.30034,1))</f>
        <v>7.3003400000000003</v>
      </c>
      <c r="R475" s="10">
        <f>+ROUND(O475/Q475,4)</f>
        <v>1.0409999999999999</v>
      </c>
      <c r="S475" s="11">
        <f>ROUND(R475*L475,2)</f>
        <v>1051.4100000000001</v>
      </c>
      <c r="T475" s="10" t="s">
        <v>349</v>
      </c>
      <c r="U475" t="s">
        <v>1</v>
      </c>
    </row>
    <row r="476" spans="1:21">
      <c r="A476" t="s">
        <v>4277</v>
      </c>
      <c r="B476" s="20">
        <v>45755</v>
      </c>
      <c r="C476" s="20">
        <v>45749</v>
      </c>
      <c r="D476" t="s">
        <v>5</v>
      </c>
      <c r="E476" t="s">
        <v>6</v>
      </c>
      <c r="G476" t="s">
        <v>4538</v>
      </c>
      <c r="H476" t="s">
        <v>387</v>
      </c>
      <c r="I476" t="s">
        <v>388</v>
      </c>
      <c r="J476" s="8" t="str">
        <f>+LEFT(U476,4)</f>
        <v>BOX-</v>
      </c>
      <c r="K476" t="s">
        <v>10</v>
      </c>
      <c r="L476" s="46">
        <v>1010</v>
      </c>
      <c r="M476" t="s">
        <v>1472</v>
      </c>
      <c r="N476" t="s">
        <v>11</v>
      </c>
      <c r="O476" s="49">
        <v>9.35</v>
      </c>
      <c r="P476" s="9">
        <f>ROUND(O476*L476,2)</f>
        <v>9443.5</v>
      </c>
      <c r="Q476" s="10">
        <f>IF(N476="HKD",7.8,IF(N476="CNY",7.30034,1))</f>
        <v>7.3003400000000003</v>
      </c>
      <c r="R476" s="10">
        <f>+ROUND(O476/Q476,4)</f>
        <v>1.2807999999999999</v>
      </c>
      <c r="S476" s="11">
        <f>ROUND(R476*L476,2)</f>
        <v>1293.6099999999999</v>
      </c>
      <c r="T476" s="10" t="s">
        <v>349</v>
      </c>
      <c r="U476" t="s">
        <v>1</v>
      </c>
    </row>
    <row r="477" spans="1:21">
      <c r="A477" t="s">
        <v>4283</v>
      </c>
      <c r="B477" s="20">
        <v>45755</v>
      </c>
      <c r="C477" s="20">
        <v>45735</v>
      </c>
      <c r="D477" t="s">
        <v>5</v>
      </c>
      <c r="E477" t="s">
        <v>6</v>
      </c>
      <c r="G477" t="s">
        <v>4502</v>
      </c>
      <c r="H477" t="s">
        <v>3794</v>
      </c>
      <c r="I477" t="s">
        <v>3795</v>
      </c>
      <c r="J477" s="8" t="str">
        <f>+LEFT(U477,4)</f>
        <v>BOX-</v>
      </c>
      <c r="K477" t="s">
        <v>10</v>
      </c>
      <c r="L477" s="46">
        <v>1010</v>
      </c>
      <c r="M477" t="s">
        <v>1472</v>
      </c>
      <c r="N477" t="s">
        <v>11</v>
      </c>
      <c r="O477" s="49">
        <v>11.99</v>
      </c>
      <c r="P477" s="9">
        <f>ROUND(O477*L477,2)</f>
        <v>12109.9</v>
      </c>
      <c r="Q477" s="10">
        <f>IF(N477="HKD",7.8,IF(N477="CNY",7.30034,1))</f>
        <v>7.3003400000000003</v>
      </c>
      <c r="R477" s="10">
        <f>+ROUND(O477/Q477,4)</f>
        <v>1.6424000000000001</v>
      </c>
      <c r="S477" s="11">
        <f>ROUND(R477*L477,2)</f>
        <v>1658.82</v>
      </c>
      <c r="T477" s="10" t="s">
        <v>349</v>
      </c>
      <c r="U477" t="s">
        <v>1</v>
      </c>
    </row>
    <row r="478" spans="1:21">
      <c r="A478" t="s">
        <v>4287</v>
      </c>
      <c r="B478" s="20">
        <v>45755</v>
      </c>
      <c r="C478" s="20">
        <v>45749</v>
      </c>
      <c r="D478" t="s">
        <v>5</v>
      </c>
      <c r="E478" t="s">
        <v>6</v>
      </c>
      <c r="G478" t="s">
        <v>4502</v>
      </c>
      <c r="H478" t="s">
        <v>3800</v>
      </c>
      <c r="I478" t="s">
        <v>3801</v>
      </c>
      <c r="J478" s="8" t="str">
        <f>+LEFT(U478,4)</f>
        <v>BOX-</v>
      </c>
      <c r="K478" t="s">
        <v>10</v>
      </c>
      <c r="L478" s="46">
        <v>505</v>
      </c>
      <c r="M478" t="s">
        <v>1472</v>
      </c>
      <c r="N478" t="s">
        <v>11</v>
      </c>
      <c r="O478" s="49">
        <v>13.12</v>
      </c>
      <c r="P478" s="9">
        <f>ROUND(O478*L478,2)</f>
        <v>6625.6</v>
      </c>
      <c r="Q478" s="10">
        <f>IF(N478="HKD",7.8,IF(N478="CNY",7.30034,1))</f>
        <v>7.3003400000000003</v>
      </c>
      <c r="R478" s="10">
        <f>+ROUND(O478/Q478,4)</f>
        <v>1.7971999999999999</v>
      </c>
      <c r="S478" s="11">
        <f>ROUND(R478*L478,2)</f>
        <v>907.59</v>
      </c>
      <c r="T478" s="10" t="s">
        <v>349</v>
      </c>
      <c r="U478" t="s">
        <v>1</v>
      </c>
    </row>
    <row r="479" spans="1:21">
      <c r="A479" t="s">
        <v>4297</v>
      </c>
      <c r="B479" s="20">
        <v>45755</v>
      </c>
      <c r="C479" s="20">
        <v>45749</v>
      </c>
      <c r="D479" t="s">
        <v>5</v>
      </c>
      <c r="E479" t="s">
        <v>6</v>
      </c>
      <c r="G479" t="s">
        <v>4502</v>
      </c>
      <c r="H479" t="s">
        <v>3810</v>
      </c>
      <c r="I479" t="s">
        <v>3811</v>
      </c>
      <c r="J479" s="8" t="str">
        <f>+LEFT(U479,4)</f>
        <v>BOX-</v>
      </c>
      <c r="K479" t="s">
        <v>10</v>
      </c>
      <c r="L479" s="46">
        <v>1010</v>
      </c>
      <c r="M479" t="s">
        <v>1472</v>
      </c>
      <c r="N479" t="s">
        <v>11</v>
      </c>
      <c r="O479" s="49">
        <v>18.350000000000001</v>
      </c>
      <c r="P479" s="9">
        <f>ROUND(O479*L479,2)</f>
        <v>18533.5</v>
      </c>
      <c r="Q479" s="10">
        <f>IF(N479="HKD",7.8,IF(N479="CNY",7.30034,1))</f>
        <v>7.3003400000000003</v>
      </c>
      <c r="R479" s="10">
        <f>+ROUND(O479/Q479,4)</f>
        <v>2.5135999999999998</v>
      </c>
      <c r="S479" s="11">
        <f>ROUND(R479*L479,2)</f>
        <v>2538.7399999999998</v>
      </c>
      <c r="T479" s="10" t="s">
        <v>349</v>
      </c>
      <c r="U479" t="s">
        <v>1</v>
      </c>
    </row>
    <row r="480" spans="1:21">
      <c r="A480" t="s">
        <v>4049</v>
      </c>
      <c r="B480" s="20">
        <v>45755</v>
      </c>
      <c r="C480" s="20">
        <v>45729</v>
      </c>
      <c r="D480" t="s">
        <v>149</v>
      </c>
      <c r="E480" t="s">
        <v>150</v>
      </c>
      <c r="G480" t="s">
        <v>4424</v>
      </c>
      <c r="H480" t="s">
        <v>1689</v>
      </c>
      <c r="I480" t="s">
        <v>1690</v>
      </c>
      <c r="J480" s="8" t="str">
        <f>+LEFT(U480,4)</f>
        <v>GLID</v>
      </c>
      <c r="K480" t="s">
        <v>10</v>
      </c>
      <c r="L480" s="46">
        <v>1010</v>
      </c>
      <c r="M480" t="s">
        <v>1472</v>
      </c>
      <c r="N480" t="s">
        <v>11</v>
      </c>
      <c r="O480" s="49">
        <v>2.7103999999999999</v>
      </c>
      <c r="P480" s="9">
        <f>ROUND(O480*L480,2)</f>
        <v>2737.5</v>
      </c>
      <c r="Q480" s="10">
        <f>IF(N480="HKD",7.8,IF(N480="CNY",7.30034,1))</f>
        <v>7.3003400000000003</v>
      </c>
      <c r="R480" s="10">
        <f>+ROUND(O480/Q480,4)</f>
        <v>0.37130000000000002</v>
      </c>
      <c r="S480" s="11">
        <f>ROUND(R480*L480,2)</f>
        <v>375.01</v>
      </c>
      <c r="T480" s="10" t="s">
        <v>349</v>
      </c>
      <c r="U480" t="s">
        <v>78</v>
      </c>
    </row>
    <row r="481" spans="1:21">
      <c r="A481" t="s">
        <v>4075</v>
      </c>
      <c r="B481" s="20">
        <v>45755</v>
      </c>
      <c r="C481" s="20">
        <v>45729</v>
      </c>
      <c r="D481" t="s">
        <v>149</v>
      </c>
      <c r="E481" t="s">
        <v>150</v>
      </c>
      <c r="G481" t="s">
        <v>4424</v>
      </c>
      <c r="H481" t="s">
        <v>1709</v>
      </c>
      <c r="I481" t="s">
        <v>1710</v>
      </c>
      <c r="J481" s="8" t="str">
        <f>+LEFT(U481,4)</f>
        <v>GLID</v>
      </c>
      <c r="K481" t="s">
        <v>10</v>
      </c>
      <c r="L481" s="46">
        <v>1010</v>
      </c>
      <c r="M481" t="s">
        <v>1472</v>
      </c>
      <c r="N481" t="s">
        <v>11</v>
      </c>
      <c r="O481" s="49">
        <v>3.0331000000000001</v>
      </c>
      <c r="P481" s="9">
        <f>ROUND(O481*L481,2)</f>
        <v>3063.43</v>
      </c>
      <c r="Q481" s="10">
        <f>IF(N481="HKD",7.8,IF(N481="CNY",7.30034,1))</f>
        <v>7.3003400000000003</v>
      </c>
      <c r="R481" s="10">
        <f>+ROUND(O481/Q481,4)</f>
        <v>0.41549999999999998</v>
      </c>
      <c r="S481" s="11">
        <f>ROUND(R481*L481,2)</f>
        <v>419.66</v>
      </c>
      <c r="T481" s="10" t="s">
        <v>349</v>
      </c>
      <c r="U481" t="s">
        <v>78</v>
      </c>
    </row>
    <row r="482" spans="1:21">
      <c r="A482" t="s">
        <v>4172</v>
      </c>
      <c r="B482" s="20">
        <v>45755</v>
      </c>
      <c r="C482" s="20">
        <v>45729</v>
      </c>
      <c r="D482" t="s">
        <v>149</v>
      </c>
      <c r="E482" t="s">
        <v>150</v>
      </c>
      <c r="G482" t="s">
        <v>4424</v>
      </c>
      <c r="H482" t="s">
        <v>1758</v>
      </c>
      <c r="I482" t="s">
        <v>1759</v>
      </c>
      <c r="J482" s="8" t="str">
        <f>+LEFT(U482,4)</f>
        <v>GLID</v>
      </c>
      <c r="K482" t="s">
        <v>10</v>
      </c>
      <c r="L482" s="46">
        <v>112</v>
      </c>
      <c r="M482" t="s">
        <v>1472</v>
      </c>
      <c r="N482" t="s">
        <v>11</v>
      </c>
      <c r="O482" s="49">
        <v>4.1127000000000002</v>
      </c>
      <c r="P482" s="9">
        <f>ROUND(O482*L482,2)</f>
        <v>460.62</v>
      </c>
      <c r="Q482" s="10">
        <f>IF(N482="HKD",7.8,IF(N482="CNY",7.30034,1))</f>
        <v>7.3003400000000003</v>
      </c>
      <c r="R482" s="10">
        <f>+ROUND(O482/Q482,4)</f>
        <v>0.56340000000000001</v>
      </c>
      <c r="S482" s="11">
        <f>ROUND(R482*L482,2)</f>
        <v>63.1</v>
      </c>
      <c r="T482" s="10" t="s">
        <v>349</v>
      </c>
      <c r="U482" t="s">
        <v>78</v>
      </c>
    </row>
    <row r="483" spans="1:21">
      <c r="A483" t="s">
        <v>4164</v>
      </c>
      <c r="B483" s="20">
        <v>45755</v>
      </c>
      <c r="C483" s="20">
        <v>45702</v>
      </c>
      <c r="D483" t="s">
        <v>121</v>
      </c>
      <c r="E483" t="s">
        <v>122</v>
      </c>
      <c r="G483" t="s">
        <v>4395</v>
      </c>
      <c r="H483" t="s">
        <v>3730</v>
      </c>
      <c r="I483" t="s">
        <v>3731</v>
      </c>
      <c r="J483" s="8" t="str">
        <f>+LEFT(U483,4)</f>
        <v>HDL-</v>
      </c>
      <c r="K483" t="s">
        <v>10</v>
      </c>
      <c r="L483" s="46">
        <v>1020</v>
      </c>
      <c r="M483" t="s">
        <v>1472</v>
      </c>
      <c r="N483" t="s">
        <v>11</v>
      </c>
      <c r="O483" s="49">
        <v>3.9580000000000002</v>
      </c>
      <c r="P483" s="9">
        <f>ROUND(O483*L483,2)</f>
        <v>4037.16</v>
      </c>
      <c r="Q483" s="10">
        <f>IF(N483="HKD",7.8,IF(N483="CNY",7.30034,1))</f>
        <v>7.3003400000000003</v>
      </c>
      <c r="R483" s="10">
        <f>+ROUND(O483/Q483,4)</f>
        <v>0.54220000000000002</v>
      </c>
      <c r="S483" s="11">
        <f>ROUND(R483*L483,2)</f>
        <v>553.04</v>
      </c>
      <c r="T483" s="10" t="s">
        <v>349</v>
      </c>
      <c r="U483" t="s">
        <v>228</v>
      </c>
    </row>
    <row r="484" spans="1:21">
      <c r="A484" t="s">
        <v>4229</v>
      </c>
      <c r="B484" s="20">
        <v>45755</v>
      </c>
      <c r="C484" s="20">
        <v>45695</v>
      </c>
      <c r="D484" t="s">
        <v>121</v>
      </c>
      <c r="E484" t="s">
        <v>122</v>
      </c>
      <c r="G484" t="s">
        <v>4395</v>
      </c>
      <c r="H484" t="s">
        <v>1790</v>
      </c>
      <c r="I484" t="s">
        <v>1791</v>
      </c>
      <c r="J484" s="8" t="str">
        <f>+LEFT(U484,4)</f>
        <v>LHDL</v>
      </c>
      <c r="K484" t="s">
        <v>10</v>
      </c>
      <c r="L484" s="46">
        <v>500</v>
      </c>
      <c r="M484" t="s">
        <v>1472</v>
      </c>
      <c r="N484" t="s">
        <v>11</v>
      </c>
      <c r="O484" s="49">
        <v>7.3506999999999998</v>
      </c>
      <c r="P484" s="9">
        <f>ROUND(O484*L484,2)</f>
        <v>3675.35</v>
      </c>
      <c r="Q484" s="10">
        <f>IF(N484="HKD",7.8,IF(N484="CNY",7.30034,1))</f>
        <v>7.3003400000000003</v>
      </c>
      <c r="R484" s="10">
        <f>+ROUND(O484/Q484,4)</f>
        <v>1.0068999999999999</v>
      </c>
      <c r="S484" s="11">
        <f>ROUND(R484*L484,2)</f>
        <v>503.45</v>
      </c>
      <c r="T484" s="10" t="s">
        <v>349</v>
      </c>
      <c r="U484" t="s">
        <v>125</v>
      </c>
    </row>
    <row r="485" spans="1:21">
      <c r="A485" t="s">
        <v>4230</v>
      </c>
      <c r="B485" s="20">
        <v>45755</v>
      </c>
      <c r="C485" s="20">
        <v>45695</v>
      </c>
      <c r="D485" t="s">
        <v>121</v>
      </c>
      <c r="E485" t="s">
        <v>122</v>
      </c>
      <c r="G485" t="s">
        <v>4395</v>
      </c>
      <c r="H485" t="s">
        <v>1792</v>
      </c>
      <c r="I485" t="s">
        <v>1793</v>
      </c>
      <c r="J485" s="8" t="str">
        <f>+LEFT(U485,4)</f>
        <v>LHDL</v>
      </c>
      <c r="K485" t="s">
        <v>10</v>
      </c>
      <c r="L485" s="46">
        <v>510</v>
      </c>
      <c r="M485" t="s">
        <v>1472</v>
      </c>
      <c r="N485" t="s">
        <v>11</v>
      </c>
      <c r="O485" s="49">
        <v>7.3506999999999998</v>
      </c>
      <c r="P485" s="9">
        <f>ROUND(O485*L485,2)</f>
        <v>3748.86</v>
      </c>
      <c r="Q485" s="10">
        <f>IF(N485="HKD",7.8,IF(N485="CNY",7.30034,1))</f>
        <v>7.3003400000000003</v>
      </c>
      <c r="R485" s="10">
        <f>+ROUND(O485/Q485,4)</f>
        <v>1.0068999999999999</v>
      </c>
      <c r="S485" s="11">
        <f>ROUND(R485*L485,2)</f>
        <v>513.52</v>
      </c>
      <c r="T485" s="10" t="s">
        <v>349</v>
      </c>
      <c r="U485" t="s">
        <v>125</v>
      </c>
    </row>
    <row r="486" spans="1:21">
      <c r="A486" t="s">
        <v>4231</v>
      </c>
      <c r="B486" s="20">
        <v>45755</v>
      </c>
      <c r="C486" s="20">
        <v>45695</v>
      </c>
      <c r="D486" t="s">
        <v>121</v>
      </c>
      <c r="E486" t="s">
        <v>122</v>
      </c>
      <c r="G486" t="s">
        <v>4395</v>
      </c>
      <c r="H486" t="s">
        <v>3059</v>
      </c>
      <c r="I486" t="s">
        <v>963</v>
      </c>
      <c r="J486" s="8" t="str">
        <f>+LEFT(U486,4)</f>
        <v>LHDL</v>
      </c>
      <c r="K486" t="s">
        <v>10</v>
      </c>
      <c r="L486" s="46">
        <v>570</v>
      </c>
      <c r="M486" t="s">
        <v>1472</v>
      </c>
      <c r="N486" t="s">
        <v>11</v>
      </c>
      <c r="O486" s="49">
        <v>7.3506999999999998</v>
      </c>
      <c r="P486" s="9">
        <f>ROUND(O486*L486,2)</f>
        <v>4189.8999999999996</v>
      </c>
      <c r="Q486" s="10">
        <f>IF(N486="HKD",7.8,IF(N486="CNY",7.30034,1))</f>
        <v>7.3003400000000003</v>
      </c>
      <c r="R486" s="10">
        <f>+ROUND(O486/Q486,4)</f>
        <v>1.0068999999999999</v>
      </c>
      <c r="S486" s="11">
        <f>ROUND(R486*L486,2)</f>
        <v>573.92999999999995</v>
      </c>
      <c r="T486" s="10" t="s">
        <v>349</v>
      </c>
      <c r="U486" t="s">
        <v>125</v>
      </c>
    </row>
    <row r="487" spans="1:21">
      <c r="A487" t="s">
        <v>4231</v>
      </c>
      <c r="B487" s="20">
        <v>45755</v>
      </c>
      <c r="C487" s="20">
        <v>45695</v>
      </c>
      <c r="D487" t="s">
        <v>121</v>
      </c>
      <c r="E487" t="s">
        <v>122</v>
      </c>
      <c r="G487" t="s">
        <v>4520</v>
      </c>
      <c r="H487" t="s">
        <v>3059</v>
      </c>
      <c r="I487" t="s">
        <v>963</v>
      </c>
      <c r="J487" s="8" t="str">
        <f>+LEFT(U487,4)</f>
        <v>LHDL</v>
      </c>
      <c r="K487" t="s">
        <v>10</v>
      </c>
      <c r="L487" s="46">
        <v>-560</v>
      </c>
      <c r="M487" t="s">
        <v>1472</v>
      </c>
      <c r="N487" t="s">
        <v>11</v>
      </c>
      <c r="O487" s="49">
        <v>7.3506999999999998</v>
      </c>
      <c r="P487" s="9">
        <f>ROUND(O487*L487,2)</f>
        <v>-4116.3900000000003</v>
      </c>
      <c r="Q487" s="10">
        <f>IF(N487="HKD",7.8,IF(N487="CNY",7.30034,1))</f>
        <v>7.3003400000000003</v>
      </c>
      <c r="R487" s="10">
        <f>+ROUND(O487/Q487,4)</f>
        <v>1.0068999999999999</v>
      </c>
      <c r="S487" s="11">
        <f>ROUND(R487*L487,2)</f>
        <v>-563.86</v>
      </c>
      <c r="T487" s="10" t="s">
        <v>349</v>
      </c>
      <c r="U487" t="s">
        <v>125</v>
      </c>
    </row>
    <row r="488" spans="1:21">
      <c r="A488" t="s">
        <v>4231</v>
      </c>
      <c r="B488" s="20">
        <v>45755</v>
      </c>
      <c r="C488" s="20">
        <v>45695</v>
      </c>
      <c r="D488" t="s">
        <v>121</v>
      </c>
      <c r="E488" t="s">
        <v>122</v>
      </c>
      <c r="G488" t="s">
        <v>4395</v>
      </c>
      <c r="H488" t="s">
        <v>3059</v>
      </c>
      <c r="I488" t="s">
        <v>963</v>
      </c>
      <c r="J488" s="8" t="str">
        <f>+LEFT(U488,4)</f>
        <v>LHDL</v>
      </c>
      <c r="K488" t="s">
        <v>10</v>
      </c>
      <c r="L488" s="46">
        <v>560</v>
      </c>
      <c r="M488" t="s">
        <v>1472</v>
      </c>
      <c r="N488" t="s">
        <v>11</v>
      </c>
      <c r="O488" s="49">
        <v>7.3506999999999998</v>
      </c>
      <c r="P488" s="9">
        <f>ROUND(O488*L488,2)</f>
        <v>4116.3900000000003</v>
      </c>
      <c r="Q488" s="10">
        <f>IF(N488="HKD",7.8,IF(N488="CNY",7.30034,1))</f>
        <v>7.3003400000000003</v>
      </c>
      <c r="R488" s="10">
        <f>+ROUND(O488/Q488,4)</f>
        <v>1.0068999999999999</v>
      </c>
      <c r="S488" s="11">
        <f>ROUND(R488*L488,2)</f>
        <v>563.86</v>
      </c>
      <c r="T488" s="10" t="s">
        <v>349</v>
      </c>
      <c r="U488" t="s">
        <v>125</v>
      </c>
    </row>
    <row r="489" spans="1:21">
      <c r="A489" t="s">
        <v>4235</v>
      </c>
      <c r="B489" s="20">
        <v>45755</v>
      </c>
      <c r="C489" s="20">
        <v>45695</v>
      </c>
      <c r="D489" t="s">
        <v>121</v>
      </c>
      <c r="E489" t="s">
        <v>122</v>
      </c>
      <c r="G489" t="s">
        <v>4395</v>
      </c>
      <c r="H489" t="s">
        <v>1794</v>
      </c>
      <c r="I489" t="s">
        <v>1795</v>
      </c>
      <c r="J489" s="8" t="str">
        <f>+LEFT(U489,4)</f>
        <v>LHDL</v>
      </c>
      <c r="K489" t="s">
        <v>10</v>
      </c>
      <c r="L489" s="46">
        <v>510</v>
      </c>
      <c r="M489" t="s">
        <v>1472</v>
      </c>
      <c r="N489" t="s">
        <v>11</v>
      </c>
      <c r="O489" s="49">
        <v>7.4212999999999996</v>
      </c>
      <c r="P489" s="9">
        <f>ROUND(O489*L489,2)</f>
        <v>3784.86</v>
      </c>
      <c r="Q489" s="10">
        <f>IF(N489="HKD",7.8,IF(N489="CNY",7.30034,1))</f>
        <v>7.3003400000000003</v>
      </c>
      <c r="R489" s="10">
        <f>+ROUND(O489/Q489,4)</f>
        <v>1.0165999999999999</v>
      </c>
      <c r="S489" s="11">
        <f>ROUND(R489*L489,2)</f>
        <v>518.47</v>
      </c>
      <c r="T489" s="10" t="s">
        <v>349</v>
      </c>
      <c r="U489" t="s">
        <v>125</v>
      </c>
    </row>
    <row r="490" spans="1:21">
      <c r="A490" t="s">
        <v>4281</v>
      </c>
      <c r="B490" s="20">
        <v>45755</v>
      </c>
      <c r="C490" s="20">
        <v>45702</v>
      </c>
      <c r="D490" t="s">
        <v>121</v>
      </c>
      <c r="E490" t="s">
        <v>122</v>
      </c>
      <c r="G490" t="s">
        <v>4395</v>
      </c>
      <c r="H490" t="s">
        <v>3792</v>
      </c>
      <c r="I490" t="s">
        <v>3793</v>
      </c>
      <c r="J490" s="8" t="str">
        <f>+LEFT(U490,4)</f>
        <v>LHDL</v>
      </c>
      <c r="K490" t="s">
        <v>10</v>
      </c>
      <c r="L490" s="46">
        <v>1050</v>
      </c>
      <c r="M490" t="s">
        <v>1472</v>
      </c>
      <c r="N490" t="s">
        <v>11</v>
      </c>
      <c r="O490" s="49">
        <v>11.0642</v>
      </c>
      <c r="P490" s="9">
        <f>ROUND(O490*L490,2)</f>
        <v>11617.41</v>
      </c>
      <c r="Q490" s="10">
        <f>IF(N490="HKD",7.8,IF(N490="CNY",7.30034,1))</f>
        <v>7.3003400000000003</v>
      </c>
      <c r="R490" s="10">
        <f>+ROUND(O490/Q490,4)</f>
        <v>1.5156000000000001</v>
      </c>
      <c r="S490" s="11">
        <f>ROUND(R490*L490,2)</f>
        <v>1591.38</v>
      </c>
      <c r="T490" s="10" t="s">
        <v>349</v>
      </c>
      <c r="U490" t="s">
        <v>125</v>
      </c>
    </row>
    <row r="491" spans="1:21">
      <c r="A491" t="s">
        <v>4132</v>
      </c>
      <c r="B491" s="20">
        <v>45755</v>
      </c>
      <c r="C491" s="20">
        <v>45695</v>
      </c>
      <c r="D491" t="s">
        <v>94</v>
      </c>
      <c r="E491" t="s">
        <v>95</v>
      </c>
      <c r="G491" t="s">
        <v>4442</v>
      </c>
      <c r="H491" t="s">
        <v>3062</v>
      </c>
      <c r="I491" t="s">
        <v>3278</v>
      </c>
      <c r="J491" s="8" t="str">
        <f>+LEFT(U491,4)</f>
        <v>LID-</v>
      </c>
      <c r="K491" t="s">
        <v>98</v>
      </c>
      <c r="L491" s="46">
        <v>510</v>
      </c>
      <c r="M491" t="s">
        <v>1472</v>
      </c>
      <c r="N491" t="s">
        <v>11</v>
      </c>
      <c r="O491" s="49">
        <v>3.5</v>
      </c>
      <c r="P491" s="9">
        <f>ROUND(O491*L491,2)</f>
        <v>1785</v>
      </c>
      <c r="Q491" s="10">
        <f>IF(N491="HKD",7.8,IF(N491="CNY",7.30034,1))</f>
        <v>7.3003400000000003</v>
      </c>
      <c r="R491" s="10">
        <f>+ROUND(O491/Q491,4)</f>
        <v>0.47939999999999999</v>
      </c>
      <c r="S491" s="11">
        <f>ROUND(R491*L491,2)</f>
        <v>244.49</v>
      </c>
      <c r="T491" s="10" t="s">
        <v>349</v>
      </c>
      <c r="U491" t="s">
        <v>368</v>
      </c>
    </row>
    <row r="492" spans="1:21">
      <c r="A492" t="s">
        <v>2323</v>
      </c>
      <c r="B492" s="20">
        <v>45755</v>
      </c>
      <c r="C492" s="20">
        <v>45664</v>
      </c>
      <c r="D492" t="s">
        <v>94</v>
      </c>
      <c r="E492" t="s">
        <v>95</v>
      </c>
      <c r="G492" t="s">
        <v>4444</v>
      </c>
      <c r="H492" t="s">
        <v>1734</v>
      </c>
      <c r="I492" t="s">
        <v>1735</v>
      </c>
      <c r="J492" s="8" t="str">
        <f>+LEFT(U492,4)</f>
        <v>LID-</v>
      </c>
      <c r="K492" t="s">
        <v>369</v>
      </c>
      <c r="L492" s="46">
        <v>637</v>
      </c>
      <c r="M492" t="s">
        <v>1472</v>
      </c>
      <c r="N492" t="s">
        <v>11</v>
      </c>
      <c r="O492" s="49">
        <v>3.53</v>
      </c>
      <c r="P492" s="9">
        <f>ROUND(O492*L492,2)</f>
        <v>2248.61</v>
      </c>
      <c r="Q492" s="10">
        <f>IF(N492="HKD",7.8,IF(N492="CNY",7.30034,1))</f>
        <v>7.3003400000000003</v>
      </c>
      <c r="R492" s="10">
        <f>+ROUND(O492/Q492,4)</f>
        <v>0.48349999999999999</v>
      </c>
      <c r="S492" s="11">
        <f>ROUND(R492*L492,2)</f>
        <v>307.99</v>
      </c>
      <c r="T492" s="10" t="s">
        <v>349</v>
      </c>
      <c r="U492" t="s">
        <v>368</v>
      </c>
    </row>
    <row r="493" spans="1:21">
      <c r="A493" t="s">
        <v>2323</v>
      </c>
      <c r="B493" s="20">
        <v>45755</v>
      </c>
      <c r="C493" s="20">
        <v>45664</v>
      </c>
      <c r="D493" t="s">
        <v>94</v>
      </c>
      <c r="E493" t="s">
        <v>95</v>
      </c>
      <c r="G493" t="s">
        <v>4442</v>
      </c>
      <c r="H493" t="s">
        <v>1734</v>
      </c>
      <c r="I493" t="s">
        <v>1735</v>
      </c>
      <c r="J493" s="8" t="str">
        <f>+LEFT(U493,4)</f>
        <v>LID-</v>
      </c>
      <c r="K493" t="s">
        <v>369</v>
      </c>
      <c r="L493" s="46">
        <v>811</v>
      </c>
      <c r="M493" t="s">
        <v>1472</v>
      </c>
      <c r="N493" t="s">
        <v>11</v>
      </c>
      <c r="O493" s="49">
        <v>3.53</v>
      </c>
      <c r="P493" s="9">
        <f>ROUND(O493*L493,2)</f>
        <v>2862.83</v>
      </c>
      <c r="Q493" s="10">
        <f>IF(N493="HKD",7.8,IF(N493="CNY",7.30034,1))</f>
        <v>7.3003400000000003</v>
      </c>
      <c r="R493" s="10">
        <f>+ROUND(O493/Q493,4)</f>
        <v>0.48349999999999999</v>
      </c>
      <c r="S493" s="11">
        <f>ROUND(R493*L493,2)</f>
        <v>392.12</v>
      </c>
      <c r="T493" s="10" t="s">
        <v>349</v>
      </c>
      <c r="U493" t="s">
        <v>368</v>
      </c>
    </row>
    <row r="494" spans="1:21">
      <c r="A494" t="s">
        <v>4137</v>
      </c>
      <c r="B494" s="20">
        <v>45755</v>
      </c>
      <c r="C494" s="20">
        <v>45700</v>
      </c>
      <c r="D494" t="s">
        <v>94</v>
      </c>
      <c r="E494" t="s">
        <v>95</v>
      </c>
      <c r="G494" t="s">
        <v>4444</v>
      </c>
      <c r="H494" t="s">
        <v>1734</v>
      </c>
      <c r="I494" t="s">
        <v>1735</v>
      </c>
      <c r="J494" s="8" t="str">
        <f>+LEFT(U494,4)</f>
        <v>LID-</v>
      </c>
      <c r="K494" t="s">
        <v>369</v>
      </c>
      <c r="L494" s="46">
        <v>494</v>
      </c>
      <c r="M494" t="s">
        <v>1472</v>
      </c>
      <c r="N494" t="s">
        <v>11</v>
      </c>
      <c r="O494" s="49">
        <v>3.53</v>
      </c>
      <c r="P494" s="9">
        <f>ROUND(O494*L494,2)</f>
        <v>1743.82</v>
      </c>
      <c r="Q494" s="10">
        <f>IF(N494="HKD",7.8,IF(N494="CNY",7.30034,1))</f>
        <v>7.3003400000000003</v>
      </c>
      <c r="R494" s="10">
        <f>+ROUND(O494/Q494,4)</f>
        <v>0.48349999999999999</v>
      </c>
      <c r="S494" s="11">
        <f>ROUND(R494*L494,2)</f>
        <v>238.85</v>
      </c>
      <c r="T494" s="10" t="s">
        <v>349</v>
      </c>
      <c r="U494" t="s">
        <v>368</v>
      </c>
    </row>
    <row r="495" spans="1:21">
      <c r="A495" t="s">
        <v>2540</v>
      </c>
      <c r="B495" s="20">
        <v>45755</v>
      </c>
      <c r="C495" s="20">
        <v>45714</v>
      </c>
      <c r="D495" t="s">
        <v>830</v>
      </c>
      <c r="E495" t="s">
        <v>831</v>
      </c>
      <c r="G495" t="s">
        <v>4467</v>
      </c>
      <c r="H495" t="s">
        <v>3166</v>
      </c>
      <c r="I495" t="s">
        <v>3376</v>
      </c>
      <c r="J495" s="8" t="str">
        <f>+LEFT(U495,4)</f>
        <v>LID-</v>
      </c>
      <c r="K495" t="s">
        <v>98</v>
      </c>
      <c r="L495" s="46">
        <v>1920</v>
      </c>
      <c r="M495" t="s">
        <v>1472</v>
      </c>
      <c r="N495" t="s">
        <v>11</v>
      </c>
      <c r="O495" s="49">
        <v>4.2</v>
      </c>
      <c r="P495" s="9">
        <f>ROUND(O495*L495,2)</f>
        <v>8064</v>
      </c>
      <c r="Q495" s="10">
        <f>IF(N495="HKD",7.8,IF(N495="CNY",7.30034,1))</f>
        <v>7.3003400000000003</v>
      </c>
      <c r="R495" s="10">
        <f>+ROUND(O495/Q495,4)</f>
        <v>0.57530000000000003</v>
      </c>
      <c r="S495" s="11">
        <f>ROUND(R495*L495,2)</f>
        <v>1104.58</v>
      </c>
      <c r="T495" s="10" t="s">
        <v>349</v>
      </c>
      <c r="U495" t="s">
        <v>368</v>
      </c>
    </row>
    <row r="496" spans="1:21">
      <c r="A496" t="s">
        <v>2535</v>
      </c>
      <c r="B496" s="20">
        <v>45755</v>
      </c>
      <c r="C496" s="20">
        <v>45714</v>
      </c>
      <c r="D496" t="s">
        <v>94</v>
      </c>
      <c r="E496" t="s">
        <v>95</v>
      </c>
      <c r="G496" t="s">
        <v>4481</v>
      </c>
      <c r="H496" t="s">
        <v>3164</v>
      </c>
      <c r="I496" t="s">
        <v>3374</v>
      </c>
      <c r="J496" s="8" t="str">
        <f>+LEFT(U496,4)</f>
        <v>LID-</v>
      </c>
      <c r="K496" t="s">
        <v>98</v>
      </c>
      <c r="L496" s="46">
        <v>630</v>
      </c>
      <c r="M496" t="s">
        <v>1472</v>
      </c>
      <c r="N496" t="s">
        <v>11</v>
      </c>
      <c r="O496" s="49">
        <v>4.26</v>
      </c>
      <c r="P496" s="9">
        <f>ROUND(O496*L496,2)</f>
        <v>2683.8</v>
      </c>
      <c r="Q496" s="10">
        <f>IF(N496="HKD",7.8,IF(N496="CNY",7.30034,1))</f>
        <v>7.3003400000000003</v>
      </c>
      <c r="R496" s="10">
        <f>+ROUND(O496/Q496,4)</f>
        <v>0.58350000000000002</v>
      </c>
      <c r="S496" s="11">
        <f>ROUND(R496*L496,2)</f>
        <v>367.61</v>
      </c>
      <c r="T496" s="10" t="s">
        <v>349</v>
      </c>
      <c r="U496" t="s">
        <v>368</v>
      </c>
    </row>
    <row r="497" spans="1:21">
      <c r="A497" t="s">
        <v>4014</v>
      </c>
      <c r="B497" s="20">
        <v>45755</v>
      </c>
      <c r="C497" s="20">
        <v>45729</v>
      </c>
      <c r="D497" t="s">
        <v>128</v>
      </c>
      <c r="E497" t="s">
        <v>129</v>
      </c>
      <c r="G497" t="s">
        <v>4411</v>
      </c>
      <c r="H497" t="s">
        <v>1666</v>
      </c>
      <c r="I497" t="s">
        <v>1667</v>
      </c>
      <c r="J497" s="8" t="str">
        <f>+LEFT(U497,4)</f>
        <v>SHDL</v>
      </c>
      <c r="K497" t="s">
        <v>10</v>
      </c>
      <c r="L497" s="46">
        <v>1600</v>
      </c>
      <c r="M497" t="s">
        <v>1472</v>
      </c>
      <c r="N497" t="s">
        <v>11</v>
      </c>
      <c r="O497" s="49">
        <v>1.8715999999999999</v>
      </c>
      <c r="P497" s="9">
        <f>ROUND(O497*L497,2)</f>
        <v>2994.56</v>
      </c>
      <c r="Q497" s="10">
        <f>IF(N497="HKD",7.8,IF(N497="CNY",7.30034,1))</f>
        <v>7.3003400000000003</v>
      </c>
      <c r="R497" s="10">
        <f>+ROUND(O497/Q497,4)</f>
        <v>0.25640000000000002</v>
      </c>
      <c r="S497" s="11">
        <f>ROUND(R497*L497,2)</f>
        <v>410.24</v>
      </c>
      <c r="T497" s="10" t="s">
        <v>349</v>
      </c>
      <c r="U497" t="s">
        <v>722</v>
      </c>
    </row>
    <row r="498" spans="1:21">
      <c r="A498" t="s">
        <v>4118</v>
      </c>
      <c r="B498" s="20">
        <v>45755</v>
      </c>
      <c r="C498" s="20">
        <v>45702</v>
      </c>
      <c r="D498" t="s">
        <v>121</v>
      </c>
      <c r="E498" t="s">
        <v>122</v>
      </c>
      <c r="G498" t="s">
        <v>4395</v>
      </c>
      <c r="H498" t="s">
        <v>3698</v>
      </c>
      <c r="I498" t="s">
        <v>3699</v>
      </c>
      <c r="J498" s="8" t="str">
        <f>+LEFT(U498,4)</f>
        <v>SHDL</v>
      </c>
      <c r="K498" t="s">
        <v>10</v>
      </c>
      <c r="L498" s="46">
        <v>2060</v>
      </c>
      <c r="M498" t="s">
        <v>1472</v>
      </c>
      <c r="N498" t="s">
        <v>11</v>
      </c>
      <c r="O498" s="49">
        <v>3.2928000000000002</v>
      </c>
      <c r="P498" s="9">
        <f>ROUND(O498*L498,2)</f>
        <v>6783.17</v>
      </c>
      <c r="Q498" s="10">
        <f>IF(N498="HKD",7.8,IF(N498="CNY",7.30034,1))</f>
        <v>7.3003400000000003</v>
      </c>
      <c r="R498" s="10">
        <f>+ROUND(O498/Q498,4)</f>
        <v>0.45100000000000001</v>
      </c>
      <c r="S498" s="11">
        <f>ROUND(R498*L498,2)</f>
        <v>929.06</v>
      </c>
      <c r="T498" s="10" t="s">
        <v>349</v>
      </c>
      <c r="U498" t="s">
        <v>722</v>
      </c>
    </row>
    <row r="499" spans="1:21">
      <c r="A499" t="s">
        <v>4019</v>
      </c>
      <c r="B499" s="20">
        <v>45755</v>
      </c>
      <c r="C499" s="20">
        <v>45749</v>
      </c>
      <c r="D499" t="s">
        <v>5</v>
      </c>
      <c r="E499" t="s">
        <v>6</v>
      </c>
      <c r="G499" t="s">
        <v>4413</v>
      </c>
      <c r="H499" t="s">
        <v>3611</v>
      </c>
      <c r="I499" t="s">
        <v>3612</v>
      </c>
      <c r="J499" s="8" t="str">
        <f>+LEFT(U499,4)</f>
        <v>SHTS</v>
      </c>
      <c r="K499" t="s">
        <v>10</v>
      </c>
      <c r="L499" s="46">
        <v>1510</v>
      </c>
      <c r="M499" t="s">
        <v>1472</v>
      </c>
      <c r="N499" t="s">
        <v>11</v>
      </c>
      <c r="O499" s="49">
        <v>2.1800000000000002</v>
      </c>
      <c r="P499" s="9">
        <f>ROUND(O499*L499,2)</f>
        <v>3291.8</v>
      </c>
      <c r="Q499" s="10">
        <f>IF(N499="HKD",7.8,IF(N499="CNY",7.30034,1))</f>
        <v>7.3003400000000003</v>
      </c>
      <c r="R499" s="10">
        <f>+ROUND(O499/Q499,4)</f>
        <v>0.29859999999999998</v>
      </c>
      <c r="S499" s="11">
        <f>ROUND(R499*L499,2)</f>
        <v>450.89</v>
      </c>
      <c r="T499" s="10" t="s">
        <v>349</v>
      </c>
      <c r="U499" t="s">
        <v>9</v>
      </c>
    </row>
    <row r="500" spans="1:21">
      <c r="A500" t="s">
        <v>4031</v>
      </c>
      <c r="B500" s="20">
        <v>45755</v>
      </c>
      <c r="C500" s="20">
        <v>45749</v>
      </c>
      <c r="D500" t="s">
        <v>5</v>
      </c>
      <c r="E500" t="s">
        <v>6</v>
      </c>
      <c r="G500" t="s">
        <v>4413</v>
      </c>
      <c r="H500" t="s">
        <v>3627</v>
      </c>
      <c r="I500" t="s">
        <v>3628</v>
      </c>
      <c r="J500" s="8" t="str">
        <f>+LEFT(U500,4)</f>
        <v>SHTS</v>
      </c>
      <c r="K500" t="s">
        <v>10</v>
      </c>
      <c r="L500" s="46">
        <v>1510</v>
      </c>
      <c r="M500" t="s">
        <v>1472</v>
      </c>
      <c r="N500" t="s">
        <v>11</v>
      </c>
      <c r="O500" s="49">
        <v>2.27</v>
      </c>
      <c r="P500" s="9">
        <f>ROUND(O500*L500,2)</f>
        <v>3427.7</v>
      </c>
      <c r="Q500" s="10">
        <f>IF(N500="HKD",7.8,IF(N500="CNY",7.30034,1))</f>
        <v>7.3003400000000003</v>
      </c>
      <c r="R500" s="10">
        <f>+ROUND(O500/Q500,4)</f>
        <v>0.31090000000000001</v>
      </c>
      <c r="S500" s="11">
        <f>ROUND(R500*L500,2)</f>
        <v>469.46</v>
      </c>
      <c r="T500" s="10" t="s">
        <v>349</v>
      </c>
      <c r="U500" t="s">
        <v>9</v>
      </c>
    </row>
    <row r="501" spans="1:21">
      <c r="A501" t="s">
        <v>4033</v>
      </c>
      <c r="B501" s="20">
        <v>45755</v>
      </c>
      <c r="C501" s="20">
        <v>45749</v>
      </c>
      <c r="D501" t="s">
        <v>5</v>
      </c>
      <c r="E501" t="s">
        <v>6</v>
      </c>
      <c r="G501" t="s">
        <v>4416</v>
      </c>
      <c r="H501" t="s">
        <v>3629</v>
      </c>
      <c r="I501" t="s">
        <v>3630</v>
      </c>
      <c r="J501" s="8" t="str">
        <f>+LEFT(U501,4)</f>
        <v>SHTS</v>
      </c>
      <c r="K501" t="s">
        <v>10</v>
      </c>
      <c r="L501" s="46">
        <v>1010</v>
      </c>
      <c r="M501" t="s">
        <v>1472</v>
      </c>
      <c r="N501" t="s">
        <v>11</v>
      </c>
      <c r="O501" s="49">
        <v>2.38</v>
      </c>
      <c r="P501" s="9">
        <f>ROUND(O501*L501,2)</f>
        <v>2403.8000000000002</v>
      </c>
      <c r="Q501" s="10">
        <f>IF(N501="HKD",7.8,IF(N501="CNY",7.30034,1))</f>
        <v>7.3003400000000003</v>
      </c>
      <c r="R501" s="10">
        <f>+ROUND(O501/Q501,4)</f>
        <v>0.32600000000000001</v>
      </c>
      <c r="S501" s="11">
        <f>ROUND(R501*L501,2)</f>
        <v>329.26</v>
      </c>
      <c r="T501" s="10" t="s">
        <v>349</v>
      </c>
      <c r="U501" t="s">
        <v>9</v>
      </c>
    </row>
    <row r="502" spans="1:21">
      <c r="A502" t="s">
        <v>4035</v>
      </c>
      <c r="B502" s="20">
        <v>45755</v>
      </c>
      <c r="C502" s="20">
        <v>45749</v>
      </c>
      <c r="D502" t="s">
        <v>5</v>
      </c>
      <c r="E502" t="s">
        <v>6</v>
      </c>
      <c r="G502" t="s">
        <v>4413</v>
      </c>
      <c r="H502" t="s">
        <v>3633</v>
      </c>
      <c r="I502" t="s">
        <v>3634</v>
      </c>
      <c r="J502" s="8" t="str">
        <f>+LEFT(U502,4)</f>
        <v>SHTS</v>
      </c>
      <c r="K502" t="s">
        <v>10</v>
      </c>
      <c r="L502" s="46">
        <v>1815</v>
      </c>
      <c r="M502" t="s">
        <v>1472</v>
      </c>
      <c r="N502" t="s">
        <v>11</v>
      </c>
      <c r="O502" s="49">
        <v>2.4</v>
      </c>
      <c r="P502" s="9">
        <f>ROUND(O502*L502,2)</f>
        <v>4356</v>
      </c>
      <c r="Q502" s="10">
        <f>IF(N502="HKD",7.8,IF(N502="CNY",7.30034,1))</f>
        <v>7.3003400000000003</v>
      </c>
      <c r="R502" s="10">
        <f>+ROUND(O502/Q502,4)</f>
        <v>0.32879999999999998</v>
      </c>
      <c r="S502" s="11">
        <f>ROUND(R502*L502,2)</f>
        <v>596.77</v>
      </c>
      <c r="T502" s="10" t="s">
        <v>349</v>
      </c>
      <c r="U502" t="s">
        <v>9</v>
      </c>
    </row>
    <row r="503" spans="1:21">
      <c r="A503" t="s">
        <v>4038</v>
      </c>
      <c r="B503" s="20">
        <v>45755</v>
      </c>
      <c r="C503" s="20">
        <v>45749</v>
      </c>
      <c r="D503" t="s">
        <v>5</v>
      </c>
      <c r="E503" t="s">
        <v>6</v>
      </c>
      <c r="G503" t="s">
        <v>4416</v>
      </c>
      <c r="H503" t="s">
        <v>3636</v>
      </c>
      <c r="I503" t="s">
        <v>3637</v>
      </c>
      <c r="J503" s="8" t="str">
        <f>+LEFT(U503,4)</f>
        <v>SHTS</v>
      </c>
      <c r="K503" t="s">
        <v>10</v>
      </c>
      <c r="L503" s="46">
        <v>1010</v>
      </c>
      <c r="M503" t="s">
        <v>1472</v>
      </c>
      <c r="N503" t="s">
        <v>11</v>
      </c>
      <c r="O503" s="49">
        <v>2.4700000000000002</v>
      </c>
      <c r="P503" s="9">
        <f>ROUND(O503*L503,2)</f>
        <v>2494.6999999999998</v>
      </c>
      <c r="Q503" s="10">
        <f>IF(N503="HKD",7.8,IF(N503="CNY",7.30034,1))</f>
        <v>7.3003400000000003</v>
      </c>
      <c r="R503" s="10">
        <f>+ROUND(O503/Q503,4)</f>
        <v>0.33829999999999999</v>
      </c>
      <c r="S503" s="11">
        <f>ROUND(R503*L503,2)</f>
        <v>341.68</v>
      </c>
      <c r="T503" s="10" t="s">
        <v>349</v>
      </c>
      <c r="U503" t="s">
        <v>9</v>
      </c>
    </row>
    <row r="504" spans="1:21">
      <c r="A504" t="s">
        <v>4043</v>
      </c>
      <c r="B504" s="20">
        <v>45755</v>
      </c>
      <c r="C504" s="20">
        <v>45749</v>
      </c>
      <c r="D504" t="s">
        <v>5</v>
      </c>
      <c r="E504" t="s">
        <v>6</v>
      </c>
      <c r="G504" t="s">
        <v>4416</v>
      </c>
      <c r="H504" t="s">
        <v>3644</v>
      </c>
      <c r="I504" t="s">
        <v>3645</v>
      </c>
      <c r="J504" s="8" t="str">
        <f>+LEFT(U504,4)</f>
        <v>SHTS</v>
      </c>
      <c r="K504" t="s">
        <v>10</v>
      </c>
      <c r="L504" s="46">
        <v>1010</v>
      </c>
      <c r="M504" t="s">
        <v>1472</v>
      </c>
      <c r="N504" t="s">
        <v>11</v>
      </c>
      <c r="O504" s="49">
        <v>2.64</v>
      </c>
      <c r="P504" s="9">
        <f>ROUND(O504*L504,2)</f>
        <v>2666.4</v>
      </c>
      <c r="Q504" s="10">
        <f>IF(N504="HKD",7.8,IF(N504="CNY",7.30034,1))</f>
        <v>7.3003400000000003</v>
      </c>
      <c r="R504" s="10">
        <f>+ROUND(O504/Q504,4)</f>
        <v>0.36159999999999998</v>
      </c>
      <c r="S504" s="11">
        <f>ROUND(R504*L504,2)</f>
        <v>365.22</v>
      </c>
      <c r="T504" s="10" t="s">
        <v>349</v>
      </c>
      <c r="U504" t="s">
        <v>9</v>
      </c>
    </row>
    <row r="505" spans="1:21">
      <c r="A505" t="s">
        <v>4047</v>
      </c>
      <c r="B505" s="20">
        <v>45755</v>
      </c>
      <c r="C505" s="20">
        <v>45749</v>
      </c>
      <c r="D505" t="s">
        <v>5</v>
      </c>
      <c r="E505" t="s">
        <v>6</v>
      </c>
      <c r="G505" t="s">
        <v>4413</v>
      </c>
      <c r="H505" t="s">
        <v>3650</v>
      </c>
      <c r="I505" t="s">
        <v>3651</v>
      </c>
      <c r="J505" s="8" t="str">
        <f>+LEFT(U505,4)</f>
        <v>SHTS</v>
      </c>
      <c r="K505" t="s">
        <v>10</v>
      </c>
      <c r="L505" s="46">
        <v>1610</v>
      </c>
      <c r="M505" t="s">
        <v>1472</v>
      </c>
      <c r="N505" t="s">
        <v>11</v>
      </c>
      <c r="O505" s="49">
        <v>2.68</v>
      </c>
      <c r="P505" s="9">
        <f>ROUND(O505*L505,2)</f>
        <v>4314.8</v>
      </c>
      <c r="Q505" s="10">
        <f>IF(N505="HKD",7.8,IF(N505="CNY",7.30034,1))</f>
        <v>7.3003400000000003</v>
      </c>
      <c r="R505" s="10">
        <f>+ROUND(O505/Q505,4)</f>
        <v>0.36709999999999998</v>
      </c>
      <c r="S505" s="11">
        <f>ROUND(R505*L505,2)</f>
        <v>591.03</v>
      </c>
      <c r="T505" s="10" t="s">
        <v>349</v>
      </c>
      <c r="U505" t="s">
        <v>9</v>
      </c>
    </row>
    <row r="506" spans="1:21">
      <c r="A506" t="s">
        <v>4054</v>
      </c>
      <c r="B506" s="20">
        <v>45755</v>
      </c>
      <c r="C506" s="20">
        <v>45749</v>
      </c>
      <c r="D506" t="s">
        <v>5</v>
      </c>
      <c r="E506" t="s">
        <v>6</v>
      </c>
      <c r="G506" t="s">
        <v>4413</v>
      </c>
      <c r="H506" t="s">
        <v>3658</v>
      </c>
      <c r="I506" t="s">
        <v>3659</v>
      </c>
      <c r="J506" s="8" t="str">
        <f>+LEFT(U506,4)</f>
        <v>SHTS</v>
      </c>
      <c r="K506" t="s">
        <v>10</v>
      </c>
      <c r="L506" s="46">
        <v>1310</v>
      </c>
      <c r="M506" t="s">
        <v>1472</v>
      </c>
      <c r="N506" t="s">
        <v>11</v>
      </c>
      <c r="O506" s="49">
        <v>2.88</v>
      </c>
      <c r="P506" s="9">
        <f>ROUND(O506*L506,2)</f>
        <v>3772.8</v>
      </c>
      <c r="Q506" s="10">
        <f>IF(N506="HKD",7.8,IF(N506="CNY",7.30034,1))</f>
        <v>7.3003400000000003</v>
      </c>
      <c r="R506" s="10">
        <f>+ROUND(O506/Q506,4)</f>
        <v>0.39450000000000002</v>
      </c>
      <c r="S506" s="11">
        <f>ROUND(R506*L506,2)</f>
        <v>516.79999999999995</v>
      </c>
      <c r="T506" s="10" t="s">
        <v>349</v>
      </c>
      <c r="U506" t="s">
        <v>9</v>
      </c>
    </row>
    <row r="507" spans="1:21">
      <c r="A507" t="s">
        <v>4056</v>
      </c>
      <c r="B507" s="20">
        <v>45755</v>
      </c>
      <c r="C507" s="20">
        <v>45749</v>
      </c>
      <c r="D507" t="s">
        <v>5</v>
      </c>
      <c r="E507" t="s">
        <v>6</v>
      </c>
      <c r="G507" t="s">
        <v>4416</v>
      </c>
      <c r="H507" t="s">
        <v>3662</v>
      </c>
      <c r="I507" t="s">
        <v>3663</v>
      </c>
      <c r="J507" s="8" t="str">
        <f>+LEFT(U507,4)</f>
        <v>SHTS</v>
      </c>
      <c r="K507" t="s">
        <v>10</v>
      </c>
      <c r="L507" s="46">
        <v>1010</v>
      </c>
      <c r="M507" t="s">
        <v>1472</v>
      </c>
      <c r="N507" t="s">
        <v>11</v>
      </c>
      <c r="O507" s="49">
        <v>2.92</v>
      </c>
      <c r="P507" s="9">
        <f>ROUND(O507*L507,2)</f>
        <v>2949.2</v>
      </c>
      <c r="Q507" s="10">
        <f>IF(N507="HKD",7.8,IF(N507="CNY",7.30034,1))</f>
        <v>7.3003400000000003</v>
      </c>
      <c r="R507" s="10">
        <f>+ROUND(O507/Q507,4)</f>
        <v>0.4</v>
      </c>
      <c r="S507" s="11">
        <f>ROUND(R507*L507,2)</f>
        <v>404</v>
      </c>
      <c r="T507" s="10" t="s">
        <v>349</v>
      </c>
      <c r="U507" t="s">
        <v>9</v>
      </c>
    </row>
    <row r="508" spans="1:21">
      <c r="A508" t="s">
        <v>4077</v>
      </c>
      <c r="B508" s="20">
        <v>45755</v>
      </c>
      <c r="C508" s="20">
        <v>45714</v>
      </c>
      <c r="D508" t="s">
        <v>5</v>
      </c>
      <c r="E508" t="s">
        <v>6</v>
      </c>
      <c r="G508" t="s">
        <v>4413</v>
      </c>
      <c r="H508" t="s">
        <v>518</v>
      </c>
      <c r="I508" t="s">
        <v>519</v>
      </c>
      <c r="J508" s="8" t="str">
        <f>+LEFT(U508,4)</f>
        <v>SHTS</v>
      </c>
      <c r="K508" t="s">
        <v>10</v>
      </c>
      <c r="L508" s="46">
        <v>505</v>
      </c>
      <c r="M508" t="s">
        <v>1472</v>
      </c>
      <c r="N508" t="s">
        <v>11</v>
      </c>
      <c r="O508" s="49">
        <v>3.08</v>
      </c>
      <c r="P508" s="9">
        <f>ROUND(O508*L508,2)</f>
        <v>1555.4</v>
      </c>
      <c r="Q508" s="10">
        <f>IF(N508="HKD",7.8,IF(N508="CNY",7.30034,1))</f>
        <v>7.3003400000000003</v>
      </c>
      <c r="R508" s="10">
        <f>+ROUND(O508/Q508,4)</f>
        <v>0.4219</v>
      </c>
      <c r="S508" s="11">
        <f>ROUND(R508*L508,2)</f>
        <v>213.06</v>
      </c>
      <c r="T508" s="10" t="s">
        <v>349</v>
      </c>
      <c r="U508" t="s">
        <v>9</v>
      </c>
    </row>
    <row r="509" spans="1:21">
      <c r="A509" t="s">
        <v>4083</v>
      </c>
      <c r="B509" s="20">
        <v>45755</v>
      </c>
      <c r="C509" s="20">
        <v>45749</v>
      </c>
      <c r="D509" t="s">
        <v>5</v>
      </c>
      <c r="E509" t="s">
        <v>6</v>
      </c>
      <c r="G509" t="s">
        <v>4413</v>
      </c>
      <c r="H509" t="s">
        <v>1668</v>
      </c>
      <c r="I509" t="s">
        <v>1669</v>
      </c>
      <c r="J509" s="8" t="str">
        <f>+LEFT(U509,4)</f>
        <v>SHTS</v>
      </c>
      <c r="K509" t="s">
        <v>10</v>
      </c>
      <c r="L509" s="46">
        <v>1010</v>
      </c>
      <c r="M509" t="s">
        <v>1472</v>
      </c>
      <c r="N509" t="s">
        <v>11</v>
      </c>
      <c r="O509" s="49">
        <v>3.1</v>
      </c>
      <c r="P509" s="9">
        <f>ROUND(O509*L509,2)</f>
        <v>3131</v>
      </c>
      <c r="Q509" s="10">
        <f>IF(N509="HKD",7.8,IF(N509="CNY",7.30034,1))</f>
        <v>7.3003400000000003</v>
      </c>
      <c r="R509" s="10">
        <f>+ROUND(O509/Q509,4)</f>
        <v>0.42459999999999998</v>
      </c>
      <c r="S509" s="11">
        <f>ROUND(R509*L509,2)</f>
        <v>428.85</v>
      </c>
      <c r="T509" s="10" t="s">
        <v>349</v>
      </c>
      <c r="U509" t="s">
        <v>9</v>
      </c>
    </row>
    <row r="510" spans="1:21">
      <c r="A510" t="s">
        <v>4117</v>
      </c>
      <c r="B510" s="20">
        <v>45755</v>
      </c>
      <c r="C510" s="20">
        <v>45749</v>
      </c>
      <c r="D510" t="s">
        <v>5</v>
      </c>
      <c r="E510" t="s">
        <v>6</v>
      </c>
      <c r="G510" t="s">
        <v>4413</v>
      </c>
      <c r="H510" t="s">
        <v>3696</v>
      </c>
      <c r="I510" t="s">
        <v>3697</v>
      </c>
      <c r="J510" s="8" t="str">
        <f>+LEFT(U510,4)</f>
        <v>SHTS</v>
      </c>
      <c r="K510" t="s">
        <v>10</v>
      </c>
      <c r="L510" s="46">
        <v>505</v>
      </c>
      <c r="M510" t="s">
        <v>1472</v>
      </c>
      <c r="N510" t="s">
        <v>11</v>
      </c>
      <c r="O510" s="49">
        <v>3.29</v>
      </c>
      <c r="P510" s="9">
        <f>ROUND(O510*L510,2)</f>
        <v>1661.45</v>
      </c>
      <c r="Q510" s="10">
        <f>IF(N510="HKD",7.8,IF(N510="CNY",7.30034,1))</f>
        <v>7.3003400000000003</v>
      </c>
      <c r="R510" s="10">
        <f>+ROUND(O510/Q510,4)</f>
        <v>0.45069999999999999</v>
      </c>
      <c r="S510" s="11">
        <f>ROUND(R510*L510,2)</f>
        <v>227.6</v>
      </c>
      <c r="T510" s="10" t="s">
        <v>349</v>
      </c>
      <c r="U510" t="s">
        <v>9</v>
      </c>
    </row>
    <row r="511" spans="1:21">
      <c r="A511" t="s">
        <v>4211</v>
      </c>
      <c r="B511" s="20">
        <v>45754</v>
      </c>
      <c r="C511" s="20">
        <v>45695</v>
      </c>
      <c r="D511" t="s">
        <v>696</v>
      </c>
      <c r="E511" t="s">
        <v>697</v>
      </c>
      <c r="G511" t="s">
        <v>4506</v>
      </c>
      <c r="H511" t="s">
        <v>694</v>
      </c>
      <c r="I511" t="s">
        <v>695</v>
      </c>
      <c r="J511" s="8" t="s">
        <v>1536</v>
      </c>
      <c r="K511" t="s">
        <v>10</v>
      </c>
      <c r="L511" s="46">
        <v>2600</v>
      </c>
      <c r="M511" t="s">
        <v>1472</v>
      </c>
      <c r="N511" t="s">
        <v>11</v>
      </c>
      <c r="O511" s="49">
        <v>5.49</v>
      </c>
      <c r="P511" s="9">
        <f>ROUND(O511*L511,2)</f>
        <v>14274</v>
      </c>
      <c r="Q511" s="10">
        <f>IF(N511="HKD",7.8,IF(N511="CNY",7.30034,1))</f>
        <v>7.3003400000000003</v>
      </c>
      <c r="R511" s="10">
        <f>+ROUND(O511/Q511,4)</f>
        <v>0.752</v>
      </c>
      <c r="S511" s="11">
        <f>ROUND(R511*L511,2)</f>
        <v>1955.2</v>
      </c>
      <c r="T511" s="10" t="s">
        <v>349</v>
      </c>
      <c r="U511" t="s">
        <v>36</v>
      </c>
    </row>
    <row r="512" spans="1:21">
      <c r="A512" t="s">
        <v>4212</v>
      </c>
      <c r="B512" s="20">
        <v>45754</v>
      </c>
      <c r="C512" s="20">
        <v>45695</v>
      </c>
      <c r="D512" t="s">
        <v>696</v>
      </c>
      <c r="E512" t="s">
        <v>697</v>
      </c>
      <c r="G512" t="s">
        <v>4506</v>
      </c>
      <c r="H512" t="s">
        <v>694</v>
      </c>
      <c r="I512" t="s">
        <v>695</v>
      </c>
      <c r="J512" s="8" t="s">
        <v>1536</v>
      </c>
      <c r="K512" t="s">
        <v>10</v>
      </c>
      <c r="L512" s="46">
        <v>2050</v>
      </c>
      <c r="M512" t="s">
        <v>1472</v>
      </c>
      <c r="N512" t="s">
        <v>11</v>
      </c>
      <c r="O512" s="49">
        <v>5.49</v>
      </c>
      <c r="P512" s="9">
        <f>ROUND(O512*L512,2)</f>
        <v>11254.5</v>
      </c>
      <c r="Q512" s="10">
        <f>IF(N512="HKD",7.8,IF(N512="CNY",7.30034,1))</f>
        <v>7.3003400000000003</v>
      </c>
      <c r="R512" s="10">
        <f>+ROUND(O512/Q512,4)</f>
        <v>0.752</v>
      </c>
      <c r="S512" s="11">
        <f>ROUND(R512*L512,2)</f>
        <v>1541.6</v>
      </c>
      <c r="T512" s="10" t="s">
        <v>349</v>
      </c>
      <c r="U512" t="s">
        <v>36</v>
      </c>
    </row>
    <row r="513" spans="1:21">
      <c r="A513" t="s">
        <v>3858</v>
      </c>
      <c r="B513" s="20">
        <v>45754</v>
      </c>
      <c r="C513" s="20">
        <v>45742</v>
      </c>
      <c r="D513" t="s">
        <v>806</v>
      </c>
      <c r="E513" t="s">
        <v>807</v>
      </c>
      <c r="G513" t="s">
        <v>4350</v>
      </c>
      <c r="H513" t="s">
        <v>1567</v>
      </c>
      <c r="I513" t="s">
        <v>1568</v>
      </c>
      <c r="J513" s="8" t="str">
        <f>+LEFT(U513,4)</f>
        <v>BAG-</v>
      </c>
      <c r="K513" t="s">
        <v>10</v>
      </c>
      <c r="L513" s="46">
        <v>5000</v>
      </c>
      <c r="M513" t="s">
        <v>1472</v>
      </c>
      <c r="N513" t="s">
        <v>11</v>
      </c>
      <c r="O513" s="49">
        <v>5.2999999999999999E-2</v>
      </c>
      <c r="P513" s="9">
        <f>ROUND(O513*L513,2)</f>
        <v>265</v>
      </c>
      <c r="Q513" s="10">
        <f>IF(N513="HKD",7.8,IF(N513="CNY",7.30034,1))</f>
        <v>7.3003400000000003</v>
      </c>
      <c r="R513" s="10">
        <f>+ROUND(O513/Q513,4)</f>
        <v>7.3000000000000001E-3</v>
      </c>
      <c r="S513" s="11">
        <f>ROUND(R513*L513,2)</f>
        <v>36.5</v>
      </c>
      <c r="T513" s="10" t="s">
        <v>349</v>
      </c>
      <c r="U513" t="s">
        <v>810</v>
      </c>
    </row>
    <row r="514" spans="1:21">
      <c r="A514" t="s">
        <v>3874</v>
      </c>
      <c r="B514" s="20">
        <v>45754</v>
      </c>
      <c r="C514" s="20">
        <v>45742</v>
      </c>
      <c r="D514" t="s">
        <v>806</v>
      </c>
      <c r="E514" t="s">
        <v>807</v>
      </c>
      <c r="G514" t="s">
        <v>4350</v>
      </c>
      <c r="H514" t="s">
        <v>817</v>
      </c>
      <c r="I514" t="s">
        <v>818</v>
      </c>
      <c r="J514" s="8" t="str">
        <f>+LEFT(U514,4)</f>
        <v>BAG-</v>
      </c>
      <c r="K514" t="s">
        <v>10</v>
      </c>
      <c r="L514" s="46">
        <v>1000</v>
      </c>
      <c r="M514" t="s">
        <v>1472</v>
      </c>
      <c r="N514" t="s">
        <v>11</v>
      </c>
      <c r="O514" s="49">
        <v>8.5000000000000006E-2</v>
      </c>
      <c r="P514" s="9">
        <f>ROUND(O514*L514,2)</f>
        <v>85</v>
      </c>
      <c r="Q514" s="10">
        <f>IF(N514="HKD",7.8,IF(N514="CNY",7.30034,1))</f>
        <v>7.3003400000000003</v>
      </c>
      <c r="R514" s="10">
        <f>+ROUND(O514/Q514,4)</f>
        <v>1.1599999999999999E-2</v>
      </c>
      <c r="S514" s="11">
        <f>ROUND(R514*L514,2)</f>
        <v>11.6</v>
      </c>
      <c r="T514" s="10" t="s">
        <v>349</v>
      </c>
      <c r="U514" t="s">
        <v>810</v>
      </c>
    </row>
    <row r="515" spans="1:21">
      <c r="A515" t="s">
        <v>3875</v>
      </c>
      <c r="B515" s="20">
        <v>45754</v>
      </c>
      <c r="C515" s="20">
        <v>45742</v>
      </c>
      <c r="D515" t="s">
        <v>806</v>
      </c>
      <c r="E515" t="s">
        <v>807</v>
      </c>
      <c r="G515" t="s">
        <v>4350</v>
      </c>
      <c r="H515" t="s">
        <v>3214</v>
      </c>
      <c r="I515" t="s">
        <v>3421</v>
      </c>
      <c r="J515" s="8" t="str">
        <f>+LEFT(U515,4)</f>
        <v>BAG-</v>
      </c>
      <c r="K515" t="s">
        <v>10</v>
      </c>
      <c r="L515" s="46">
        <v>15000</v>
      </c>
      <c r="M515" t="s">
        <v>1472</v>
      </c>
      <c r="N515" t="s">
        <v>11</v>
      </c>
      <c r="O515" s="49">
        <v>8.7999999999999995E-2</v>
      </c>
      <c r="P515" s="9">
        <f>ROUND(O515*L515,2)</f>
        <v>1320</v>
      </c>
      <c r="Q515" s="10">
        <f>IF(N515="HKD",7.8,IF(N515="CNY",7.30034,1))</f>
        <v>7.3003400000000003</v>
      </c>
      <c r="R515" s="10">
        <f>+ROUND(O515/Q515,4)</f>
        <v>1.21E-2</v>
      </c>
      <c r="S515" s="11">
        <f>ROUND(R515*L515,2)</f>
        <v>181.5</v>
      </c>
      <c r="T515" s="10" t="s">
        <v>349</v>
      </c>
      <c r="U515" t="s">
        <v>810</v>
      </c>
    </row>
    <row r="516" spans="1:21">
      <c r="A516" t="s">
        <v>3882</v>
      </c>
      <c r="B516" s="20">
        <v>45754</v>
      </c>
      <c r="C516" s="20">
        <v>45742</v>
      </c>
      <c r="D516" t="s">
        <v>806</v>
      </c>
      <c r="E516" t="s">
        <v>807</v>
      </c>
      <c r="G516" t="s">
        <v>4350</v>
      </c>
      <c r="H516" t="s">
        <v>3215</v>
      </c>
      <c r="I516" t="s">
        <v>3422</v>
      </c>
      <c r="J516" s="8" t="str">
        <f>+LEFT(U516,4)</f>
        <v>BAG-</v>
      </c>
      <c r="K516" t="s">
        <v>10</v>
      </c>
      <c r="L516" s="46">
        <v>11700</v>
      </c>
      <c r="M516" t="s">
        <v>1472</v>
      </c>
      <c r="N516" t="s">
        <v>11</v>
      </c>
      <c r="O516" s="49">
        <v>0.1</v>
      </c>
      <c r="P516" s="9">
        <f>ROUND(O516*L516,2)</f>
        <v>1170</v>
      </c>
      <c r="Q516" s="10">
        <f>IF(N516="HKD",7.8,IF(N516="CNY",7.30034,1))</f>
        <v>7.3003400000000003</v>
      </c>
      <c r="R516" s="10">
        <f>+ROUND(O516/Q516,4)</f>
        <v>1.37E-2</v>
      </c>
      <c r="S516" s="11">
        <f>ROUND(R516*L516,2)</f>
        <v>160.29</v>
      </c>
      <c r="T516" s="10" t="s">
        <v>349</v>
      </c>
      <c r="U516" t="s">
        <v>810</v>
      </c>
    </row>
    <row r="517" spans="1:21">
      <c r="A517" t="s">
        <v>3895</v>
      </c>
      <c r="B517" s="20">
        <v>45754</v>
      </c>
      <c r="C517" s="20">
        <v>45742</v>
      </c>
      <c r="D517" t="s">
        <v>806</v>
      </c>
      <c r="E517" t="s">
        <v>807</v>
      </c>
      <c r="G517" t="s">
        <v>4350</v>
      </c>
      <c r="H517" t="s">
        <v>3253</v>
      </c>
      <c r="I517" t="s">
        <v>3460</v>
      </c>
      <c r="J517" s="8" t="str">
        <f>+LEFT(U517,4)</f>
        <v>BAG-</v>
      </c>
      <c r="K517" t="s">
        <v>10</v>
      </c>
      <c r="L517" s="46">
        <v>1000</v>
      </c>
      <c r="M517" t="s">
        <v>1472</v>
      </c>
      <c r="N517" t="s">
        <v>11</v>
      </c>
      <c r="O517" s="49">
        <v>0.13</v>
      </c>
      <c r="P517" s="9">
        <f>ROUND(O517*L517,2)</f>
        <v>130</v>
      </c>
      <c r="Q517" s="10">
        <f>IF(N517="HKD",7.8,IF(N517="CNY",7.30034,1))</f>
        <v>7.3003400000000003</v>
      </c>
      <c r="R517" s="10">
        <f>+ROUND(O517/Q517,4)</f>
        <v>1.78E-2</v>
      </c>
      <c r="S517" s="11">
        <f>ROUND(R517*L517,2)</f>
        <v>17.8</v>
      </c>
      <c r="T517" s="10" t="s">
        <v>349</v>
      </c>
      <c r="U517" t="s">
        <v>810</v>
      </c>
    </row>
    <row r="518" spans="1:21">
      <c r="A518" t="s">
        <v>3918</v>
      </c>
      <c r="B518" s="20">
        <v>45754</v>
      </c>
      <c r="C518" s="20">
        <v>45742</v>
      </c>
      <c r="D518" t="s">
        <v>806</v>
      </c>
      <c r="E518" t="s">
        <v>807</v>
      </c>
      <c r="G518" t="s">
        <v>4350</v>
      </c>
      <c r="H518" t="s">
        <v>1609</v>
      </c>
      <c r="I518" t="s">
        <v>1610</v>
      </c>
      <c r="J518" s="8" t="str">
        <f>+LEFT(U518,4)</f>
        <v>BAG-</v>
      </c>
      <c r="K518" t="s">
        <v>10</v>
      </c>
      <c r="L518" s="46">
        <v>700</v>
      </c>
      <c r="M518" t="s">
        <v>1472</v>
      </c>
      <c r="N518" t="s">
        <v>11</v>
      </c>
      <c r="O518" s="49">
        <v>0.185</v>
      </c>
      <c r="P518" s="9">
        <f>ROUND(O518*L518,2)</f>
        <v>129.5</v>
      </c>
      <c r="Q518" s="10">
        <f>IF(N518="HKD",7.8,IF(N518="CNY",7.30034,1))</f>
        <v>7.3003400000000003</v>
      </c>
      <c r="R518" s="10">
        <f>+ROUND(O518/Q518,4)</f>
        <v>2.53E-2</v>
      </c>
      <c r="S518" s="11">
        <f>ROUND(R518*L518,2)</f>
        <v>17.71</v>
      </c>
      <c r="T518" s="10" t="s">
        <v>349</v>
      </c>
      <c r="U518" t="s">
        <v>810</v>
      </c>
    </row>
    <row r="519" spans="1:21">
      <c r="A519" t="s">
        <v>3925</v>
      </c>
      <c r="B519" s="20">
        <v>45754</v>
      </c>
      <c r="C519" s="20">
        <v>45742</v>
      </c>
      <c r="D519" t="s">
        <v>806</v>
      </c>
      <c r="E519" t="s">
        <v>807</v>
      </c>
      <c r="G519" t="s">
        <v>4350</v>
      </c>
      <c r="H519" t="s">
        <v>3546</v>
      </c>
      <c r="I519" t="s">
        <v>3547</v>
      </c>
      <c r="J519" s="8" t="str">
        <f>+LEFT(U519,4)</f>
        <v>BAG-</v>
      </c>
      <c r="K519" t="s">
        <v>10</v>
      </c>
      <c r="L519" s="46">
        <v>5000</v>
      </c>
      <c r="M519" t="s">
        <v>1472</v>
      </c>
      <c r="N519" t="s">
        <v>11</v>
      </c>
      <c r="O519" s="49">
        <v>0.2</v>
      </c>
      <c r="P519" s="9">
        <f>ROUND(O519*L519,2)</f>
        <v>1000</v>
      </c>
      <c r="Q519" s="10">
        <f>IF(N519="HKD",7.8,IF(N519="CNY",7.30034,1))</f>
        <v>7.3003400000000003</v>
      </c>
      <c r="R519" s="10">
        <f>+ROUND(O519/Q519,4)</f>
        <v>2.7400000000000001E-2</v>
      </c>
      <c r="S519" s="11">
        <f>ROUND(R519*L519,2)</f>
        <v>137</v>
      </c>
      <c r="T519" s="10" t="s">
        <v>349</v>
      </c>
      <c r="U519" t="s">
        <v>810</v>
      </c>
    </row>
    <row r="520" spans="1:21">
      <c r="A520" t="s">
        <v>3929</v>
      </c>
      <c r="B520" s="20">
        <v>45754</v>
      </c>
      <c r="C520" s="20">
        <v>45742</v>
      </c>
      <c r="D520" t="s">
        <v>806</v>
      </c>
      <c r="E520" t="s">
        <v>807</v>
      </c>
      <c r="G520" t="s">
        <v>4350</v>
      </c>
      <c r="H520" t="s">
        <v>1611</v>
      </c>
      <c r="I520" t="s">
        <v>1612</v>
      </c>
      <c r="J520" s="8" t="str">
        <f>+LEFT(U520,4)</f>
        <v>BAG-</v>
      </c>
      <c r="K520" t="s">
        <v>10</v>
      </c>
      <c r="L520" s="46">
        <v>1500</v>
      </c>
      <c r="M520" t="s">
        <v>1472</v>
      </c>
      <c r="N520" t="s">
        <v>11</v>
      </c>
      <c r="O520" s="49">
        <v>0.22</v>
      </c>
      <c r="P520" s="9">
        <f>ROUND(O520*L520,2)</f>
        <v>330</v>
      </c>
      <c r="Q520" s="10">
        <f>IF(N520="HKD",7.8,IF(N520="CNY",7.30034,1))</f>
        <v>7.3003400000000003</v>
      </c>
      <c r="R520" s="10">
        <f>+ROUND(O520/Q520,4)</f>
        <v>3.0099999999999998E-2</v>
      </c>
      <c r="S520" s="11">
        <f>ROUND(R520*L520,2)</f>
        <v>45.15</v>
      </c>
      <c r="T520" s="10" t="s">
        <v>349</v>
      </c>
      <c r="U520" t="s">
        <v>810</v>
      </c>
    </row>
    <row r="521" spans="1:21">
      <c r="A521" t="s">
        <v>3939</v>
      </c>
      <c r="B521" s="20">
        <v>45754</v>
      </c>
      <c r="C521" s="20">
        <v>45742</v>
      </c>
      <c r="D521" t="s">
        <v>806</v>
      </c>
      <c r="E521" t="s">
        <v>807</v>
      </c>
      <c r="G521" t="s">
        <v>4350</v>
      </c>
      <c r="H521" t="s">
        <v>3562</v>
      </c>
      <c r="I521" t="s">
        <v>3563</v>
      </c>
      <c r="J521" s="8" t="str">
        <f>+LEFT(U521,4)</f>
        <v>BAG-</v>
      </c>
      <c r="K521" t="s">
        <v>10</v>
      </c>
      <c r="L521" s="46">
        <v>2700</v>
      </c>
      <c r="M521" t="s">
        <v>1472</v>
      </c>
      <c r="N521" t="s">
        <v>11</v>
      </c>
      <c r="O521" s="49">
        <v>0.26</v>
      </c>
      <c r="P521" s="9">
        <f>ROUND(O521*L521,2)</f>
        <v>702</v>
      </c>
      <c r="Q521" s="10">
        <f>IF(N521="HKD",7.8,IF(N521="CNY",7.30034,1))</f>
        <v>7.3003400000000003</v>
      </c>
      <c r="R521" s="10">
        <f>+ROUND(O521/Q521,4)</f>
        <v>3.56E-2</v>
      </c>
      <c r="S521" s="11">
        <f>ROUND(R521*L521,2)</f>
        <v>96.12</v>
      </c>
      <c r="T521" s="10" t="s">
        <v>349</v>
      </c>
      <c r="U521" t="s">
        <v>810</v>
      </c>
    </row>
    <row r="522" spans="1:21">
      <c r="A522" t="s">
        <v>3956</v>
      </c>
      <c r="B522" s="20">
        <v>45754</v>
      </c>
      <c r="C522" s="20">
        <v>45721</v>
      </c>
      <c r="D522" t="s">
        <v>128</v>
      </c>
      <c r="E522" t="s">
        <v>129</v>
      </c>
      <c r="G522" t="s">
        <v>4389</v>
      </c>
      <c r="H522" t="s">
        <v>3581</v>
      </c>
      <c r="I522" t="s">
        <v>3582</v>
      </c>
      <c r="J522" s="8" t="str">
        <f>+LEFT(U522,4)</f>
        <v>BRKT</v>
      </c>
      <c r="K522" t="s">
        <v>10</v>
      </c>
      <c r="L522" s="46">
        <v>1550</v>
      </c>
      <c r="M522" t="s">
        <v>1472</v>
      </c>
      <c r="N522" t="s">
        <v>11</v>
      </c>
      <c r="O522" s="49">
        <v>0.55230000000000001</v>
      </c>
      <c r="P522" s="9">
        <f>ROUND(O522*L522,2)</f>
        <v>856.07</v>
      </c>
      <c r="Q522" s="10">
        <f>IF(N522="HKD",7.8,IF(N522="CNY",7.30034,1))</f>
        <v>7.3003400000000003</v>
      </c>
      <c r="R522" s="10">
        <f>+ROUND(O522/Q522,4)</f>
        <v>7.5700000000000003E-2</v>
      </c>
      <c r="S522" s="11">
        <f>ROUND(R522*L522,2)</f>
        <v>117.34</v>
      </c>
      <c r="T522" s="10" t="s">
        <v>349</v>
      </c>
      <c r="U522" t="s">
        <v>442</v>
      </c>
    </row>
    <row r="523" spans="1:21">
      <c r="A523" t="s">
        <v>3984</v>
      </c>
      <c r="B523" s="20">
        <v>45754</v>
      </c>
      <c r="C523" s="20">
        <v>45728</v>
      </c>
      <c r="D523" t="s">
        <v>372</v>
      </c>
      <c r="E523" t="s">
        <v>373</v>
      </c>
      <c r="G523" t="s">
        <v>4400</v>
      </c>
      <c r="H523" t="s">
        <v>1040</v>
      </c>
      <c r="I523" t="s">
        <v>1041</v>
      </c>
      <c r="J523" s="8" t="str">
        <f>+LEFT(U523,4)</f>
        <v>FG--</v>
      </c>
      <c r="K523" t="s">
        <v>98</v>
      </c>
      <c r="L523" s="46">
        <v>2000</v>
      </c>
      <c r="M523" t="s">
        <v>1472</v>
      </c>
      <c r="N523" t="s">
        <v>11</v>
      </c>
      <c r="O523" s="49">
        <v>0.97450000000000003</v>
      </c>
      <c r="P523" s="9">
        <f>ROUND(O523*L523,2)</f>
        <v>1949</v>
      </c>
      <c r="Q523" s="10">
        <f>IF(N523="HKD",7.8,IF(N523="CNY",7.30034,1))</f>
        <v>7.3003400000000003</v>
      </c>
      <c r="R523" s="10">
        <f>+ROUND(O523/Q523,4)</f>
        <v>0.13350000000000001</v>
      </c>
      <c r="S523" s="11">
        <f>ROUND(R523*L523,2)</f>
        <v>267</v>
      </c>
      <c r="T523" s="10" t="s">
        <v>349</v>
      </c>
      <c r="U523" t="s">
        <v>64</v>
      </c>
    </row>
    <row r="524" spans="1:21">
      <c r="A524" t="s">
        <v>3985</v>
      </c>
      <c r="B524" s="20">
        <v>45754</v>
      </c>
      <c r="C524" s="20">
        <v>45728</v>
      </c>
      <c r="D524" t="s">
        <v>372</v>
      </c>
      <c r="E524" t="s">
        <v>373</v>
      </c>
      <c r="G524" t="s">
        <v>4400</v>
      </c>
      <c r="H524" t="s">
        <v>1037</v>
      </c>
      <c r="I524" t="s">
        <v>1038</v>
      </c>
      <c r="J524" s="8" t="str">
        <f>+LEFT(U524,4)</f>
        <v>FG--</v>
      </c>
      <c r="K524" t="s">
        <v>98</v>
      </c>
      <c r="L524" s="46">
        <v>3100</v>
      </c>
      <c r="M524" t="s">
        <v>1472</v>
      </c>
      <c r="N524" t="s">
        <v>11</v>
      </c>
      <c r="O524" s="49">
        <v>0.97450000000000003</v>
      </c>
      <c r="P524" s="9">
        <f>ROUND(O524*L524,2)</f>
        <v>3020.95</v>
      </c>
      <c r="Q524" s="10">
        <f>IF(N524="HKD",7.8,IF(N524="CNY",7.30034,1))</f>
        <v>7.3003400000000003</v>
      </c>
      <c r="R524" s="10">
        <f>+ROUND(O524/Q524,4)</f>
        <v>0.13350000000000001</v>
      </c>
      <c r="S524" s="11">
        <f>ROUND(R524*L524,2)</f>
        <v>413.85</v>
      </c>
      <c r="T524" s="10" t="s">
        <v>349</v>
      </c>
      <c r="U524" t="s">
        <v>64</v>
      </c>
    </row>
    <row r="525" spans="1:21">
      <c r="A525" t="s">
        <v>4015</v>
      </c>
      <c r="B525" s="20">
        <v>45754</v>
      </c>
      <c r="C525" s="20">
        <v>45729</v>
      </c>
      <c r="D525" t="s">
        <v>709</v>
      </c>
      <c r="E525" t="s">
        <v>710</v>
      </c>
      <c r="G525" t="s">
        <v>4390</v>
      </c>
      <c r="H525" t="s">
        <v>732</v>
      </c>
      <c r="I525" t="s">
        <v>733</v>
      </c>
      <c r="J525" s="8" t="str">
        <f>+LEFT(U525,4)</f>
        <v>HDL-</v>
      </c>
      <c r="K525" t="s">
        <v>10</v>
      </c>
      <c r="L525" s="46">
        <v>750</v>
      </c>
      <c r="M525" t="s">
        <v>1472</v>
      </c>
      <c r="N525" t="s">
        <v>11</v>
      </c>
      <c r="O525" s="49">
        <v>1.9061999999999999</v>
      </c>
      <c r="P525" s="9">
        <f>ROUND(O525*L525,2)</f>
        <v>1429.65</v>
      </c>
      <c r="Q525" s="10">
        <f>IF(N525="HKD",7.8,IF(N525="CNY",7.30034,1))</f>
        <v>7.3003400000000003</v>
      </c>
      <c r="R525" s="10">
        <f>+ROUND(O525/Q525,4)</f>
        <v>0.2611</v>
      </c>
      <c r="S525" s="11">
        <f>ROUND(R525*L525,2)</f>
        <v>195.83</v>
      </c>
      <c r="T525" s="10" t="s">
        <v>349</v>
      </c>
      <c r="U525" t="s">
        <v>228</v>
      </c>
    </row>
    <row r="526" spans="1:21">
      <c r="A526" t="s">
        <v>4040</v>
      </c>
      <c r="B526" s="20">
        <v>45754</v>
      </c>
      <c r="C526" s="20">
        <v>45729</v>
      </c>
      <c r="D526" t="s">
        <v>651</v>
      </c>
      <c r="E526" t="s">
        <v>652</v>
      </c>
      <c r="G526" t="s">
        <v>4420</v>
      </c>
      <c r="H526" t="s">
        <v>3638</v>
      </c>
      <c r="I526" t="s">
        <v>3639</v>
      </c>
      <c r="J526" s="8" t="str">
        <f>+LEFT(U526,4)</f>
        <v>HDL-</v>
      </c>
      <c r="K526" t="s">
        <v>10</v>
      </c>
      <c r="L526" s="46">
        <v>1000</v>
      </c>
      <c r="M526" t="s">
        <v>1472</v>
      </c>
      <c r="N526" t="s">
        <v>11</v>
      </c>
      <c r="O526" s="49">
        <v>2.5788000000000002</v>
      </c>
      <c r="P526" s="9">
        <f>ROUND(O526*L526,2)</f>
        <v>2578.8000000000002</v>
      </c>
      <c r="Q526" s="10">
        <f>IF(N526="HKD",7.8,IF(N526="CNY",7.30034,1))</f>
        <v>7.3003400000000003</v>
      </c>
      <c r="R526" s="10">
        <f>+ROUND(O526/Q526,4)</f>
        <v>0.35320000000000001</v>
      </c>
      <c r="S526" s="11">
        <f>ROUND(R526*L526,2)</f>
        <v>353.2</v>
      </c>
      <c r="T526" s="10" t="s">
        <v>349</v>
      </c>
      <c r="U526" t="s">
        <v>228</v>
      </c>
    </row>
    <row r="527" spans="1:21">
      <c r="A527" t="s">
        <v>2488</v>
      </c>
      <c r="B527" s="20">
        <v>45754</v>
      </c>
      <c r="C527" s="20">
        <v>45712</v>
      </c>
      <c r="D527" t="s">
        <v>2257</v>
      </c>
      <c r="E527" t="s">
        <v>2258</v>
      </c>
      <c r="G527" t="s">
        <v>4523</v>
      </c>
      <c r="H527" t="s">
        <v>3148</v>
      </c>
      <c r="I527" t="s">
        <v>3358</v>
      </c>
      <c r="J527" s="8" t="str">
        <f>+LEFT(U527,4)</f>
        <v>HDL-</v>
      </c>
      <c r="K527" t="s">
        <v>10</v>
      </c>
      <c r="L527" s="46">
        <v>1300</v>
      </c>
      <c r="M527" t="s">
        <v>1472</v>
      </c>
      <c r="N527" t="s">
        <v>11</v>
      </c>
      <c r="O527" s="49">
        <v>7.4931000000000001</v>
      </c>
      <c r="P527" s="9">
        <f>ROUND(O527*L527,2)</f>
        <v>9741.0300000000007</v>
      </c>
      <c r="Q527" s="10">
        <f>IF(N527="HKD",7.8,IF(N527="CNY",7.30034,1))</f>
        <v>7.3003400000000003</v>
      </c>
      <c r="R527" s="10">
        <f>+ROUND(O527/Q527,4)</f>
        <v>1.0264</v>
      </c>
      <c r="S527" s="11">
        <f>ROUND(R527*L527,2)</f>
        <v>1334.32</v>
      </c>
      <c r="T527" s="10" t="s">
        <v>349</v>
      </c>
      <c r="U527" t="s">
        <v>228</v>
      </c>
    </row>
    <row r="528" spans="1:21">
      <c r="A528" t="s">
        <v>4240</v>
      </c>
      <c r="B528" s="20">
        <v>45754</v>
      </c>
      <c r="C528" s="20">
        <v>45712</v>
      </c>
      <c r="D528" t="s">
        <v>2257</v>
      </c>
      <c r="E528" t="s">
        <v>2258</v>
      </c>
      <c r="G528" t="s">
        <v>4523</v>
      </c>
      <c r="H528" t="s">
        <v>3148</v>
      </c>
      <c r="I528" t="s">
        <v>3358</v>
      </c>
      <c r="J528" s="8" t="str">
        <f>+LEFT(U528,4)</f>
        <v>HDL-</v>
      </c>
      <c r="K528" t="s">
        <v>10</v>
      </c>
      <c r="L528" s="46">
        <v>2500</v>
      </c>
      <c r="M528" t="s">
        <v>1472</v>
      </c>
      <c r="N528" t="s">
        <v>11</v>
      </c>
      <c r="O528" s="49">
        <v>7.4931000000000001</v>
      </c>
      <c r="P528" s="9">
        <f>ROUND(O528*L528,2)</f>
        <v>18732.75</v>
      </c>
      <c r="Q528" s="10">
        <f>IF(N528="HKD",7.8,IF(N528="CNY",7.30034,1))</f>
        <v>7.3003400000000003</v>
      </c>
      <c r="R528" s="10">
        <f>+ROUND(O528/Q528,4)</f>
        <v>1.0264</v>
      </c>
      <c r="S528" s="11">
        <f>ROUND(R528*L528,2)</f>
        <v>2566</v>
      </c>
      <c r="T528" s="10" t="s">
        <v>349</v>
      </c>
      <c r="U528" t="s">
        <v>228</v>
      </c>
    </row>
    <row r="529" spans="1:21">
      <c r="A529" t="s">
        <v>2494</v>
      </c>
      <c r="B529" s="20">
        <v>45754</v>
      </c>
      <c r="C529" s="20">
        <v>45713</v>
      </c>
      <c r="D529" t="s">
        <v>2257</v>
      </c>
      <c r="E529" t="s">
        <v>2258</v>
      </c>
      <c r="G529" t="s">
        <v>4523</v>
      </c>
      <c r="H529" t="s">
        <v>1798</v>
      </c>
      <c r="I529" t="s">
        <v>1799</v>
      </c>
      <c r="J529" s="8" t="str">
        <f>+LEFT(U529,4)</f>
        <v>HDL-</v>
      </c>
      <c r="K529" t="s">
        <v>10</v>
      </c>
      <c r="L529" s="46">
        <v>800</v>
      </c>
      <c r="M529" t="s">
        <v>1472</v>
      </c>
      <c r="N529" t="s">
        <v>11</v>
      </c>
      <c r="O529" s="49">
        <v>7.4931000000000001</v>
      </c>
      <c r="P529" s="9">
        <f>ROUND(O529*L529,2)</f>
        <v>5994.48</v>
      </c>
      <c r="Q529" s="10">
        <f>IF(N529="HKD",7.8,IF(N529="CNY",7.30034,1))</f>
        <v>7.3003400000000003</v>
      </c>
      <c r="R529" s="10">
        <f>+ROUND(O529/Q529,4)</f>
        <v>1.0264</v>
      </c>
      <c r="S529" s="11">
        <f>ROUND(R529*L529,2)</f>
        <v>821.12</v>
      </c>
      <c r="T529" s="10" t="s">
        <v>349</v>
      </c>
      <c r="U529" t="s">
        <v>228</v>
      </c>
    </row>
    <row r="530" spans="1:21">
      <c r="A530" t="s">
        <v>2501</v>
      </c>
      <c r="B530" s="20">
        <v>45754</v>
      </c>
      <c r="C530" s="20">
        <v>45713</v>
      </c>
      <c r="D530" t="s">
        <v>2257</v>
      </c>
      <c r="E530" t="s">
        <v>2258</v>
      </c>
      <c r="G530" t="s">
        <v>4523</v>
      </c>
      <c r="H530" t="s">
        <v>1800</v>
      </c>
      <c r="I530" t="s">
        <v>1801</v>
      </c>
      <c r="J530" s="8" t="str">
        <f>+LEFT(U530,4)</f>
        <v>HDL-</v>
      </c>
      <c r="K530" t="s">
        <v>10</v>
      </c>
      <c r="L530" s="46">
        <v>1820</v>
      </c>
      <c r="M530" t="s">
        <v>1472</v>
      </c>
      <c r="N530" t="s">
        <v>11</v>
      </c>
      <c r="O530" s="49">
        <v>7.4931000000000001</v>
      </c>
      <c r="P530" s="9">
        <f>ROUND(O530*L530,2)</f>
        <v>13637.44</v>
      </c>
      <c r="Q530" s="10">
        <f>IF(N530="HKD",7.8,IF(N530="CNY",7.30034,1))</f>
        <v>7.3003400000000003</v>
      </c>
      <c r="R530" s="10">
        <f>+ROUND(O530/Q530,4)</f>
        <v>1.0264</v>
      </c>
      <c r="S530" s="11">
        <f>ROUND(R530*L530,2)</f>
        <v>1868.05</v>
      </c>
      <c r="T530" s="10" t="s">
        <v>349</v>
      </c>
      <c r="U530" t="s">
        <v>228</v>
      </c>
    </row>
    <row r="531" spans="1:21">
      <c r="A531" t="s">
        <v>4256</v>
      </c>
      <c r="B531" s="20">
        <v>45754</v>
      </c>
      <c r="C531" s="20">
        <v>45713</v>
      </c>
      <c r="D531" t="s">
        <v>2257</v>
      </c>
      <c r="E531" t="s">
        <v>2258</v>
      </c>
      <c r="G531" t="s">
        <v>4523</v>
      </c>
      <c r="H531" t="s">
        <v>3192</v>
      </c>
      <c r="I531" t="s">
        <v>3399</v>
      </c>
      <c r="J531" s="8" t="str">
        <f>+LEFT(U531,4)</f>
        <v>HDL-</v>
      </c>
      <c r="K531" t="s">
        <v>10</v>
      </c>
      <c r="L531" s="46">
        <v>1100</v>
      </c>
      <c r="M531" t="s">
        <v>1472</v>
      </c>
      <c r="N531" t="s">
        <v>11</v>
      </c>
      <c r="O531" s="49">
        <v>7.6459999999999999</v>
      </c>
      <c r="P531" s="9">
        <f>ROUND(O531*L531,2)</f>
        <v>8410.6</v>
      </c>
      <c r="Q531" s="10">
        <f>IF(N531="HKD",7.8,IF(N531="CNY",7.30034,1))</f>
        <v>7.3003400000000003</v>
      </c>
      <c r="R531" s="10">
        <f>+ROUND(O531/Q531,4)</f>
        <v>1.0472999999999999</v>
      </c>
      <c r="S531" s="11">
        <f>ROUND(R531*L531,2)</f>
        <v>1152.03</v>
      </c>
      <c r="T531" s="10" t="s">
        <v>349</v>
      </c>
      <c r="U531" t="s">
        <v>228</v>
      </c>
    </row>
    <row r="532" spans="1:21">
      <c r="A532" t="s">
        <v>4267</v>
      </c>
      <c r="B532" s="20">
        <v>45754</v>
      </c>
      <c r="C532" s="20">
        <v>45713</v>
      </c>
      <c r="D532" t="s">
        <v>2257</v>
      </c>
      <c r="E532" t="s">
        <v>2258</v>
      </c>
      <c r="G532" t="s">
        <v>4523</v>
      </c>
      <c r="H532" t="s">
        <v>3150</v>
      </c>
      <c r="I532" t="s">
        <v>3360</v>
      </c>
      <c r="J532" s="8" t="str">
        <f>+LEFT(U532,4)</f>
        <v>HDL-</v>
      </c>
      <c r="K532" t="s">
        <v>10</v>
      </c>
      <c r="L532" s="46">
        <v>3700</v>
      </c>
      <c r="M532" t="s">
        <v>1472</v>
      </c>
      <c r="N532" t="s">
        <v>11</v>
      </c>
      <c r="O532" s="49">
        <v>8.5710999999999995</v>
      </c>
      <c r="P532" s="9">
        <f>ROUND(O532*L532,2)</f>
        <v>31713.07</v>
      </c>
      <c r="Q532" s="10">
        <f>IF(N532="HKD",7.8,IF(N532="CNY",7.30034,1))</f>
        <v>7.3003400000000003</v>
      </c>
      <c r="R532" s="10">
        <f>+ROUND(O532/Q532,4)</f>
        <v>1.1740999999999999</v>
      </c>
      <c r="S532" s="11">
        <f>ROUND(R532*L532,2)</f>
        <v>4344.17</v>
      </c>
      <c r="T532" s="10" t="s">
        <v>349</v>
      </c>
      <c r="U532" t="s">
        <v>228</v>
      </c>
    </row>
    <row r="533" spans="1:21">
      <c r="A533" t="s">
        <v>4288</v>
      </c>
      <c r="B533" s="20">
        <v>45754</v>
      </c>
      <c r="C533" s="20">
        <v>45705</v>
      </c>
      <c r="D533" t="s">
        <v>263</v>
      </c>
      <c r="E533" t="s">
        <v>0</v>
      </c>
      <c r="G533" t="s">
        <v>4541</v>
      </c>
      <c r="H533" t="s">
        <v>989</v>
      </c>
      <c r="I533" t="s">
        <v>990</v>
      </c>
      <c r="J533" s="8" t="str">
        <f>+LEFT(U533,4)</f>
        <v>HDL-</v>
      </c>
      <c r="K533" t="s">
        <v>10</v>
      </c>
      <c r="L533" s="46">
        <v>1000</v>
      </c>
      <c r="M533" t="s">
        <v>1472</v>
      </c>
      <c r="N533" t="s">
        <v>11</v>
      </c>
      <c r="O533" s="49">
        <v>13.303100000000001</v>
      </c>
      <c r="P533" s="9">
        <f>ROUND(O533*L533,2)</f>
        <v>13303.1</v>
      </c>
      <c r="Q533" s="10">
        <f>IF(N533="HKD",7.8,IF(N533="CNY",7.30034,1))</f>
        <v>7.3003400000000003</v>
      </c>
      <c r="R533" s="10">
        <f>+ROUND(O533/Q533,4)</f>
        <v>1.8223</v>
      </c>
      <c r="S533" s="11">
        <f>ROUND(R533*L533,2)</f>
        <v>1822.3</v>
      </c>
      <c r="T533" s="10" t="s">
        <v>349</v>
      </c>
      <c r="U533" t="s">
        <v>228</v>
      </c>
    </row>
    <row r="534" spans="1:21">
      <c r="A534" t="s">
        <v>4290</v>
      </c>
      <c r="B534" s="20">
        <v>45754</v>
      </c>
      <c r="C534" s="20">
        <v>45705</v>
      </c>
      <c r="D534" t="s">
        <v>263</v>
      </c>
      <c r="E534" t="s">
        <v>0</v>
      </c>
      <c r="G534" t="s">
        <v>4541</v>
      </c>
      <c r="H534" t="s">
        <v>993</v>
      </c>
      <c r="I534" t="s">
        <v>994</v>
      </c>
      <c r="J534" s="8" t="str">
        <f>+LEFT(U534,4)</f>
        <v>HDL-</v>
      </c>
      <c r="K534" t="s">
        <v>10</v>
      </c>
      <c r="L534" s="46">
        <v>1000</v>
      </c>
      <c r="M534" t="s">
        <v>1472</v>
      </c>
      <c r="N534" t="s">
        <v>11</v>
      </c>
      <c r="O534" s="49">
        <v>14.150399999999999</v>
      </c>
      <c r="P534" s="9">
        <f>ROUND(O534*L534,2)</f>
        <v>14150.4</v>
      </c>
      <c r="Q534" s="10">
        <f>IF(N534="HKD",7.8,IF(N534="CNY",7.30034,1))</f>
        <v>7.3003400000000003</v>
      </c>
      <c r="R534" s="10">
        <f>+ROUND(O534/Q534,4)</f>
        <v>1.9382999999999999</v>
      </c>
      <c r="S534" s="11">
        <f>ROUND(R534*L534,2)</f>
        <v>1938.3</v>
      </c>
      <c r="T534" s="10" t="s">
        <v>349</v>
      </c>
      <c r="U534" t="s">
        <v>228</v>
      </c>
    </row>
    <row r="535" spans="1:21">
      <c r="A535" t="s">
        <v>4291</v>
      </c>
      <c r="B535" s="20">
        <v>45754</v>
      </c>
      <c r="C535" s="20">
        <v>45705</v>
      </c>
      <c r="D535" t="s">
        <v>263</v>
      </c>
      <c r="E535" t="s">
        <v>0</v>
      </c>
      <c r="G535" t="s">
        <v>4541</v>
      </c>
      <c r="H535" t="s">
        <v>3802</v>
      </c>
      <c r="I535" t="s">
        <v>3803</v>
      </c>
      <c r="J535" s="8" t="str">
        <f>+LEFT(U535,4)</f>
        <v>HDL-</v>
      </c>
      <c r="K535" t="s">
        <v>10</v>
      </c>
      <c r="L535" s="46">
        <v>1020</v>
      </c>
      <c r="M535" t="s">
        <v>1472</v>
      </c>
      <c r="N535" t="s">
        <v>11</v>
      </c>
      <c r="O535" s="49">
        <v>14.150399999999999</v>
      </c>
      <c r="P535" s="9">
        <f>ROUND(O535*L535,2)</f>
        <v>14433.41</v>
      </c>
      <c r="Q535" s="10">
        <f>IF(N535="HKD",7.8,IF(N535="CNY",7.30034,1))</f>
        <v>7.3003400000000003</v>
      </c>
      <c r="R535" s="10">
        <f>+ROUND(O535/Q535,4)</f>
        <v>1.9382999999999999</v>
      </c>
      <c r="S535" s="11">
        <f>ROUND(R535*L535,2)</f>
        <v>1977.07</v>
      </c>
      <c r="T535" s="10" t="s">
        <v>349</v>
      </c>
      <c r="U535" t="s">
        <v>228</v>
      </c>
    </row>
    <row r="536" spans="1:21">
      <c r="A536" t="s">
        <v>4292</v>
      </c>
      <c r="B536" s="20">
        <v>45754</v>
      </c>
      <c r="C536" s="20">
        <v>45702</v>
      </c>
      <c r="D536" t="s">
        <v>143</v>
      </c>
      <c r="E536" t="s">
        <v>144</v>
      </c>
      <c r="G536" t="s">
        <v>4500</v>
      </c>
      <c r="H536" t="s">
        <v>3804</v>
      </c>
      <c r="I536" t="s">
        <v>3805</v>
      </c>
      <c r="J536" s="8" t="str">
        <f>+LEFT(U536,4)</f>
        <v>HDL-</v>
      </c>
      <c r="K536" t="s">
        <v>10</v>
      </c>
      <c r="L536" s="46">
        <v>240</v>
      </c>
      <c r="M536" t="s">
        <v>1472</v>
      </c>
      <c r="N536" t="s">
        <v>11</v>
      </c>
      <c r="O536" s="49">
        <v>15.564299999999999</v>
      </c>
      <c r="P536" s="9">
        <f>ROUND(O536*L536,2)</f>
        <v>3735.43</v>
      </c>
      <c r="Q536" s="10">
        <f>IF(N536="HKD",7.8,IF(N536="CNY",7.30034,1))</f>
        <v>7.3003400000000003</v>
      </c>
      <c r="R536" s="10">
        <f>+ROUND(O536/Q536,4)</f>
        <v>2.1320000000000001</v>
      </c>
      <c r="S536" s="11">
        <f>ROUND(R536*L536,2)</f>
        <v>511.68</v>
      </c>
      <c r="T536" s="10" t="s">
        <v>349</v>
      </c>
      <c r="U536" t="s">
        <v>228</v>
      </c>
    </row>
    <row r="537" spans="1:21">
      <c r="A537" t="s">
        <v>4310</v>
      </c>
      <c r="B537" s="20">
        <v>45754</v>
      </c>
      <c r="C537" s="20">
        <v>45730</v>
      </c>
      <c r="D537" t="s">
        <v>2827</v>
      </c>
      <c r="E537" t="s">
        <v>2828</v>
      </c>
      <c r="G537" t="s">
        <v>4550</v>
      </c>
      <c r="H537" t="s">
        <v>3820</v>
      </c>
      <c r="I537" t="s">
        <v>3821</v>
      </c>
      <c r="J537" s="8" t="str">
        <f>+LEFT(U537,4)</f>
        <v>INM-</v>
      </c>
      <c r="K537" t="s">
        <v>10</v>
      </c>
      <c r="L537" s="46">
        <v>120</v>
      </c>
      <c r="M537" t="s">
        <v>186</v>
      </c>
      <c r="N537" t="s">
        <v>11</v>
      </c>
      <c r="O537" s="49">
        <v>80.637200000000007</v>
      </c>
      <c r="P537" s="9">
        <f>ROUND(O537*L537,2)</f>
        <v>9676.4599999999991</v>
      </c>
      <c r="Q537" s="10">
        <f>IF(N537="HKD",7.8,IF(N537="CNY",7.30034,1))</f>
        <v>7.3003400000000003</v>
      </c>
      <c r="R537" s="10">
        <f>+ROUND(O537/Q537,4)</f>
        <v>11.0457</v>
      </c>
      <c r="S537" s="11">
        <f>ROUND(R537*L537,2)</f>
        <v>1325.48</v>
      </c>
      <c r="T537" s="10" t="s">
        <v>349</v>
      </c>
      <c r="U537" t="s">
        <v>327</v>
      </c>
    </row>
    <row r="538" spans="1:21">
      <c r="A538" t="s">
        <v>4317</v>
      </c>
      <c r="B538" s="20">
        <v>45754</v>
      </c>
      <c r="C538" s="20">
        <v>45730</v>
      </c>
      <c r="D538" t="s">
        <v>2827</v>
      </c>
      <c r="E538" t="s">
        <v>2828</v>
      </c>
      <c r="G538" t="s">
        <v>4550</v>
      </c>
      <c r="H538" t="s">
        <v>3822</v>
      </c>
      <c r="I538" t="s">
        <v>3823</v>
      </c>
      <c r="J538" s="8" t="str">
        <f>+LEFT(U538,4)</f>
        <v>INM-</v>
      </c>
      <c r="K538" t="s">
        <v>10</v>
      </c>
      <c r="L538" s="46">
        <v>30</v>
      </c>
      <c r="M538" t="s">
        <v>186</v>
      </c>
      <c r="N538" t="s">
        <v>11</v>
      </c>
      <c r="O538" s="49">
        <v>102.9204</v>
      </c>
      <c r="P538" s="9">
        <f>ROUND(O538*L538,2)</f>
        <v>3087.61</v>
      </c>
      <c r="Q538" s="10">
        <f>IF(N538="HKD",7.8,IF(N538="CNY",7.30034,1))</f>
        <v>7.3003400000000003</v>
      </c>
      <c r="R538" s="10">
        <f>+ROUND(O538/Q538,4)</f>
        <v>14.098000000000001</v>
      </c>
      <c r="S538" s="11">
        <f>ROUND(R538*L538,2)</f>
        <v>422.94</v>
      </c>
      <c r="T538" s="10" t="s">
        <v>349</v>
      </c>
      <c r="U538" t="s">
        <v>327</v>
      </c>
    </row>
    <row r="539" spans="1:21">
      <c r="A539" t="s">
        <v>4318</v>
      </c>
      <c r="B539" s="20">
        <v>45754</v>
      </c>
      <c r="C539" s="20">
        <v>45735</v>
      </c>
      <c r="D539" t="s">
        <v>311</v>
      </c>
      <c r="E539" t="s">
        <v>312</v>
      </c>
      <c r="G539" t="s">
        <v>4556</v>
      </c>
      <c r="H539" t="s">
        <v>666</v>
      </c>
      <c r="I539" t="s">
        <v>667</v>
      </c>
      <c r="J539" s="8" t="str">
        <f>+LEFT(U539,4)</f>
        <v>INM-</v>
      </c>
      <c r="K539" t="s">
        <v>10</v>
      </c>
      <c r="L539" s="46">
        <v>25</v>
      </c>
      <c r="M539" t="s">
        <v>186</v>
      </c>
      <c r="N539" t="s">
        <v>11</v>
      </c>
      <c r="O539" s="49">
        <v>105.0442</v>
      </c>
      <c r="P539" s="9">
        <f>ROUND(O539*L539,2)</f>
        <v>2626.11</v>
      </c>
      <c r="Q539" s="10">
        <f>IF(N539="HKD",7.8,IF(N539="CNY",7.30034,1))</f>
        <v>7.3003400000000003</v>
      </c>
      <c r="R539" s="10">
        <f>+ROUND(O539/Q539,4)</f>
        <v>14.3889</v>
      </c>
      <c r="S539" s="11">
        <f>ROUND(R539*L539,2)</f>
        <v>359.72</v>
      </c>
      <c r="T539" s="10" t="s">
        <v>349</v>
      </c>
      <c r="U539" t="s">
        <v>327</v>
      </c>
    </row>
    <row r="540" spans="1:21">
      <c r="A540" t="s">
        <v>4319</v>
      </c>
      <c r="B540" s="20">
        <v>45754</v>
      </c>
      <c r="C540" s="20">
        <v>45735</v>
      </c>
      <c r="D540" t="s">
        <v>311</v>
      </c>
      <c r="E540" t="s">
        <v>312</v>
      </c>
      <c r="G540" t="s">
        <v>4556</v>
      </c>
      <c r="H540" t="s">
        <v>669</v>
      </c>
      <c r="I540" t="s">
        <v>670</v>
      </c>
      <c r="J540" s="8" t="str">
        <f>+LEFT(U540,4)</f>
        <v>INM-</v>
      </c>
      <c r="K540" t="s">
        <v>10</v>
      </c>
      <c r="L540" s="46">
        <v>50</v>
      </c>
      <c r="M540" t="s">
        <v>186</v>
      </c>
      <c r="N540" t="s">
        <v>11</v>
      </c>
      <c r="O540" s="49">
        <v>110.17700000000001</v>
      </c>
      <c r="P540" s="9">
        <f>ROUND(O540*L540,2)</f>
        <v>5508.85</v>
      </c>
      <c r="Q540" s="10">
        <f>IF(N540="HKD",7.8,IF(N540="CNY",7.30034,1))</f>
        <v>7.3003400000000003</v>
      </c>
      <c r="R540" s="10">
        <f>+ROUND(O540/Q540,4)</f>
        <v>15.092000000000001</v>
      </c>
      <c r="S540" s="11">
        <f>ROUND(R540*L540,2)</f>
        <v>754.6</v>
      </c>
      <c r="T540" s="10" t="s">
        <v>349</v>
      </c>
      <c r="U540" t="s">
        <v>327</v>
      </c>
    </row>
    <row r="541" spans="1:21">
      <c r="A541" t="s">
        <v>4324</v>
      </c>
      <c r="B541" s="20">
        <v>45754</v>
      </c>
      <c r="C541" s="20">
        <v>45730</v>
      </c>
      <c r="D541" t="s">
        <v>2827</v>
      </c>
      <c r="E541" t="s">
        <v>2828</v>
      </c>
      <c r="G541" t="s">
        <v>4550</v>
      </c>
      <c r="H541" t="s">
        <v>3824</v>
      </c>
      <c r="I541" t="s">
        <v>3825</v>
      </c>
      <c r="J541" s="8" t="str">
        <f>+LEFT(U541,4)</f>
        <v>INM-</v>
      </c>
      <c r="K541" t="s">
        <v>10</v>
      </c>
      <c r="L541" s="46">
        <v>150</v>
      </c>
      <c r="M541" t="s">
        <v>186</v>
      </c>
      <c r="N541" t="s">
        <v>11</v>
      </c>
      <c r="O541" s="49">
        <v>116.66370000000001</v>
      </c>
      <c r="P541" s="9">
        <f>ROUND(O541*L541,2)</f>
        <v>17499.560000000001</v>
      </c>
      <c r="Q541" s="10">
        <f>IF(N541="HKD",7.8,IF(N541="CNY",7.30034,1))</f>
        <v>7.3003400000000003</v>
      </c>
      <c r="R541" s="10">
        <f>+ROUND(O541/Q541,4)</f>
        <v>15.980600000000001</v>
      </c>
      <c r="S541" s="11">
        <f>ROUND(R541*L541,2)</f>
        <v>2397.09</v>
      </c>
      <c r="T541" s="10" t="s">
        <v>349</v>
      </c>
      <c r="U541" t="s">
        <v>327</v>
      </c>
    </row>
    <row r="542" spans="1:21">
      <c r="A542" t="s">
        <v>4327</v>
      </c>
      <c r="B542" s="20">
        <v>45754</v>
      </c>
      <c r="C542" s="20">
        <v>45730</v>
      </c>
      <c r="D542" t="s">
        <v>2827</v>
      </c>
      <c r="E542" t="s">
        <v>2828</v>
      </c>
      <c r="G542" t="s">
        <v>4550</v>
      </c>
      <c r="H542" t="s">
        <v>3186</v>
      </c>
      <c r="I542" t="s">
        <v>3393</v>
      </c>
      <c r="J542" s="8" t="str">
        <f>+LEFT(U542,4)</f>
        <v>INM-</v>
      </c>
      <c r="K542" t="s">
        <v>10</v>
      </c>
      <c r="L542" s="46">
        <v>30</v>
      </c>
      <c r="M542" t="s">
        <v>186</v>
      </c>
      <c r="N542" t="s">
        <v>11</v>
      </c>
      <c r="O542" s="49">
        <v>129.82300000000001</v>
      </c>
      <c r="P542" s="9">
        <f>ROUND(O542*L542,2)</f>
        <v>3894.69</v>
      </c>
      <c r="Q542" s="10">
        <f>IF(N542="HKD",7.8,IF(N542="CNY",7.30034,1))</f>
        <v>7.3003400000000003</v>
      </c>
      <c r="R542" s="10">
        <f>+ROUND(O542/Q542,4)</f>
        <v>17.783100000000001</v>
      </c>
      <c r="S542" s="11">
        <f>ROUND(R542*L542,2)</f>
        <v>533.49</v>
      </c>
      <c r="T542" s="10" t="s">
        <v>349</v>
      </c>
      <c r="U542" t="s">
        <v>327</v>
      </c>
    </row>
    <row r="543" spans="1:21">
      <c r="A543" t="s">
        <v>3957</v>
      </c>
      <c r="B543" s="20">
        <v>45754</v>
      </c>
      <c r="C543" s="20">
        <v>45729</v>
      </c>
      <c r="D543" t="s">
        <v>709</v>
      </c>
      <c r="E543" t="s">
        <v>710</v>
      </c>
      <c r="G543" t="s">
        <v>4390</v>
      </c>
      <c r="H543" t="s">
        <v>726</v>
      </c>
      <c r="I543" t="s">
        <v>727</v>
      </c>
      <c r="J543" s="8" t="str">
        <f>+LEFT(U543,4)</f>
        <v>KNOB</v>
      </c>
      <c r="K543" t="s">
        <v>10</v>
      </c>
      <c r="L543" s="46">
        <v>770</v>
      </c>
      <c r="M543" t="s">
        <v>1472</v>
      </c>
      <c r="N543" t="s">
        <v>11</v>
      </c>
      <c r="O543" s="49">
        <v>0.56669999999999998</v>
      </c>
      <c r="P543" s="9">
        <f>ROUND(O543*L543,2)</f>
        <v>436.36</v>
      </c>
      <c r="Q543" s="10">
        <f>IF(N543="HKD",7.8,IF(N543="CNY",7.30034,1))</f>
        <v>7.3003400000000003</v>
      </c>
      <c r="R543" s="10">
        <f>+ROUND(O543/Q543,4)</f>
        <v>7.7600000000000002E-2</v>
      </c>
      <c r="S543" s="11">
        <f>ROUND(R543*L543,2)</f>
        <v>59.75</v>
      </c>
      <c r="T543" s="10" t="s">
        <v>349</v>
      </c>
      <c r="U543" t="s">
        <v>32</v>
      </c>
    </row>
    <row r="544" spans="1:21">
      <c r="A544" t="s">
        <v>4205</v>
      </c>
      <c r="B544" s="20">
        <v>45754</v>
      </c>
      <c r="C544" s="20">
        <v>45706</v>
      </c>
      <c r="D544" t="s">
        <v>143</v>
      </c>
      <c r="E544" t="s">
        <v>144</v>
      </c>
      <c r="G544" t="s">
        <v>4500</v>
      </c>
      <c r="H544" t="s">
        <v>141</v>
      </c>
      <c r="I544" t="s">
        <v>142</v>
      </c>
      <c r="J544" s="8" t="str">
        <f>+LEFT(U544,4)</f>
        <v>KNOB</v>
      </c>
      <c r="K544" t="s">
        <v>10</v>
      </c>
      <c r="L544" s="46">
        <v>5000</v>
      </c>
      <c r="M544" t="s">
        <v>1472</v>
      </c>
      <c r="N544" t="s">
        <v>11</v>
      </c>
      <c r="O544" s="49">
        <v>5.0999999999999996</v>
      </c>
      <c r="P544" s="9">
        <f>ROUND(O544*L544,2)</f>
        <v>25500</v>
      </c>
      <c r="Q544" s="10">
        <f>IF(N544="HKD",7.8,IF(N544="CNY",7.30034,1))</f>
        <v>7.3003400000000003</v>
      </c>
      <c r="R544" s="10">
        <f>+ROUND(O544/Q544,4)</f>
        <v>0.6986</v>
      </c>
      <c r="S544" s="11">
        <f>ROUND(R544*L544,2)</f>
        <v>3493</v>
      </c>
      <c r="T544" s="10" t="s">
        <v>349</v>
      </c>
      <c r="U544" t="s">
        <v>32</v>
      </c>
    </row>
    <row r="545" spans="1:21">
      <c r="A545" t="s">
        <v>4207</v>
      </c>
      <c r="B545" s="20">
        <v>45754</v>
      </c>
      <c r="C545" s="20">
        <v>45729</v>
      </c>
      <c r="D545" t="s">
        <v>143</v>
      </c>
      <c r="E545" t="s">
        <v>144</v>
      </c>
      <c r="G545" t="s">
        <v>4500</v>
      </c>
      <c r="H545" t="s">
        <v>141</v>
      </c>
      <c r="I545" t="s">
        <v>142</v>
      </c>
      <c r="J545" s="8" t="str">
        <f>+LEFT(U545,4)</f>
        <v>KNOB</v>
      </c>
      <c r="K545" t="s">
        <v>10</v>
      </c>
      <c r="L545" s="46">
        <v>40</v>
      </c>
      <c r="M545" t="s">
        <v>1472</v>
      </c>
      <c r="N545" t="s">
        <v>11</v>
      </c>
      <c r="O545" s="49">
        <v>5.0999999999999996</v>
      </c>
      <c r="P545" s="9">
        <f>ROUND(O545*L545,2)</f>
        <v>204</v>
      </c>
      <c r="Q545" s="10">
        <f>IF(N545="HKD",7.8,IF(N545="CNY",7.30034,1))</f>
        <v>7.3003400000000003</v>
      </c>
      <c r="R545" s="10">
        <f>+ROUND(O545/Q545,4)</f>
        <v>0.6986</v>
      </c>
      <c r="S545" s="11">
        <f>ROUND(R545*L545,2)</f>
        <v>27.94</v>
      </c>
      <c r="T545" s="10" t="s">
        <v>349</v>
      </c>
      <c r="U545" t="s">
        <v>32</v>
      </c>
    </row>
    <row r="546" spans="1:21">
      <c r="A546" t="s">
        <v>2323</v>
      </c>
      <c r="B546" s="20">
        <v>45754</v>
      </c>
      <c r="C546" s="20">
        <v>45664</v>
      </c>
      <c r="D546" t="s">
        <v>94</v>
      </c>
      <c r="E546" t="s">
        <v>95</v>
      </c>
      <c r="G546" t="s">
        <v>4445</v>
      </c>
      <c r="H546" t="s">
        <v>1734</v>
      </c>
      <c r="I546" t="s">
        <v>1735</v>
      </c>
      <c r="J546" s="8" t="str">
        <f>+LEFT(U546,4)</f>
        <v>LID-</v>
      </c>
      <c r="K546" t="s">
        <v>369</v>
      </c>
      <c r="L546" s="46">
        <v>1680</v>
      </c>
      <c r="M546" t="s">
        <v>1472</v>
      </c>
      <c r="N546" t="s">
        <v>11</v>
      </c>
      <c r="O546" s="49">
        <v>3.53</v>
      </c>
      <c r="P546" s="9">
        <f>ROUND(O546*L546,2)</f>
        <v>5930.4</v>
      </c>
      <c r="Q546" s="10">
        <f>IF(N546="HKD",7.8,IF(N546="CNY",7.30034,1))</f>
        <v>7.3003400000000003</v>
      </c>
      <c r="R546" s="10">
        <f>+ROUND(O546/Q546,4)</f>
        <v>0.48349999999999999</v>
      </c>
      <c r="S546" s="11">
        <f>ROUND(R546*L546,2)</f>
        <v>812.28</v>
      </c>
      <c r="T546" s="10" t="s">
        <v>349</v>
      </c>
      <c r="U546" t="s">
        <v>368</v>
      </c>
    </row>
    <row r="547" spans="1:21">
      <c r="A547" t="s">
        <v>2540</v>
      </c>
      <c r="B547" s="20">
        <v>45754</v>
      </c>
      <c r="C547" s="20">
        <v>45714</v>
      </c>
      <c r="D547" t="s">
        <v>830</v>
      </c>
      <c r="E547" t="s">
        <v>831</v>
      </c>
      <c r="G547" t="s">
        <v>4468</v>
      </c>
      <c r="H547" t="s">
        <v>3166</v>
      </c>
      <c r="I547" t="s">
        <v>3376</v>
      </c>
      <c r="J547" s="8" t="str">
        <f>+LEFT(U547,4)</f>
        <v>LID-</v>
      </c>
      <c r="K547" t="s">
        <v>98</v>
      </c>
      <c r="L547" s="46">
        <v>960</v>
      </c>
      <c r="M547" t="s">
        <v>1472</v>
      </c>
      <c r="N547" t="s">
        <v>11</v>
      </c>
      <c r="O547" s="49">
        <v>4.2</v>
      </c>
      <c r="P547" s="9">
        <f>ROUND(O547*L547,2)</f>
        <v>4032</v>
      </c>
      <c r="Q547" s="10">
        <f>IF(N547="HKD",7.8,IF(N547="CNY",7.30034,1))</f>
        <v>7.3003400000000003</v>
      </c>
      <c r="R547" s="10">
        <f>+ROUND(O547/Q547,4)</f>
        <v>0.57530000000000003</v>
      </c>
      <c r="S547" s="11">
        <f>ROUND(R547*L547,2)</f>
        <v>552.29</v>
      </c>
      <c r="T547" s="10" t="s">
        <v>349</v>
      </c>
      <c r="U547" t="s">
        <v>368</v>
      </c>
    </row>
    <row r="548" spans="1:21">
      <c r="A548" t="s">
        <v>2535</v>
      </c>
      <c r="B548" s="20">
        <v>45754</v>
      </c>
      <c r="C548" s="20">
        <v>45714</v>
      </c>
      <c r="D548" t="s">
        <v>94</v>
      </c>
      <c r="E548" t="s">
        <v>95</v>
      </c>
      <c r="G548" t="s">
        <v>4482</v>
      </c>
      <c r="H548" t="s">
        <v>3164</v>
      </c>
      <c r="I548" t="s">
        <v>3374</v>
      </c>
      <c r="J548" s="8" t="str">
        <f>+LEFT(U548,4)</f>
        <v>LID-</v>
      </c>
      <c r="K548" t="s">
        <v>98</v>
      </c>
      <c r="L548" s="46">
        <v>1270</v>
      </c>
      <c r="M548" t="s">
        <v>1472</v>
      </c>
      <c r="N548" t="s">
        <v>11</v>
      </c>
      <c r="O548" s="49">
        <v>4.26</v>
      </c>
      <c r="P548" s="9">
        <f>ROUND(O548*L548,2)</f>
        <v>5410.2</v>
      </c>
      <c r="Q548" s="10">
        <f>IF(N548="HKD",7.8,IF(N548="CNY",7.30034,1))</f>
        <v>7.3003400000000003</v>
      </c>
      <c r="R548" s="10">
        <f>+ROUND(O548/Q548,4)</f>
        <v>0.58350000000000002</v>
      </c>
      <c r="S548" s="11">
        <f>ROUND(R548*L548,2)</f>
        <v>741.05</v>
      </c>
      <c r="T548" s="10" t="s">
        <v>349</v>
      </c>
      <c r="U548" t="s">
        <v>368</v>
      </c>
    </row>
    <row r="549" spans="1:21">
      <c r="A549" t="s">
        <v>2535</v>
      </c>
      <c r="B549" s="20">
        <v>45754</v>
      </c>
      <c r="C549" s="20">
        <v>45714</v>
      </c>
      <c r="D549" t="s">
        <v>94</v>
      </c>
      <c r="E549" t="s">
        <v>95</v>
      </c>
      <c r="G549" t="s">
        <v>4483</v>
      </c>
      <c r="H549" t="s">
        <v>3164</v>
      </c>
      <c r="I549" t="s">
        <v>3374</v>
      </c>
      <c r="J549" s="8" t="str">
        <f>+LEFT(U549,4)</f>
        <v>LID-</v>
      </c>
      <c r="K549" t="s">
        <v>98</v>
      </c>
      <c r="L549" s="46">
        <v>1890</v>
      </c>
      <c r="M549" t="s">
        <v>1472</v>
      </c>
      <c r="N549" t="s">
        <v>11</v>
      </c>
      <c r="O549" s="49">
        <v>4.26</v>
      </c>
      <c r="P549" s="9">
        <f>ROUND(O549*L549,2)</f>
        <v>8051.4</v>
      </c>
      <c r="Q549" s="10">
        <f>IF(N549="HKD",7.8,IF(N549="CNY",7.30034,1))</f>
        <v>7.3003400000000003</v>
      </c>
      <c r="R549" s="10">
        <f>+ROUND(O549/Q549,4)</f>
        <v>0.58350000000000002</v>
      </c>
      <c r="S549" s="11">
        <f>ROUND(R549*L549,2)</f>
        <v>1102.82</v>
      </c>
      <c r="T549" s="10" t="s">
        <v>349</v>
      </c>
      <c r="U549" t="s">
        <v>368</v>
      </c>
    </row>
    <row r="550" spans="1:21">
      <c r="A550" t="s">
        <v>3926</v>
      </c>
      <c r="B550" s="20">
        <v>45754</v>
      </c>
      <c r="C550" s="20">
        <v>45744</v>
      </c>
      <c r="D550" t="s">
        <v>169</v>
      </c>
      <c r="E550" t="s">
        <v>170</v>
      </c>
      <c r="G550" t="s">
        <v>4376</v>
      </c>
      <c r="H550" t="s">
        <v>3548</v>
      </c>
      <c r="I550" t="s">
        <v>3549</v>
      </c>
      <c r="J550" s="8" t="str">
        <f>+LEFT(U550,4)</f>
        <v>PAP-</v>
      </c>
      <c r="K550" t="s">
        <v>10</v>
      </c>
      <c r="L550" s="46">
        <v>7000</v>
      </c>
      <c r="M550" t="s">
        <v>1472</v>
      </c>
      <c r="N550" t="s">
        <v>11</v>
      </c>
      <c r="O550" s="49">
        <v>0.2</v>
      </c>
      <c r="P550" s="9">
        <f>ROUND(O550*L550,2)</f>
        <v>1400</v>
      </c>
      <c r="Q550" s="10">
        <f>IF(N550="HKD",7.8,IF(N550="CNY",7.30034,1))</f>
        <v>7.3003400000000003</v>
      </c>
      <c r="R550" s="10">
        <f>+ROUND(O550/Q550,4)</f>
        <v>2.7400000000000001E-2</v>
      </c>
      <c r="S550" s="11">
        <f>ROUND(R550*L550,2)</f>
        <v>191.8</v>
      </c>
      <c r="T550" s="10" t="s">
        <v>349</v>
      </c>
      <c r="U550" t="s">
        <v>1094</v>
      </c>
    </row>
    <row r="551" spans="1:21">
      <c r="A551" t="s">
        <v>1921</v>
      </c>
      <c r="B551" s="20">
        <v>45754</v>
      </c>
      <c r="C551" s="20">
        <v>45674</v>
      </c>
      <c r="D551" t="s">
        <v>169</v>
      </c>
      <c r="E551" t="s">
        <v>170</v>
      </c>
      <c r="G551" t="s">
        <v>4406</v>
      </c>
      <c r="H551" t="s">
        <v>1655</v>
      </c>
      <c r="I551" t="s">
        <v>1656</v>
      </c>
      <c r="J551" s="8" t="str">
        <f>+LEFT(U551,4)</f>
        <v>PRIM</v>
      </c>
      <c r="K551" t="s">
        <v>10</v>
      </c>
      <c r="L551" s="46">
        <v>1100</v>
      </c>
      <c r="M551" t="s">
        <v>1472</v>
      </c>
      <c r="N551" t="s">
        <v>11</v>
      </c>
      <c r="O551" s="49">
        <v>1.29</v>
      </c>
      <c r="P551" s="9">
        <f>ROUND(O551*L551,2)</f>
        <v>1419</v>
      </c>
      <c r="Q551" s="10">
        <f>IF(N551="HKD",7.8,IF(N551="CNY",7.30034,1))</f>
        <v>7.3003400000000003</v>
      </c>
      <c r="R551" s="10">
        <f>+ROUND(O551/Q551,4)</f>
        <v>0.1767</v>
      </c>
      <c r="S551" s="11">
        <f>ROUND(R551*L551,2)</f>
        <v>194.37</v>
      </c>
      <c r="T551" s="10" t="s">
        <v>349</v>
      </c>
      <c r="U551" t="s">
        <v>181</v>
      </c>
    </row>
    <row r="552" spans="1:21">
      <c r="A552" t="s">
        <v>1929</v>
      </c>
      <c r="B552" s="20">
        <v>45754</v>
      </c>
      <c r="C552" s="20">
        <v>45674</v>
      </c>
      <c r="D552" t="s">
        <v>169</v>
      </c>
      <c r="E552" t="s">
        <v>170</v>
      </c>
      <c r="G552" t="s">
        <v>4406</v>
      </c>
      <c r="H552" t="s">
        <v>1657</v>
      </c>
      <c r="I552" t="s">
        <v>1658</v>
      </c>
      <c r="J552" s="8" t="str">
        <f>+LEFT(U552,4)</f>
        <v>PRIM</v>
      </c>
      <c r="K552" t="s">
        <v>10</v>
      </c>
      <c r="L552" s="46">
        <v>1100</v>
      </c>
      <c r="M552" t="s">
        <v>1472</v>
      </c>
      <c r="N552" t="s">
        <v>11</v>
      </c>
      <c r="O552" s="49">
        <v>1.51</v>
      </c>
      <c r="P552" s="9">
        <f>ROUND(O552*L552,2)</f>
        <v>1661</v>
      </c>
      <c r="Q552" s="10">
        <f>IF(N552="HKD",7.8,IF(N552="CNY",7.30034,1))</f>
        <v>7.3003400000000003</v>
      </c>
      <c r="R552" s="10">
        <f>+ROUND(O552/Q552,4)</f>
        <v>0.20680000000000001</v>
      </c>
      <c r="S552" s="11">
        <f>ROUND(R552*L552,2)</f>
        <v>227.48</v>
      </c>
      <c r="T552" s="10" t="s">
        <v>349</v>
      </c>
      <c r="U552" t="s">
        <v>181</v>
      </c>
    </row>
    <row r="553" spans="1:21">
      <c r="A553" t="s">
        <v>4005</v>
      </c>
      <c r="B553" s="20">
        <v>45754</v>
      </c>
      <c r="C553" s="20">
        <v>45728</v>
      </c>
      <c r="D553" t="s">
        <v>169</v>
      </c>
      <c r="E553" t="s">
        <v>170</v>
      </c>
      <c r="G553" t="s">
        <v>4407</v>
      </c>
      <c r="H553" t="s">
        <v>178</v>
      </c>
      <c r="I553" t="s">
        <v>179</v>
      </c>
      <c r="J553" s="8" t="str">
        <f>+LEFT(U553,4)</f>
        <v>PRIM</v>
      </c>
      <c r="K553" t="s">
        <v>10</v>
      </c>
      <c r="L553" s="46">
        <v>3200</v>
      </c>
      <c r="M553" t="s">
        <v>1472</v>
      </c>
      <c r="N553" t="s">
        <v>11</v>
      </c>
      <c r="O553" s="49">
        <v>1.53</v>
      </c>
      <c r="P553" s="9">
        <f>ROUND(O553*L553,2)</f>
        <v>4896</v>
      </c>
      <c r="Q553" s="10">
        <f>IF(N553="HKD",7.8,IF(N553="CNY",7.30034,1))</f>
        <v>7.3003400000000003</v>
      </c>
      <c r="R553" s="10">
        <f>+ROUND(O553/Q553,4)</f>
        <v>0.20960000000000001</v>
      </c>
      <c r="S553" s="11">
        <f>ROUND(R553*L553,2)</f>
        <v>670.72</v>
      </c>
      <c r="T553" s="10" t="s">
        <v>349</v>
      </c>
      <c r="U553" t="s">
        <v>181</v>
      </c>
    </row>
    <row r="554" spans="1:21">
      <c r="A554" t="s">
        <v>3898</v>
      </c>
      <c r="B554" s="20">
        <v>45754</v>
      </c>
      <c r="C554" s="20">
        <v>45729</v>
      </c>
      <c r="D554" t="s">
        <v>235</v>
      </c>
      <c r="E554" t="s">
        <v>236</v>
      </c>
      <c r="G554" t="s">
        <v>4368</v>
      </c>
      <c r="H554" t="s">
        <v>1352</v>
      </c>
      <c r="I554" t="s">
        <v>1353</v>
      </c>
      <c r="J554" s="8" t="str">
        <f>+LEFT(U554,4)</f>
        <v>RIV-</v>
      </c>
      <c r="K554" t="s">
        <v>10</v>
      </c>
      <c r="L554" s="46">
        <v>87000</v>
      </c>
      <c r="M554" t="s">
        <v>1472</v>
      </c>
      <c r="N554" t="s">
        <v>11</v>
      </c>
      <c r="O554" s="49">
        <v>0.13150000000000001</v>
      </c>
      <c r="P554" s="9">
        <f>ROUND(O554*L554,2)</f>
        <v>11440.5</v>
      </c>
      <c r="Q554" s="10">
        <f>IF(N554="HKD",7.8,IF(N554="CNY",7.30034,1))</f>
        <v>7.3003400000000003</v>
      </c>
      <c r="R554" s="10">
        <f>+ROUND(O554/Q554,4)</f>
        <v>1.7999999999999999E-2</v>
      </c>
      <c r="S554" s="11">
        <f>ROUND(R554*L554,2)</f>
        <v>1566</v>
      </c>
      <c r="T554" s="10" t="s">
        <v>349</v>
      </c>
      <c r="U554" t="s">
        <v>132</v>
      </c>
    </row>
    <row r="555" spans="1:21">
      <c r="A555" t="s">
        <v>3904</v>
      </c>
      <c r="B555" s="20">
        <v>45754</v>
      </c>
      <c r="C555" s="20">
        <v>45728</v>
      </c>
      <c r="D555" t="s">
        <v>235</v>
      </c>
      <c r="E555" t="s">
        <v>236</v>
      </c>
      <c r="G555" t="s">
        <v>4372</v>
      </c>
      <c r="H555" t="s">
        <v>3532</v>
      </c>
      <c r="I555" t="s">
        <v>3533</v>
      </c>
      <c r="J555" s="8" t="str">
        <f>+LEFT(U555,4)</f>
        <v>RIV-</v>
      </c>
      <c r="K555" t="s">
        <v>10</v>
      </c>
      <c r="L555" s="46">
        <v>3200</v>
      </c>
      <c r="M555" t="s">
        <v>1472</v>
      </c>
      <c r="N555" t="s">
        <v>11</v>
      </c>
      <c r="O555" s="49">
        <v>0.1477</v>
      </c>
      <c r="P555" s="9">
        <f>ROUND(O555*L555,2)</f>
        <v>472.64</v>
      </c>
      <c r="Q555" s="10">
        <f>IF(N555="HKD",7.8,IF(N555="CNY",7.30034,1))</f>
        <v>7.3003400000000003</v>
      </c>
      <c r="R555" s="10">
        <f>+ROUND(O555/Q555,4)</f>
        <v>2.0199999999999999E-2</v>
      </c>
      <c r="S555" s="11">
        <f>ROUND(R555*L555,2)</f>
        <v>64.64</v>
      </c>
      <c r="T555" s="10" t="s">
        <v>349</v>
      </c>
      <c r="U555" t="s">
        <v>132</v>
      </c>
    </row>
    <row r="556" spans="1:21">
      <c r="A556" t="s">
        <v>3913</v>
      </c>
      <c r="B556" s="20">
        <v>45754</v>
      </c>
      <c r="C556" s="20">
        <v>45723</v>
      </c>
      <c r="D556" t="s">
        <v>235</v>
      </c>
      <c r="E556" t="s">
        <v>236</v>
      </c>
      <c r="G556" t="s">
        <v>4372</v>
      </c>
      <c r="H556" t="s">
        <v>239</v>
      </c>
      <c r="I556" t="s">
        <v>240</v>
      </c>
      <c r="J556" s="8" t="str">
        <f>+LEFT(U556,4)</f>
        <v>RIV-</v>
      </c>
      <c r="K556" t="s">
        <v>10</v>
      </c>
      <c r="L556" s="46">
        <v>7000</v>
      </c>
      <c r="M556" t="s">
        <v>1472</v>
      </c>
      <c r="N556" t="s">
        <v>11</v>
      </c>
      <c r="O556" s="49">
        <v>0.16120000000000001</v>
      </c>
      <c r="P556" s="9">
        <f>ROUND(O556*L556,2)</f>
        <v>1128.4000000000001</v>
      </c>
      <c r="Q556" s="10">
        <f>IF(N556="HKD",7.8,IF(N556="CNY",7.30034,1))</f>
        <v>7.3003400000000003</v>
      </c>
      <c r="R556" s="10">
        <f>+ROUND(O556/Q556,4)</f>
        <v>2.2100000000000002E-2</v>
      </c>
      <c r="S556" s="11">
        <f>ROUND(R556*L556,2)</f>
        <v>154.69999999999999</v>
      </c>
      <c r="T556" s="10" t="s">
        <v>349</v>
      </c>
      <c r="U556" t="s">
        <v>132</v>
      </c>
    </row>
    <row r="557" spans="1:21">
      <c r="A557" t="s">
        <v>3915</v>
      </c>
      <c r="B557" s="20">
        <v>45754</v>
      </c>
      <c r="C557" s="20">
        <v>45729</v>
      </c>
      <c r="D557" t="s">
        <v>235</v>
      </c>
      <c r="E557" t="s">
        <v>236</v>
      </c>
      <c r="G557" t="s">
        <v>4368</v>
      </c>
      <c r="H557" t="s">
        <v>1361</v>
      </c>
      <c r="I557" t="s">
        <v>1362</v>
      </c>
      <c r="J557" s="8" t="str">
        <f>+LEFT(U557,4)</f>
        <v>RIV-</v>
      </c>
      <c r="K557" t="s">
        <v>10</v>
      </c>
      <c r="L557" s="46">
        <v>20000</v>
      </c>
      <c r="M557" t="s">
        <v>1472</v>
      </c>
      <c r="N557" t="s">
        <v>11</v>
      </c>
      <c r="O557" s="49">
        <v>0.17299999999999999</v>
      </c>
      <c r="P557" s="9">
        <f>ROUND(O557*L557,2)</f>
        <v>3460</v>
      </c>
      <c r="Q557" s="10">
        <f>IF(N557="HKD",7.8,IF(N557="CNY",7.30034,1))</f>
        <v>7.3003400000000003</v>
      </c>
      <c r="R557" s="10">
        <f>+ROUND(O557/Q557,4)</f>
        <v>2.3699999999999999E-2</v>
      </c>
      <c r="S557" s="11">
        <f>ROUND(R557*L557,2)</f>
        <v>474</v>
      </c>
      <c r="T557" s="10" t="s">
        <v>349</v>
      </c>
      <c r="U557" t="s">
        <v>132</v>
      </c>
    </row>
    <row r="558" spans="1:21">
      <c r="A558" t="s">
        <v>3917</v>
      </c>
      <c r="B558" s="20">
        <v>45754</v>
      </c>
      <c r="C558" s="20">
        <v>45737</v>
      </c>
      <c r="D558" t="s">
        <v>235</v>
      </c>
      <c r="E558" t="s">
        <v>236</v>
      </c>
      <c r="G558" t="s">
        <v>4372</v>
      </c>
      <c r="H558" t="s">
        <v>1361</v>
      </c>
      <c r="I558" t="s">
        <v>1362</v>
      </c>
      <c r="J558" s="8" t="str">
        <f>+LEFT(U558,4)</f>
        <v>RIV-</v>
      </c>
      <c r="K558" t="s">
        <v>10</v>
      </c>
      <c r="L558" s="46">
        <v>2000</v>
      </c>
      <c r="M558" t="s">
        <v>1472</v>
      </c>
      <c r="N558" t="s">
        <v>11</v>
      </c>
      <c r="O558" s="49">
        <v>0.17649999999999999</v>
      </c>
      <c r="P558" s="9">
        <f>ROUND(O558*L558,2)</f>
        <v>353</v>
      </c>
      <c r="Q558" s="10">
        <f>IF(N558="HKD",7.8,IF(N558="CNY",7.30034,1))</f>
        <v>7.3003400000000003</v>
      </c>
      <c r="R558" s="10">
        <f>+ROUND(O558/Q558,4)</f>
        <v>2.4199999999999999E-2</v>
      </c>
      <c r="S558" s="11">
        <f>ROUND(R558*L558,2)</f>
        <v>48.4</v>
      </c>
      <c r="T558" s="10" t="s">
        <v>349</v>
      </c>
      <c r="U558" t="s">
        <v>132</v>
      </c>
    </row>
    <row r="559" spans="1:21">
      <c r="A559" t="s">
        <v>3921</v>
      </c>
      <c r="B559" s="20">
        <v>45754</v>
      </c>
      <c r="C559" s="20">
        <v>45729</v>
      </c>
      <c r="D559" t="s">
        <v>235</v>
      </c>
      <c r="E559" t="s">
        <v>236</v>
      </c>
      <c r="G559" t="s">
        <v>4368</v>
      </c>
      <c r="H559" t="s">
        <v>242</v>
      </c>
      <c r="I559" t="s">
        <v>243</v>
      </c>
      <c r="J559" s="8" t="str">
        <f>+LEFT(U559,4)</f>
        <v>RIV-</v>
      </c>
      <c r="K559" t="s">
        <v>10</v>
      </c>
      <c r="L559" s="46">
        <v>12300</v>
      </c>
      <c r="M559" t="s">
        <v>1472</v>
      </c>
      <c r="N559" t="s">
        <v>11</v>
      </c>
      <c r="O559" s="49">
        <v>0.1865</v>
      </c>
      <c r="P559" s="9">
        <f>ROUND(O559*L559,2)</f>
        <v>2293.9499999999998</v>
      </c>
      <c r="Q559" s="10">
        <f>IF(N559="HKD",7.8,IF(N559="CNY",7.30034,1))</f>
        <v>7.3003400000000003</v>
      </c>
      <c r="R559" s="10">
        <f>+ROUND(O559/Q559,4)</f>
        <v>2.5499999999999998E-2</v>
      </c>
      <c r="S559" s="11">
        <f>ROUND(R559*L559,2)</f>
        <v>313.64999999999998</v>
      </c>
      <c r="T559" s="10" t="s">
        <v>349</v>
      </c>
      <c r="U559" t="s">
        <v>132</v>
      </c>
    </row>
    <row r="560" spans="1:21">
      <c r="A560" t="s">
        <v>3922</v>
      </c>
      <c r="B560" s="20">
        <v>45754</v>
      </c>
      <c r="C560" s="20">
        <v>45744</v>
      </c>
      <c r="D560" t="s">
        <v>235</v>
      </c>
      <c r="E560" t="s">
        <v>236</v>
      </c>
      <c r="G560" t="s">
        <v>4372</v>
      </c>
      <c r="H560" t="s">
        <v>242</v>
      </c>
      <c r="I560" t="s">
        <v>243</v>
      </c>
      <c r="J560" s="8" t="str">
        <f>+LEFT(U560,4)</f>
        <v>RIV-</v>
      </c>
      <c r="K560" t="s">
        <v>10</v>
      </c>
      <c r="L560" s="46">
        <v>5000</v>
      </c>
      <c r="M560" t="s">
        <v>1472</v>
      </c>
      <c r="N560" t="s">
        <v>11</v>
      </c>
      <c r="O560" s="49">
        <v>0.1865</v>
      </c>
      <c r="P560" s="9">
        <f>ROUND(O560*L560,2)</f>
        <v>932.5</v>
      </c>
      <c r="Q560" s="10">
        <f>IF(N560="HKD",7.8,IF(N560="CNY",7.30034,1))</f>
        <v>7.3003400000000003</v>
      </c>
      <c r="R560" s="10">
        <f>+ROUND(O560/Q560,4)</f>
        <v>2.5499999999999998E-2</v>
      </c>
      <c r="S560" s="11">
        <f>ROUND(R560*L560,2)</f>
        <v>127.5</v>
      </c>
      <c r="T560" s="10" t="s">
        <v>349</v>
      </c>
      <c r="U560" t="s">
        <v>132</v>
      </c>
    </row>
    <row r="561" spans="1:21">
      <c r="A561" t="s">
        <v>2412</v>
      </c>
      <c r="B561" s="20">
        <v>45754</v>
      </c>
      <c r="C561" s="20">
        <v>45702</v>
      </c>
      <c r="D561" t="s">
        <v>372</v>
      </c>
      <c r="E561" t="s">
        <v>373</v>
      </c>
      <c r="G561" t="s">
        <v>4400</v>
      </c>
      <c r="H561" t="s">
        <v>3103</v>
      </c>
      <c r="I561" t="s">
        <v>3318</v>
      </c>
      <c r="J561" s="8" t="str">
        <f>+LEFT(U561,4)</f>
        <v>SHDL</v>
      </c>
      <c r="K561" t="s">
        <v>98</v>
      </c>
      <c r="L561" s="46">
        <v>30</v>
      </c>
      <c r="M561" t="s">
        <v>1472</v>
      </c>
      <c r="N561" t="s">
        <v>11</v>
      </c>
      <c r="O561" s="49">
        <v>0.92230000000000001</v>
      </c>
      <c r="P561" s="9">
        <f>ROUND(O561*L561,2)</f>
        <v>27.67</v>
      </c>
      <c r="Q561" s="10">
        <f>IF(N561="HKD",7.8,IF(N561="CNY",7.30034,1))</f>
        <v>7.3003400000000003</v>
      </c>
      <c r="R561" s="10">
        <f>+ROUND(O561/Q561,4)</f>
        <v>0.1263</v>
      </c>
      <c r="S561" s="11">
        <f>ROUND(R561*L561,2)</f>
        <v>3.79</v>
      </c>
      <c r="T561" s="10" t="s">
        <v>349</v>
      </c>
      <c r="U561" t="s">
        <v>722</v>
      </c>
    </row>
    <row r="562" spans="1:21">
      <c r="A562" t="s">
        <v>3837</v>
      </c>
      <c r="B562" s="20">
        <v>45754</v>
      </c>
      <c r="C562" s="20">
        <v>45728</v>
      </c>
      <c r="D562" t="s">
        <v>169</v>
      </c>
      <c r="E562" t="s">
        <v>170</v>
      </c>
      <c r="G562" t="s">
        <v>3016</v>
      </c>
      <c r="H562" t="s">
        <v>1129</v>
      </c>
      <c r="I562" t="s">
        <v>1130</v>
      </c>
      <c r="J562" s="8" t="str">
        <f>+LEFT(U562,4)</f>
        <v>STKR</v>
      </c>
      <c r="K562" t="s">
        <v>10</v>
      </c>
      <c r="L562" s="46">
        <v>3000</v>
      </c>
      <c r="M562" t="s">
        <v>1472</v>
      </c>
      <c r="N562" t="s">
        <v>11</v>
      </c>
      <c r="O562" s="49">
        <v>3.4200000000000001E-2</v>
      </c>
      <c r="P562" s="9">
        <f>ROUND(O562*L562,2)</f>
        <v>102.6</v>
      </c>
      <c r="Q562" s="10">
        <f>IF(N562="HKD",7.8,IF(N562="CNY",7.30034,1))</f>
        <v>7.3003400000000003</v>
      </c>
      <c r="R562" s="10">
        <f>+ROUND(O562/Q562,4)</f>
        <v>4.7000000000000002E-3</v>
      </c>
      <c r="S562" s="11">
        <f>ROUND(R562*L562,2)</f>
        <v>14.1</v>
      </c>
      <c r="T562" s="10" t="s">
        <v>349</v>
      </c>
      <c r="U562" t="s">
        <v>18</v>
      </c>
    </row>
    <row r="563" spans="1:21">
      <c r="A563" t="s">
        <v>3936</v>
      </c>
      <c r="B563" s="20">
        <v>45754</v>
      </c>
      <c r="C563" s="20">
        <v>45728</v>
      </c>
      <c r="D563" t="s">
        <v>169</v>
      </c>
      <c r="E563" t="s">
        <v>170</v>
      </c>
      <c r="G563" t="s">
        <v>4380</v>
      </c>
      <c r="H563" t="s">
        <v>3560</v>
      </c>
      <c r="I563" t="s">
        <v>3561</v>
      </c>
      <c r="J563" s="8" t="str">
        <f>+LEFT(U563,4)</f>
        <v>U&amp;C-</v>
      </c>
      <c r="K563" t="s">
        <v>10</v>
      </c>
      <c r="L563" s="46">
        <v>5530</v>
      </c>
      <c r="M563" t="s">
        <v>1472</v>
      </c>
      <c r="N563" t="s">
        <v>11</v>
      </c>
      <c r="O563" s="49">
        <v>0.248</v>
      </c>
      <c r="P563" s="9">
        <f>ROUND(O563*L563,2)</f>
        <v>1371.44</v>
      </c>
      <c r="Q563" s="10">
        <f>IF(N563="HKD",7.8,IF(N563="CNY",7.30034,1))</f>
        <v>7.3003400000000003</v>
      </c>
      <c r="R563" s="10">
        <f>+ROUND(O563/Q563,4)</f>
        <v>3.4000000000000002E-2</v>
      </c>
      <c r="S563" s="11">
        <f>ROUND(R563*L563,2)</f>
        <v>188.02</v>
      </c>
      <c r="T563" s="10" t="s">
        <v>349</v>
      </c>
      <c r="U563" t="s">
        <v>177</v>
      </c>
    </row>
    <row r="564" spans="1:21">
      <c r="A564" t="s">
        <v>3949</v>
      </c>
      <c r="B564" s="20">
        <v>45754</v>
      </c>
      <c r="C564" s="20">
        <v>45744</v>
      </c>
      <c r="D564" t="s">
        <v>169</v>
      </c>
      <c r="E564" t="s">
        <v>170</v>
      </c>
      <c r="G564" t="s">
        <v>4385</v>
      </c>
      <c r="H564" t="s">
        <v>3573</v>
      </c>
      <c r="I564" t="s">
        <v>3574</v>
      </c>
      <c r="J564" s="8" t="str">
        <f>+LEFT(U564,4)</f>
        <v>U&amp;C-</v>
      </c>
      <c r="K564" t="s">
        <v>10</v>
      </c>
      <c r="L564" s="46">
        <v>3520</v>
      </c>
      <c r="M564" t="s">
        <v>1472</v>
      </c>
      <c r="N564" t="s">
        <v>11</v>
      </c>
      <c r="O564" s="49">
        <v>0.38400000000000001</v>
      </c>
      <c r="P564" s="9">
        <f>ROUND(O564*L564,2)</f>
        <v>1351.68</v>
      </c>
      <c r="Q564" s="10">
        <f>IF(N564="HKD",7.8,IF(N564="CNY",7.30034,1))</f>
        <v>7.3003400000000003</v>
      </c>
      <c r="R564" s="10">
        <f>+ROUND(O564/Q564,4)</f>
        <v>5.2600000000000001E-2</v>
      </c>
      <c r="S564" s="11">
        <f>ROUND(R564*L564,2)</f>
        <v>185.15</v>
      </c>
      <c r="T564" s="10" t="s">
        <v>349</v>
      </c>
      <c r="U564" t="s">
        <v>177</v>
      </c>
    </row>
    <row r="565" spans="1:21">
      <c r="A565" t="s">
        <v>2337</v>
      </c>
      <c r="B565" s="20">
        <v>45754</v>
      </c>
      <c r="C565" s="20">
        <v>45674</v>
      </c>
      <c r="D565" t="s">
        <v>169</v>
      </c>
      <c r="E565" t="s">
        <v>170</v>
      </c>
      <c r="G565" t="s">
        <v>4406</v>
      </c>
      <c r="H565" t="s">
        <v>1659</v>
      </c>
      <c r="I565" t="s">
        <v>643</v>
      </c>
      <c r="J565" s="8" t="str">
        <f>+LEFT(U565,4)</f>
        <v>U&amp;C-</v>
      </c>
      <c r="K565" t="s">
        <v>10</v>
      </c>
      <c r="L565" s="46">
        <v>4000</v>
      </c>
      <c r="M565" t="s">
        <v>1472</v>
      </c>
      <c r="N565" t="s">
        <v>11</v>
      </c>
      <c r="O565" s="49">
        <v>1.53</v>
      </c>
      <c r="P565" s="9">
        <f>ROUND(O565*L565,2)</f>
        <v>6120</v>
      </c>
      <c r="Q565" s="10">
        <f>IF(N565="HKD",7.8,IF(N565="CNY",7.30034,1))</f>
        <v>7.3003400000000003</v>
      </c>
      <c r="R565" s="10">
        <f>+ROUND(O565/Q565,4)</f>
        <v>0.20960000000000001</v>
      </c>
      <c r="S565" s="11">
        <f>ROUND(R565*L565,2)</f>
        <v>838.4</v>
      </c>
      <c r="T565" s="10" t="s">
        <v>349</v>
      </c>
      <c r="U565" t="s">
        <v>177</v>
      </c>
    </row>
    <row r="566" spans="1:21">
      <c r="A566" t="s">
        <v>3945</v>
      </c>
      <c r="B566" s="20">
        <v>45754</v>
      </c>
      <c r="C566" s="20">
        <v>45728</v>
      </c>
      <c r="D566" t="s">
        <v>169</v>
      </c>
      <c r="E566" t="s">
        <v>170</v>
      </c>
      <c r="G566" t="s">
        <v>4385</v>
      </c>
      <c r="H566" t="s">
        <v>3094</v>
      </c>
      <c r="I566" t="s">
        <v>1628</v>
      </c>
      <c r="J566" s="8" t="str">
        <f>+LEFT(U566,4)</f>
        <v>WACD</v>
      </c>
      <c r="K566" t="s">
        <v>10</v>
      </c>
      <c r="L566" s="46">
        <v>4150</v>
      </c>
      <c r="M566" t="s">
        <v>1472</v>
      </c>
      <c r="N566" t="s">
        <v>11</v>
      </c>
      <c r="O566" s="49">
        <v>0.28899999999999998</v>
      </c>
      <c r="P566" s="9">
        <f>ROUND(O566*L566,2)</f>
        <v>1199.3499999999999</v>
      </c>
      <c r="Q566" s="10">
        <f>IF(N566="HKD",7.8,IF(N566="CNY",7.30034,1))</f>
        <v>7.3003400000000003</v>
      </c>
      <c r="R566" s="10">
        <f>+ROUND(O566/Q566,4)</f>
        <v>3.9600000000000003E-2</v>
      </c>
      <c r="S566" s="11">
        <f>ROUND(R566*L566,2)</f>
        <v>164.34</v>
      </c>
      <c r="T566" s="10" t="s">
        <v>349</v>
      </c>
      <c r="U566" t="s">
        <v>635</v>
      </c>
    </row>
    <row r="567" spans="1:21">
      <c r="A567" t="s">
        <v>4168</v>
      </c>
      <c r="B567" s="20">
        <v>45750</v>
      </c>
      <c r="C567" s="20">
        <v>45723</v>
      </c>
      <c r="D567" t="s">
        <v>696</v>
      </c>
      <c r="E567" t="s">
        <v>697</v>
      </c>
      <c r="G567" t="s">
        <v>4457</v>
      </c>
      <c r="H567" t="s">
        <v>1539</v>
      </c>
      <c r="I567" t="s">
        <v>1540</v>
      </c>
      <c r="J567" s="8" t="s">
        <v>1536</v>
      </c>
      <c r="K567" t="s">
        <v>10</v>
      </c>
      <c r="L567" s="46">
        <v>1000</v>
      </c>
      <c r="M567" t="s">
        <v>1472</v>
      </c>
      <c r="N567" t="s">
        <v>11</v>
      </c>
      <c r="O567" s="49">
        <v>4.04</v>
      </c>
      <c r="P567" s="9">
        <f>ROUND(O567*L567,2)</f>
        <v>4040</v>
      </c>
      <c r="Q567" s="10">
        <f>IF(N567="HKD",7.8,IF(N567="CNY",7.30034,1))</f>
        <v>7.3003400000000003</v>
      </c>
      <c r="R567" s="10">
        <f>+ROUND(O567/Q567,4)</f>
        <v>0.5534</v>
      </c>
      <c r="S567" s="11">
        <f>ROUND(R567*L567,2)</f>
        <v>553.4</v>
      </c>
      <c r="T567" s="10" t="s">
        <v>349</v>
      </c>
      <c r="U567" t="s">
        <v>36</v>
      </c>
    </row>
    <row r="568" spans="1:21">
      <c r="A568" t="s">
        <v>4169</v>
      </c>
      <c r="B568" s="20">
        <v>45750</v>
      </c>
      <c r="C568" s="20">
        <v>45723</v>
      </c>
      <c r="D568" t="s">
        <v>696</v>
      </c>
      <c r="E568" t="s">
        <v>697</v>
      </c>
      <c r="G568" t="s">
        <v>4457</v>
      </c>
      <c r="H568" t="s">
        <v>1539</v>
      </c>
      <c r="I568" t="s">
        <v>1540</v>
      </c>
      <c r="J568" s="8" t="s">
        <v>1536</v>
      </c>
      <c r="K568" t="s">
        <v>10</v>
      </c>
      <c r="L568" s="46">
        <v>2050</v>
      </c>
      <c r="M568" t="s">
        <v>1472</v>
      </c>
      <c r="N568" t="s">
        <v>11</v>
      </c>
      <c r="O568" s="49">
        <v>4.04</v>
      </c>
      <c r="P568" s="9">
        <f>ROUND(O568*L568,2)</f>
        <v>8282</v>
      </c>
      <c r="Q568" s="10">
        <f>IF(N568="HKD",7.8,IF(N568="CNY",7.30034,1))</f>
        <v>7.3003400000000003</v>
      </c>
      <c r="R568" s="10">
        <f>+ROUND(O568/Q568,4)</f>
        <v>0.5534</v>
      </c>
      <c r="S568" s="11">
        <f>ROUND(R568*L568,2)</f>
        <v>1134.47</v>
      </c>
      <c r="T568" s="10" t="s">
        <v>349</v>
      </c>
      <c r="U568" t="s">
        <v>36</v>
      </c>
    </row>
    <row r="569" spans="1:21">
      <c r="A569" t="s">
        <v>4211</v>
      </c>
      <c r="B569" s="20">
        <v>45750</v>
      </c>
      <c r="C569" s="20">
        <v>45695</v>
      </c>
      <c r="D569" t="s">
        <v>696</v>
      </c>
      <c r="E569" t="s">
        <v>697</v>
      </c>
      <c r="G569" t="s">
        <v>4507</v>
      </c>
      <c r="H569" t="s">
        <v>694</v>
      </c>
      <c r="I569" t="s">
        <v>695</v>
      </c>
      <c r="J569" s="8" t="s">
        <v>1536</v>
      </c>
      <c r="K569" t="s">
        <v>10</v>
      </c>
      <c r="L569" s="46">
        <v>1500</v>
      </c>
      <c r="M569" t="s">
        <v>1472</v>
      </c>
      <c r="N569" t="s">
        <v>11</v>
      </c>
      <c r="O569" s="49">
        <v>5.49</v>
      </c>
      <c r="P569" s="9">
        <f>ROUND(O569*L569,2)</f>
        <v>8235</v>
      </c>
      <c r="Q569" s="10">
        <f>IF(N569="HKD",7.8,IF(N569="CNY",7.30034,1))</f>
        <v>7.3003400000000003</v>
      </c>
      <c r="R569" s="10">
        <f>+ROUND(O569/Q569,4)</f>
        <v>0.752</v>
      </c>
      <c r="S569" s="11">
        <f>ROUND(R569*L569,2)</f>
        <v>1128</v>
      </c>
      <c r="T569" s="10" t="s">
        <v>349</v>
      </c>
      <c r="U569" t="s">
        <v>36</v>
      </c>
    </row>
    <row r="570" spans="1:21">
      <c r="A570" t="s">
        <v>4219</v>
      </c>
      <c r="B570" s="20">
        <v>45750</v>
      </c>
      <c r="C570" s="20">
        <v>45680</v>
      </c>
      <c r="D570" t="s">
        <v>696</v>
      </c>
      <c r="E570" t="s">
        <v>697</v>
      </c>
      <c r="G570" t="s">
        <v>4507</v>
      </c>
      <c r="H570" t="s">
        <v>700</v>
      </c>
      <c r="I570" t="s">
        <v>701</v>
      </c>
      <c r="J570" s="8" t="s">
        <v>1536</v>
      </c>
      <c r="K570" t="s">
        <v>10</v>
      </c>
      <c r="L570" s="46">
        <v>3300</v>
      </c>
      <c r="M570" t="s">
        <v>1472</v>
      </c>
      <c r="N570" t="s">
        <v>11</v>
      </c>
      <c r="O570" s="49">
        <v>6.01</v>
      </c>
      <c r="P570" s="9">
        <f>ROUND(O570*L570,2)</f>
        <v>19833</v>
      </c>
      <c r="Q570" s="10">
        <f>IF(N570="HKD",7.8,IF(N570="CNY",7.30034,1))</f>
        <v>7.3003400000000003</v>
      </c>
      <c r="R570" s="10">
        <f>+ROUND(O570/Q570,4)</f>
        <v>0.82320000000000004</v>
      </c>
      <c r="S570" s="11">
        <f>ROUND(R570*L570,2)</f>
        <v>2716.56</v>
      </c>
      <c r="T570" s="10" t="s">
        <v>349</v>
      </c>
      <c r="U570" t="s">
        <v>36</v>
      </c>
    </row>
    <row r="571" spans="1:21">
      <c r="A571" t="s">
        <v>3960</v>
      </c>
      <c r="B571" s="20">
        <v>45750</v>
      </c>
      <c r="C571" s="20">
        <v>45729</v>
      </c>
      <c r="D571" t="s">
        <v>21</v>
      </c>
      <c r="E571" t="s">
        <v>22</v>
      </c>
      <c r="G571" t="s">
        <v>4393</v>
      </c>
      <c r="H571" t="s">
        <v>3583</v>
      </c>
      <c r="I571" t="s">
        <v>3584</v>
      </c>
      <c r="J571" s="8" t="str">
        <f>+LEFT(U571,4)</f>
        <v>BRKT</v>
      </c>
      <c r="K571" t="s">
        <v>10</v>
      </c>
      <c r="L571" s="46">
        <v>2050</v>
      </c>
      <c r="M571" t="s">
        <v>1472</v>
      </c>
      <c r="N571" t="s">
        <v>11</v>
      </c>
      <c r="O571" s="49">
        <v>0.59130000000000005</v>
      </c>
      <c r="P571" s="9">
        <f>ROUND(O571*L571,2)</f>
        <v>1212.17</v>
      </c>
      <c r="Q571" s="10">
        <f>IF(N571="HKD",7.8,IF(N571="CNY",7.30034,1))</f>
        <v>7.3003400000000003</v>
      </c>
      <c r="R571" s="10">
        <f>+ROUND(O571/Q571,4)</f>
        <v>8.1000000000000003E-2</v>
      </c>
      <c r="S571" s="11">
        <f>ROUND(R571*L571,2)</f>
        <v>166.05</v>
      </c>
      <c r="T571" s="10" t="s">
        <v>349</v>
      </c>
      <c r="U571" t="s">
        <v>442</v>
      </c>
    </row>
    <row r="572" spans="1:21">
      <c r="A572" t="s">
        <v>3962</v>
      </c>
      <c r="B572" s="20">
        <v>45750</v>
      </c>
      <c r="C572" s="20">
        <v>45729</v>
      </c>
      <c r="D572" t="s">
        <v>21</v>
      </c>
      <c r="E572" t="s">
        <v>22</v>
      </c>
      <c r="G572" t="s">
        <v>4393</v>
      </c>
      <c r="H572" t="s">
        <v>1441</v>
      </c>
      <c r="I572" t="s">
        <v>1442</v>
      </c>
      <c r="J572" s="8" t="str">
        <f>+LEFT(U572,4)</f>
        <v>BRKT</v>
      </c>
      <c r="K572" t="s">
        <v>10</v>
      </c>
      <c r="L572" s="46">
        <v>500</v>
      </c>
      <c r="M572" t="s">
        <v>1472</v>
      </c>
      <c r="N572" t="s">
        <v>11</v>
      </c>
      <c r="O572" s="49">
        <v>0.60340000000000005</v>
      </c>
      <c r="P572" s="9">
        <f>ROUND(O572*L572,2)</f>
        <v>301.7</v>
      </c>
      <c r="Q572" s="10">
        <f>IF(N572="HKD",7.8,IF(N572="CNY",7.30034,1))</f>
        <v>7.3003400000000003</v>
      </c>
      <c r="R572" s="10">
        <f>+ROUND(O572/Q572,4)</f>
        <v>8.2699999999999996E-2</v>
      </c>
      <c r="S572" s="11">
        <f>ROUND(R572*L572,2)</f>
        <v>41.35</v>
      </c>
      <c r="T572" s="10" t="s">
        <v>349</v>
      </c>
      <c r="U572" t="s">
        <v>442</v>
      </c>
    </row>
    <row r="573" spans="1:21">
      <c r="A573" t="s">
        <v>3964</v>
      </c>
      <c r="B573" s="20">
        <v>45750</v>
      </c>
      <c r="C573" s="20">
        <v>45729</v>
      </c>
      <c r="D573" t="s">
        <v>21</v>
      </c>
      <c r="E573" t="s">
        <v>22</v>
      </c>
      <c r="G573" t="s">
        <v>4393</v>
      </c>
      <c r="H573" t="s">
        <v>3587</v>
      </c>
      <c r="I573" t="s">
        <v>3588</v>
      </c>
      <c r="J573" s="8" t="str">
        <f>+LEFT(U573,4)</f>
        <v>FG--</v>
      </c>
      <c r="K573" t="s">
        <v>10</v>
      </c>
      <c r="L573" s="46">
        <v>2050</v>
      </c>
      <c r="M573" t="s">
        <v>1472</v>
      </c>
      <c r="N573" t="s">
        <v>11</v>
      </c>
      <c r="O573" s="49">
        <v>0.6452</v>
      </c>
      <c r="P573" s="9">
        <f>ROUND(O573*L573,2)</f>
        <v>1322.66</v>
      </c>
      <c r="Q573" s="10">
        <f>IF(N573="HKD",7.8,IF(N573="CNY",7.30034,1))</f>
        <v>7.3003400000000003</v>
      </c>
      <c r="R573" s="10">
        <f>+ROUND(O573/Q573,4)</f>
        <v>8.8400000000000006E-2</v>
      </c>
      <c r="S573" s="11">
        <f>ROUND(R573*L573,2)</f>
        <v>181.22</v>
      </c>
      <c r="T573" s="10" t="s">
        <v>349</v>
      </c>
      <c r="U573" t="s">
        <v>64</v>
      </c>
    </row>
    <row r="574" spans="1:21">
      <c r="A574" t="s">
        <v>3966</v>
      </c>
      <c r="B574" s="20">
        <v>45750</v>
      </c>
      <c r="C574" s="20">
        <v>45729</v>
      </c>
      <c r="D574" t="s">
        <v>21</v>
      </c>
      <c r="E574" t="s">
        <v>22</v>
      </c>
      <c r="G574" t="s">
        <v>4393</v>
      </c>
      <c r="H574" t="s">
        <v>1428</v>
      </c>
      <c r="I574" t="s">
        <v>1429</v>
      </c>
      <c r="J574" s="8" t="str">
        <f>+LEFT(U574,4)</f>
        <v>FG--</v>
      </c>
      <c r="K574" t="s">
        <v>10</v>
      </c>
      <c r="L574" s="46">
        <v>1030</v>
      </c>
      <c r="M574" t="s">
        <v>1472</v>
      </c>
      <c r="N574" t="s">
        <v>11</v>
      </c>
      <c r="O574" s="49">
        <v>0.65839999999999999</v>
      </c>
      <c r="P574" s="9">
        <f>ROUND(O574*L574,2)</f>
        <v>678.15</v>
      </c>
      <c r="Q574" s="10">
        <f>IF(N574="HKD",7.8,IF(N574="CNY",7.30034,1))</f>
        <v>7.3003400000000003</v>
      </c>
      <c r="R574" s="10">
        <f>+ROUND(O574/Q574,4)</f>
        <v>9.0200000000000002E-2</v>
      </c>
      <c r="S574" s="11">
        <f>ROUND(R574*L574,2)</f>
        <v>92.91</v>
      </c>
      <c r="T574" s="10" t="s">
        <v>349</v>
      </c>
      <c r="U574" t="s">
        <v>64</v>
      </c>
    </row>
    <row r="575" spans="1:21">
      <c r="A575" t="s">
        <v>4292</v>
      </c>
      <c r="B575" s="20">
        <v>45750</v>
      </c>
      <c r="C575" s="20">
        <v>45702</v>
      </c>
      <c r="D575" t="s">
        <v>143</v>
      </c>
      <c r="E575" t="s">
        <v>144</v>
      </c>
      <c r="G575" t="s">
        <v>4542</v>
      </c>
      <c r="H575" t="s">
        <v>3804</v>
      </c>
      <c r="I575" t="s">
        <v>3805</v>
      </c>
      <c r="J575" s="8" t="str">
        <f>+LEFT(U575,4)</f>
        <v>HDL-</v>
      </c>
      <c r="K575" t="s">
        <v>10</v>
      </c>
      <c r="L575" s="46">
        <v>800</v>
      </c>
      <c r="M575" t="s">
        <v>1472</v>
      </c>
      <c r="N575" t="s">
        <v>11</v>
      </c>
      <c r="O575" s="49">
        <v>15.564299999999999</v>
      </c>
      <c r="P575" s="9">
        <f>ROUND(O575*L575,2)</f>
        <v>12451.44</v>
      </c>
      <c r="Q575" s="10">
        <f>IF(N575="HKD",7.8,IF(N575="CNY",7.30034,1))</f>
        <v>7.3003400000000003</v>
      </c>
      <c r="R575" s="10">
        <f>+ROUND(O575/Q575,4)</f>
        <v>2.1320000000000001</v>
      </c>
      <c r="S575" s="11">
        <f>ROUND(R575*L575,2)</f>
        <v>1705.6</v>
      </c>
      <c r="T575" s="10" t="s">
        <v>349</v>
      </c>
      <c r="U575" t="s">
        <v>228</v>
      </c>
    </row>
    <row r="576" spans="1:21">
      <c r="A576" t="s">
        <v>2537</v>
      </c>
      <c r="B576" s="20">
        <v>45750</v>
      </c>
      <c r="C576" s="20">
        <v>45714</v>
      </c>
      <c r="D576" t="s">
        <v>94</v>
      </c>
      <c r="E576" t="s">
        <v>95</v>
      </c>
      <c r="G576" t="s">
        <v>4490</v>
      </c>
      <c r="H576" t="s">
        <v>3165</v>
      </c>
      <c r="I576" t="s">
        <v>3375</v>
      </c>
      <c r="J576" s="8" t="str">
        <f>+LEFT(U576,4)</f>
        <v>LID-</v>
      </c>
      <c r="K576" t="s">
        <v>98</v>
      </c>
      <c r="L576" s="46">
        <v>1205</v>
      </c>
      <c r="M576" t="s">
        <v>1472</v>
      </c>
      <c r="N576" t="s">
        <v>11</v>
      </c>
      <c r="O576" s="49">
        <v>4.37</v>
      </c>
      <c r="P576" s="9">
        <f>ROUND(O576*L576,2)</f>
        <v>5265.85</v>
      </c>
      <c r="Q576" s="10">
        <f>IF(N576="HKD",7.8,IF(N576="CNY",7.30034,1))</f>
        <v>7.3003400000000003</v>
      </c>
      <c r="R576" s="10">
        <f>+ROUND(O576/Q576,4)</f>
        <v>0.59860000000000002</v>
      </c>
      <c r="S576" s="11">
        <f>ROUND(R576*L576,2)</f>
        <v>721.31</v>
      </c>
      <c r="T576" s="10" t="s">
        <v>349</v>
      </c>
      <c r="U576" t="s">
        <v>368</v>
      </c>
    </row>
    <row r="577" spans="1:21">
      <c r="A577" t="s">
        <v>3867</v>
      </c>
      <c r="B577" s="20">
        <v>45750</v>
      </c>
      <c r="C577" s="20">
        <v>45744</v>
      </c>
      <c r="D577" t="s">
        <v>162</v>
      </c>
      <c r="E577" t="s">
        <v>163</v>
      </c>
      <c r="G577" t="s">
        <v>4355</v>
      </c>
      <c r="H577" t="s">
        <v>592</v>
      </c>
      <c r="I577" t="s">
        <v>593</v>
      </c>
      <c r="J577" s="8" t="str">
        <f>+LEFT(U577,4)</f>
        <v>SCR-</v>
      </c>
      <c r="K577" t="s">
        <v>10</v>
      </c>
      <c r="L577" s="46">
        <v>3100</v>
      </c>
      <c r="M577" t="s">
        <v>1472</v>
      </c>
      <c r="N577" t="s">
        <v>11</v>
      </c>
      <c r="O577" s="49">
        <v>7.0000000000000007E-2</v>
      </c>
      <c r="P577" s="9">
        <f>ROUND(O577*L577,2)</f>
        <v>217</v>
      </c>
      <c r="Q577" s="10">
        <f>IF(N577="HKD",7.8,IF(N577="CNY",7.30034,1))</f>
        <v>7.3003400000000003</v>
      </c>
      <c r="R577" s="10">
        <f>+ROUND(O577/Q577,4)</f>
        <v>9.5999999999999992E-3</v>
      </c>
      <c r="S577" s="11">
        <f>ROUND(R577*L577,2)</f>
        <v>29.76</v>
      </c>
      <c r="T577" s="10" t="s">
        <v>349</v>
      </c>
      <c r="U577" t="s">
        <v>166</v>
      </c>
    </row>
    <row r="578" spans="1:21">
      <c r="A578" t="s">
        <v>3891</v>
      </c>
      <c r="B578" s="20">
        <v>45750</v>
      </c>
      <c r="C578" s="20">
        <v>45744</v>
      </c>
      <c r="D578" t="s">
        <v>162</v>
      </c>
      <c r="E578" t="s">
        <v>163</v>
      </c>
      <c r="G578" t="s">
        <v>4355</v>
      </c>
      <c r="H578" t="s">
        <v>573</v>
      </c>
      <c r="I578" t="s">
        <v>574</v>
      </c>
      <c r="J578" s="8" t="str">
        <f>+LEFT(U578,4)</f>
        <v>SCR-</v>
      </c>
      <c r="K578" t="s">
        <v>10</v>
      </c>
      <c r="L578" s="46">
        <v>1100</v>
      </c>
      <c r="M578" t="s">
        <v>1472</v>
      </c>
      <c r="N578" t="s">
        <v>11</v>
      </c>
      <c r="O578" s="49">
        <v>0.11700000000000001</v>
      </c>
      <c r="P578" s="9">
        <f>ROUND(O578*L578,2)</f>
        <v>128.69999999999999</v>
      </c>
      <c r="Q578" s="10">
        <f>IF(N578="HKD",7.8,IF(N578="CNY",7.30034,1))</f>
        <v>7.3003400000000003</v>
      </c>
      <c r="R578" s="10">
        <f>+ROUND(O578/Q578,4)</f>
        <v>1.6E-2</v>
      </c>
      <c r="S578" s="11">
        <f>ROUND(R578*L578,2)</f>
        <v>17.600000000000001</v>
      </c>
      <c r="T578" s="10" t="s">
        <v>349</v>
      </c>
      <c r="U578" t="s">
        <v>166</v>
      </c>
    </row>
    <row r="579" spans="1:21">
      <c r="A579" t="s">
        <v>4041</v>
      </c>
      <c r="B579" s="20">
        <v>45750</v>
      </c>
      <c r="C579" s="20">
        <v>45695</v>
      </c>
      <c r="D579" t="s">
        <v>128</v>
      </c>
      <c r="E579" t="s">
        <v>129</v>
      </c>
      <c r="G579" t="s">
        <v>4421</v>
      </c>
      <c r="H579" t="s">
        <v>3640</v>
      </c>
      <c r="I579" t="s">
        <v>3641</v>
      </c>
      <c r="J579" s="8" t="str">
        <f>+LEFT(U579,4)</f>
        <v>SHDL</v>
      </c>
      <c r="K579" t="s">
        <v>10</v>
      </c>
      <c r="L579" s="46">
        <v>1230</v>
      </c>
      <c r="M579" t="s">
        <v>1472</v>
      </c>
      <c r="N579" t="s">
        <v>11</v>
      </c>
      <c r="O579" s="49">
        <v>2.6137999999999999</v>
      </c>
      <c r="P579" s="9">
        <f>ROUND(O579*L579,2)</f>
        <v>3214.97</v>
      </c>
      <c r="Q579" s="10">
        <f>IF(N579="HKD",7.8,IF(N579="CNY",7.30034,1))</f>
        <v>7.3003400000000003</v>
      </c>
      <c r="R579" s="10">
        <f>+ROUND(O579/Q579,4)</f>
        <v>0.35799999999999998</v>
      </c>
      <c r="S579" s="11">
        <f>ROUND(R579*L579,2)</f>
        <v>440.34</v>
      </c>
      <c r="T579" s="10" t="s">
        <v>349</v>
      </c>
      <c r="U579" t="s">
        <v>722</v>
      </c>
    </row>
    <row r="580" spans="1:21">
      <c r="A580" t="s">
        <v>4051</v>
      </c>
      <c r="B580" s="20">
        <v>45749</v>
      </c>
      <c r="C580" s="20">
        <v>45680</v>
      </c>
      <c r="D580" t="s">
        <v>569</v>
      </c>
      <c r="E580" t="s">
        <v>570</v>
      </c>
      <c r="G580" t="s">
        <v>4364</v>
      </c>
      <c r="H580" t="s">
        <v>1508</v>
      </c>
      <c r="I580" t="s">
        <v>1509</v>
      </c>
      <c r="J580" s="8" t="s">
        <v>1505</v>
      </c>
      <c r="K580" t="s">
        <v>10</v>
      </c>
      <c r="L580" s="46">
        <v>1200</v>
      </c>
      <c r="M580" t="s">
        <v>1472</v>
      </c>
      <c r="N580" t="s">
        <v>11</v>
      </c>
      <c r="O580" s="49">
        <v>2.75</v>
      </c>
      <c r="P580" s="9">
        <f>ROUND(O580*L580,2)</f>
        <v>3300</v>
      </c>
      <c r="Q580" s="10">
        <f>IF(N580="HKD",7.8,IF(N580="CNY",7.30034,1))</f>
        <v>7.3003400000000003</v>
      </c>
      <c r="R580" s="10">
        <f>+ROUND(O580/Q580,4)</f>
        <v>0.37669999999999998</v>
      </c>
      <c r="S580" s="11">
        <f>ROUND(R580*L580,2)</f>
        <v>452.04</v>
      </c>
      <c r="T580" s="10" t="s">
        <v>349</v>
      </c>
      <c r="U580" t="s">
        <v>36</v>
      </c>
    </row>
    <row r="581" spans="1:21">
      <c r="A581" t="s">
        <v>4135</v>
      </c>
      <c r="B581" s="20">
        <v>45749</v>
      </c>
      <c r="C581" s="20">
        <v>45742</v>
      </c>
      <c r="D581" t="s">
        <v>569</v>
      </c>
      <c r="E581" t="s">
        <v>570</v>
      </c>
      <c r="G581" t="s">
        <v>4364</v>
      </c>
      <c r="H581" t="s">
        <v>1513</v>
      </c>
      <c r="I581" t="s">
        <v>1514</v>
      </c>
      <c r="J581" s="8" t="s">
        <v>1505</v>
      </c>
      <c r="K581" t="s">
        <v>10</v>
      </c>
      <c r="L581" s="46">
        <v>700</v>
      </c>
      <c r="M581" t="s">
        <v>1472</v>
      </c>
      <c r="N581" t="s">
        <v>11</v>
      </c>
      <c r="O581" s="49">
        <v>3.5</v>
      </c>
      <c r="P581" s="9">
        <f>ROUND(O581*L581,2)</f>
        <v>2450</v>
      </c>
      <c r="Q581" s="10">
        <f>IF(N581="HKD",7.8,IF(N581="CNY",7.30034,1))</f>
        <v>7.3003400000000003</v>
      </c>
      <c r="R581" s="10">
        <f>+ROUND(O581/Q581,4)</f>
        <v>0.47939999999999999</v>
      </c>
      <c r="S581" s="11">
        <f>ROUND(R581*L581,2)</f>
        <v>335.58</v>
      </c>
      <c r="T581" s="10" t="s">
        <v>349</v>
      </c>
      <c r="U581" t="s">
        <v>36</v>
      </c>
    </row>
    <row r="582" spans="1:21">
      <c r="A582" t="s">
        <v>4160</v>
      </c>
      <c r="B582" s="20">
        <v>45749</v>
      </c>
      <c r="C582" s="20">
        <v>45742</v>
      </c>
      <c r="D582" t="s">
        <v>569</v>
      </c>
      <c r="E582" t="s">
        <v>570</v>
      </c>
      <c r="G582" t="s">
        <v>4364</v>
      </c>
      <c r="H582" t="s">
        <v>567</v>
      </c>
      <c r="I582" t="s">
        <v>568</v>
      </c>
      <c r="J582" s="8" t="s">
        <v>1505</v>
      </c>
      <c r="K582" t="s">
        <v>10</v>
      </c>
      <c r="L582" s="46">
        <v>1050</v>
      </c>
      <c r="M582" t="s">
        <v>1472</v>
      </c>
      <c r="N582" t="s">
        <v>11</v>
      </c>
      <c r="O582" s="49">
        <v>3.85</v>
      </c>
      <c r="P582" s="9">
        <f>ROUND(O582*L582,2)</f>
        <v>4042.5</v>
      </c>
      <c r="Q582" s="10">
        <f>IF(N582="HKD",7.8,IF(N582="CNY",7.30034,1))</f>
        <v>7.3003400000000003</v>
      </c>
      <c r="R582" s="10">
        <f>+ROUND(O582/Q582,4)</f>
        <v>0.52739999999999998</v>
      </c>
      <c r="S582" s="11">
        <f>ROUND(R582*L582,2)</f>
        <v>553.77</v>
      </c>
      <c r="T582" s="10" t="s">
        <v>349</v>
      </c>
      <c r="U582" t="s">
        <v>36</v>
      </c>
    </row>
    <row r="583" spans="1:21">
      <c r="A583" t="s">
        <v>4262</v>
      </c>
      <c r="B583" s="20">
        <v>45749</v>
      </c>
      <c r="C583" s="20">
        <v>45730</v>
      </c>
      <c r="D583" t="s">
        <v>287</v>
      </c>
      <c r="E583" t="s">
        <v>288</v>
      </c>
      <c r="G583" t="s">
        <v>4531</v>
      </c>
      <c r="H583" t="s">
        <v>71</v>
      </c>
      <c r="I583" t="s">
        <v>72</v>
      </c>
      <c r="J583" s="8" t="s">
        <v>1478</v>
      </c>
      <c r="K583" t="s">
        <v>10</v>
      </c>
      <c r="L583" s="46">
        <v>1050</v>
      </c>
      <c r="M583" t="s">
        <v>1472</v>
      </c>
      <c r="N583" t="s">
        <v>11</v>
      </c>
      <c r="O583" s="49">
        <v>8.15</v>
      </c>
      <c r="P583" s="9">
        <f>ROUND(O583*L583,2)</f>
        <v>8557.5</v>
      </c>
      <c r="Q583" s="10">
        <f>IF(N583="HKD",7.8,IF(N583="CNY",7.30034,1))</f>
        <v>7.3003400000000003</v>
      </c>
      <c r="R583" s="10">
        <f>+ROUND(O583/Q583,4)</f>
        <v>1.1164000000000001</v>
      </c>
      <c r="S583" s="11">
        <f>ROUND(R583*L583,2)</f>
        <v>1172.22</v>
      </c>
      <c r="T583" s="10" t="s">
        <v>349</v>
      </c>
      <c r="U583" t="s">
        <v>36</v>
      </c>
    </row>
    <row r="584" spans="1:21">
      <c r="A584" t="s">
        <v>4237</v>
      </c>
      <c r="B584" s="20">
        <v>45749</v>
      </c>
      <c r="C584" s="20">
        <v>45729</v>
      </c>
      <c r="D584" t="s">
        <v>2819</v>
      </c>
      <c r="E584" t="s">
        <v>2820</v>
      </c>
      <c r="G584" t="s">
        <v>4522</v>
      </c>
      <c r="H584" t="s">
        <v>3133</v>
      </c>
      <c r="I584" t="s">
        <v>3343</v>
      </c>
      <c r="J584" s="8" t="str">
        <f>+LEFT(U584,4)</f>
        <v>HDL-</v>
      </c>
      <c r="K584" t="s">
        <v>10</v>
      </c>
      <c r="L584" s="46">
        <v>1010</v>
      </c>
      <c r="M584" t="s">
        <v>1472</v>
      </c>
      <c r="N584" t="s">
        <v>11</v>
      </c>
      <c r="O584" s="49">
        <v>7.4577999999999998</v>
      </c>
      <c r="P584" s="9">
        <f>ROUND(O584*L584,2)</f>
        <v>7532.38</v>
      </c>
      <c r="Q584" s="10">
        <f>IF(N584="HKD",7.8,IF(N584="CNY",7.30034,1))</f>
        <v>7.3003400000000003</v>
      </c>
      <c r="R584" s="10">
        <f>+ROUND(O584/Q584,4)</f>
        <v>1.0216000000000001</v>
      </c>
      <c r="S584" s="11">
        <f>ROUND(R584*L584,2)</f>
        <v>1031.82</v>
      </c>
      <c r="T584" s="10" t="s">
        <v>349</v>
      </c>
      <c r="U584" t="s">
        <v>228</v>
      </c>
    </row>
    <row r="585" spans="1:21">
      <c r="A585" t="s">
        <v>4260</v>
      </c>
      <c r="B585" s="20">
        <v>45749</v>
      </c>
      <c r="C585" s="20">
        <v>45729</v>
      </c>
      <c r="D585" t="s">
        <v>2819</v>
      </c>
      <c r="E585" t="s">
        <v>2820</v>
      </c>
      <c r="G585" t="s">
        <v>4522</v>
      </c>
      <c r="H585" t="s">
        <v>3780</v>
      </c>
      <c r="I585" t="s">
        <v>3781</v>
      </c>
      <c r="J585" s="8" t="str">
        <f>+LEFT(U585,4)</f>
        <v>HDL-</v>
      </c>
      <c r="K585" t="s">
        <v>10</v>
      </c>
      <c r="L585" s="46">
        <v>1030</v>
      </c>
      <c r="M585" t="s">
        <v>1472</v>
      </c>
      <c r="N585" t="s">
        <v>11</v>
      </c>
      <c r="O585" s="49">
        <v>8.0116999999999994</v>
      </c>
      <c r="P585" s="9">
        <f>ROUND(O585*L585,2)</f>
        <v>8252.0499999999993</v>
      </c>
      <c r="Q585" s="10">
        <f>IF(N585="HKD",7.8,IF(N585="CNY",7.30034,1))</f>
        <v>7.3003400000000003</v>
      </c>
      <c r="R585" s="10">
        <f>+ROUND(O585/Q585,4)</f>
        <v>1.0973999999999999</v>
      </c>
      <c r="S585" s="11">
        <f>ROUND(R585*L585,2)</f>
        <v>1130.32</v>
      </c>
      <c r="T585" s="10" t="s">
        <v>349</v>
      </c>
      <c r="U585" t="s">
        <v>228</v>
      </c>
    </row>
    <row r="586" spans="1:21">
      <c r="A586" t="s">
        <v>3892</v>
      </c>
      <c r="B586" s="20">
        <v>45749</v>
      </c>
      <c r="C586" s="20">
        <v>45737</v>
      </c>
      <c r="D586" t="s">
        <v>569</v>
      </c>
      <c r="E586" t="s">
        <v>570</v>
      </c>
      <c r="G586" t="s">
        <v>4364</v>
      </c>
      <c r="H586" t="s">
        <v>1412</v>
      </c>
      <c r="I586" t="s">
        <v>1413</v>
      </c>
      <c r="J586" s="8" t="str">
        <f>+LEFT(U586,4)</f>
        <v>WHR-</v>
      </c>
      <c r="K586" t="s">
        <v>10</v>
      </c>
      <c r="L586" s="46">
        <v>3000</v>
      </c>
      <c r="M586" t="s">
        <v>1472</v>
      </c>
      <c r="N586" t="s">
        <v>11</v>
      </c>
      <c r="O586" s="49">
        <v>0.1176</v>
      </c>
      <c r="P586" s="9">
        <f>ROUND(O586*L586,2)</f>
        <v>352.8</v>
      </c>
      <c r="Q586" s="10">
        <f>IF(N586="HKD",7.8,IF(N586="CNY",7.30034,1))</f>
        <v>7.3003400000000003</v>
      </c>
      <c r="R586" s="10">
        <f>+ROUND(O586/Q586,4)</f>
        <v>1.61E-2</v>
      </c>
      <c r="S586" s="11">
        <f>ROUND(R586*L586,2)</f>
        <v>48.3</v>
      </c>
      <c r="T586" s="10" t="s">
        <v>349</v>
      </c>
      <c r="U586" t="s">
        <v>248</v>
      </c>
    </row>
    <row r="587" spans="1:21">
      <c r="A587" t="s">
        <v>2344</v>
      </c>
      <c r="B587" s="20">
        <v>45748</v>
      </c>
      <c r="C587" s="20">
        <v>45677</v>
      </c>
      <c r="D587" t="s">
        <v>287</v>
      </c>
      <c r="E587" t="s">
        <v>288</v>
      </c>
      <c r="G587" t="s">
        <v>4513</v>
      </c>
      <c r="H587" t="s">
        <v>79</v>
      </c>
      <c r="I587" t="s">
        <v>80</v>
      </c>
      <c r="J587" s="8" t="s">
        <v>1478</v>
      </c>
      <c r="K587" t="s">
        <v>10</v>
      </c>
      <c r="L587" s="46">
        <v>120</v>
      </c>
      <c r="M587" t="s">
        <v>1472</v>
      </c>
      <c r="N587" t="s">
        <v>11</v>
      </c>
      <c r="O587" s="49">
        <v>6.5929000000000002</v>
      </c>
      <c r="P587" s="9">
        <f>ROUND(O587*L587,2)</f>
        <v>791.15</v>
      </c>
      <c r="Q587" s="10">
        <f>IF(N587="HKD",7.8,IF(N587="CNY",7.30034,1))</f>
        <v>7.3003400000000003</v>
      </c>
      <c r="R587" s="10">
        <f>+ROUND(O587/Q587,4)</f>
        <v>0.90310000000000001</v>
      </c>
      <c r="S587" s="11">
        <f>ROUND(R587*L587,2)</f>
        <v>108.37</v>
      </c>
      <c r="T587" s="10" t="s">
        <v>349</v>
      </c>
      <c r="U587" t="s">
        <v>36</v>
      </c>
    </row>
    <row r="588" spans="1:21">
      <c r="A588" t="s">
        <v>2283</v>
      </c>
      <c r="B588" s="20">
        <v>45748</v>
      </c>
      <c r="C588" s="20">
        <v>45596</v>
      </c>
      <c r="D588" t="s">
        <v>287</v>
      </c>
      <c r="E588" t="s">
        <v>288</v>
      </c>
      <c r="G588" t="s">
        <v>4513</v>
      </c>
      <c r="H588" t="s">
        <v>3064</v>
      </c>
      <c r="I588" t="s">
        <v>83</v>
      </c>
      <c r="J588" s="8" t="s">
        <v>1478</v>
      </c>
      <c r="K588" t="s">
        <v>10</v>
      </c>
      <c r="L588" s="46">
        <v>79</v>
      </c>
      <c r="M588" t="s">
        <v>1472</v>
      </c>
      <c r="N588" t="s">
        <v>11</v>
      </c>
      <c r="O588" s="49">
        <v>7.4237000000000002</v>
      </c>
      <c r="P588" s="9">
        <f>ROUND(O588*L588,2)</f>
        <v>586.47</v>
      </c>
      <c r="Q588" s="10">
        <f>IF(N588="HKD",7.8,IF(N588="CNY",7.30034,1))</f>
        <v>7.3003400000000003</v>
      </c>
      <c r="R588" s="10">
        <f>+ROUND(O588/Q588,4)</f>
        <v>1.0168999999999999</v>
      </c>
      <c r="S588" s="11">
        <f>ROUND(R588*L588,2)</f>
        <v>80.34</v>
      </c>
      <c r="T588" s="10" t="s">
        <v>349</v>
      </c>
      <c r="U588" t="s">
        <v>36</v>
      </c>
    </row>
    <row r="589" spans="1:21">
      <c r="A589" t="s">
        <v>2342</v>
      </c>
      <c r="B589" s="20">
        <v>45748</v>
      </c>
      <c r="C589" s="20">
        <v>45674</v>
      </c>
      <c r="D589" t="s">
        <v>287</v>
      </c>
      <c r="E589" t="s">
        <v>288</v>
      </c>
      <c r="G589" t="s">
        <v>4513</v>
      </c>
      <c r="H589" t="s">
        <v>3064</v>
      </c>
      <c r="I589" t="s">
        <v>83</v>
      </c>
      <c r="J589" s="8" t="s">
        <v>1478</v>
      </c>
      <c r="K589" t="s">
        <v>10</v>
      </c>
      <c r="L589" s="46">
        <v>90</v>
      </c>
      <c r="M589" t="s">
        <v>1472</v>
      </c>
      <c r="N589" t="s">
        <v>11</v>
      </c>
      <c r="O589" s="49">
        <v>7.4237000000000002</v>
      </c>
      <c r="P589" s="9">
        <f>ROUND(O589*L589,2)</f>
        <v>668.13</v>
      </c>
      <c r="Q589" s="10">
        <f>IF(N589="HKD",7.8,IF(N589="CNY",7.30034,1))</f>
        <v>7.3003400000000003</v>
      </c>
      <c r="R589" s="10">
        <f>+ROUND(O589/Q589,4)</f>
        <v>1.0168999999999999</v>
      </c>
      <c r="S589" s="11">
        <f>ROUND(R589*L589,2)</f>
        <v>91.52</v>
      </c>
      <c r="T589" s="10" t="s">
        <v>349</v>
      </c>
      <c r="U589" t="s">
        <v>36</v>
      </c>
    </row>
    <row r="590" spans="1:21">
      <c r="A590" t="s">
        <v>2391</v>
      </c>
      <c r="B590" s="20">
        <v>45748</v>
      </c>
      <c r="C590" s="20">
        <v>45695</v>
      </c>
      <c r="D590" t="s">
        <v>287</v>
      </c>
      <c r="E590" t="s">
        <v>288</v>
      </c>
      <c r="G590" t="s">
        <v>4513</v>
      </c>
      <c r="H590" t="s">
        <v>703</v>
      </c>
      <c r="I590" t="s">
        <v>704</v>
      </c>
      <c r="J590" s="8" t="s">
        <v>1478</v>
      </c>
      <c r="K590" t="s">
        <v>10</v>
      </c>
      <c r="L590" s="46">
        <v>90</v>
      </c>
      <c r="M590" t="s">
        <v>1472</v>
      </c>
      <c r="N590" t="s">
        <v>11</v>
      </c>
      <c r="O590" s="49">
        <v>7.5751999999999997</v>
      </c>
      <c r="P590" s="9">
        <f>ROUND(O590*L590,2)</f>
        <v>681.77</v>
      </c>
      <c r="Q590" s="10">
        <f>IF(N590="HKD",7.8,IF(N590="CNY",7.30034,1))</f>
        <v>7.3003400000000003</v>
      </c>
      <c r="R590" s="10">
        <f>+ROUND(O590/Q590,4)</f>
        <v>1.0377000000000001</v>
      </c>
      <c r="S590" s="11">
        <f>ROUND(R590*L590,2)</f>
        <v>93.39</v>
      </c>
      <c r="T590" s="10" t="s">
        <v>349</v>
      </c>
      <c r="U590" t="s">
        <v>36</v>
      </c>
    </row>
    <row r="591" spans="1:21">
      <c r="A591" t="s">
        <v>3981</v>
      </c>
      <c r="B591" s="20">
        <v>45748</v>
      </c>
      <c r="C591" s="20">
        <v>45720</v>
      </c>
      <c r="D591" t="s">
        <v>28</v>
      </c>
      <c r="E591" t="s">
        <v>29</v>
      </c>
      <c r="G591" t="s">
        <v>4401</v>
      </c>
      <c r="H591" t="s">
        <v>3597</v>
      </c>
      <c r="I591" t="s">
        <v>3598</v>
      </c>
      <c r="J591" s="8" t="str">
        <f>+LEFT(U591,4)</f>
        <v>FG--</v>
      </c>
      <c r="K591" t="s">
        <v>10</v>
      </c>
      <c r="L591" s="46">
        <v>2570</v>
      </c>
      <c r="M591" t="s">
        <v>1472</v>
      </c>
      <c r="N591" t="s">
        <v>11</v>
      </c>
      <c r="O591" s="49">
        <v>0.95340000000000003</v>
      </c>
      <c r="P591" s="9">
        <f>ROUND(O591*L591,2)</f>
        <v>2450.2399999999998</v>
      </c>
      <c r="Q591" s="10">
        <f>IF(N591="HKD",7.8,IF(N591="CNY",7.30034,1))</f>
        <v>7.3003400000000003</v>
      </c>
      <c r="R591" s="10">
        <f>+ROUND(O591/Q591,4)</f>
        <v>0.13059999999999999</v>
      </c>
      <c r="S591" s="11">
        <f>ROUND(R591*L591,2)</f>
        <v>335.64</v>
      </c>
      <c r="T591" s="10" t="s">
        <v>349</v>
      </c>
      <c r="U591" t="s">
        <v>64</v>
      </c>
    </row>
    <row r="592" spans="1:21">
      <c r="A592" t="s">
        <v>3982</v>
      </c>
      <c r="B592" s="20">
        <v>45748</v>
      </c>
      <c r="C592" s="20">
        <v>45721</v>
      </c>
      <c r="D592" t="s">
        <v>28</v>
      </c>
      <c r="E592" t="s">
        <v>29</v>
      </c>
      <c r="G592" t="s">
        <v>4401</v>
      </c>
      <c r="H592" t="s">
        <v>3597</v>
      </c>
      <c r="I592" t="s">
        <v>3598</v>
      </c>
      <c r="J592" s="8" t="str">
        <f>+LEFT(U592,4)</f>
        <v>FG--</v>
      </c>
      <c r="K592" t="s">
        <v>10</v>
      </c>
      <c r="L592" s="46">
        <v>2150</v>
      </c>
      <c r="M592" t="s">
        <v>1472</v>
      </c>
      <c r="N592" t="s">
        <v>11</v>
      </c>
      <c r="O592" s="49">
        <v>0.95340000000000003</v>
      </c>
      <c r="P592" s="9">
        <f>ROUND(O592*L592,2)</f>
        <v>2049.81</v>
      </c>
      <c r="Q592" s="10">
        <f>IF(N592="HKD",7.8,IF(N592="CNY",7.30034,1))</f>
        <v>7.3003400000000003</v>
      </c>
      <c r="R592" s="10">
        <f>+ROUND(O592/Q592,4)</f>
        <v>0.13059999999999999</v>
      </c>
      <c r="S592" s="11">
        <f>ROUND(R592*L592,2)</f>
        <v>280.79000000000002</v>
      </c>
      <c r="T592" s="10" t="s">
        <v>349</v>
      </c>
      <c r="U592" t="s">
        <v>64</v>
      </c>
    </row>
    <row r="593" spans="1:21">
      <c r="A593" t="s">
        <v>3983</v>
      </c>
      <c r="B593" s="20">
        <v>45748</v>
      </c>
      <c r="C593" s="20">
        <v>45723</v>
      </c>
      <c r="D593" t="s">
        <v>28</v>
      </c>
      <c r="E593" t="s">
        <v>29</v>
      </c>
      <c r="G593" t="s">
        <v>4401</v>
      </c>
      <c r="H593" t="s">
        <v>1643</v>
      </c>
      <c r="I593" t="s">
        <v>1644</v>
      </c>
      <c r="J593" s="8" t="str">
        <f>+LEFT(U593,4)</f>
        <v>FG--</v>
      </c>
      <c r="K593" t="s">
        <v>10</v>
      </c>
      <c r="L593" s="46">
        <v>1520</v>
      </c>
      <c r="M593" t="s">
        <v>1472</v>
      </c>
      <c r="N593" t="s">
        <v>11</v>
      </c>
      <c r="O593" s="49">
        <v>0.97430000000000005</v>
      </c>
      <c r="P593" s="9">
        <f>ROUND(O593*L593,2)</f>
        <v>1480.94</v>
      </c>
      <c r="Q593" s="10">
        <f>IF(N593="HKD",7.8,IF(N593="CNY",7.30034,1))</f>
        <v>7.3003400000000003</v>
      </c>
      <c r="R593" s="10">
        <f>+ROUND(O593/Q593,4)</f>
        <v>0.13350000000000001</v>
      </c>
      <c r="S593" s="11">
        <f>ROUND(R593*L593,2)</f>
        <v>202.92</v>
      </c>
      <c r="T593" s="10" t="s">
        <v>349</v>
      </c>
      <c r="U593" t="s">
        <v>64</v>
      </c>
    </row>
    <row r="594" spans="1:21">
      <c r="A594" t="s">
        <v>2441</v>
      </c>
      <c r="B594" s="20">
        <v>45748</v>
      </c>
      <c r="C594" s="20">
        <v>45702</v>
      </c>
      <c r="D594" t="s">
        <v>128</v>
      </c>
      <c r="E594" t="s">
        <v>129</v>
      </c>
      <c r="G594" t="s">
        <v>4403</v>
      </c>
      <c r="H594" t="s">
        <v>443</v>
      </c>
      <c r="I594" t="s">
        <v>444</v>
      </c>
      <c r="J594" s="8" t="str">
        <f>+LEFT(U594,4)</f>
        <v>FG--</v>
      </c>
      <c r="K594" t="s">
        <v>10</v>
      </c>
      <c r="L594" s="46">
        <v>6200</v>
      </c>
      <c r="M594" t="s">
        <v>1472</v>
      </c>
      <c r="N594" t="s">
        <v>11</v>
      </c>
      <c r="O594" s="49">
        <v>1.0021</v>
      </c>
      <c r="P594" s="9">
        <f>ROUND(O594*L594,2)</f>
        <v>6213.02</v>
      </c>
      <c r="Q594" s="10">
        <f>IF(N594="HKD",7.8,IF(N594="CNY",7.30034,1))</f>
        <v>7.3003400000000003</v>
      </c>
      <c r="R594" s="10">
        <f>+ROUND(O594/Q594,4)</f>
        <v>0.13730000000000001</v>
      </c>
      <c r="S594" s="11">
        <f>ROUND(R594*L594,2)</f>
        <v>851.26</v>
      </c>
      <c r="T594" s="10" t="s">
        <v>349</v>
      </c>
      <c r="U594" t="s">
        <v>64</v>
      </c>
    </row>
    <row r="595" spans="1:21">
      <c r="A595" t="s">
        <v>3987</v>
      </c>
      <c r="B595" s="20">
        <v>45748</v>
      </c>
      <c r="C595" s="20">
        <v>45720</v>
      </c>
      <c r="D595" t="s">
        <v>28</v>
      </c>
      <c r="E595" t="s">
        <v>29</v>
      </c>
      <c r="G595" t="s">
        <v>4401</v>
      </c>
      <c r="H595" t="s">
        <v>3599</v>
      </c>
      <c r="I595" t="s">
        <v>3600</v>
      </c>
      <c r="J595" s="8" t="str">
        <f>+LEFT(U595,4)</f>
        <v>FG--</v>
      </c>
      <c r="K595" t="s">
        <v>10</v>
      </c>
      <c r="L595" s="46">
        <v>1030</v>
      </c>
      <c r="M595" t="s">
        <v>1472</v>
      </c>
      <c r="N595" t="s">
        <v>11</v>
      </c>
      <c r="O595" s="49">
        <v>1.0112000000000001</v>
      </c>
      <c r="P595" s="9">
        <f>ROUND(O595*L595,2)</f>
        <v>1041.54</v>
      </c>
      <c r="Q595" s="10">
        <f>IF(N595="HKD",7.8,IF(N595="CNY",7.30034,1))</f>
        <v>7.3003400000000003</v>
      </c>
      <c r="R595" s="10">
        <f>+ROUND(O595/Q595,4)</f>
        <v>0.13850000000000001</v>
      </c>
      <c r="S595" s="11">
        <f>ROUND(R595*L595,2)</f>
        <v>142.66</v>
      </c>
      <c r="T595" s="10" t="s">
        <v>349</v>
      </c>
      <c r="U595" t="s">
        <v>64</v>
      </c>
    </row>
    <row r="596" spans="1:21">
      <c r="A596" t="s">
        <v>3988</v>
      </c>
      <c r="B596" s="20">
        <v>45748</v>
      </c>
      <c r="C596" s="20">
        <v>45723</v>
      </c>
      <c r="D596" t="s">
        <v>28</v>
      </c>
      <c r="E596" t="s">
        <v>29</v>
      </c>
      <c r="G596" t="s">
        <v>4401</v>
      </c>
      <c r="H596" t="s">
        <v>3599</v>
      </c>
      <c r="I596" t="s">
        <v>3600</v>
      </c>
      <c r="J596" s="8" t="str">
        <f>+LEFT(U596,4)</f>
        <v>FG--</v>
      </c>
      <c r="K596" t="s">
        <v>10</v>
      </c>
      <c r="L596" s="46">
        <v>610</v>
      </c>
      <c r="M596" t="s">
        <v>1472</v>
      </c>
      <c r="N596" t="s">
        <v>11</v>
      </c>
      <c r="O596" s="49">
        <v>1.0112000000000001</v>
      </c>
      <c r="P596" s="9">
        <f>ROUND(O596*L596,2)</f>
        <v>616.83000000000004</v>
      </c>
      <c r="Q596" s="10">
        <f>IF(N596="HKD",7.8,IF(N596="CNY",7.30034,1))</f>
        <v>7.3003400000000003</v>
      </c>
      <c r="R596" s="10">
        <f>+ROUND(O596/Q596,4)</f>
        <v>0.13850000000000001</v>
      </c>
      <c r="S596" s="11">
        <f>ROUND(R596*L596,2)</f>
        <v>84.49</v>
      </c>
      <c r="T596" s="10" t="s">
        <v>349</v>
      </c>
      <c r="U596" t="s">
        <v>64</v>
      </c>
    </row>
    <row r="597" spans="1:21">
      <c r="A597" t="s">
        <v>291</v>
      </c>
      <c r="B597" s="20">
        <v>45748</v>
      </c>
      <c r="C597" s="20">
        <v>45670</v>
      </c>
      <c r="D597" t="s">
        <v>287</v>
      </c>
      <c r="E597" t="s">
        <v>288</v>
      </c>
      <c r="G597" t="s">
        <v>4513</v>
      </c>
      <c r="H597" t="s">
        <v>76</v>
      </c>
      <c r="I597" t="s">
        <v>77</v>
      </c>
      <c r="J597" s="8" t="str">
        <f>+LEFT(U597,4)</f>
        <v>GLID</v>
      </c>
      <c r="K597" t="s">
        <v>10</v>
      </c>
      <c r="L597" s="46">
        <v>110</v>
      </c>
      <c r="M597" t="s">
        <v>1472</v>
      </c>
      <c r="N597" t="s">
        <v>11</v>
      </c>
      <c r="O597" s="49">
        <v>6.5929000000000002</v>
      </c>
      <c r="P597" s="9">
        <f>ROUND(O597*L597,2)</f>
        <v>725.22</v>
      </c>
      <c r="Q597" s="10">
        <f>IF(N597="HKD",7.8,IF(N597="CNY",7.30034,1))</f>
        <v>7.3003400000000003</v>
      </c>
      <c r="R597" s="10">
        <f>+ROUND(O597/Q597,4)</f>
        <v>0.90310000000000001</v>
      </c>
      <c r="S597" s="11">
        <f>ROUND(R597*L597,2)</f>
        <v>99.34</v>
      </c>
      <c r="T597" s="10" t="s">
        <v>349</v>
      </c>
      <c r="U597" t="s">
        <v>78</v>
      </c>
    </row>
    <row r="598" spans="1:21">
      <c r="A598" t="s">
        <v>4232</v>
      </c>
      <c r="B598" s="20">
        <v>45748</v>
      </c>
      <c r="C598" s="20">
        <v>45730</v>
      </c>
      <c r="D598" t="s">
        <v>287</v>
      </c>
      <c r="E598" t="s">
        <v>288</v>
      </c>
      <c r="G598" t="s">
        <v>4513</v>
      </c>
      <c r="H598" t="s">
        <v>860</v>
      </c>
      <c r="I598" t="s">
        <v>861</v>
      </c>
      <c r="J598" s="8" t="str">
        <f>+LEFT(U598,4)</f>
        <v>GLID</v>
      </c>
      <c r="K598" t="s">
        <v>10</v>
      </c>
      <c r="L598" s="46">
        <v>1800</v>
      </c>
      <c r="M598" t="s">
        <v>1472</v>
      </c>
      <c r="N598" t="s">
        <v>11</v>
      </c>
      <c r="O598" s="49">
        <v>7.42</v>
      </c>
      <c r="P598" s="9">
        <f>ROUND(O598*L598,2)</f>
        <v>13356</v>
      </c>
      <c r="Q598" s="10">
        <f>IF(N598="HKD",7.8,IF(N598="CNY",7.30034,1))</f>
        <v>7.3003400000000003</v>
      </c>
      <c r="R598" s="10">
        <f>+ROUND(O598/Q598,4)</f>
        <v>1.0164</v>
      </c>
      <c r="S598" s="11">
        <f>ROUND(R598*L598,2)</f>
        <v>1829.52</v>
      </c>
      <c r="T598" s="10" t="s">
        <v>349</v>
      </c>
      <c r="U598" t="s">
        <v>78</v>
      </c>
    </row>
    <row r="599" spans="1:21">
      <c r="A599" t="s">
        <v>4233</v>
      </c>
      <c r="B599" s="20">
        <v>45748</v>
      </c>
      <c r="C599" s="20">
        <v>45730</v>
      </c>
      <c r="D599" t="s">
        <v>287</v>
      </c>
      <c r="E599" t="s">
        <v>288</v>
      </c>
      <c r="G599" t="s">
        <v>4513</v>
      </c>
      <c r="H599" t="s">
        <v>857</v>
      </c>
      <c r="I599" t="s">
        <v>858</v>
      </c>
      <c r="J599" s="8" t="str">
        <f>+LEFT(U599,4)</f>
        <v>GLID</v>
      </c>
      <c r="K599" t="s">
        <v>10</v>
      </c>
      <c r="L599" s="46">
        <v>1000</v>
      </c>
      <c r="M599" t="s">
        <v>1472</v>
      </c>
      <c r="N599" t="s">
        <v>11</v>
      </c>
      <c r="O599" s="49">
        <v>7.42</v>
      </c>
      <c r="P599" s="9">
        <f>ROUND(O599*L599,2)</f>
        <v>7420</v>
      </c>
      <c r="Q599" s="10">
        <f>IF(N599="HKD",7.8,IF(N599="CNY",7.30034,1))</f>
        <v>7.3003400000000003</v>
      </c>
      <c r="R599" s="10">
        <f>+ROUND(O599/Q599,4)</f>
        <v>1.0164</v>
      </c>
      <c r="S599" s="11">
        <f>ROUND(R599*L599,2)</f>
        <v>1016.4</v>
      </c>
      <c r="T599" s="10" t="s">
        <v>349</v>
      </c>
      <c r="U599" t="s">
        <v>78</v>
      </c>
    </row>
    <row r="600" spans="1:21">
      <c r="A600" t="s">
        <v>4029</v>
      </c>
      <c r="B600" s="20">
        <v>45748</v>
      </c>
      <c r="C600" s="20">
        <v>45695</v>
      </c>
      <c r="D600" t="s">
        <v>128</v>
      </c>
      <c r="E600" t="s">
        <v>129</v>
      </c>
      <c r="G600" t="s">
        <v>4403</v>
      </c>
      <c r="H600" t="s">
        <v>3623</v>
      </c>
      <c r="I600" t="s">
        <v>3624</v>
      </c>
      <c r="J600" s="8" t="str">
        <f>+LEFT(U600,4)</f>
        <v>LHDL</v>
      </c>
      <c r="K600" t="s">
        <v>10</v>
      </c>
      <c r="L600" s="46">
        <v>350</v>
      </c>
      <c r="M600" t="s">
        <v>1472</v>
      </c>
      <c r="N600" t="s">
        <v>11</v>
      </c>
      <c r="O600" s="49">
        <v>2.2652999999999999</v>
      </c>
      <c r="P600" s="9">
        <f>ROUND(O600*L600,2)</f>
        <v>792.86</v>
      </c>
      <c r="Q600" s="10">
        <f>IF(N600="HKD",7.8,IF(N600="CNY",7.30034,1))</f>
        <v>7.3003400000000003</v>
      </c>
      <c r="R600" s="10">
        <f>+ROUND(O600/Q600,4)</f>
        <v>0.31030000000000002</v>
      </c>
      <c r="S600" s="11">
        <f>ROUND(R600*L600,2)</f>
        <v>108.61</v>
      </c>
      <c r="T600" s="10" t="s">
        <v>349</v>
      </c>
      <c r="U600" t="s">
        <v>125</v>
      </c>
    </row>
    <row r="601" spans="1:21">
      <c r="A601" t="s">
        <v>4222</v>
      </c>
      <c r="B601" s="20">
        <v>45748</v>
      </c>
      <c r="C601" s="20">
        <v>45702</v>
      </c>
      <c r="D601" t="s">
        <v>263</v>
      </c>
      <c r="E601" t="s">
        <v>0</v>
      </c>
      <c r="G601" t="s">
        <v>4512</v>
      </c>
      <c r="H601" t="s">
        <v>261</v>
      </c>
      <c r="I601" t="s">
        <v>262</v>
      </c>
      <c r="J601" s="8" t="str">
        <f>+LEFT(U601,4)</f>
        <v>LHDL</v>
      </c>
      <c r="K601" t="s">
        <v>10</v>
      </c>
      <c r="L601" s="46">
        <v>2050</v>
      </c>
      <c r="M601" t="s">
        <v>1472</v>
      </c>
      <c r="N601" t="s">
        <v>11</v>
      </c>
      <c r="O601" s="49">
        <v>6.3621999999999996</v>
      </c>
      <c r="P601" s="9">
        <f>ROUND(O601*L601,2)</f>
        <v>13042.51</v>
      </c>
      <c r="Q601" s="10">
        <f>IF(N601="HKD",7.8,IF(N601="CNY",7.30034,1))</f>
        <v>7.3003400000000003</v>
      </c>
      <c r="R601" s="10">
        <f>+ROUND(O601/Q601,4)</f>
        <v>0.87150000000000005</v>
      </c>
      <c r="S601" s="11">
        <f>ROUND(R601*L601,2)</f>
        <v>1786.58</v>
      </c>
      <c r="T601" s="10" t="s">
        <v>349</v>
      </c>
      <c r="U601" t="s">
        <v>125</v>
      </c>
    </row>
    <row r="602" spans="1:21">
      <c r="A602" t="s">
        <v>3930</v>
      </c>
      <c r="B602" s="20">
        <v>45748</v>
      </c>
      <c r="C602" s="20">
        <v>45730</v>
      </c>
      <c r="D602" t="s">
        <v>169</v>
      </c>
      <c r="E602" t="s">
        <v>170</v>
      </c>
      <c r="G602" t="s">
        <v>4377</v>
      </c>
      <c r="H602" t="s">
        <v>3552</v>
      </c>
      <c r="I602" t="s">
        <v>3553</v>
      </c>
      <c r="J602" s="8" t="str">
        <f>+LEFT(U602,4)</f>
        <v>PAP-</v>
      </c>
      <c r="K602" t="s">
        <v>10</v>
      </c>
      <c r="L602" s="46">
        <v>12000</v>
      </c>
      <c r="M602" t="s">
        <v>1472</v>
      </c>
      <c r="N602" t="s">
        <v>11</v>
      </c>
      <c r="O602" s="49">
        <v>0.23</v>
      </c>
      <c r="P602" s="9">
        <f>ROUND(O602*L602,2)</f>
        <v>2760</v>
      </c>
      <c r="Q602" s="10">
        <f>IF(N602="HKD",7.8,IF(N602="CNY",7.30034,1))</f>
        <v>7.3003400000000003</v>
      </c>
      <c r="R602" s="10">
        <f>+ROUND(O602/Q602,4)</f>
        <v>3.15E-2</v>
      </c>
      <c r="S602" s="11">
        <f>ROUND(R602*L602,2)</f>
        <v>378</v>
      </c>
      <c r="T602" s="10" t="s">
        <v>349</v>
      </c>
      <c r="U602" t="s">
        <v>1094</v>
      </c>
    </row>
    <row r="603" spans="1:21">
      <c r="A603" t="s">
        <v>3905</v>
      </c>
      <c r="B603" s="20">
        <v>45748</v>
      </c>
      <c r="C603" s="20">
        <v>45721</v>
      </c>
      <c r="D603" t="s">
        <v>169</v>
      </c>
      <c r="E603" t="s">
        <v>170</v>
      </c>
      <c r="G603" t="s">
        <v>4373</v>
      </c>
      <c r="H603" t="s">
        <v>3534</v>
      </c>
      <c r="I603" t="s">
        <v>3535</v>
      </c>
      <c r="J603" s="8" t="str">
        <f>+LEFT(U603,4)</f>
        <v>STKR</v>
      </c>
      <c r="K603" t="s">
        <v>10</v>
      </c>
      <c r="L603" s="46">
        <v>550</v>
      </c>
      <c r="M603" t="s">
        <v>1472</v>
      </c>
      <c r="N603" t="s">
        <v>11</v>
      </c>
      <c r="O603" s="49">
        <v>0.15</v>
      </c>
      <c r="P603" s="9">
        <f>ROUND(O603*L603,2)</f>
        <v>82.5</v>
      </c>
      <c r="Q603" s="10">
        <f>IF(N603="HKD",7.8,IF(N603="CNY",7.30034,1))</f>
        <v>7.3003400000000003</v>
      </c>
      <c r="R603" s="10">
        <f>+ROUND(O603/Q603,4)</f>
        <v>2.0500000000000001E-2</v>
      </c>
      <c r="S603" s="11">
        <f>ROUND(R603*L603,2)</f>
        <v>11.28</v>
      </c>
      <c r="T603" s="10" t="s">
        <v>349</v>
      </c>
      <c r="U603" t="s">
        <v>18</v>
      </c>
    </row>
    <row r="604" spans="1:21">
      <c r="A604" t="s">
        <v>3906</v>
      </c>
      <c r="B604" s="20">
        <v>45748</v>
      </c>
      <c r="C604" s="20">
        <v>45721</v>
      </c>
      <c r="D604" t="s">
        <v>169</v>
      </c>
      <c r="E604" t="s">
        <v>170</v>
      </c>
      <c r="G604" t="s">
        <v>4373</v>
      </c>
      <c r="H604" t="s">
        <v>3536</v>
      </c>
      <c r="I604" t="s">
        <v>3537</v>
      </c>
      <c r="J604" s="8" t="str">
        <f>+LEFT(U604,4)</f>
        <v>STKR</v>
      </c>
      <c r="K604" t="s">
        <v>10</v>
      </c>
      <c r="L604" s="46">
        <v>500</v>
      </c>
      <c r="M604" t="s">
        <v>1472</v>
      </c>
      <c r="N604" t="s">
        <v>11</v>
      </c>
      <c r="O604" s="49">
        <v>0.15</v>
      </c>
      <c r="P604" s="9">
        <f>ROUND(O604*L604,2)</f>
        <v>75</v>
      </c>
      <c r="Q604" s="10">
        <f>IF(N604="HKD",7.8,IF(N604="CNY",7.30034,1))</f>
        <v>7.3003400000000003</v>
      </c>
      <c r="R604" s="10">
        <f>+ROUND(O604/Q604,4)</f>
        <v>2.0500000000000001E-2</v>
      </c>
      <c r="S604" s="11">
        <f>ROUND(R604*L604,2)</f>
        <v>10.25</v>
      </c>
      <c r="T604" s="10" t="s">
        <v>349</v>
      </c>
      <c r="U604" t="s">
        <v>18</v>
      </c>
    </row>
    <row r="605" spans="1:21">
      <c r="A605" t="s">
        <v>3907</v>
      </c>
      <c r="B605" s="20">
        <v>45748</v>
      </c>
      <c r="C605" s="20">
        <v>45721</v>
      </c>
      <c r="D605" t="s">
        <v>169</v>
      </c>
      <c r="E605" t="s">
        <v>170</v>
      </c>
      <c r="G605" t="s">
        <v>4373</v>
      </c>
      <c r="H605" t="s">
        <v>3538</v>
      </c>
      <c r="I605" t="s">
        <v>3539</v>
      </c>
      <c r="J605" s="8" t="str">
        <f>+LEFT(U605,4)</f>
        <v>STKR</v>
      </c>
      <c r="K605" t="s">
        <v>10</v>
      </c>
      <c r="L605" s="46">
        <v>400</v>
      </c>
      <c r="M605" t="s">
        <v>1472</v>
      </c>
      <c r="N605" t="s">
        <v>11</v>
      </c>
      <c r="O605" s="49">
        <v>0.15</v>
      </c>
      <c r="P605" s="9">
        <f>ROUND(O605*L605,2)</f>
        <v>60</v>
      </c>
      <c r="Q605" s="10">
        <f>IF(N605="HKD",7.8,IF(N605="CNY",7.30034,1))</f>
        <v>7.3003400000000003</v>
      </c>
      <c r="R605" s="10">
        <f>+ROUND(O605/Q605,4)</f>
        <v>2.0500000000000001E-2</v>
      </c>
      <c r="S605" s="11">
        <f>ROUND(R605*L605,2)</f>
        <v>8.1999999999999993</v>
      </c>
      <c r="T605" s="10" t="s">
        <v>349</v>
      </c>
      <c r="U605" t="s">
        <v>18</v>
      </c>
    </row>
    <row r="606" spans="1:21">
      <c r="A606" t="s">
        <v>3908</v>
      </c>
      <c r="B606" s="20">
        <v>45748</v>
      </c>
      <c r="C606" s="20">
        <v>45728</v>
      </c>
      <c r="D606" t="s">
        <v>169</v>
      </c>
      <c r="E606" t="s">
        <v>170</v>
      </c>
      <c r="G606" t="s">
        <v>4373</v>
      </c>
      <c r="H606" t="s">
        <v>3540</v>
      </c>
      <c r="I606" t="s">
        <v>3541</v>
      </c>
      <c r="J606" s="8" t="str">
        <f>+LEFT(U606,4)</f>
        <v>STKR</v>
      </c>
      <c r="K606" t="s">
        <v>10</v>
      </c>
      <c r="L606" s="46">
        <v>460</v>
      </c>
      <c r="M606" t="s">
        <v>1472</v>
      </c>
      <c r="N606" t="s">
        <v>11</v>
      </c>
      <c r="O606" s="49">
        <v>0.15</v>
      </c>
      <c r="P606" s="9">
        <f>ROUND(O606*L606,2)</f>
        <v>69</v>
      </c>
      <c r="Q606" s="10">
        <f>IF(N606="HKD",7.8,IF(N606="CNY",7.30034,1))</f>
        <v>7.3003400000000003</v>
      </c>
      <c r="R606" s="10">
        <f>+ROUND(O606/Q606,4)</f>
        <v>2.0500000000000001E-2</v>
      </c>
      <c r="S606" s="11">
        <f>ROUND(R606*L606,2)</f>
        <v>9.43</v>
      </c>
      <c r="T606" s="10" t="s">
        <v>349</v>
      </c>
      <c r="U606" t="s">
        <v>18</v>
      </c>
    </row>
    <row r="607" spans="1:21">
      <c r="A607" t="s">
        <v>3909</v>
      </c>
      <c r="B607" s="20">
        <v>45748</v>
      </c>
      <c r="C607" s="20">
        <v>45728</v>
      </c>
      <c r="D607" t="s">
        <v>169</v>
      </c>
      <c r="E607" t="s">
        <v>170</v>
      </c>
      <c r="G607" t="s">
        <v>4373</v>
      </c>
      <c r="H607" t="s">
        <v>3542</v>
      </c>
      <c r="I607" t="s">
        <v>3543</v>
      </c>
      <c r="J607" s="8" t="str">
        <f>+LEFT(U607,4)</f>
        <v>STKR</v>
      </c>
      <c r="K607" t="s">
        <v>10</v>
      </c>
      <c r="L607" s="46">
        <v>460</v>
      </c>
      <c r="M607" t="s">
        <v>1472</v>
      </c>
      <c r="N607" t="s">
        <v>11</v>
      </c>
      <c r="O607" s="49">
        <v>0.15</v>
      </c>
      <c r="P607" s="9">
        <f>ROUND(O607*L607,2)</f>
        <v>69</v>
      </c>
      <c r="Q607" s="10">
        <f>IF(N607="HKD",7.8,IF(N607="CNY",7.30034,1))</f>
        <v>7.3003400000000003</v>
      </c>
      <c r="R607" s="10">
        <f>+ROUND(O607/Q607,4)</f>
        <v>2.0500000000000001E-2</v>
      </c>
      <c r="S607" s="11">
        <f>ROUND(R607*L607,2)</f>
        <v>9.43</v>
      </c>
      <c r="T607" s="10" t="s">
        <v>349</v>
      </c>
      <c r="U607" t="s">
        <v>18</v>
      </c>
    </row>
    <row r="608" spans="1:21">
      <c r="A608" t="s">
        <v>3937</v>
      </c>
      <c r="B608" s="20">
        <v>45748</v>
      </c>
      <c r="C608" s="20">
        <v>45728</v>
      </c>
      <c r="D608" t="s">
        <v>169</v>
      </c>
      <c r="E608" t="s">
        <v>170</v>
      </c>
      <c r="G608" t="s">
        <v>4377</v>
      </c>
      <c r="H608" t="s">
        <v>3159</v>
      </c>
      <c r="I608" t="s">
        <v>3369</v>
      </c>
      <c r="J608" s="8" t="str">
        <f>+LEFT(U608,4)</f>
        <v>U&amp;C-</v>
      </c>
      <c r="K608" t="s">
        <v>10</v>
      </c>
      <c r="L608" s="46">
        <v>6100</v>
      </c>
      <c r="M608" t="s">
        <v>1472</v>
      </c>
      <c r="N608" t="s">
        <v>11</v>
      </c>
      <c r="O608" s="49">
        <v>0.252</v>
      </c>
      <c r="P608" s="9">
        <f>ROUND(O608*L608,2)</f>
        <v>1537.2</v>
      </c>
      <c r="Q608" s="10">
        <f>IF(N608="HKD",7.8,IF(N608="CNY",7.30034,1))</f>
        <v>7.3003400000000003</v>
      </c>
      <c r="R608" s="10">
        <f>+ROUND(O608/Q608,4)</f>
        <v>3.4500000000000003E-2</v>
      </c>
      <c r="S608" s="11">
        <f>ROUND(R608*L608,2)</f>
        <v>210.45</v>
      </c>
      <c r="T608" s="10" t="s">
        <v>349</v>
      </c>
      <c r="U608" t="s">
        <v>177</v>
      </c>
    </row>
    <row r="609" spans="1:21">
      <c r="A609" t="s">
        <v>2692</v>
      </c>
      <c r="B609" s="20">
        <v>45747</v>
      </c>
      <c r="C609" s="20">
        <v>45728</v>
      </c>
      <c r="D609" t="s">
        <v>280</v>
      </c>
      <c r="E609" t="s">
        <v>281</v>
      </c>
      <c r="G609" t="s">
        <v>3032</v>
      </c>
      <c r="H609" t="s">
        <v>284</v>
      </c>
      <c r="I609" t="s">
        <v>285</v>
      </c>
      <c r="J609" s="8" t="str">
        <f>+LEFT(U609,4)</f>
        <v>BOX-</v>
      </c>
      <c r="K609" t="s">
        <v>10</v>
      </c>
      <c r="L609" s="47">
        <v>3000</v>
      </c>
      <c r="M609" t="s">
        <v>1472</v>
      </c>
      <c r="N609" t="s">
        <v>11</v>
      </c>
      <c r="O609" s="50">
        <v>3.18</v>
      </c>
      <c r="P609" s="9">
        <f>ROUND(O609*L609,2)</f>
        <v>9540</v>
      </c>
      <c r="Q609" s="10">
        <f>IF(N609="HKD",7.8,IF(N609="CNY",7.30034,1))</f>
        <v>7.3003400000000003</v>
      </c>
      <c r="R609" s="10">
        <f>+ROUND(O609/Q609,4)</f>
        <v>0.43559999999999999</v>
      </c>
      <c r="S609" s="11">
        <f>ROUND(R609*L609,2)</f>
        <v>1306.8</v>
      </c>
      <c r="T609" s="10" t="s">
        <v>349</v>
      </c>
      <c r="U609" t="s">
        <v>1</v>
      </c>
    </row>
    <row r="610" spans="1:21">
      <c r="A610" t="s">
        <v>2693</v>
      </c>
      <c r="B610" s="20">
        <v>45747</v>
      </c>
      <c r="C610" s="20">
        <v>45728</v>
      </c>
      <c r="D610" t="s">
        <v>280</v>
      </c>
      <c r="E610" t="s">
        <v>281</v>
      </c>
      <c r="G610" t="s">
        <v>3032</v>
      </c>
      <c r="H610" t="s">
        <v>278</v>
      </c>
      <c r="I610" t="s">
        <v>279</v>
      </c>
      <c r="J610" s="8" t="str">
        <f>+LEFT(U610,4)</f>
        <v>BOX-</v>
      </c>
      <c r="K610" t="s">
        <v>10</v>
      </c>
      <c r="L610" s="47">
        <v>3000</v>
      </c>
      <c r="M610" t="s">
        <v>1472</v>
      </c>
      <c r="N610" t="s">
        <v>11</v>
      </c>
      <c r="O610" s="50">
        <v>5</v>
      </c>
      <c r="P610" s="9">
        <f>ROUND(O610*L610,2)</f>
        <v>15000</v>
      </c>
      <c r="Q610" s="10">
        <f>IF(N610="HKD",7.8,IF(N610="CNY",7.30034,1))</f>
        <v>7.3003400000000003</v>
      </c>
      <c r="R610" s="10">
        <f>+ROUND(O610/Q610,4)</f>
        <v>0.68489999999999995</v>
      </c>
      <c r="S610" s="11">
        <f>ROUND(R610*L610,2)</f>
        <v>2054.6999999999998</v>
      </c>
      <c r="T610" s="10" t="s">
        <v>349</v>
      </c>
      <c r="U610" t="s">
        <v>1</v>
      </c>
    </row>
    <row r="611" spans="1:21">
      <c r="A611" t="s">
        <v>2631</v>
      </c>
      <c r="B611" s="20">
        <v>45747</v>
      </c>
      <c r="C611" s="20">
        <v>45721</v>
      </c>
      <c r="D611" t="s">
        <v>651</v>
      </c>
      <c r="E611" t="s">
        <v>652</v>
      </c>
      <c r="G611" t="s">
        <v>3019</v>
      </c>
      <c r="H611" t="s">
        <v>649</v>
      </c>
      <c r="I611" t="s">
        <v>650</v>
      </c>
      <c r="J611" s="8" t="str">
        <f>+LEFT(U611,4)</f>
        <v>HDL-</v>
      </c>
      <c r="K611" t="s">
        <v>10</v>
      </c>
      <c r="L611" s="47">
        <v>1020</v>
      </c>
      <c r="M611" t="s">
        <v>1472</v>
      </c>
      <c r="N611" t="s">
        <v>11</v>
      </c>
      <c r="O611" s="50">
        <v>1.5</v>
      </c>
      <c r="P611" s="9">
        <f>ROUND(O611*L611,2)</f>
        <v>1530</v>
      </c>
      <c r="Q611" s="10">
        <f>IF(N611="HKD",7.8,IF(N611="CNY",7.30034,1))</f>
        <v>7.3003400000000003</v>
      </c>
      <c r="R611" s="10">
        <f>+ROUND(O611/Q611,4)</f>
        <v>0.20549999999999999</v>
      </c>
      <c r="S611" s="11">
        <f>ROUND(R611*L611,2)</f>
        <v>209.61</v>
      </c>
      <c r="T611" s="10" t="s">
        <v>349</v>
      </c>
      <c r="U611" t="s">
        <v>228</v>
      </c>
    </row>
    <row r="612" spans="1:21">
      <c r="A612" t="s">
        <v>2752</v>
      </c>
      <c r="B612" s="20">
        <v>45747</v>
      </c>
      <c r="C612" s="20">
        <v>45729</v>
      </c>
      <c r="D612" t="s">
        <v>651</v>
      </c>
      <c r="E612" t="s">
        <v>652</v>
      </c>
      <c r="G612" t="s">
        <v>2906</v>
      </c>
      <c r="H612" t="s">
        <v>3116</v>
      </c>
      <c r="I612" t="s">
        <v>3330</v>
      </c>
      <c r="J612" s="8" t="str">
        <f>+LEFT(U612,4)</f>
        <v>HDL-</v>
      </c>
      <c r="K612" t="s">
        <v>10</v>
      </c>
      <c r="L612" s="47">
        <v>1030</v>
      </c>
      <c r="M612" t="s">
        <v>1472</v>
      </c>
      <c r="N612" t="s">
        <v>11</v>
      </c>
      <c r="O612" s="50">
        <v>1.76</v>
      </c>
      <c r="P612" s="9">
        <f>ROUND(O612*L612,2)</f>
        <v>1812.8</v>
      </c>
      <c r="Q612" s="10">
        <f>IF(N612="HKD",7.8,IF(N612="CNY",7.30034,1))</f>
        <v>7.3003400000000003</v>
      </c>
      <c r="R612" s="10">
        <f>+ROUND(O612/Q612,4)</f>
        <v>0.24110000000000001</v>
      </c>
      <c r="S612" s="11">
        <f>ROUND(R612*L612,2)</f>
        <v>248.33</v>
      </c>
      <c r="T612" s="10" t="s">
        <v>349</v>
      </c>
      <c r="U612" t="s">
        <v>228</v>
      </c>
    </row>
    <row r="613" spans="1:21">
      <c r="A613" t="s">
        <v>2714</v>
      </c>
      <c r="B613" s="20">
        <v>45747</v>
      </c>
      <c r="C613" s="20">
        <v>45728</v>
      </c>
      <c r="D613" t="s">
        <v>651</v>
      </c>
      <c r="E613" t="s">
        <v>652</v>
      </c>
      <c r="G613" t="s">
        <v>3019</v>
      </c>
      <c r="H613" t="s">
        <v>3200</v>
      </c>
      <c r="I613" t="s">
        <v>3407</v>
      </c>
      <c r="J613" s="8" t="str">
        <f>+LEFT(U613,4)</f>
        <v>HDL-</v>
      </c>
      <c r="K613" t="s">
        <v>10</v>
      </c>
      <c r="L613" s="47">
        <v>3030</v>
      </c>
      <c r="M613" t="s">
        <v>1472</v>
      </c>
      <c r="N613" t="s">
        <v>11</v>
      </c>
      <c r="O613" s="50">
        <v>2.3401999999999998</v>
      </c>
      <c r="P613" s="9">
        <f>ROUND(O613*L613,2)</f>
        <v>7090.81</v>
      </c>
      <c r="Q613" s="10">
        <f>IF(N613="HKD",7.8,IF(N613="CNY",7.30034,1))</f>
        <v>7.3003400000000003</v>
      </c>
      <c r="R613" s="10">
        <f>+ROUND(O613/Q613,4)</f>
        <v>0.3206</v>
      </c>
      <c r="S613" s="11">
        <f>ROUND(R613*L613,2)</f>
        <v>971.42</v>
      </c>
      <c r="T613" s="10" t="s">
        <v>349</v>
      </c>
      <c r="U613" t="s">
        <v>228</v>
      </c>
    </row>
    <row r="614" spans="1:21">
      <c r="A614" t="s">
        <v>2632</v>
      </c>
      <c r="B614" s="20">
        <v>45747</v>
      </c>
      <c r="C614" s="20">
        <v>45721</v>
      </c>
      <c r="D614" t="s">
        <v>651</v>
      </c>
      <c r="E614" t="s">
        <v>652</v>
      </c>
      <c r="G614" t="s">
        <v>3019</v>
      </c>
      <c r="H614" t="s">
        <v>3200</v>
      </c>
      <c r="I614" t="s">
        <v>3407</v>
      </c>
      <c r="J614" s="8" t="str">
        <f>+LEFT(U614,4)</f>
        <v>HDL-</v>
      </c>
      <c r="K614" t="s">
        <v>10</v>
      </c>
      <c r="L614" s="47">
        <v>1250</v>
      </c>
      <c r="M614" t="s">
        <v>1472</v>
      </c>
      <c r="N614" t="s">
        <v>11</v>
      </c>
      <c r="O614" s="50">
        <v>2.3879999999999999</v>
      </c>
      <c r="P614" s="9">
        <f>ROUND(O614*L614,2)</f>
        <v>2985</v>
      </c>
      <c r="Q614" s="10">
        <f>IF(N614="HKD",7.8,IF(N614="CNY",7.30034,1))</f>
        <v>7.3003400000000003</v>
      </c>
      <c r="R614" s="10">
        <f>+ROUND(O614/Q614,4)</f>
        <v>0.3271</v>
      </c>
      <c r="S614" s="11">
        <f>ROUND(R614*L614,2)</f>
        <v>408.88</v>
      </c>
      <c r="T614" s="10" t="s">
        <v>349</v>
      </c>
      <c r="U614" t="s">
        <v>228</v>
      </c>
    </row>
    <row r="615" spans="1:21">
      <c r="A615" t="s">
        <v>2426</v>
      </c>
      <c r="B615" s="20">
        <v>45747</v>
      </c>
      <c r="C615" s="20">
        <v>45702</v>
      </c>
      <c r="D615" t="s">
        <v>651</v>
      </c>
      <c r="E615" t="s">
        <v>652</v>
      </c>
      <c r="G615" t="s">
        <v>2906</v>
      </c>
      <c r="H615" t="s">
        <v>3115</v>
      </c>
      <c r="I615" t="s">
        <v>3329</v>
      </c>
      <c r="J615" s="8" t="str">
        <f>+LEFT(U615,4)</f>
        <v>HDL-</v>
      </c>
      <c r="K615" t="s">
        <v>10</v>
      </c>
      <c r="L615" s="47">
        <v>1020</v>
      </c>
      <c r="M615" t="s">
        <v>1472</v>
      </c>
      <c r="N615" t="s">
        <v>11</v>
      </c>
      <c r="O615" s="50">
        <v>2.5788000000000002</v>
      </c>
      <c r="P615" s="9">
        <f>ROUND(O615*L615,2)</f>
        <v>2630.38</v>
      </c>
      <c r="Q615" s="10">
        <f>IF(N615="HKD",7.8,IF(N615="CNY",7.30034,1))</f>
        <v>7.3003400000000003</v>
      </c>
      <c r="R615" s="10">
        <f>+ROUND(O615/Q615,4)</f>
        <v>0.35320000000000001</v>
      </c>
      <c r="S615" s="11">
        <f>ROUND(R615*L615,2)</f>
        <v>360.26</v>
      </c>
      <c r="T615" s="10" t="s">
        <v>349</v>
      </c>
      <c r="U615" t="s">
        <v>228</v>
      </c>
    </row>
    <row r="616" spans="1:21">
      <c r="A616" t="s">
        <v>2494</v>
      </c>
      <c r="B616" s="20">
        <v>45747</v>
      </c>
      <c r="C616" s="20">
        <v>45713</v>
      </c>
      <c r="D616" t="s">
        <v>2257</v>
      </c>
      <c r="E616" t="s">
        <v>2258</v>
      </c>
      <c r="G616" t="s">
        <v>2952</v>
      </c>
      <c r="H616" t="s">
        <v>1798</v>
      </c>
      <c r="I616" t="s">
        <v>1799</v>
      </c>
      <c r="J616" s="8" t="str">
        <f>+LEFT(U616,4)</f>
        <v>HDL-</v>
      </c>
      <c r="K616" t="s">
        <v>10</v>
      </c>
      <c r="L616" s="47">
        <v>2200</v>
      </c>
      <c r="M616" t="s">
        <v>1472</v>
      </c>
      <c r="N616" t="s">
        <v>11</v>
      </c>
      <c r="O616" s="50">
        <v>7.4931000000000001</v>
      </c>
      <c r="P616" s="9">
        <f>ROUND(O616*L616,2)</f>
        <v>16484.82</v>
      </c>
      <c r="Q616" s="10">
        <f>IF(N616="HKD",7.8,IF(N616="CNY",7.30034,1))</f>
        <v>7.3003400000000003</v>
      </c>
      <c r="R616" s="10">
        <f>+ROUND(O616/Q616,4)</f>
        <v>1.0264</v>
      </c>
      <c r="S616" s="11">
        <f>ROUND(R616*L616,2)</f>
        <v>2258.08</v>
      </c>
      <c r="T616" s="10" t="s">
        <v>349</v>
      </c>
      <c r="U616" t="s">
        <v>228</v>
      </c>
    </row>
    <row r="617" spans="1:21">
      <c r="A617" t="s">
        <v>2505</v>
      </c>
      <c r="B617" s="20">
        <v>45747</v>
      </c>
      <c r="C617" s="20">
        <v>45713</v>
      </c>
      <c r="D617" t="s">
        <v>2257</v>
      </c>
      <c r="E617" t="s">
        <v>2258</v>
      </c>
      <c r="G617" t="s">
        <v>2952</v>
      </c>
      <c r="H617" t="s">
        <v>3152</v>
      </c>
      <c r="I617" t="s">
        <v>3362</v>
      </c>
      <c r="J617" s="8" t="str">
        <f>+LEFT(U617,4)</f>
        <v>HDL-</v>
      </c>
      <c r="K617" t="s">
        <v>10</v>
      </c>
      <c r="L617" s="47">
        <v>3600</v>
      </c>
      <c r="M617" t="s">
        <v>1472</v>
      </c>
      <c r="N617" t="s">
        <v>11</v>
      </c>
      <c r="O617" s="50">
        <v>7.4931000000000001</v>
      </c>
      <c r="P617" s="9">
        <f>ROUND(O617*L617,2)</f>
        <v>26975.16</v>
      </c>
      <c r="Q617" s="10">
        <f>IF(N617="HKD",7.8,IF(N617="CNY",7.30034,1))</f>
        <v>7.3003400000000003</v>
      </c>
      <c r="R617" s="10">
        <f>+ROUND(O617/Q617,4)</f>
        <v>1.0264</v>
      </c>
      <c r="S617" s="11">
        <f>ROUND(R617*L617,2)</f>
        <v>3695.04</v>
      </c>
      <c r="T617" s="10" t="s">
        <v>349</v>
      </c>
      <c r="U617" t="s">
        <v>228</v>
      </c>
    </row>
    <row r="618" spans="1:21">
      <c r="A618" t="s">
        <v>2506</v>
      </c>
      <c r="B618" s="20">
        <v>45747</v>
      </c>
      <c r="C618" s="20">
        <v>45713</v>
      </c>
      <c r="D618" t="s">
        <v>2257</v>
      </c>
      <c r="E618" t="s">
        <v>2258</v>
      </c>
      <c r="G618" t="s">
        <v>2952</v>
      </c>
      <c r="H618" t="s">
        <v>1802</v>
      </c>
      <c r="I618" t="s">
        <v>1803</v>
      </c>
      <c r="J618" s="8" t="str">
        <f>+LEFT(U618,4)</f>
        <v>HDL-</v>
      </c>
      <c r="K618" t="s">
        <v>10</v>
      </c>
      <c r="L618" s="47">
        <v>3550</v>
      </c>
      <c r="M618" t="s">
        <v>1472</v>
      </c>
      <c r="N618" t="s">
        <v>11</v>
      </c>
      <c r="O618" s="50">
        <v>7.4931000000000001</v>
      </c>
      <c r="P618" s="9">
        <f>ROUND(O618*L618,2)</f>
        <v>26600.51</v>
      </c>
      <c r="Q618" s="10">
        <f>IF(N618="HKD",7.8,IF(N618="CNY",7.30034,1))</f>
        <v>7.3003400000000003</v>
      </c>
      <c r="R618" s="10">
        <f>+ROUND(O618/Q618,4)</f>
        <v>1.0264</v>
      </c>
      <c r="S618" s="11">
        <f>ROUND(R618*L618,2)</f>
        <v>3643.72</v>
      </c>
      <c r="T618" s="10" t="s">
        <v>349</v>
      </c>
      <c r="U618" t="s">
        <v>228</v>
      </c>
    </row>
    <row r="619" spans="1:21">
      <c r="A619" t="s">
        <v>2488</v>
      </c>
      <c r="B619" s="20">
        <v>45747</v>
      </c>
      <c r="C619" s="20">
        <v>45712</v>
      </c>
      <c r="D619" t="s">
        <v>2257</v>
      </c>
      <c r="E619" t="s">
        <v>2258</v>
      </c>
      <c r="G619" t="s">
        <v>2952</v>
      </c>
      <c r="H619" t="s">
        <v>3148</v>
      </c>
      <c r="I619" t="s">
        <v>3358</v>
      </c>
      <c r="J619" s="8" t="str">
        <f>+LEFT(U619,4)</f>
        <v>HDL-</v>
      </c>
      <c r="K619" t="s">
        <v>10</v>
      </c>
      <c r="L619" s="47">
        <v>1800</v>
      </c>
      <c r="M619" t="s">
        <v>1472</v>
      </c>
      <c r="N619" t="s">
        <v>11</v>
      </c>
      <c r="O619" s="50">
        <v>7.6459999999999999</v>
      </c>
      <c r="P619" s="9">
        <f>ROUND(O619*L619,2)</f>
        <v>13762.8</v>
      </c>
      <c r="Q619" s="10">
        <f>IF(N619="HKD",7.8,IF(N619="CNY",7.30034,1))</f>
        <v>7.3003400000000003</v>
      </c>
      <c r="R619" s="10">
        <f>+ROUND(O619/Q619,4)</f>
        <v>1.0472999999999999</v>
      </c>
      <c r="S619" s="11">
        <f>ROUND(R619*L619,2)</f>
        <v>1885.14</v>
      </c>
      <c r="T619" s="10" t="s">
        <v>349</v>
      </c>
      <c r="U619" t="s">
        <v>228</v>
      </c>
    </row>
    <row r="620" spans="1:21">
      <c r="A620" t="s">
        <v>2401</v>
      </c>
      <c r="B620" s="20">
        <v>45747</v>
      </c>
      <c r="C620" s="20">
        <v>45698</v>
      </c>
      <c r="D620" t="s">
        <v>925</v>
      </c>
      <c r="E620" t="s">
        <v>926</v>
      </c>
      <c r="G620" t="s">
        <v>2924</v>
      </c>
      <c r="H620" t="s">
        <v>3099</v>
      </c>
      <c r="I620" t="s">
        <v>3314</v>
      </c>
      <c r="J620" s="8" t="str">
        <f>+LEFT(U620,4)</f>
        <v>HDL-</v>
      </c>
      <c r="K620" t="s">
        <v>10</v>
      </c>
      <c r="L620" s="47">
        <v>520</v>
      </c>
      <c r="M620" t="s">
        <v>1472</v>
      </c>
      <c r="N620" t="s">
        <v>11</v>
      </c>
      <c r="O620" s="50">
        <v>9.6722999999999999</v>
      </c>
      <c r="P620" s="9">
        <f>ROUND(O620*L620,2)</f>
        <v>5029.6000000000004</v>
      </c>
      <c r="Q620" s="10">
        <f>IF(N620="HKD",7.8,IF(N620="CNY",7.30034,1))</f>
        <v>7.3003400000000003</v>
      </c>
      <c r="R620" s="10">
        <f>+ROUND(O620/Q620,4)</f>
        <v>1.3249</v>
      </c>
      <c r="S620" s="11">
        <f>ROUND(R620*L620,2)</f>
        <v>688.95</v>
      </c>
      <c r="T620" s="10" t="s">
        <v>349</v>
      </c>
      <c r="U620" t="s">
        <v>228</v>
      </c>
    </row>
    <row r="621" spans="1:21">
      <c r="A621" t="s">
        <v>2368</v>
      </c>
      <c r="B621" s="20">
        <v>45747</v>
      </c>
      <c r="C621" s="20">
        <v>45695</v>
      </c>
      <c r="D621" t="s">
        <v>651</v>
      </c>
      <c r="E621" t="s">
        <v>652</v>
      </c>
      <c r="G621" t="s">
        <v>2906</v>
      </c>
      <c r="H621" t="s">
        <v>1760</v>
      </c>
      <c r="I621" t="s">
        <v>1761</v>
      </c>
      <c r="J621" s="8" t="str">
        <f>+LEFT(U621,4)</f>
        <v>KNOB</v>
      </c>
      <c r="K621" t="s">
        <v>10</v>
      </c>
      <c r="L621" s="47">
        <v>2900</v>
      </c>
      <c r="M621" t="s">
        <v>1472</v>
      </c>
      <c r="N621" t="s">
        <v>11</v>
      </c>
      <c r="O621" s="50">
        <v>4.4776999999999996</v>
      </c>
      <c r="P621" s="9">
        <f>ROUND(O621*L621,2)</f>
        <v>12985.33</v>
      </c>
      <c r="Q621" s="10">
        <f>IF(N621="HKD",7.8,IF(N621="CNY",7.30034,1))</f>
        <v>7.3003400000000003</v>
      </c>
      <c r="R621" s="10">
        <f>+ROUND(O621/Q621,4)</f>
        <v>0.61339999999999995</v>
      </c>
      <c r="S621" s="11">
        <f>ROUND(R621*L621,2)</f>
        <v>1778.86</v>
      </c>
      <c r="T621" s="10" t="s">
        <v>349</v>
      </c>
      <c r="U621" t="s">
        <v>32</v>
      </c>
    </row>
    <row r="622" spans="1:21">
      <c r="A622" t="s">
        <v>2540</v>
      </c>
      <c r="B622" s="20">
        <v>45747</v>
      </c>
      <c r="C622" s="20">
        <v>45714</v>
      </c>
      <c r="D622" t="s">
        <v>830</v>
      </c>
      <c r="E622" t="s">
        <v>831</v>
      </c>
      <c r="G622" t="s">
        <v>2986</v>
      </c>
      <c r="H622" t="s">
        <v>3166</v>
      </c>
      <c r="I622" t="s">
        <v>3376</v>
      </c>
      <c r="J622" s="8" t="str">
        <f>+LEFT(U622,4)</f>
        <v>LID-</v>
      </c>
      <c r="K622" t="s">
        <v>98</v>
      </c>
      <c r="L622" s="47">
        <v>1920</v>
      </c>
      <c r="M622" t="s">
        <v>1472</v>
      </c>
      <c r="N622" t="s">
        <v>11</v>
      </c>
      <c r="O622" s="50">
        <v>4.2</v>
      </c>
      <c r="P622" s="9">
        <f>ROUND(O622*L622,2)</f>
        <v>8064</v>
      </c>
      <c r="Q622" s="10">
        <f>IF(N622="HKD",7.8,IF(N622="CNY",7.30034,1))</f>
        <v>7.3003400000000003</v>
      </c>
      <c r="R622" s="10">
        <f>+ROUND(O622/Q622,4)</f>
        <v>0.57530000000000003</v>
      </c>
      <c r="S622" s="11">
        <f>ROUND(R622*L622,2)</f>
        <v>1104.58</v>
      </c>
      <c r="T622" s="10" t="s">
        <v>349</v>
      </c>
      <c r="U622" t="s">
        <v>368</v>
      </c>
    </row>
    <row r="623" spans="1:21">
      <c r="A623" t="s">
        <v>2537</v>
      </c>
      <c r="B623" s="20">
        <v>45747</v>
      </c>
      <c r="C623" s="20">
        <v>45714</v>
      </c>
      <c r="D623" t="s">
        <v>94</v>
      </c>
      <c r="E623" t="s">
        <v>95</v>
      </c>
      <c r="G623" t="s">
        <v>2979</v>
      </c>
      <c r="H623" t="s">
        <v>3165</v>
      </c>
      <c r="I623" t="s">
        <v>3375</v>
      </c>
      <c r="J623" s="8" t="str">
        <f>+LEFT(U623,4)</f>
        <v>LID-</v>
      </c>
      <c r="K623" t="s">
        <v>98</v>
      </c>
      <c r="L623" s="47">
        <v>1514</v>
      </c>
      <c r="M623" t="s">
        <v>1472</v>
      </c>
      <c r="N623" t="s">
        <v>11</v>
      </c>
      <c r="O623" s="50">
        <v>4.37</v>
      </c>
      <c r="P623" s="9">
        <f>ROUND(O623*L623,2)</f>
        <v>6616.18</v>
      </c>
      <c r="Q623" s="10">
        <f>IF(N623="HKD",7.8,IF(N623="CNY",7.30034,1))</f>
        <v>7.3003400000000003</v>
      </c>
      <c r="R623" s="10">
        <f>+ROUND(O623/Q623,4)</f>
        <v>0.59860000000000002</v>
      </c>
      <c r="S623" s="11">
        <f>ROUND(R623*L623,2)</f>
        <v>906.28</v>
      </c>
      <c r="T623" s="10" t="s">
        <v>349</v>
      </c>
      <c r="U623" t="s">
        <v>368</v>
      </c>
    </row>
    <row r="624" spans="1:21">
      <c r="A624" t="s">
        <v>2565</v>
      </c>
      <c r="B624" s="20">
        <v>45744</v>
      </c>
      <c r="C624" s="20">
        <v>45716</v>
      </c>
      <c r="D624" t="s">
        <v>21</v>
      </c>
      <c r="E624" t="s">
        <v>22</v>
      </c>
      <c r="G624" t="s">
        <v>2929</v>
      </c>
      <c r="H624" t="s">
        <v>3178</v>
      </c>
      <c r="I624" t="s">
        <v>3385</v>
      </c>
      <c r="J624" s="8" t="str">
        <f>+LEFT(U624,4)</f>
        <v>BRKT</v>
      </c>
      <c r="K624" t="s">
        <v>10</v>
      </c>
      <c r="L624" s="47">
        <v>1050</v>
      </c>
      <c r="M624" t="s">
        <v>1472</v>
      </c>
      <c r="N624" t="s">
        <v>11</v>
      </c>
      <c r="O624" s="50">
        <v>0.60340000000000005</v>
      </c>
      <c r="P624" s="9">
        <f>ROUND(O624*L624,2)</f>
        <v>633.57000000000005</v>
      </c>
      <c r="Q624" s="10">
        <f>IF(N624="HKD",7.8,IF(N624="CNY",7.30034,1))</f>
        <v>7.3003400000000003</v>
      </c>
      <c r="R624" s="10">
        <f>+ROUND(O624/Q624,4)</f>
        <v>8.2699999999999996E-2</v>
      </c>
      <c r="S624" s="11">
        <f>ROUND(R624*L624,2)</f>
        <v>86.84</v>
      </c>
      <c r="T624" s="10" t="s">
        <v>349</v>
      </c>
      <c r="U624" t="s">
        <v>442</v>
      </c>
    </row>
    <row r="625" spans="1:21">
      <c r="A625" t="s">
        <v>2628</v>
      </c>
      <c r="B625" s="20">
        <v>45744</v>
      </c>
      <c r="C625" s="20">
        <v>45721</v>
      </c>
      <c r="D625" t="s">
        <v>21</v>
      </c>
      <c r="E625" t="s">
        <v>22</v>
      </c>
      <c r="G625" t="s">
        <v>2999</v>
      </c>
      <c r="H625" t="s">
        <v>814</v>
      </c>
      <c r="I625" t="s">
        <v>815</v>
      </c>
      <c r="J625" s="8" t="str">
        <f>+LEFT(U625,4)</f>
        <v>BRKT</v>
      </c>
      <c r="K625" t="s">
        <v>10</v>
      </c>
      <c r="L625" s="47">
        <v>1020</v>
      </c>
      <c r="M625" t="s">
        <v>1472</v>
      </c>
      <c r="N625" t="s">
        <v>11</v>
      </c>
      <c r="O625" s="50">
        <v>0.60570000000000002</v>
      </c>
      <c r="P625" s="9">
        <f>ROUND(O625*L625,2)</f>
        <v>617.80999999999995</v>
      </c>
      <c r="Q625" s="10">
        <f>IF(N625="HKD",7.8,IF(N625="CNY",7.30034,1))</f>
        <v>7.3003400000000003</v>
      </c>
      <c r="R625" s="10">
        <f>+ROUND(O625/Q625,4)</f>
        <v>8.3000000000000004E-2</v>
      </c>
      <c r="S625" s="11">
        <f>ROUND(R625*L625,2)</f>
        <v>84.66</v>
      </c>
      <c r="T625" s="10" t="s">
        <v>349</v>
      </c>
      <c r="U625" t="s">
        <v>442</v>
      </c>
    </row>
    <row r="626" spans="1:21">
      <c r="A626" t="s">
        <v>2567</v>
      </c>
      <c r="B626" s="20">
        <v>45744</v>
      </c>
      <c r="C626" s="20">
        <v>45716</v>
      </c>
      <c r="D626" t="s">
        <v>21</v>
      </c>
      <c r="E626" t="s">
        <v>22</v>
      </c>
      <c r="G626" t="s">
        <v>2999</v>
      </c>
      <c r="H626" t="s">
        <v>3180</v>
      </c>
      <c r="I626" t="s">
        <v>3387</v>
      </c>
      <c r="J626" s="8" t="str">
        <f>+LEFT(U626,4)</f>
        <v>BRKT</v>
      </c>
      <c r="K626" t="s">
        <v>10</v>
      </c>
      <c r="L626" s="47">
        <v>750</v>
      </c>
      <c r="M626" t="s">
        <v>1472</v>
      </c>
      <c r="N626" t="s">
        <v>11</v>
      </c>
      <c r="O626" s="50">
        <v>0.68969999999999998</v>
      </c>
      <c r="P626" s="9">
        <f>ROUND(O626*L626,2)</f>
        <v>517.28</v>
      </c>
      <c r="Q626" s="10">
        <f>IF(N626="HKD",7.8,IF(N626="CNY",7.30034,1))</f>
        <v>7.3003400000000003</v>
      </c>
      <c r="R626" s="10">
        <f>+ROUND(O626/Q626,4)</f>
        <v>9.4500000000000001E-2</v>
      </c>
      <c r="S626" s="11">
        <f>ROUND(R626*L626,2)</f>
        <v>70.88</v>
      </c>
      <c r="T626" s="10" t="s">
        <v>349</v>
      </c>
      <c r="U626" t="s">
        <v>442</v>
      </c>
    </row>
    <row r="627" spans="1:21">
      <c r="A627" t="s">
        <v>2629</v>
      </c>
      <c r="B627" s="20">
        <v>45744</v>
      </c>
      <c r="C627" s="20">
        <v>45721</v>
      </c>
      <c r="D627" t="s">
        <v>21</v>
      </c>
      <c r="E627" t="s">
        <v>22</v>
      </c>
      <c r="G627" t="s">
        <v>2999</v>
      </c>
      <c r="H627" t="s">
        <v>793</v>
      </c>
      <c r="I627" t="s">
        <v>794</v>
      </c>
      <c r="J627" s="8" t="str">
        <f>+LEFT(U627,4)</f>
        <v>FG--</v>
      </c>
      <c r="K627" t="s">
        <v>10</v>
      </c>
      <c r="L627" s="47">
        <v>1010</v>
      </c>
      <c r="M627" t="s">
        <v>1472</v>
      </c>
      <c r="N627" t="s">
        <v>11</v>
      </c>
      <c r="O627" s="50">
        <v>0.62919999999999998</v>
      </c>
      <c r="P627" s="9">
        <f>ROUND(O627*L627,2)</f>
        <v>635.49</v>
      </c>
      <c r="Q627" s="10">
        <f>IF(N627="HKD",7.8,IF(N627="CNY",7.30034,1))</f>
        <v>7.3003400000000003</v>
      </c>
      <c r="R627" s="10">
        <f>+ROUND(O627/Q627,4)</f>
        <v>8.6199999999999999E-2</v>
      </c>
      <c r="S627" s="11">
        <f>ROUND(R627*L627,2)</f>
        <v>87.06</v>
      </c>
      <c r="T627" s="10" t="s">
        <v>349</v>
      </c>
      <c r="U627" t="s">
        <v>64</v>
      </c>
    </row>
    <row r="628" spans="1:21">
      <c r="A628" t="s">
        <v>2568</v>
      </c>
      <c r="B628" s="20">
        <v>45744</v>
      </c>
      <c r="C628" s="20">
        <v>45716</v>
      </c>
      <c r="D628" t="s">
        <v>21</v>
      </c>
      <c r="E628" t="s">
        <v>22</v>
      </c>
      <c r="G628" t="s">
        <v>2999</v>
      </c>
      <c r="H628" t="s">
        <v>3181</v>
      </c>
      <c r="I628" t="s">
        <v>3388</v>
      </c>
      <c r="J628" s="8" t="str">
        <f>+LEFT(U628,4)</f>
        <v>FG--</v>
      </c>
      <c r="K628" t="s">
        <v>10</v>
      </c>
      <c r="L628" s="47">
        <v>1000</v>
      </c>
      <c r="M628" t="s">
        <v>1472</v>
      </c>
      <c r="N628" t="s">
        <v>11</v>
      </c>
      <c r="O628" s="50">
        <v>0.64870000000000005</v>
      </c>
      <c r="P628" s="9">
        <f>ROUND(O628*L628,2)</f>
        <v>648.70000000000005</v>
      </c>
      <c r="Q628" s="10">
        <f>IF(N628="HKD",7.8,IF(N628="CNY",7.30034,1))</f>
        <v>7.3003400000000003</v>
      </c>
      <c r="R628" s="10">
        <f>+ROUND(O628/Q628,4)</f>
        <v>8.8900000000000007E-2</v>
      </c>
      <c r="S628" s="11">
        <f>ROUND(R628*L628,2)</f>
        <v>88.9</v>
      </c>
      <c r="T628" s="10" t="s">
        <v>349</v>
      </c>
      <c r="U628" t="s">
        <v>64</v>
      </c>
    </row>
    <row r="629" spans="1:21">
      <c r="A629" t="s">
        <v>2566</v>
      </c>
      <c r="B629" s="20">
        <v>45744</v>
      </c>
      <c r="C629" s="20">
        <v>45716</v>
      </c>
      <c r="D629" t="s">
        <v>21</v>
      </c>
      <c r="E629" t="s">
        <v>22</v>
      </c>
      <c r="G629" t="s">
        <v>2999</v>
      </c>
      <c r="H629" t="s">
        <v>3179</v>
      </c>
      <c r="I629" t="s">
        <v>3386</v>
      </c>
      <c r="J629" s="8" t="str">
        <f>+LEFT(U629,4)</f>
        <v>FG--</v>
      </c>
      <c r="K629" t="s">
        <v>10</v>
      </c>
      <c r="L629" s="47">
        <v>1050</v>
      </c>
      <c r="M629" t="s">
        <v>1472</v>
      </c>
      <c r="N629" t="s">
        <v>11</v>
      </c>
      <c r="O629" s="50">
        <v>0.65839999999999999</v>
      </c>
      <c r="P629" s="9">
        <f>ROUND(O629*L629,2)</f>
        <v>691.32</v>
      </c>
      <c r="Q629" s="10">
        <f>IF(N629="HKD",7.8,IF(N629="CNY",7.30034,1))</f>
        <v>7.3003400000000003</v>
      </c>
      <c r="R629" s="10">
        <f>+ROUND(O629/Q629,4)</f>
        <v>9.0200000000000002E-2</v>
      </c>
      <c r="S629" s="11">
        <f>ROUND(R629*L629,2)</f>
        <v>94.71</v>
      </c>
      <c r="T629" s="10" t="s">
        <v>349</v>
      </c>
      <c r="U629" t="s">
        <v>64</v>
      </c>
    </row>
    <row r="630" spans="1:21">
      <c r="A630" t="s">
        <v>2644</v>
      </c>
      <c r="B630" s="20">
        <v>45744</v>
      </c>
      <c r="C630" s="20">
        <v>45721</v>
      </c>
      <c r="D630" t="s">
        <v>149</v>
      </c>
      <c r="E630" t="s">
        <v>150</v>
      </c>
      <c r="G630" t="s">
        <v>2995</v>
      </c>
      <c r="H630" t="s">
        <v>781</v>
      </c>
      <c r="I630" t="s">
        <v>782</v>
      </c>
      <c r="J630" s="8" t="str">
        <f>+LEFT(U630,4)</f>
        <v>GLID</v>
      </c>
      <c r="K630" t="s">
        <v>10</v>
      </c>
      <c r="L630" s="47">
        <v>1010</v>
      </c>
      <c r="M630" t="s">
        <v>1472</v>
      </c>
      <c r="N630" t="s">
        <v>11</v>
      </c>
      <c r="O630" s="50">
        <v>3.1166</v>
      </c>
      <c r="P630" s="9">
        <f>ROUND(O630*L630,2)</f>
        <v>3147.77</v>
      </c>
      <c r="Q630" s="10">
        <f>IF(N630="HKD",7.8,IF(N630="CNY",7.30034,1))</f>
        <v>7.3003400000000003</v>
      </c>
      <c r="R630" s="10">
        <f>+ROUND(O630/Q630,4)</f>
        <v>0.4269</v>
      </c>
      <c r="S630" s="11">
        <f>ROUND(R630*L630,2)</f>
        <v>431.17</v>
      </c>
      <c r="T630" s="10" t="s">
        <v>349</v>
      </c>
      <c r="U630" t="s">
        <v>78</v>
      </c>
    </row>
    <row r="631" spans="1:21">
      <c r="A631" t="s">
        <v>2552</v>
      </c>
      <c r="B631" s="20">
        <v>45744</v>
      </c>
      <c r="C631" s="20">
        <v>45716</v>
      </c>
      <c r="D631" t="s">
        <v>149</v>
      </c>
      <c r="E631" t="s">
        <v>150</v>
      </c>
      <c r="G631" t="s">
        <v>2995</v>
      </c>
      <c r="H631" t="s">
        <v>1726</v>
      </c>
      <c r="I631" t="s">
        <v>1727</v>
      </c>
      <c r="J631" s="8" t="str">
        <f>+LEFT(U631,4)</f>
        <v>GLID</v>
      </c>
      <c r="K631" t="s">
        <v>10</v>
      </c>
      <c r="L631" s="47">
        <v>1020</v>
      </c>
      <c r="M631" t="s">
        <v>1472</v>
      </c>
      <c r="N631" t="s">
        <v>11</v>
      </c>
      <c r="O631" s="50">
        <v>3.1461000000000001</v>
      </c>
      <c r="P631" s="9">
        <f>ROUND(O631*L631,2)</f>
        <v>3209.02</v>
      </c>
      <c r="Q631" s="10">
        <f>IF(N631="HKD",7.8,IF(N631="CNY",7.30034,1))</f>
        <v>7.3003400000000003</v>
      </c>
      <c r="R631" s="10">
        <f>+ROUND(O631/Q631,4)</f>
        <v>0.43099999999999999</v>
      </c>
      <c r="S631" s="11">
        <f>ROUND(R631*L631,2)</f>
        <v>439.62</v>
      </c>
      <c r="T631" s="10" t="s">
        <v>349</v>
      </c>
      <c r="U631" t="s">
        <v>78</v>
      </c>
    </row>
    <row r="632" spans="1:21">
      <c r="A632" t="s">
        <v>2554</v>
      </c>
      <c r="B632" s="20">
        <v>45744</v>
      </c>
      <c r="C632" s="20">
        <v>45716</v>
      </c>
      <c r="D632" t="s">
        <v>149</v>
      </c>
      <c r="E632" t="s">
        <v>150</v>
      </c>
      <c r="G632" t="s">
        <v>2995</v>
      </c>
      <c r="H632" t="s">
        <v>3172</v>
      </c>
      <c r="I632" t="s">
        <v>3317</v>
      </c>
      <c r="J632" s="8" t="str">
        <f>+LEFT(U632,4)</f>
        <v>GLID</v>
      </c>
      <c r="K632" t="s">
        <v>10</v>
      </c>
      <c r="L632" s="47">
        <v>1030</v>
      </c>
      <c r="M632" t="s">
        <v>1472</v>
      </c>
      <c r="N632" t="s">
        <v>11</v>
      </c>
      <c r="O632" s="50">
        <v>4.8769</v>
      </c>
      <c r="P632" s="9">
        <f>ROUND(O632*L632,2)</f>
        <v>5023.21</v>
      </c>
      <c r="Q632" s="10">
        <f>IF(N632="HKD",7.8,IF(N632="CNY",7.30034,1))</f>
        <v>7.3003400000000003</v>
      </c>
      <c r="R632" s="10">
        <f>+ROUND(O632/Q632,4)</f>
        <v>0.66800000000000004</v>
      </c>
      <c r="S632" s="11">
        <f>ROUND(R632*L632,2)</f>
        <v>688.04</v>
      </c>
      <c r="T632" s="10" t="s">
        <v>349</v>
      </c>
      <c r="U632" t="s">
        <v>78</v>
      </c>
    </row>
    <row r="633" spans="1:21">
      <c r="A633" t="s">
        <v>2755</v>
      </c>
      <c r="B633" s="20">
        <v>45744</v>
      </c>
      <c r="C633" s="20">
        <v>45729</v>
      </c>
      <c r="D633" t="s">
        <v>149</v>
      </c>
      <c r="E633" t="s">
        <v>150</v>
      </c>
      <c r="G633" t="s">
        <v>2995</v>
      </c>
      <c r="H633" t="s">
        <v>3211</v>
      </c>
      <c r="I633" t="s">
        <v>3418</v>
      </c>
      <c r="J633" s="8" t="str">
        <f>+LEFT(U633,4)</f>
        <v>GLID</v>
      </c>
      <c r="K633" t="s">
        <v>10</v>
      </c>
      <c r="L633" s="47">
        <v>1010</v>
      </c>
      <c r="M633" t="s">
        <v>1472</v>
      </c>
      <c r="N633" t="s">
        <v>11</v>
      </c>
      <c r="O633" s="50">
        <v>5.1798000000000002</v>
      </c>
      <c r="P633" s="9">
        <f>ROUND(O633*L633,2)</f>
        <v>5231.6000000000004</v>
      </c>
      <c r="Q633" s="10">
        <f>IF(N633="HKD",7.8,IF(N633="CNY",7.30034,1))</f>
        <v>7.3003400000000003</v>
      </c>
      <c r="R633" s="10">
        <f>+ROUND(O633/Q633,4)</f>
        <v>0.70950000000000002</v>
      </c>
      <c r="S633" s="11">
        <f>ROUND(R633*L633,2)</f>
        <v>716.6</v>
      </c>
      <c r="T633" s="10" t="s">
        <v>349</v>
      </c>
      <c r="U633" t="s">
        <v>78</v>
      </c>
    </row>
    <row r="634" spans="1:21">
      <c r="A634" t="s">
        <v>2555</v>
      </c>
      <c r="B634" s="20">
        <v>45744</v>
      </c>
      <c r="C634" s="20">
        <v>45716</v>
      </c>
      <c r="D634" t="s">
        <v>149</v>
      </c>
      <c r="E634" t="s">
        <v>150</v>
      </c>
      <c r="G634" t="s">
        <v>2995</v>
      </c>
      <c r="H634" t="s">
        <v>1309</v>
      </c>
      <c r="I634" t="s">
        <v>1310</v>
      </c>
      <c r="J634" s="8" t="str">
        <f>+LEFT(U634,4)</f>
        <v>GLID</v>
      </c>
      <c r="K634" t="s">
        <v>10</v>
      </c>
      <c r="L634" s="47">
        <v>1200</v>
      </c>
      <c r="M634" t="s">
        <v>1472</v>
      </c>
      <c r="N634" t="s">
        <v>11</v>
      </c>
      <c r="O634" s="50">
        <v>6.1177000000000001</v>
      </c>
      <c r="P634" s="9">
        <f>ROUND(O634*L634,2)</f>
        <v>7341.24</v>
      </c>
      <c r="Q634" s="10">
        <f>IF(N634="HKD",7.8,IF(N634="CNY",7.30034,1))</f>
        <v>7.3003400000000003</v>
      </c>
      <c r="R634" s="10">
        <f>+ROUND(O634/Q634,4)</f>
        <v>0.83799999999999997</v>
      </c>
      <c r="S634" s="11">
        <f>ROUND(R634*L634,2)</f>
        <v>1005.6</v>
      </c>
      <c r="T634" s="10" t="s">
        <v>349</v>
      </c>
      <c r="U634" t="s">
        <v>78</v>
      </c>
    </row>
    <row r="635" spans="1:21">
      <c r="A635" t="s">
        <v>2556</v>
      </c>
      <c r="B635" s="20">
        <v>45744</v>
      </c>
      <c r="C635" s="20">
        <v>45716</v>
      </c>
      <c r="D635" t="s">
        <v>149</v>
      </c>
      <c r="E635" t="s">
        <v>150</v>
      </c>
      <c r="G635" t="s">
        <v>2995</v>
      </c>
      <c r="H635" t="s">
        <v>3173</v>
      </c>
      <c r="I635" t="s">
        <v>3380</v>
      </c>
      <c r="J635" s="8" t="str">
        <f>+LEFT(U635,4)</f>
        <v>GLID</v>
      </c>
      <c r="K635" t="s">
        <v>10</v>
      </c>
      <c r="L635" s="47">
        <v>1030</v>
      </c>
      <c r="M635" t="s">
        <v>1472</v>
      </c>
      <c r="N635" t="s">
        <v>11</v>
      </c>
      <c r="O635" s="50">
        <v>7.3867000000000003</v>
      </c>
      <c r="P635" s="9">
        <f>ROUND(O635*L635,2)</f>
        <v>7608.3</v>
      </c>
      <c r="Q635" s="10">
        <f>IF(N635="HKD",7.8,IF(N635="CNY",7.30034,1))</f>
        <v>7.3003400000000003</v>
      </c>
      <c r="R635" s="10">
        <f>+ROUND(O635/Q635,4)</f>
        <v>1.0118</v>
      </c>
      <c r="S635" s="11">
        <f>ROUND(R635*L635,2)</f>
        <v>1042.1500000000001</v>
      </c>
      <c r="T635" s="10" t="s">
        <v>349</v>
      </c>
      <c r="U635" t="s">
        <v>78</v>
      </c>
    </row>
    <row r="636" spans="1:21">
      <c r="A636" t="s">
        <v>2414</v>
      </c>
      <c r="B636" s="20">
        <v>45744</v>
      </c>
      <c r="C636" s="20">
        <v>45702</v>
      </c>
      <c r="D636" t="s">
        <v>21</v>
      </c>
      <c r="E636" t="s">
        <v>22</v>
      </c>
      <c r="G636" t="s">
        <v>2929</v>
      </c>
      <c r="H636" t="s">
        <v>3105</v>
      </c>
      <c r="I636" t="s">
        <v>3320</v>
      </c>
      <c r="J636" s="8" t="str">
        <f>+LEFT(U636,4)</f>
        <v>HDL-</v>
      </c>
      <c r="K636" t="s">
        <v>98</v>
      </c>
      <c r="L636" s="47">
        <v>1030</v>
      </c>
      <c r="M636" t="s">
        <v>1472</v>
      </c>
      <c r="N636" t="s">
        <v>11</v>
      </c>
      <c r="O636" s="50">
        <v>4.9718999999999998</v>
      </c>
      <c r="P636" s="9">
        <f>ROUND(O636*L636,2)</f>
        <v>5121.0600000000004</v>
      </c>
      <c r="Q636" s="10">
        <f>IF(N636="HKD",7.8,IF(N636="CNY",7.30034,1))</f>
        <v>7.3003400000000003</v>
      </c>
      <c r="R636" s="10">
        <f>+ROUND(O636/Q636,4)</f>
        <v>0.68110000000000004</v>
      </c>
      <c r="S636" s="11">
        <f>ROUND(R636*L636,2)</f>
        <v>701.53</v>
      </c>
      <c r="T636" s="10" t="s">
        <v>349</v>
      </c>
      <c r="U636" t="s">
        <v>228</v>
      </c>
    </row>
    <row r="637" spans="1:21">
      <c r="A637" t="s">
        <v>2415</v>
      </c>
      <c r="B637" s="20">
        <v>45744</v>
      </c>
      <c r="C637" s="20">
        <v>45702</v>
      </c>
      <c r="D637" t="s">
        <v>21</v>
      </c>
      <c r="E637" t="s">
        <v>22</v>
      </c>
      <c r="G637" t="s">
        <v>2929</v>
      </c>
      <c r="H637" t="s">
        <v>3106</v>
      </c>
      <c r="I637" t="s">
        <v>3321</v>
      </c>
      <c r="J637" s="8" t="str">
        <f>+LEFT(U637,4)</f>
        <v>HDL-</v>
      </c>
      <c r="K637" t="s">
        <v>98</v>
      </c>
      <c r="L637" s="47">
        <v>1030</v>
      </c>
      <c r="M637" t="s">
        <v>1472</v>
      </c>
      <c r="N637" t="s">
        <v>11</v>
      </c>
      <c r="O637" s="50">
        <v>4.9718999999999998</v>
      </c>
      <c r="P637" s="9">
        <f>ROUND(O637*L637,2)</f>
        <v>5121.0600000000004</v>
      </c>
      <c r="Q637" s="10">
        <f>IF(N637="HKD",7.8,IF(N637="CNY",7.30034,1))</f>
        <v>7.3003400000000003</v>
      </c>
      <c r="R637" s="10">
        <f>+ROUND(O637/Q637,4)</f>
        <v>0.68110000000000004</v>
      </c>
      <c r="S637" s="11">
        <f>ROUND(R637*L637,2)</f>
        <v>701.53</v>
      </c>
      <c r="T637" s="10" t="s">
        <v>349</v>
      </c>
      <c r="U637" t="s">
        <v>228</v>
      </c>
    </row>
    <row r="638" spans="1:21">
      <c r="A638" t="s">
        <v>2416</v>
      </c>
      <c r="B638" s="20">
        <v>45744</v>
      </c>
      <c r="C638" s="20">
        <v>45702</v>
      </c>
      <c r="D638" t="s">
        <v>21</v>
      </c>
      <c r="E638" t="s">
        <v>22</v>
      </c>
      <c r="G638" t="s">
        <v>2929</v>
      </c>
      <c r="H638" t="s">
        <v>3107</v>
      </c>
      <c r="I638" t="s">
        <v>3322</v>
      </c>
      <c r="J638" s="8" t="str">
        <f>+LEFT(U638,4)</f>
        <v>HDL-</v>
      </c>
      <c r="K638" t="s">
        <v>98</v>
      </c>
      <c r="L638" s="47">
        <v>1030</v>
      </c>
      <c r="M638" t="s">
        <v>1472</v>
      </c>
      <c r="N638" t="s">
        <v>11</v>
      </c>
      <c r="O638" s="50">
        <v>4.9718999999999998</v>
      </c>
      <c r="P638" s="9">
        <f>ROUND(O638*L638,2)</f>
        <v>5121.0600000000004</v>
      </c>
      <c r="Q638" s="10">
        <f>IF(N638="HKD",7.8,IF(N638="CNY",7.30034,1))</f>
        <v>7.3003400000000003</v>
      </c>
      <c r="R638" s="10">
        <f>+ROUND(O638/Q638,4)</f>
        <v>0.68110000000000004</v>
      </c>
      <c r="S638" s="11">
        <f>ROUND(R638*L638,2)</f>
        <v>701.53</v>
      </c>
      <c r="T638" s="10" t="s">
        <v>349</v>
      </c>
      <c r="U638" t="s">
        <v>228</v>
      </c>
    </row>
    <row r="639" spans="1:21">
      <c r="A639" t="s">
        <v>2417</v>
      </c>
      <c r="B639" s="20">
        <v>45744</v>
      </c>
      <c r="C639" s="20">
        <v>45702</v>
      </c>
      <c r="D639" t="s">
        <v>21</v>
      </c>
      <c r="E639" t="s">
        <v>22</v>
      </c>
      <c r="G639" t="s">
        <v>2929</v>
      </c>
      <c r="H639" t="s">
        <v>3108</v>
      </c>
      <c r="I639" t="s">
        <v>3323</v>
      </c>
      <c r="J639" s="8" t="str">
        <f>+LEFT(U639,4)</f>
        <v>HDL-</v>
      </c>
      <c r="K639" t="s">
        <v>98</v>
      </c>
      <c r="L639" s="47">
        <v>1030</v>
      </c>
      <c r="M639" t="s">
        <v>1472</v>
      </c>
      <c r="N639" t="s">
        <v>11</v>
      </c>
      <c r="O639" s="50">
        <v>5.1859000000000002</v>
      </c>
      <c r="P639" s="9">
        <f>ROUND(O639*L639,2)</f>
        <v>5341.48</v>
      </c>
      <c r="Q639" s="10">
        <f>IF(N639="HKD",7.8,IF(N639="CNY",7.30034,1))</f>
        <v>7.3003400000000003</v>
      </c>
      <c r="R639" s="10">
        <f>+ROUND(O639/Q639,4)</f>
        <v>0.71040000000000003</v>
      </c>
      <c r="S639" s="11">
        <f>ROUND(R639*L639,2)</f>
        <v>731.71</v>
      </c>
      <c r="T639" s="10" t="s">
        <v>349</v>
      </c>
      <c r="U639" t="s">
        <v>228</v>
      </c>
    </row>
    <row r="640" spans="1:21">
      <c r="A640" t="s">
        <v>2418</v>
      </c>
      <c r="B640" s="20">
        <v>45744</v>
      </c>
      <c r="C640" s="20">
        <v>45702</v>
      </c>
      <c r="D640" t="s">
        <v>21</v>
      </c>
      <c r="E640" t="s">
        <v>22</v>
      </c>
      <c r="G640" t="s">
        <v>2929</v>
      </c>
      <c r="H640" t="s">
        <v>3109</v>
      </c>
      <c r="I640" t="s">
        <v>3324</v>
      </c>
      <c r="J640" s="8" t="str">
        <f>+LEFT(U640,4)</f>
        <v>HDL-</v>
      </c>
      <c r="K640" t="s">
        <v>98</v>
      </c>
      <c r="L640" s="47">
        <v>1030</v>
      </c>
      <c r="M640" t="s">
        <v>1472</v>
      </c>
      <c r="N640" t="s">
        <v>11</v>
      </c>
      <c r="O640" s="50">
        <v>5.1859000000000002</v>
      </c>
      <c r="P640" s="9">
        <f>ROUND(O640*L640,2)</f>
        <v>5341.48</v>
      </c>
      <c r="Q640" s="10">
        <f>IF(N640="HKD",7.8,IF(N640="CNY",7.30034,1))</f>
        <v>7.3003400000000003</v>
      </c>
      <c r="R640" s="10">
        <f>+ROUND(O640/Q640,4)</f>
        <v>0.71040000000000003</v>
      </c>
      <c r="S640" s="11">
        <f>ROUND(R640*L640,2)</f>
        <v>731.71</v>
      </c>
      <c r="T640" s="10" t="s">
        <v>349</v>
      </c>
      <c r="U640" t="s">
        <v>228</v>
      </c>
    </row>
    <row r="641" spans="1:21">
      <c r="A641" t="s">
        <v>2419</v>
      </c>
      <c r="B641" s="20">
        <v>45744</v>
      </c>
      <c r="C641" s="20">
        <v>45702</v>
      </c>
      <c r="D641" t="s">
        <v>21</v>
      </c>
      <c r="E641" t="s">
        <v>22</v>
      </c>
      <c r="G641" t="s">
        <v>2929</v>
      </c>
      <c r="H641" t="s">
        <v>3110</v>
      </c>
      <c r="I641" t="s">
        <v>3325</v>
      </c>
      <c r="J641" s="8" t="str">
        <f>+LEFT(U641,4)</f>
        <v>HDL-</v>
      </c>
      <c r="K641" t="s">
        <v>98</v>
      </c>
      <c r="L641" s="47">
        <v>1030</v>
      </c>
      <c r="M641" t="s">
        <v>1472</v>
      </c>
      <c r="N641" t="s">
        <v>11</v>
      </c>
      <c r="O641" s="50">
        <v>5.2427000000000001</v>
      </c>
      <c r="P641" s="9">
        <f>ROUND(O641*L641,2)</f>
        <v>5399.98</v>
      </c>
      <c r="Q641" s="10">
        <f>IF(N641="HKD",7.8,IF(N641="CNY",7.30034,1))</f>
        <v>7.3003400000000003</v>
      </c>
      <c r="R641" s="10">
        <f>+ROUND(O641/Q641,4)</f>
        <v>0.71809999999999996</v>
      </c>
      <c r="S641" s="11">
        <f>ROUND(R641*L641,2)</f>
        <v>739.64</v>
      </c>
      <c r="T641" s="10" t="s">
        <v>349</v>
      </c>
      <c r="U641" t="s">
        <v>228</v>
      </c>
    </row>
    <row r="642" spans="1:21">
      <c r="A642" t="s">
        <v>2493</v>
      </c>
      <c r="B642" s="20">
        <v>45744</v>
      </c>
      <c r="C642" s="20">
        <v>45713</v>
      </c>
      <c r="D642" t="s">
        <v>2257</v>
      </c>
      <c r="E642" t="s">
        <v>2258</v>
      </c>
      <c r="G642" t="s">
        <v>2956</v>
      </c>
      <c r="H642" t="s">
        <v>1798</v>
      </c>
      <c r="I642" t="s">
        <v>1799</v>
      </c>
      <c r="J642" s="8" t="str">
        <f>+LEFT(U642,4)</f>
        <v>HDL-</v>
      </c>
      <c r="K642" t="s">
        <v>10</v>
      </c>
      <c r="L642" s="47">
        <v>3000</v>
      </c>
      <c r="M642" t="s">
        <v>1472</v>
      </c>
      <c r="N642" t="s">
        <v>11</v>
      </c>
      <c r="O642" s="50">
        <v>7.4931000000000001</v>
      </c>
      <c r="P642" s="9">
        <f>ROUND(O642*L642,2)</f>
        <v>22479.3</v>
      </c>
      <c r="Q642" s="10">
        <f>IF(N642="HKD",7.8,IF(N642="CNY",7.30034,1))</f>
        <v>7.3003400000000003</v>
      </c>
      <c r="R642" s="10">
        <f>+ROUND(O642/Q642,4)</f>
        <v>1.0264</v>
      </c>
      <c r="S642" s="11">
        <f>ROUND(R642*L642,2)</f>
        <v>3079.2</v>
      </c>
      <c r="T642" s="10" t="s">
        <v>349</v>
      </c>
      <c r="U642" t="s">
        <v>228</v>
      </c>
    </row>
    <row r="643" spans="1:21">
      <c r="A643" t="s">
        <v>2500</v>
      </c>
      <c r="B643" s="20">
        <v>45744</v>
      </c>
      <c r="C643" s="20">
        <v>45713</v>
      </c>
      <c r="D643" t="s">
        <v>2257</v>
      </c>
      <c r="E643" t="s">
        <v>2258</v>
      </c>
      <c r="G643" t="s">
        <v>2956</v>
      </c>
      <c r="H643" t="s">
        <v>1800</v>
      </c>
      <c r="I643" t="s">
        <v>1801</v>
      </c>
      <c r="J643" s="8" t="str">
        <f>+LEFT(U643,4)</f>
        <v>HDL-</v>
      </c>
      <c r="K643" t="s">
        <v>10</v>
      </c>
      <c r="L643" s="47">
        <v>1320</v>
      </c>
      <c r="M643" t="s">
        <v>1472</v>
      </c>
      <c r="N643" t="s">
        <v>11</v>
      </c>
      <c r="O643" s="50">
        <v>7.4931000000000001</v>
      </c>
      <c r="P643" s="9">
        <f>ROUND(O643*L643,2)</f>
        <v>9890.89</v>
      </c>
      <c r="Q643" s="10">
        <f>IF(N643="HKD",7.8,IF(N643="CNY",7.30034,1))</f>
        <v>7.3003400000000003</v>
      </c>
      <c r="R643" s="10">
        <f>+ROUND(O643/Q643,4)</f>
        <v>1.0264</v>
      </c>
      <c r="S643" s="11">
        <f>ROUND(R643*L643,2)</f>
        <v>1354.85</v>
      </c>
      <c r="T643" s="10" t="s">
        <v>349</v>
      </c>
      <c r="U643" t="s">
        <v>228</v>
      </c>
    </row>
    <row r="644" spans="1:21">
      <c r="A644" t="s">
        <v>2501</v>
      </c>
      <c r="B644" s="20">
        <v>45744</v>
      </c>
      <c r="C644" s="20">
        <v>45713</v>
      </c>
      <c r="D644" t="s">
        <v>2257</v>
      </c>
      <c r="E644" t="s">
        <v>2258</v>
      </c>
      <c r="G644" t="s">
        <v>2956</v>
      </c>
      <c r="H644" t="s">
        <v>1800</v>
      </c>
      <c r="I644" t="s">
        <v>1801</v>
      </c>
      <c r="J644" s="8" t="str">
        <f>+LEFT(U644,4)</f>
        <v>HDL-</v>
      </c>
      <c r="K644" t="s">
        <v>10</v>
      </c>
      <c r="L644" s="47">
        <v>2200</v>
      </c>
      <c r="M644" t="s">
        <v>1472</v>
      </c>
      <c r="N644" t="s">
        <v>11</v>
      </c>
      <c r="O644" s="50">
        <v>7.4931000000000001</v>
      </c>
      <c r="P644" s="9">
        <f>ROUND(O644*L644,2)</f>
        <v>16484.82</v>
      </c>
      <c r="Q644" s="10">
        <f>IF(N644="HKD",7.8,IF(N644="CNY",7.30034,1))</f>
        <v>7.3003400000000003</v>
      </c>
      <c r="R644" s="10">
        <f>+ROUND(O644/Q644,4)</f>
        <v>1.0264</v>
      </c>
      <c r="S644" s="11">
        <f>ROUND(R644*L644,2)</f>
        <v>2258.08</v>
      </c>
      <c r="T644" s="10" t="s">
        <v>349</v>
      </c>
      <c r="U644" t="s">
        <v>228</v>
      </c>
    </row>
    <row r="645" spans="1:21">
      <c r="A645" t="s">
        <v>2540</v>
      </c>
      <c r="B645" s="20">
        <v>45744</v>
      </c>
      <c r="C645" s="20">
        <v>45714</v>
      </c>
      <c r="D645" t="s">
        <v>830</v>
      </c>
      <c r="E645" t="s">
        <v>831</v>
      </c>
      <c r="G645" t="s">
        <v>2987</v>
      </c>
      <c r="H645" t="s">
        <v>3166</v>
      </c>
      <c r="I645" t="s">
        <v>3376</v>
      </c>
      <c r="J645" s="8" t="str">
        <f>+LEFT(U645,4)</f>
        <v>LID-</v>
      </c>
      <c r="K645" t="s">
        <v>98</v>
      </c>
      <c r="L645" s="47">
        <v>960</v>
      </c>
      <c r="M645" t="s">
        <v>1472</v>
      </c>
      <c r="N645" t="s">
        <v>11</v>
      </c>
      <c r="O645" s="50">
        <v>4.2</v>
      </c>
      <c r="P645" s="9">
        <f>ROUND(O645*L645,2)</f>
        <v>4032</v>
      </c>
      <c r="Q645" s="10">
        <f>IF(N645="HKD",7.8,IF(N645="CNY",7.30034,1))</f>
        <v>7.3003400000000003</v>
      </c>
      <c r="R645" s="10">
        <f>+ROUND(O645/Q645,4)</f>
        <v>0.57530000000000003</v>
      </c>
      <c r="S645" s="11">
        <f>ROUND(R645*L645,2)</f>
        <v>552.29</v>
      </c>
      <c r="T645" s="10" t="s">
        <v>349</v>
      </c>
      <c r="U645" t="s">
        <v>368</v>
      </c>
    </row>
    <row r="646" spans="1:21">
      <c r="A646" t="s">
        <v>2534</v>
      </c>
      <c r="B646" s="20">
        <v>45744</v>
      </c>
      <c r="C646" s="20">
        <v>45714</v>
      </c>
      <c r="D646" t="s">
        <v>94</v>
      </c>
      <c r="E646" t="s">
        <v>95</v>
      </c>
      <c r="G646" t="s">
        <v>2969</v>
      </c>
      <c r="H646" t="s">
        <v>3164</v>
      </c>
      <c r="I646" t="s">
        <v>3374</v>
      </c>
      <c r="J646" s="8" t="str">
        <f>+LEFT(U646,4)</f>
        <v>LID-</v>
      </c>
      <c r="K646" t="s">
        <v>98</v>
      </c>
      <c r="L646" s="47">
        <v>38</v>
      </c>
      <c r="M646" t="s">
        <v>1472</v>
      </c>
      <c r="N646" t="s">
        <v>11</v>
      </c>
      <c r="O646" s="50">
        <v>4.26</v>
      </c>
      <c r="P646" s="9">
        <f>ROUND(O646*L646,2)</f>
        <v>161.88</v>
      </c>
      <c r="Q646" s="10">
        <f>IF(N646="HKD",7.8,IF(N646="CNY",7.30034,1))</f>
        <v>7.3003400000000003</v>
      </c>
      <c r="R646" s="10">
        <f>+ROUND(O646/Q646,4)</f>
        <v>0.58350000000000002</v>
      </c>
      <c r="S646" s="11">
        <f>ROUND(R646*L646,2)</f>
        <v>22.17</v>
      </c>
      <c r="T646" s="10" t="s">
        <v>349</v>
      </c>
      <c r="U646" t="s">
        <v>368</v>
      </c>
    </row>
    <row r="647" spans="1:21">
      <c r="A647" t="s">
        <v>2534</v>
      </c>
      <c r="B647" s="20">
        <v>45744</v>
      </c>
      <c r="C647" s="20">
        <v>45714</v>
      </c>
      <c r="D647" t="s">
        <v>94</v>
      </c>
      <c r="E647" t="s">
        <v>95</v>
      </c>
      <c r="G647" t="s">
        <v>2970</v>
      </c>
      <c r="H647" t="s">
        <v>3164</v>
      </c>
      <c r="I647" t="s">
        <v>3374</v>
      </c>
      <c r="J647" s="8" t="str">
        <f>+LEFT(U647,4)</f>
        <v>LID-</v>
      </c>
      <c r="K647" t="s">
        <v>98</v>
      </c>
      <c r="L647" s="47">
        <v>1735</v>
      </c>
      <c r="M647" t="s">
        <v>1472</v>
      </c>
      <c r="N647" t="s">
        <v>11</v>
      </c>
      <c r="O647" s="50">
        <v>4.26</v>
      </c>
      <c r="P647" s="9">
        <f>ROUND(O647*L647,2)</f>
        <v>7391.1</v>
      </c>
      <c r="Q647" s="10">
        <f>IF(N647="HKD",7.8,IF(N647="CNY",7.30034,1))</f>
        <v>7.3003400000000003</v>
      </c>
      <c r="R647" s="10">
        <f>+ROUND(O647/Q647,4)</f>
        <v>0.58350000000000002</v>
      </c>
      <c r="S647" s="11">
        <f>ROUND(R647*L647,2)</f>
        <v>1012.37</v>
      </c>
      <c r="T647" s="10" t="s">
        <v>349</v>
      </c>
      <c r="U647" t="s">
        <v>368</v>
      </c>
    </row>
    <row r="648" spans="1:21">
      <c r="A648" t="s">
        <v>2535</v>
      </c>
      <c r="B648" s="20">
        <v>45744</v>
      </c>
      <c r="C648" s="20">
        <v>45714</v>
      </c>
      <c r="D648" t="s">
        <v>94</v>
      </c>
      <c r="E648" t="s">
        <v>95</v>
      </c>
      <c r="G648" t="s">
        <v>2969</v>
      </c>
      <c r="H648" t="s">
        <v>3164</v>
      </c>
      <c r="I648" t="s">
        <v>3374</v>
      </c>
      <c r="J648" s="8" t="str">
        <f>+LEFT(U648,4)</f>
        <v>LID-</v>
      </c>
      <c r="K648" t="s">
        <v>98</v>
      </c>
      <c r="L648" s="47">
        <v>562</v>
      </c>
      <c r="M648" t="s">
        <v>1472</v>
      </c>
      <c r="N648" t="s">
        <v>11</v>
      </c>
      <c r="O648" s="50">
        <v>4.26</v>
      </c>
      <c r="P648" s="9">
        <f>ROUND(O648*L648,2)</f>
        <v>2394.12</v>
      </c>
      <c r="Q648" s="10">
        <f>IF(N648="HKD",7.8,IF(N648="CNY",7.30034,1))</f>
        <v>7.3003400000000003</v>
      </c>
      <c r="R648" s="10">
        <f>+ROUND(O648/Q648,4)</f>
        <v>0.58350000000000002</v>
      </c>
      <c r="S648" s="11">
        <f>ROUND(R648*L648,2)</f>
        <v>327.93</v>
      </c>
      <c r="T648" s="10" t="s">
        <v>349</v>
      </c>
      <c r="U648" t="s">
        <v>368</v>
      </c>
    </row>
    <row r="649" spans="1:21">
      <c r="A649" t="s">
        <v>2535</v>
      </c>
      <c r="B649" s="20">
        <v>45744</v>
      </c>
      <c r="C649" s="20">
        <v>45714</v>
      </c>
      <c r="D649" t="s">
        <v>94</v>
      </c>
      <c r="E649" t="s">
        <v>95</v>
      </c>
      <c r="G649" t="s">
        <v>2973</v>
      </c>
      <c r="H649" t="s">
        <v>3164</v>
      </c>
      <c r="I649" t="s">
        <v>3374</v>
      </c>
      <c r="J649" s="8" t="str">
        <f>+LEFT(U649,4)</f>
        <v>LID-</v>
      </c>
      <c r="K649" t="s">
        <v>98</v>
      </c>
      <c r="L649" s="47">
        <v>-600</v>
      </c>
      <c r="M649" t="s">
        <v>1472</v>
      </c>
      <c r="N649" t="s">
        <v>11</v>
      </c>
      <c r="O649" s="50">
        <v>4.26</v>
      </c>
      <c r="P649" s="9">
        <f>ROUND(O649*L649,2)</f>
        <v>-2556</v>
      </c>
      <c r="Q649" s="10">
        <f>IF(N649="HKD",7.8,IF(N649="CNY",7.30034,1))</f>
        <v>7.3003400000000003</v>
      </c>
      <c r="R649" s="10">
        <f>+ROUND(O649/Q649,4)</f>
        <v>0.58350000000000002</v>
      </c>
      <c r="S649" s="11">
        <f>ROUND(R649*L649,2)</f>
        <v>-350.1</v>
      </c>
      <c r="T649" s="10" t="s">
        <v>349</v>
      </c>
      <c r="U649" t="s">
        <v>368</v>
      </c>
    </row>
    <row r="650" spans="1:21">
      <c r="A650" t="s">
        <v>2535</v>
      </c>
      <c r="B650" s="20">
        <v>45744</v>
      </c>
      <c r="C650" s="20">
        <v>45714</v>
      </c>
      <c r="D650" t="s">
        <v>94</v>
      </c>
      <c r="E650" t="s">
        <v>95</v>
      </c>
      <c r="G650" t="s">
        <v>2969</v>
      </c>
      <c r="H650" t="s">
        <v>3164</v>
      </c>
      <c r="I650" t="s">
        <v>3374</v>
      </c>
      <c r="J650" s="8" t="str">
        <f>+LEFT(U650,4)</f>
        <v>LID-</v>
      </c>
      <c r="K650" t="s">
        <v>98</v>
      </c>
      <c r="L650" s="47">
        <v>600</v>
      </c>
      <c r="M650" t="s">
        <v>1472</v>
      </c>
      <c r="N650" t="s">
        <v>11</v>
      </c>
      <c r="O650" s="50">
        <v>4.26</v>
      </c>
      <c r="P650" s="9">
        <f>ROUND(O650*L650,2)</f>
        <v>2556</v>
      </c>
      <c r="Q650" s="10">
        <f>IF(N650="HKD",7.8,IF(N650="CNY",7.30034,1))</f>
        <v>7.3003400000000003</v>
      </c>
      <c r="R650" s="10">
        <f>+ROUND(O650/Q650,4)</f>
        <v>0.58350000000000002</v>
      </c>
      <c r="S650" s="11">
        <f>ROUND(R650*L650,2)</f>
        <v>350.1</v>
      </c>
      <c r="T650" s="10" t="s">
        <v>349</v>
      </c>
      <c r="U650" t="s">
        <v>368</v>
      </c>
    </row>
    <row r="651" spans="1:21">
      <c r="A651" t="s">
        <v>2630</v>
      </c>
      <c r="B651" s="20">
        <v>45744</v>
      </c>
      <c r="C651" s="20">
        <v>45721</v>
      </c>
      <c r="D651" t="s">
        <v>21</v>
      </c>
      <c r="E651" t="s">
        <v>22</v>
      </c>
      <c r="G651" t="s">
        <v>2999</v>
      </c>
      <c r="H651" t="s">
        <v>19</v>
      </c>
      <c r="I651" t="s">
        <v>20</v>
      </c>
      <c r="J651" s="8" t="str">
        <f>+LEFT(U651,4)</f>
        <v>MISC</v>
      </c>
      <c r="K651" t="s">
        <v>10</v>
      </c>
      <c r="L651" s="47">
        <v>2100</v>
      </c>
      <c r="M651" t="s">
        <v>1472</v>
      </c>
      <c r="N651" t="s">
        <v>11</v>
      </c>
      <c r="O651" s="50">
        <v>0.24679999999999999</v>
      </c>
      <c r="P651" s="9">
        <f>ROUND(O651*L651,2)</f>
        <v>518.28</v>
      </c>
      <c r="Q651" s="10">
        <f>IF(N651="HKD",7.8,IF(N651="CNY",7.30034,1))</f>
        <v>7.3003400000000003</v>
      </c>
      <c r="R651" s="10">
        <f>+ROUND(O651/Q651,4)</f>
        <v>3.3799999999999997E-2</v>
      </c>
      <c r="S651" s="11">
        <f>ROUND(R651*L651,2)</f>
        <v>70.98</v>
      </c>
      <c r="T651" s="10" t="s">
        <v>349</v>
      </c>
      <c r="U651" t="s">
        <v>25</v>
      </c>
    </row>
    <row r="652" spans="1:21">
      <c r="A652" t="s">
        <v>2810</v>
      </c>
      <c r="B652" s="20">
        <v>45744</v>
      </c>
      <c r="C652" s="20">
        <v>45742</v>
      </c>
      <c r="D652" t="s">
        <v>2253</v>
      </c>
      <c r="E652" t="s">
        <v>2254</v>
      </c>
      <c r="G652" t="s">
        <v>3056</v>
      </c>
      <c r="H652" t="s">
        <v>3270</v>
      </c>
      <c r="I652" t="s">
        <v>3477</v>
      </c>
      <c r="J652" s="8" t="str">
        <f>+LEFT(U652,4)</f>
        <v>MISC</v>
      </c>
      <c r="K652" t="s">
        <v>10</v>
      </c>
      <c r="L652" s="47">
        <v>3000</v>
      </c>
      <c r="M652" t="s">
        <v>186</v>
      </c>
      <c r="N652" t="s">
        <v>11</v>
      </c>
      <c r="O652" s="50">
        <v>6.1504000000000003</v>
      </c>
      <c r="P652" s="9">
        <f>ROUND(O652*L652,2)</f>
        <v>18451.2</v>
      </c>
      <c r="Q652" s="10">
        <f>IF(N652="HKD",7.8,IF(N652="CNY",7.30034,1))</f>
        <v>7.3003400000000003</v>
      </c>
      <c r="R652" s="10">
        <f>+ROUND(O652/Q652,4)</f>
        <v>0.84250000000000003</v>
      </c>
      <c r="S652" s="11">
        <f>ROUND(R652*L652,2)</f>
        <v>2527.5</v>
      </c>
      <c r="T652" s="10" t="s">
        <v>349</v>
      </c>
      <c r="U652" t="s">
        <v>25</v>
      </c>
    </row>
    <row r="653" spans="1:21">
      <c r="A653" t="s">
        <v>2725</v>
      </c>
      <c r="B653" s="20">
        <v>45744</v>
      </c>
      <c r="C653" s="20">
        <v>45728</v>
      </c>
      <c r="D653" t="s">
        <v>235</v>
      </c>
      <c r="E653" t="s">
        <v>236</v>
      </c>
      <c r="G653" t="s">
        <v>3040</v>
      </c>
      <c r="H653" t="s">
        <v>233</v>
      </c>
      <c r="I653" t="s">
        <v>234</v>
      </c>
      <c r="J653" s="8" t="str">
        <f>+LEFT(U653,4)</f>
        <v>RIV-</v>
      </c>
      <c r="K653" t="s">
        <v>10</v>
      </c>
      <c r="L653" s="47">
        <v>6000</v>
      </c>
      <c r="M653" t="s">
        <v>1472</v>
      </c>
      <c r="N653" t="s">
        <v>11</v>
      </c>
      <c r="O653" s="50">
        <v>4.1599999999999998E-2</v>
      </c>
      <c r="P653" s="9">
        <f>ROUND(O653*L653,2)</f>
        <v>249.6</v>
      </c>
      <c r="Q653" s="10">
        <f>IF(N653="HKD",7.8,IF(N653="CNY",7.30034,1))</f>
        <v>7.3003400000000003</v>
      </c>
      <c r="R653" s="10">
        <f>+ROUND(O653/Q653,4)</f>
        <v>5.7000000000000002E-3</v>
      </c>
      <c r="S653" s="11">
        <f>ROUND(R653*L653,2)</f>
        <v>34.200000000000003</v>
      </c>
      <c r="T653" s="10" t="s">
        <v>349</v>
      </c>
      <c r="U653" t="s">
        <v>132</v>
      </c>
    </row>
    <row r="654" spans="1:21">
      <c r="A654" t="s">
        <v>2579</v>
      </c>
      <c r="B654" s="20">
        <v>45744</v>
      </c>
      <c r="C654" s="20">
        <v>45716</v>
      </c>
      <c r="D654" t="s">
        <v>235</v>
      </c>
      <c r="E654" t="s">
        <v>236</v>
      </c>
      <c r="G654" t="s">
        <v>3002</v>
      </c>
      <c r="H654" t="s">
        <v>3183</v>
      </c>
      <c r="I654" t="s">
        <v>3390</v>
      </c>
      <c r="J654" s="8" t="str">
        <f>+LEFT(U654,4)</f>
        <v>RIV-</v>
      </c>
      <c r="K654" t="s">
        <v>10</v>
      </c>
      <c r="L654" s="47">
        <v>2000</v>
      </c>
      <c r="M654" t="s">
        <v>1472</v>
      </c>
      <c r="N654" t="s">
        <v>11</v>
      </c>
      <c r="O654" s="50">
        <v>0.10059999999999999</v>
      </c>
      <c r="P654" s="9">
        <f>ROUND(O654*L654,2)</f>
        <v>201.2</v>
      </c>
      <c r="Q654" s="10">
        <f>IF(N654="HKD",7.8,IF(N654="CNY",7.30034,1))</f>
        <v>7.3003400000000003</v>
      </c>
      <c r="R654" s="10">
        <f>+ROUND(O654/Q654,4)</f>
        <v>1.38E-2</v>
      </c>
      <c r="S654" s="11">
        <f>ROUND(R654*L654,2)</f>
        <v>27.6</v>
      </c>
      <c r="T654" s="10" t="s">
        <v>349</v>
      </c>
      <c r="U654" t="s">
        <v>132</v>
      </c>
    </row>
    <row r="655" spans="1:21">
      <c r="A655" t="s">
        <v>2726</v>
      </c>
      <c r="B655" s="20">
        <v>45744</v>
      </c>
      <c r="C655" s="20">
        <v>45728</v>
      </c>
      <c r="D655" t="s">
        <v>235</v>
      </c>
      <c r="E655" t="s">
        <v>236</v>
      </c>
      <c r="G655" t="s">
        <v>3040</v>
      </c>
      <c r="H655" t="s">
        <v>1352</v>
      </c>
      <c r="I655" t="s">
        <v>1353</v>
      </c>
      <c r="J655" s="8" t="str">
        <f>+LEFT(U655,4)</f>
        <v>RIV-</v>
      </c>
      <c r="K655" t="s">
        <v>10</v>
      </c>
      <c r="L655" s="47">
        <v>30000</v>
      </c>
      <c r="M655" t="s">
        <v>1472</v>
      </c>
      <c r="N655" t="s">
        <v>11</v>
      </c>
      <c r="O655" s="50">
        <v>0.1328</v>
      </c>
      <c r="P655" s="9">
        <f>ROUND(O655*L655,2)</f>
        <v>3984</v>
      </c>
      <c r="Q655" s="10">
        <f>IF(N655="HKD",7.8,IF(N655="CNY",7.30034,1))</f>
        <v>7.3003400000000003</v>
      </c>
      <c r="R655" s="10">
        <f>+ROUND(O655/Q655,4)</f>
        <v>1.8200000000000001E-2</v>
      </c>
      <c r="S655" s="11">
        <f>ROUND(R655*L655,2)</f>
        <v>546</v>
      </c>
      <c r="T655" s="10" t="s">
        <v>349</v>
      </c>
      <c r="U655" t="s">
        <v>132</v>
      </c>
    </row>
    <row r="656" spans="1:21">
      <c r="A656" t="s">
        <v>2640</v>
      </c>
      <c r="B656" s="20">
        <v>45744</v>
      </c>
      <c r="C656" s="20">
        <v>45721</v>
      </c>
      <c r="D656" t="s">
        <v>235</v>
      </c>
      <c r="E656" t="s">
        <v>236</v>
      </c>
      <c r="G656" t="s">
        <v>3021</v>
      </c>
      <c r="H656" t="s">
        <v>239</v>
      </c>
      <c r="I656" t="s">
        <v>240</v>
      </c>
      <c r="J656" s="8" t="str">
        <f>+LEFT(U656,4)</f>
        <v>RIV-</v>
      </c>
      <c r="K656" t="s">
        <v>10</v>
      </c>
      <c r="L656" s="47">
        <v>17200</v>
      </c>
      <c r="M656" t="s">
        <v>1472</v>
      </c>
      <c r="N656" t="s">
        <v>11</v>
      </c>
      <c r="O656" s="50">
        <v>0.16120000000000001</v>
      </c>
      <c r="P656" s="9">
        <f>ROUND(O656*L656,2)</f>
        <v>2772.64</v>
      </c>
      <c r="Q656" s="10">
        <f>IF(N656="HKD",7.8,IF(N656="CNY",7.30034,1))</f>
        <v>7.3003400000000003</v>
      </c>
      <c r="R656" s="10">
        <f>+ROUND(O656/Q656,4)</f>
        <v>2.2100000000000002E-2</v>
      </c>
      <c r="S656" s="11">
        <f>ROUND(R656*L656,2)</f>
        <v>380.12</v>
      </c>
      <c r="T656" s="10" t="s">
        <v>349</v>
      </c>
      <c r="U656" t="s">
        <v>132</v>
      </c>
    </row>
    <row r="657" spans="1:21">
      <c r="A657" t="s">
        <v>2641</v>
      </c>
      <c r="B657" s="20">
        <v>45744</v>
      </c>
      <c r="C657" s="20">
        <v>45721</v>
      </c>
      <c r="D657" t="s">
        <v>235</v>
      </c>
      <c r="E657" t="s">
        <v>236</v>
      </c>
      <c r="G657" t="s">
        <v>3021</v>
      </c>
      <c r="H657" t="s">
        <v>1361</v>
      </c>
      <c r="I657" t="s">
        <v>1362</v>
      </c>
      <c r="J657" s="8" t="str">
        <f>+LEFT(U657,4)</f>
        <v>RIV-</v>
      </c>
      <c r="K657" t="s">
        <v>10</v>
      </c>
      <c r="L657" s="47">
        <v>10000</v>
      </c>
      <c r="M657" t="s">
        <v>1472</v>
      </c>
      <c r="N657" t="s">
        <v>11</v>
      </c>
      <c r="O657" s="50">
        <v>0.17649999999999999</v>
      </c>
      <c r="P657" s="9">
        <f>ROUND(O657*L657,2)</f>
        <v>1765</v>
      </c>
      <c r="Q657" s="10">
        <f>IF(N657="HKD",7.8,IF(N657="CNY",7.30034,1))</f>
        <v>7.3003400000000003</v>
      </c>
      <c r="R657" s="10">
        <f>+ROUND(O657/Q657,4)</f>
        <v>2.4199999999999999E-2</v>
      </c>
      <c r="S657" s="11">
        <f>ROUND(R657*L657,2)</f>
        <v>242</v>
      </c>
      <c r="T657" s="10" t="s">
        <v>349</v>
      </c>
      <c r="U657" t="s">
        <v>132</v>
      </c>
    </row>
    <row r="658" spans="1:21">
      <c r="A658" t="s">
        <v>2642</v>
      </c>
      <c r="B658" s="20">
        <v>45744</v>
      </c>
      <c r="C658" s="20">
        <v>45721</v>
      </c>
      <c r="D658" t="s">
        <v>235</v>
      </c>
      <c r="E658" t="s">
        <v>236</v>
      </c>
      <c r="G658" t="s">
        <v>3021</v>
      </c>
      <c r="H658" t="s">
        <v>1344</v>
      </c>
      <c r="I658" t="s">
        <v>1345</v>
      </c>
      <c r="J658" s="8" t="str">
        <f>+LEFT(U658,4)</f>
        <v>SCR-</v>
      </c>
      <c r="K658" t="s">
        <v>10</v>
      </c>
      <c r="L658" s="47">
        <v>3050</v>
      </c>
      <c r="M658" t="s">
        <v>1472</v>
      </c>
      <c r="N658" t="s">
        <v>11</v>
      </c>
      <c r="O658" s="50">
        <v>0.47449999999999998</v>
      </c>
      <c r="P658" s="9">
        <f>ROUND(O658*L658,2)</f>
        <v>1447.23</v>
      </c>
      <c r="Q658" s="10">
        <f>IF(N658="HKD",7.8,IF(N658="CNY",7.30034,1))</f>
        <v>7.3003400000000003</v>
      </c>
      <c r="R658" s="10">
        <f>+ROUND(O658/Q658,4)</f>
        <v>6.5000000000000002E-2</v>
      </c>
      <c r="S658" s="11">
        <f>ROUND(R658*L658,2)</f>
        <v>198.25</v>
      </c>
      <c r="T658" s="10" t="s">
        <v>349</v>
      </c>
      <c r="U658" t="s">
        <v>166</v>
      </c>
    </row>
    <row r="659" spans="1:21">
      <c r="A659" t="s">
        <v>2727</v>
      </c>
      <c r="B659" s="20">
        <v>45744</v>
      </c>
      <c r="C659" s="20">
        <v>45728</v>
      </c>
      <c r="D659" t="s">
        <v>235</v>
      </c>
      <c r="E659" t="s">
        <v>236</v>
      </c>
      <c r="G659" t="s">
        <v>3040</v>
      </c>
      <c r="H659" t="s">
        <v>1344</v>
      </c>
      <c r="I659" t="s">
        <v>1345</v>
      </c>
      <c r="J659" s="8" t="str">
        <f>+LEFT(U659,4)</f>
        <v>SCR-</v>
      </c>
      <c r="K659" t="s">
        <v>10</v>
      </c>
      <c r="L659" s="47">
        <v>3600</v>
      </c>
      <c r="M659" t="s">
        <v>1472</v>
      </c>
      <c r="N659" t="s">
        <v>11</v>
      </c>
      <c r="O659" s="50">
        <v>0.47449999999999998</v>
      </c>
      <c r="P659" s="9">
        <f>ROUND(O659*L659,2)</f>
        <v>1708.2</v>
      </c>
      <c r="Q659" s="10">
        <f>IF(N659="HKD",7.8,IF(N659="CNY",7.30034,1))</f>
        <v>7.3003400000000003</v>
      </c>
      <c r="R659" s="10">
        <f>+ROUND(O659/Q659,4)</f>
        <v>6.5000000000000002E-2</v>
      </c>
      <c r="S659" s="11">
        <f>ROUND(R659*L659,2)</f>
        <v>234</v>
      </c>
      <c r="T659" s="10" t="s">
        <v>349</v>
      </c>
      <c r="U659" t="s">
        <v>166</v>
      </c>
    </row>
    <row r="660" spans="1:21">
      <c r="A660" t="s">
        <v>2616</v>
      </c>
      <c r="B660" s="20">
        <v>45744</v>
      </c>
      <c r="C660" s="20">
        <v>45720</v>
      </c>
      <c r="D660" t="s">
        <v>235</v>
      </c>
      <c r="E660" t="s">
        <v>236</v>
      </c>
      <c r="G660" t="s">
        <v>3002</v>
      </c>
      <c r="H660" t="s">
        <v>1348</v>
      </c>
      <c r="I660" t="s">
        <v>1349</v>
      </c>
      <c r="J660" s="8" t="str">
        <f>+LEFT(U660,4)</f>
        <v>SCR-</v>
      </c>
      <c r="K660" t="s">
        <v>10</v>
      </c>
      <c r="L660" s="47">
        <v>1600</v>
      </c>
      <c r="M660" t="s">
        <v>1472</v>
      </c>
      <c r="N660" t="s">
        <v>11</v>
      </c>
      <c r="O660" s="50">
        <v>0.67030000000000001</v>
      </c>
      <c r="P660" s="9">
        <f>ROUND(O660*L660,2)</f>
        <v>1072.48</v>
      </c>
      <c r="Q660" s="10">
        <f>IF(N660="HKD",7.8,IF(N660="CNY",7.30034,1))</f>
        <v>7.3003400000000003</v>
      </c>
      <c r="R660" s="10">
        <f>+ROUND(O660/Q660,4)</f>
        <v>9.1800000000000007E-2</v>
      </c>
      <c r="S660" s="11">
        <f>ROUND(R660*L660,2)</f>
        <v>146.88</v>
      </c>
      <c r="T660" s="10" t="s">
        <v>349</v>
      </c>
      <c r="U660" t="s">
        <v>166</v>
      </c>
    </row>
    <row r="661" spans="1:21">
      <c r="A661" t="s">
        <v>2639</v>
      </c>
      <c r="B661" s="20">
        <v>45744</v>
      </c>
      <c r="C661" s="20">
        <v>45721</v>
      </c>
      <c r="D661" t="s">
        <v>235</v>
      </c>
      <c r="E661" t="s">
        <v>236</v>
      </c>
      <c r="G661" t="s">
        <v>3021</v>
      </c>
      <c r="H661" t="s">
        <v>1348</v>
      </c>
      <c r="I661" t="s">
        <v>1349</v>
      </c>
      <c r="J661" s="8" t="str">
        <f>+LEFT(U661,4)</f>
        <v>SCR-</v>
      </c>
      <c r="K661" t="s">
        <v>10</v>
      </c>
      <c r="L661" s="47">
        <v>1500</v>
      </c>
      <c r="M661" t="s">
        <v>1472</v>
      </c>
      <c r="N661" t="s">
        <v>11</v>
      </c>
      <c r="O661" s="50">
        <v>0.67030000000000001</v>
      </c>
      <c r="P661" s="9">
        <f>ROUND(O661*L661,2)</f>
        <v>1005.45</v>
      </c>
      <c r="Q661" s="10">
        <f>IF(N661="HKD",7.8,IF(N661="CNY",7.30034,1))</f>
        <v>7.3003400000000003</v>
      </c>
      <c r="R661" s="10">
        <f>+ROUND(O661/Q661,4)</f>
        <v>9.1800000000000007E-2</v>
      </c>
      <c r="S661" s="11">
        <f>ROUND(R661*L661,2)</f>
        <v>137.69999999999999</v>
      </c>
      <c r="T661" s="10" t="s">
        <v>349</v>
      </c>
      <c r="U661" t="s">
        <v>166</v>
      </c>
    </row>
    <row r="662" spans="1:21">
      <c r="A662" t="s">
        <v>2728</v>
      </c>
      <c r="B662" s="20">
        <v>45744</v>
      </c>
      <c r="C662" s="20">
        <v>45728</v>
      </c>
      <c r="D662" t="s">
        <v>235</v>
      </c>
      <c r="E662" t="s">
        <v>236</v>
      </c>
      <c r="G662" t="s">
        <v>3040</v>
      </c>
      <c r="H662" t="s">
        <v>1348</v>
      </c>
      <c r="I662" t="s">
        <v>1349</v>
      </c>
      <c r="J662" s="8" t="str">
        <f>+LEFT(U662,4)</f>
        <v>SCR-</v>
      </c>
      <c r="K662" t="s">
        <v>10</v>
      </c>
      <c r="L662" s="47">
        <v>3000</v>
      </c>
      <c r="M662" t="s">
        <v>1472</v>
      </c>
      <c r="N662" t="s">
        <v>11</v>
      </c>
      <c r="O662" s="50">
        <v>0.67030000000000001</v>
      </c>
      <c r="P662" s="9">
        <f>ROUND(O662*L662,2)</f>
        <v>2010.9</v>
      </c>
      <c r="Q662" s="10">
        <f>IF(N662="HKD",7.8,IF(N662="CNY",7.30034,1))</f>
        <v>7.3003400000000003</v>
      </c>
      <c r="R662" s="10">
        <f>+ROUND(O662/Q662,4)</f>
        <v>9.1800000000000007E-2</v>
      </c>
      <c r="S662" s="11">
        <f>ROUND(R662*L662,2)</f>
        <v>275.39999999999998</v>
      </c>
      <c r="T662" s="10" t="s">
        <v>349</v>
      </c>
      <c r="U662" t="s">
        <v>166</v>
      </c>
    </row>
    <row r="663" spans="1:21">
      <c r="A663" t="s">
        <v>2674</v>
      </c>
      <c r="B663" s="20">
        <v>45743</v>
      </c>
      <c r="C663" s="20">
        <v>45726</v>
      </c>
      <c r="D663" t="s">
        <v>1006</v>
      </c>
      <c r="E663" t="s">
        <v>1007</v>
      </c>
      <c r="G663" t="s">
        <v>3028</v>
      </c>
      <c r="H663" t="s">
        <v>3218</v>
      </c>
      <c r="I663" t="s">
        <v>3425</v>
      </c>
      <c r="J663" s="8" t="str">
        <f>+LEFT(U663,4)</f>
        <v>ALM-</v>
      </c>
      <c r="K663" t="s">
        <v>98</v>
      </c>
      <c r="L663" s="47">
        <v>1007</v>
      </c>
      <c r="M663" t="s">
        <v>186</v>
      </c>
      <c r="N663" t="s">
        <v>11</v>
      </c>
      <c r="O663" s="50">
        <v>2.9203999999999999</v>
      </c>
      <c r="P663" s="9">
        <f>ROUND(O663*L663,2)</f>
        <v>2940.84</v>
      </c>
      <c r="Q663" s="10">
        <f>IF(N663="HKD",7.8,IF(N663="CNY",7.30034,1))</f>
        <v>7.3003400000000003</v>
      </c>
      <c r="R663" s="10">
        <f>+ROUND(O663/Q663,4)</f>
        <v>0.4</v>
      </c>
      <c r="S663" s="11">
        <f>ROUND(R663*L663,2)</f>
        <v>402.8</v>
      </c>
      <c r="T663" s="10" t="s">
        <v>349</v>
      </c>
      <c r="U663" t="s">
        <v>191</v>
      </c>
    </row>
    <row r="664" spans="1:21">
      <c r="A664" t="s">
        <v>2676</v>
      </c>
      <c r="B664" s="20">
        <v>45743</v>
      </c>
      <c r="C664" s="20">
        <v>45726</v>
      </c>
      <c r="D664" t="s">
        <v>1006</v>
      </c>
      <c r="E664" t="s">
        <v>1007</v>
      </c>
      <c r="G664" t="s">
        <v>3028</v>
      </c>
      <c r="H664" t="s">
        <v>3220</v>
      </c>
      <c r="I664" t="s">
        <v>3427</v>
      </c>
      <c r="J664" s="8" t="str">
        <f>+LEFT(U664,4)</f>
        <v>ALM-</v>
      </c>
      <c r="K664" t="s">
        <v>98</v>
      </c>
      <c r="L664" s="47">
        <v>683</v>
      </c>
      <c r="M664" t="s">
        <v>186</v>
      </c>
      <c r="N664" t="s">
        <v>11</v>
      </c>
      <c r="O664" s="50">
        <v>2.9203999999999999</v>
      </c>
      <c r="P664" s="9">
        <f>ROUND(O664*L664,2)</f>
        <v>1994.63</v>
      </c>
      <c r="Q664" s="10">
        <f>IF(N664="HKD",7.8,IF(N664="CNY",7.30034,1))</f>
        <v>7.3003400000000003</v>
      </c>
      <c r="R664" s="10">
        <f>+ROUND(O664/Q664,4)</f>
        <v>0.4</v>
      </c>
      <c r="S664" s="11">
        <f>ROUND(R664*L664,2)</f>
        <v>273.2</v>
      </c>
      <c r="T664" s="10" t="s">
        <v>349</v>
      </c>
      <c r="U664" t="s">
        <v>191</v>
      </c>
    </row>
    <row r="665" spans="1:21">
      <c r="A665" t="s">
        <v>2678</v>
      </c>
      <c r="B665" s="20">
        <v>45743</v>
      </c>
      <c r="C665" s="20">
        <v>45726</v>
      </c>
      <c r="D665" t="s">
        <v>1006</v>
      </c>
      <c r="E665" t="s">
        <v>1007</v>
      </c>
      <c r="G665" t="s">
        <v>3028</v>
      </c>
      <c r="H665" t="s">
        <v>1019</v>
      </c>
      <c r="I665" t="s">
        <v>1020</v>
      </c>
      <c r="J665" s="8" t="str">
        <f>+LEFT(U665,4)</f>
        <v>ALM-</v>
      </c>
      <c r="K665" t="s">
        <v>98</v>
      </c>
      <c r="L665" s="47">
        <v>269</v>
      </c>
      <c r="M665" t="s">
        <v>186</v>
      </c>
      <c r="N665" t="s">
        <v>11</v>
      </c>
      <c r="O665" s="50">
        <v>2.9203999999999999</v>
      </c>
      <c r="P665" s="9">
        <f>ROUND(O665*L665,2)</f>
        <v>785.59</v>
      </c>
      <c r="Q665" s="10">
        <f>IF(N665="HKD",7.8,IF(N665="CNY",7.30034,1))</f>
        <v>7.3003400000000003</v>
      </c>
      <c r="R665" s="10">
        <f>+ROUND(O665/Q665,4)</f>
        <v>0.4</v>
      </c>
      <c r="S665" s="11">
        <f>ROUND(R665*L665,2)</f>
        <v>107.6</v>
      </c>
      <c r="T665" s="10" t="s">
        <v>349</v>
      </c>
      <c r="U665" t="s">
        <v>191</v>
      </c>
    </row>
    <row r="666" spans="1:21">
      <c r="A666" t="s">
        <v>2780</v>
      </c>
      <c r="B666" s="20">
        <v>45743</v>
      </c>
      <c r="C666" s="20">
        <v>45730</v>
      </c>
      <c r="D666" t="s">
        <v>1006</v>
      </c>
      <c r="E666" t="s">
        <v>1007</v>
      </c>
      <c r="G666" t="s">
        <v>3028</v>
      </c>
      <c r="H666" t="s">
        <v>3197</v>
      </c>
      <c r="I666" t="s">
        <v>3404</v>
      </c>
      <c r="J666" s="8" t="str">
        <f>+LEFT(U666,4)</f>
        <v>ALM-</v>
      </c>
      <c r="K666" t="s">
        <v>98</v>
      </c>
      <c r="L666" s="47">
        <v>700</v>
      </c>
      <c r="M666" t="s">
        <v>186</v>
      </c>
      <c r="N666" t="s">
        <v>11</v>
      </c>
      <c r="O666" s="50">
        <v>2.9203999999999999</v>
      </c>
      <c r="P666" s="9">
        <f>ROUND(O666*L666,2)</f>
        <v>2044.28</v>
      </c>
      <c r="Q666" s="10">
        <f>IF(N666="HKD",7.8,IF(N666="CNY",7.30034,1))</f>
        <v>7.3003400000000003</v>
      </c>
      <c r="R666" s="10">
        <f>+ROUND(O666/Q666,4)</f>
        <v>0.4</v>
      </c>
      <c r="S666" s="11">
        <f>ROUND(R666*L666,2)</f>
        <v>280</v>
      </c>
      <c r="T666" s="10" t="s">
        <v>349</v>
      </c>
      <c r="U666" t="s">
        <v>191</v>
      </c>
    </row>
    <row r="667" spans="1:21">
      <c r="A667" t="s">
        <v>2781</v>
      </c>
      <c r="B667" s="20">
        <v>45743</v>
      </c>
      <c r="C667" s="20">
        <v>45730</v>
      </c>
      <c r="D667" t="s">
        <v>1006</v>
      </c>
      <c r="E667" t="s">
        <v>1007</v>
      </c>
      <c r="G667" t="s">
        <v>3028</v>
      </c>
      <c r="H667" t="s">
        <v>1010</v>
      </c>
      <c r="I667" t="s">
        <v>1011</v>
      </c>
      <c r="J667" s="8" t="str">
        <f>+LEFT(U667,4)</f>
        <v>ALM-</v>
      </c>
      <c r="K667" t="s">
        <v>98</v>
      </c>
      <c r="L667" s="47">
        <v>1902</v>
      </c>
      <c r="M667" t="s">
        <v>186</v>
      </c>
      <c r="N667" t="s">
        <v>11</v>
      </c>
      <c r="O667" s="50">
        <v>2.9203999999999999</v>
      </c>
      <c r="P667" s="9">
        <f>ROUND(O667*L667,2)</f>
        <v>5554.6</v>
      </c>
      <c r="Q667" s="10">
        <f>IF(N667="HKD",7.8,IF(N667="CNY",7.30034,1))</f>
        <v>7.3003400000000003</v>
      </c>
      <c r="R667" s="10">
        <f>+ROUND(O667/Q667,4)</f>
        <v>0.4</v>
      </c>
      <c r="S667" s="11">
        <f>ROUND(R667*L667,2)</f>
        <v>760.8</v>
      </c>
      <c r="T667" s="10" t="s">
        <v>349</v>
      </c>
      <c r="U667" t="s">
        <v>191</v>
      </c>
    </row>
    <row r="668" spans="1:21">
      <c r="A668" t="s">
        <v>2782</v>
      </c>
      <c r="B668" s="20">
        <v>45743</v>
      </c>
      <c r="C668" s="20">
        <v>45730</v>
      </c>
      <c r="D668" t="s">
        <v>1006</v>
      </c>
      <c r="E668" t="s">
        <v>1007</v>
      </c>
      <c r="G668" t="s">
        <v>3028</v>
      </c>
      <c r="H668" t="s">
        <v>3257</v>
      </c>
      <c r="I668" t="s">
        <v>3464</v>
      </c>
      <c r="J668" s="8" t="str">
        <f>+LEFT(U668,4)</f>
        <v>ALM-</v>
      </c>
      <c r="K668" t="s">
        <v>98</v>
      </c>
      <c r="L668" s="47">
        <v>527</v>
      </c>
      <c r="M668" t="s">
        <v>186</v>
      </c>
      <c r="N668" t="s">
        <v>11</v>
      </c>
      <c r="O668" s="50">
        <v>2.9203999999999999</v>
      </c>
      <c r="P668" s="9">
        <f>ROUND(O668*L668,2)</f>
        <v>1539.05</v>
      </c>
      <c r="Q668" s="10">
        <f>IF(N668="HKD",7.8,IF(N668="CNY",7.30034,1))</f>
        <v>7.3003400000000003</v>
      </c>
      <c r="R668" s="10">
        <f>+ROUND(O668/Q668,4)</f>
        <v>0.4</v>
      </c>
      <c r="S668" s="11">
        <f>ROUND(R668*L668,2)</f>
        <v>210.8</v>
      </c>
      <c r="T668" s="10" t="s">
        <v>349</v>
      </c>
      <c r="U668" t="s">
        <v>191</v>
      </c>
    </row>
    <row r="669" spans="1:21">
      <c r="A669" t="s">
        <v>2783</v>
      </c>
      <c r="B669" s="20">
        <v>45743</v>
      </c>
      <c r="C669" s="20">
        <v>45730</v>
      </c>
      <c r="D669" t="s">
        <v>1006</v>
      </c>
      <c r="E669" t="s">
        <v>1007</v>
      </c>
      <c r="G669" t="s">
        <v>3028</v>
      </c>
      <c r="H669" t="s">
        <v>3258</v>
      </c>
      <c r="I669" t="s">
        <v>3465</v>
      </c>
      <c r="J669" s="8" t="str">
        <f>+LEFT(U669,4)</f>
        <v>ALM-</v>
      </c>
      <c r="K669" t="s">
        <v>98</v>
      </c>
      <c r="L669" s="47">
        <v>942</v>
      </c>
      <c r="M669" t="s">
        <v>186</v>
      </c>
      <c r="N669" t="s">
        <v>11</v>
      </c>
      <c r="O669" s="50">
        <v>2.9203999999999999</v>
      </c>
      <c r="P669" s="9">
        <f>ROUND(O669*L669,2)</f>
        <v>2751.02</v>
      </c>
      <c r="Q669" s="10">
        <f>IF(N669="HKD",7.8,IF(N669="CNY",7.30034,1))</f>
        <v>7.3003400000000003</v>
      </c>
      <c r="R669" s="10">
        <f>+ROUND(O669/Q669,4)</f>
        <v>0.4</v>
      </c>
      <c r="S669" s="11">
        <f>ROUND(R669*L669,2)</f>
        <v>376.8</v>
      </c>
      <c r="T669" s="10" t="s">
        <v>349</v>
      </c>
      <c r="U669" t="s">
        <v>191</v>
      </c>
    </row>
    <row r="670" spans="1:21">
      <c r="A670" t="s">
        <v>2784</v>
      </c>
      <c r="B670" s="20">
        <v>45743</v>
      </c>
      <c r="C670" s="20">
        <v>45730</v>
      </c>
      <c r="D670" t="s">
        <v>1006</v>
      </c>
      <c r="E670" t="s">
        <v>1007</v>
      </c>
      <c r="G670" t="s">
        <v>3028</v>
      </c>
      <c r="H670" t="s">
        <v>3196</v>
      </c>
      <c r="I670" t="s">
        <v>3403</v>
      </c>
      <c r="J670" s="8" t="str">
        <f>+LEFT(U670,4)</f>
        <v>ALM-</v>
      </c>
      <c r="K670" t="s">
        <v>98</v>
      </c>
      <c r="L670" s="47">
        <v>885</v>
      </c>
      <c r="M670" t="s">
        <v>186</v>
      </c>
      <c r="N670" t="s">
        <v>11</v>
      </c>
      <c r="O670" s="50">
        <v>2.9203999999999999</v>
      </c>
      <c r="P670" s="9">
        <f>ROUND(O670*L670,2)</f>
        <v>2584.5500000000002</v>
      </c>
      <c r="Q670" s="10">
        <f>IF(N670="HKD",7.8,IF(N670="CNY",7.30034,1))</f>
        <v>7.3003400000000003</v>
      </c>
      <c r="R670" s="10">
        <f>+ROUND(O670/Q670,4)</f>
        <v>0.4</v>
      </c>
      <c r="S670" s="11">
        <f>ROUND(R670*L670,2)</f>
        <v>354</v>
      </c>
      <c r="T670" s="10" t="s">
        <v>349</v>
      </c>
      <c r="U670" t="s">
        <v>191</v>
      </c>
    </row>
    <row r="671" spans="1:21">
      <c r="A671" t="s">
        <v>2785</v>
      </c>
      <c r="B671" s="20">
        <v>45743</v>
      </c>
      <c r="C671" s="20">
        <v>45730</v>
      </c>
      <c r="D671" t="s">
        <v>1006</v>
      </c>
      <c r="E671" t="s">
        <v>1007</v>
      </c>
      <c r="G671" t="s">
        <v>3028</v>
      </c>
      <c r="H671" t="s">
        <v>3259</v>
      </c>
      <c r="I671" t="s">
        <v>3466</v>
      </c>
      <c r="J671" s="8" t="str">
        <f>+LEFT(U671,4)</f>
        <v>ALM-</v>
      </c>
      <c r="K671" t="s">
        <v>98</v>
      </c>
      <c r="L671" s="47">
        <v>817</v>
      </c>
      <c r="M671" t="s">
        <v>186</v>
      </c>
      <c r="N671" t="s">
        <v>11</v>
      </c>
      <c r="O671" s="50">
        <v>2.9203999999999999</v>
      </c>
      <c r="P671" s="9">
        <f>ROUND(O671*L671,2)</f>
        <v>2385.9699999999998</v>
      </c>
      <c r="Q671" s="10">
        <f>IF(N671="HKD",7.8,IF(N671="CNY",7.30034,1))</f>
        <v>7.3003400000000003</v>
      </c>
      <c r="R671" s="10">
        <f>+ROUND(O671/Q671,4)</f>
        <v>0.4</v>
      </c>
      <c r="S671" s="11">
        <f>ROUND(R671*L671,2)</f>
        <v>326.8</v>
      </c>
      <c r="T671" s="10" t="s">
        <v>349</v>
      </c>
      <c r="U671" t="s">
        <v>191</v>
      </c>
    </row>
    <row r="672" spans="1:21">
      <c r="A672" t="s">
        <v>2786</v>
      </c>
      <c r="B672" s="20">
        <v>45743</v>
      </c>
      <c r="C672" s="20">
        <v>45730</v>
      </c>
      <c r="D672" t="s">
        <v>1006</v>
      </c>
      <c r="E672" t="s">
        <v>1007</v>
      </c>
      <c r="G672" t="s">
        <v>3028</v>
      </c>
      <c r="H672" t="s">
        <v>3260</v>
      </c>
      <c r="I672" t="s">
        <v>3467</v>
      </c>
      <c r="J672" s="8" t="str">
        <f>+LEFT(U672,4)</f>
        <v>ALM-</v>
      </c>
      <c r="K672" t="s">
        <v>98</v>
      </c>
      <c r="L672" s="47">
        <v>601</v>
      </c>
      <c r="M672" t="s">
        <v>186</v>
      </c>
      <c r="N672" t="s">
        <v>11</v>
      </c>
      <c r="O672" s="50">
        <v>2.9203999999999999</v>
      </c>
      <c r="P672" s="9">
        <f>ROUND(O672*L672,2)</f>
        <v>1755.16</v>
      </c>
      <c r="Q672" s="10">
        <f>IF(N672="HKD",7.8,IF(N672="CNY",7.30034,1))</f>
        <v>7.3003400000000003</v>
      </c>
      <c r="R672" s="10">
        <f>+ROUND(O672/Q672,4)</f>
        <v>0.4</v>
      </c>
      <c r="S672" s="11">
        <f>ROUND(R672*L672,2)</f>
        <v>240.4</v>
      </c>
      <c r="T672" s="10" t="s">
        <v>349</v>
      </c>
      <c r="U672" t="s">
        <v>191</v>
      </c>
    </row>
    <row r="673" spans="1:21">
      <c r="A673" t="s">
        <v>2803</v>
      </c>
      <c r="B673" s="20">
        <v>45743</v>
      </c>
      <c r="C673" s="20">
        <v>45735</v>
      </c>
      <c r="D673" t="s">
        <v>1006</v>
      </c>
      <c r="E673" t="s">
        <v>1007</v>
      </c>
      <c r="G673" t="s">
        <v>3028</v>
      </c>
      <c r="H673" t="s">
        <v>3268</v>
      </c>
      <c r="I673" t="s">
        <v>3475</v>
      </c>
      <c r="J673" s="8" t="str">
        <f>+LEFT(U673,4)</f>
        <v>ALM-</v>
      </c>
      <c r="K673" t="s">
        <v>98</v>
      </c>
      <c r="L673" s="47">
        <v>563</v>
      </c>
      <c r="M673" t="s">
        <v>186</v>
      </c>
      <c r="N673" t="s">
        <v>11</v>
      </c>
      <c r="O673" s="50">
        <v>2.9203999999999999</v>
      </c>
      <c r="P673" s="9">
        <f>ROUND(O673*L673,2)</f>
        <v>1644.19</v>
      </c>
      <c r="Q673" s="10">
        <f>IF(N673="HKD",7.8,IF(N673="CNY",7.30034,1))</f>
        <v>7.3003400000000003</v>
      </c>
      <c r="R673" s="10">
        <f>+ROUND(O673/Q673,4)</f>
        <v>0.4</v>
      </c>
      <c r="S673" s="11">
        <f>ROUND(R673*L673,2)</f>
        <v>225.2</v>
      </c>
      <c r="T673" s="10" t="s">
        <v>349</v>
      </c>
      <c r="U673" t="s">
        <v>191</v>
      </c>
    </row>
    <row r="674" spans="1:21">
      <c r="A674" t="s">
        <v>2679</v>
      </c>
      <c r="B674" s="20">
        <v>45743</v>
      </c>
      <c r="C674" s="20">
        <v>45726</v>
      </c>
      <c r="D674" t="s">
        <v>1006</v>
      </c>
      <c r="E674" t="s">
        <v>1007</v>
      </c>
      <c r="G674" t="s">
        <v>3028</v>
      </c>
      <c r="H674" t="s">
        <v>3221</v>
      </c>
      <c r="I674" t="s">
        <v>3428</v>
      </c>
      <c r="J674" s="8" t="str">
        <f>+LEFT(U674,4)</f>
        <v>ALM-</v>
      </c>
      <c r="K674" t="s">
        <v>98</v>
      </c>
      <c r="L674" s="47">
        <v>510</v>
      </c>
      <c r="M674" t="s">
        <v>186</v>
      </c>
      <c r="N674" t="s">
        <v>11</v>
      </c>
      <c r="O674" s="50">
        <v>3.0973000000000002</v>
      </c>
      <c r="P674" s="9">
        <f>ROUND(O674*L674,2)</f>
        <v>1579.62</v>
      </c>
      <c r="Q674" s="10">
        <f>IF(N674="HKD",7.8,IF(N674="CNY",7.30034,1))</f>
        <v>7.3003400000000003</v>
      </c>
      <c r="R674" s="10">
        <f>+ROUND(O674/Q674,4)</f>
        <v>0.42430000000000001</v>
      </c>
      <c r="S674" s="11">
        <f>ROUND(R674*L674,2)</f>
        <v>216.39</v>
      </c>
      <c r="T674" s="10" t="s">
        <v>349</v>
      </c>
      <c r="U674" t="s">
        <v>191</v>
      </c>
    </row>
    <row r="675" spans="1:21">
      <c r="A675" t="s">
        <v>2779</v>
      </c>
      <c r="B675" s="20">
        <v>45743</v>
      </c>
      <c r="C675" s="20">
        <v>45730</v>
      </c>
      <c r="D675" t="s">
        <v>1006</v>
      </c>
      <c r="E675" t="s">
        <v>1007</v>
      </c>
      <c r="G675" t="s">
        <v>3028</v>
      </c>
      <c r="H675" t="s">
        <v>1013</v>
      </c>
      <c r="I675" t="s">
        <v>1014</v>
      </c>
      <c r="J675" s="8" t="str">
        <f>+LEFT(U675,4)</f>
        <v>ALM-</v>
      </c>
      <c r="K675" t="s">
        <v>98</v>
      </c>
      <c r="L675" s="47">
        <v>982</v>
      </c>
      <c r="M675" t="s">
        <v>186</v>
      </c>
      <c r="N675" t="s">
        <v>11</v>
      </c>
      <c r="O675" s="50">
        <v>3.0973000000000002</v>
      </c>
      <c r="P675" s="9">
        <f>ROUND(O675*L675,2)</f>
        <v>3041.55</v>
      </c>
      <c r="Q675" s="10">
        <f>IF(N675="HKD",7.8,IF(N675="CNY",7.30034,1))</f>
        <v>7.3003400000000003</v>
      </c>
      <c r="R675" s="10">
        <f>+ROUND(O675/Q675,4)</f>
        <v>0.42430000000000001</v>
      </c>
      <c r="S675" s="11">
        <f>ROUND(R675*L675,2)</f>
        <v>416.66</v>
      </c>
      <c r="T675" s="10" t="s">
        <v>349</v>
      </c>
      <c r="U675" t="s">
        <v>191</v>
      </c>
    </row>
    <row r="676" spans="1:21">
      <c r="A676" t="s">
        <v>2804</v>
      </c>
      <c r="B676" s="20">
        <v>45743</v>
      </c>
      <c r="C676" s="20">
        <v>45735</v>
      </c>
      <c r="D676" t="s">
        <v>1006</v>
      </c>
      <c r="E676" t="s">
        <v>1007</v>
      </c>
      <c r="G676" t="s">
        <v>3028</v>
      </c>
      <c r="H676" t="s">
        <v>1013</v>
      </c>
      <c r="I676" t="s">
        <v>1014</v>
      </c>
      <c r="J676" s="8" t="str">
        <f>+LEFT(U676,4)</f>
        <v>ALM-</v>
      </c>
      <c r="K676" t="s">
        <v>98</v>
      </c>
      <c r="L676" s="47">
        <v>643</v>
      </c>
      <c r="M676" t="s">
        <v>186</v>
      </c>
      <c r="N676" t="s">
        <v>11</v>
      </c>
      <c r="O676" s="50">
        <v>3.0973000000000002</v>
      </c>
      <c r="P676" s="9">
        <f>ROUND(O676*L676,2)</f>
        <v>1991.56</v>
      </c>
      <c r="Q676" s="10">
        <f>IF(N676="HKD",7.8,IF(N676="CNY",7.30034,1))</f>
        <v>7.3003400000000003</v>
      </c>
      <c r="R676" s="10">
        <f>+ROUND(O676/Q676,4)</f>
        <v>0.42430000000000001</v>
      </c>
      <c r="S676" s="11">
        <f>ROUND(R676*L676,2)</f>
        <v>272.82</v>
      </c>
      <c r="T676" s="10" t="s">
        <v>349</v>
      </c>
      <c r="U676" t="s">
        <v>191</v>
      </c>
    </row>
    <row r="677" spans="1:21">
      <c r="A677" t="s">
        <v>2761</v>
      </c>
      <c r="B677" s="20">
        <v>45743</v>
      </c>
      <c r="C677" s="20">
        <v>45730</v>
      </c>
      <c r="D677" t="s">
        <v>806</v>
      </c>
      <c r="E677" t="s">
        <v>807</v>
      </c>
      <c r="G677" t="s">
        <v>3048</v>
      </c>
      <c r="H677" t="s">
        <v>3250</v>
      </c>
      <c r="I677" t="s">
        <v>3457</v>
      </c>
      <c r="J677" s="8" t="str">
        <f>+LEFT(U677,4)</f>
        <v>BAG-</v>
      </c>
      <c r="K677" t="s">
        <v>10</v>
      </c>
      <c r="L677" s="47">
        <v>10000</v>
      </c>
      <c r="M677" t="s">
        <v>1472</v>
      </c>
      <c r="N677" t="s">
        <v>11</v>
      </c>
      <c r="O677" s="50">
        <v>9.6000000000000002E-2</v>
      </c>
      <c r="P677" s="9">
        <f>ROUND(O677*L677,2)</f>
        <v>960</v>
      </c>
      <c r="Q677" s="10">
        <f>IF(N677="HKD",7.8,IF(N677="CNY",7.30034,1))</f>
        <v>7.3003400000000003</v>
      </c>
      <c r="R677" s="10">
        <f>+ROUND(O677/Q677,4)</f>
        <v>1.32E-2</v>
      </c>
      <c r="S677" s="11">
        <f>ROUND(R677*L677,2)</f>
        <v>132</v>
      </c>
      <c r="T677" s="10" t="s">
        <v>349</v>
      </c>
      <c r="U677" t="s">
        <v>810</v>
      </c>
    </row>
    <row r="678" spans="1:21">
      <c r="A678" t="s">
        <v>2762</v>
      </c>
      <c r="B678" s="20">
        <v>45743</v>
      </c>
      <c r="C678" s="20">
        <v>45730</v>
      </c>
      <c r="D678" t="s">
        <v>806</v>
      </c>
      <c r="E678" t="s">
        <v>807</v>
      </c>
      <c r="G678" t="s">
        <v>3048</v>
      </c>
      <c r="H678" t="s">
        <v>3251</v>
      </c>
      <c r="I678" t="s">
        <v>3458</v>
      </c>
      <c r="J678" s="8" t="str">
        <f>+LEFT(U678,4)</f>
        <v>BAG-</v>
      </c>
      <c r="K678" t="s">
        <v>10</v>
      </c>
      <c r="L678" s="47">
        <v>4000</v>
      </c>
      <c r="M678" t="s">
        <v>1472</v>
      </c>
      <c r="N678" t="s">
        <v>11</v>
      </c>
      <c r="O678" s="50">
        <v>0.113</v>
      </c>
      <c r="P678" s="9">
        <f>ROUND(O678*L678,2)</f>
        <v>452</v>
      </c>
      <c r="Q678" s="10">
        <f>IF(N678="HKD",7.8,IF(N678="CNY",7.30034,1))</f>
        <v>7.3003400000000003</v>
      </c>
      <c r="R678" s="10">
        <f>+ROUND(O678/Q678,4)</f>
        <v>1.55E-2</v>
      </c>
      <c r="S678" s="11">
        <f>ROUND(R678*L678,2)</f>
        <v>62</v>
      </c>
      <c r="T678" s="10" t="s">
        <v>349</v>
      </c>
      <c r="U678" t="s">
        <v>810</v>
      </c>
    </row>
    <row r="679" spans="1:21">
      <c r="A679" t="s">
        <v>2763</v>
      </c>
      <c r="B679" s="20">
        <v>45743</v>
      </c>
      <c r="C679" s="20">
        <v>45730</v>
      </c>
      <c r="D679" t="s">
        <v>806</v>
      </c>
      <c r="E679" t="s">
        <v>807</v>
      </c>
      <c r="G679" t="s">
        <v>3048</v>
      </c>
      <c r="H679" t="s">
        <v>804</v>
      </c>
      <c r="I679" t="s">
        <v>805</v>
      </c>
      <c r="J679" s="8" t="str">
        <f>+LEFT(U679,4)</f>
        <v>BAG-</v>
      </c>
      <c r="K679" t="s">
        <v>10</v>
      </c>
      <c r="L679" s="47">
        <v>7000</v>
      </c>
      <c r="M679" t="s">
        <v>1472</v>
      </c>
      <c r="N679" t="s">
        <v>11</v>
      </c>
      <c r="O679" s="50">
        <v>0.152</v>
      </c>
      <c r="P679" s="9">
        <f>ROUND(O679*L679,2)</f>
        <v>1064</v>
      </c>
      <c r="Q679" s="10">
        <f>IF(N679="HKD",7.8,IF(N679="CNY",7.30034,1))</f>
        <v>7.3003400000000003</v>
      </c>
      <c r="R679" s="10">
        <f>+ROUND(O679/Q679,4)</f>
        <v>2.0799999999999999E-2</v>
      </c>
      <c r="S679" s="11">
        <f>ROUND(R679*L679,2)</f>
        <v>145.6</v>
      </c>
      <c r="T679" s="10" t="s">
        <v>349</v>
      </c>
      <c r="U679" t="s">
        <v>810</v>
      </c>
    </row>
    <row r="680" spans="1:21">
      <c r="A680" t="s">
        <v>2764</v>
      </c>
      <c r="B680" s="20">
        <v>45743</v>
      </c>
      <c r="C680" s="20">
        <v>45730</v>
      </c>
      <c r="D680" t="s">
        <v>806</v>
      </c>
      <c r="E680" t="s">
        <v>807</v>
      </c>
      <c r="G680" t="s">
        <v>3048</v>
      </c>
      <c r="H680" t="s">
        <v>3252</v>
      </c>
      <c r="I680" t="s">
        <v>3459</v>
      </c>
      <c r="J680" s="8" t="str">
        <f>+LEFT(U680,4)</f>
        <v>BAG-</v>
      </c>
      <c r="K680" t="s">
        <v>10</v>
      </c>
      <c r="L680" s="47">
        <v>1000</v>
      </c>
      <c r="M680" t="s">
        <v>1472</v>
      </c>
      <c r="N680" t="s">
        <v>11</v>
      </c>
      <c r="O680" s="50">
        <v>0.215</v>
      </c>
      <c r="P680" s="9">
        <f>ROUND(O680*L680,2)</f>
        <v>215</v>
      </c>
      <c r="Q680" s="10">
        <f>IF(N680="HKD",7.8,IF(N680="CNY",7.30034,1))</f>
        <v>7.3003400000000003</v>
      </c>
      <c r="R680" s="10">
        <f>+ROUND(O680/Q680,4)</f>
        <v>2.9499999999999998E-2</v>
      </c>
      <c r="S680" s="11">
        <f>ROUND(R680*L680,2)</f>
        <v>29.5</v>
      </c>
      <c r="T680" s="10" t="s">
        <v>349</v>
      </c>
      <c r="U680" t="s">
        <v>810</v>
      </c>
    </row>
    <row r="681" spans="1:21">
      <c r="A681" t="s">
        <v>2813</v>
      </c>
      <c r="B681" s="20">
        <v>45743</v>
      </c>
      <c r="C681" s="20">
        <v>45743</v>
      </c>
      <c r="D681" t="s">
        <v>5</v>
      </c>
      <c r="E681" t="s">
        <v>6</v>
      </c>
      <c r="G681" t="s">
        <v>3057</v>
      </c>
      <c r="H681" t="s">
        <v>3272</v>
      </c>
      <c r="I681" t="s">
        <v>3478</v>
      </c>
      <c r="J681" s="8" t="str">
        <f>+LEFT(U681,4)</f>
        <v>BOX-</v>
      </c>
      <c r="K681" t="s">
        <v>10</v>
      </c>
      <c r="L681" s="47">
        <v>2020</v>
      </c>
      <c r="M681" t="s">
        <v>1472</v>
      </c>
      <c r="N681" t="s">
        <v>11</v>
      </c>
      <c r="O681" s="50">
        <v>1.65</v>
      </c>
      <c r="P681" s="9">
        <f>ROUND(O681*L681,2)</f>
        <v>3333</v>
      </c>
      <c r="Q681" s="10">
        <f>IF(N681="HKD",7.8,IF(N681="CNY",7.30034,1))</f>
        <v>7.3003400000000003</v>
      </c>
      <c r="R681" s="10">
        <f>+ROUND(O681/Q681,4)</f>
        <v>0.22600000000000001</v>
      </c>
      <c r="S681" s="11">
        <f>ROUND(R681*L681,2)</f>
        <v>456.52</v>
      </c>
      <c r="T681" s="10" t="s">
        <v>349</v>
      </c>
      <c r="U681" t="s">
        <v>1</v>
      </c>
    </row>
    <row r="682" spans="1:21">
      <c r="A682" t="s">
        <v>2814</v>
      </c>
      <c r="B682" s="20">
        <v>45743</v>
      </c>
      <c r="C682" s="20">
        <v>45743</v>
      </c>
      <c r="D682" t="s">
        <v>5</v>
      </c>
      <c r="E682" t="s">
        <v>6</v>
      </c>
      <c r="G682" t="s">
        <v>3057</v>
      </c>
      <c r="H682" t="s">
        <v>3272</v>
      </c>
      <c r="I682" t="s">
        <v>3478</v>
      </c>
      <c r="J682" s="8" t="str">
        <f>+LEFT(U682,4)</f>
        <v>BOX-</v>
      </c>
      <c r="K682" t="s">
        <v>10</v>
      </c>
      <c r="L682" s="47">
        <v>200</v>
      </c>
      <c r="M682" t="s">
        <v>1472</v>
      </c>
      <c r="N682" t="s">
        <v>11</v>
      </c>
      <c r="O682" s="50">
        <v>1.65</v>
      </c>
      <c r="P682" s="9">
        <f>ROUND(O682*L682,2)</f>
        <v>330</v>
      </c>
      <c r="Q682" s="10">
        <f>IF(N682="HKD",7.8,IF(N682="CNY",7.30034,1))</f>
        <v>7.3003400000000003</v>
      </c>
      <c r="R682" s="10">
        <f>+ROUND(O682/Q682,4)</f>
        <v>0.22600000000000001</v>
      </c>
      <c r="S682" s="11">
        <f>ROUND(R682*L682,2)</f>
        <v>45.2</v>
      </c>
      <c r="T682" s="10" t="s">
        <v>349</v>
      </c>
      <c r="U682" t="s">
        <v>1</v>
      </c>
    </row>
    <row r="683" spans="1:21">
      <c r="A683" t="s">
        <v>2816</v>
      </c>
      <c r="B683" s="20">
        <v>45743</v>
      </c>
      <c r="C683" s="20">
        <v>45743</v>
      </c>
      <c r="D683" t="s">
        <v>5</v>
      </c>
      <c r="E683" t="s">
        <v>6</v>
      </c>
      <c r="G683" t="s">
        <v>3057</v>
      </c>
      <c r="H683" t="s">
        <v>3274</v>
      </c>
      <c r="I683" t="s">
        <v>3480</v>
      </c>
      <c r="J683" s="8" t="str">
        <f>+LEFT(U683,4)</f>
        <v>BOX-</v>
      </c>
      <c r="K683" t="s">
        <v>10</v>
      </c>
      <c r="L683" s="47">
        <v>1530</v>
      </c>
      <c r="M683" t="s">
        <v>1472</v>
      </c>
      <c r="N683" t="s">
        <v>11</v>
      </c>
      <c r="O683" s="50">
        <v>2.76</v>
      </c>
      <c r="P683" s="9">
        <f>ROUND(O683*L683,2)</f>
        <v>4222.8</v>
      </c>
      <c r="Q683" s="10">
        <f>IF(N683="HKD",7.8,IF(N683="CNY",7.30034,1))</f>
        <v>7.3003400000000003</v>
      </c>
      <c r="R683" s="10">
        <f>+ROUND(O683/Q683,4)</f>
        <v>0.37809999999999999</v>
      </c>
      <c r="S683" s="11">
        <f>ROUND(R683*L683,2)</f>
        <v>578.49</v>
      </c>
      <c r="T683" s="10" t="s">
        <v>349</v>
      </c>
      <c r="U683" t="s">
        <v>1</v>
      </c>
    </row>
    <row r="684" spans="1:21">
      <c r="A684" t="s">
        <v>2811</v>
      </c>
      <c r="B684" s="20">
        <v>45743</v>
      </c>
      <c r="C684" s="20">
        <v>45743</v>
      </c>
      <c r="D684" t="s">
        <v>5</v>
      </c>
      <c r="E684" t="s">
        <v>6</v>
      </c>
      <c r="G684" t="s">
        <v>3057</v>
      </c>
      <c r="H684" t="s">
        <v>3271</v>
      </c>
      <c r="I684" t="s">
        <v>428</v>
      </c>
      <c r="J684" s="8" t="str">
        <f>+LEFT(U684,4)</f>
        <v>BOX-</v>
      </c>
      <c r="K684" t="s">
        <v>10</v>
      </c>
      <c r="L684" s="47">
        <v>3600</v>
      </c>
      <c r="M684" t="s">
        <v>1472</v>
      </c>
      <c r="N684" t="s">
        <v>11</v>
      </c>
      <c r="O684" s="50">
        <v>2.79</v>
      </c>
      <c r="P684" s="9">
        <f>ROUND(O684*L684,2)</f>
        <v>10044</v>
      </c>
      <c r="Q684" s="10">
        <f>IF(N684="HKD",7.8,IF(N684="CNY",7.30034,1))</f>
        <v>7.3003400000000003</v>
      </c>
      <c r="R684" s="10">
        <f>+ROUND(O684/Q684,4)</f>
        <v>0.38219999999999998</v>
      </c>
      <c r="S684" s="11">
        <f>ROUND(R684*L684,2)</f>
        <v>1375.92</v>
      </c>
      <c r="T684" s="10" t="s">
        <v>349</v>
      </c>
      <c r="U684" t="s">
        <v>1</v>
      </c>
    </row>
    <row r="685" spans="1:21">
      <c r="A685" t="s">
        <v>2812</v>
      </c>
      <c r="B685" s="20">
        <v>45743</v>
      </c>
      <c r="C685" s="20">
        <v>45743</v>
      </c>
      <c r="D685" t="s">
        <v>5</v>
      </c>
      <c r="E685" t="s">
        <v>6</v>
      </c>
      <c r="G685" t="s">
        <v>3057</v>
      </c>
      <c r="H685" t="s">
        <v>3271</v>
      </c>
      <c r="I685" t="s">
        <v>428</v>
      </c>
      <c r="J685" s="8" t="str">
        <f>+LEFT(U685,4)</f>
        <v>BOX-</v>
      </c>
      <c r="K685" t="s">
        <v>10</v>
      </c>
      <c r="L685" s="47">
        <v>50</v>
      </c>
      <c r="M685" t="s">
        <v>1472</v>
      </c>
      <c r="N685" t="s">
        <v>11</v>
      </c>
      <c r="O685" s="50">
        <v>2.79</v>
      </c>
      <c r="P685" s="9">
        <f>ROUND(O685*L685,2)</f>
        <v>139.5</v>
      </c>
      <c r="Q685" s="10">
        <f>IF(N685="HKD",7.8,IF(N685="CNY",7.30034,1))</f>
        <v>7.3003400000000003</v>
      </c>
      <c r="R685" s="10">
        <f>+ROUND(O685/Q685,4)</f>
        <v>0.38219999999999998</v>
      </c>
      <c r="S685" s="11">
        <f>ROUND(R685*L685,2)</f>
        <v>19.11</v>
      </c>
      <c r="T685" s="10" t="s">
        <v>349</v>
      </c>
      <c r="U685" t="s">
        <v>1</v>
      </c>
    </row>
    <row r="686" spans="1:21">
      <c r="A686" t="s">
        <v>2815</v>
      </c>
      <c r="B686" s="20">
        <v>45743</v>
      </c>
      <c r="C686" s="20">
        <v>45743</v>
      </c>
      <c r="D686" t="s">
        <v>5</v>
      </c>
      <c r="E686" t="s">
        <v>6</v>
      </c>
      <c r="G686" t="s">
        <v>3057</v>
      </c>
      <c r="H686" t="s">
        <v>3273</v>
      </c>
      <c r="I686" t="s">
        <v>3479</v>
      </c>
      <c r="J686" s="8" t="str">
        <f>+LEFT(U686,4)</f>
        <v>BOX-</v>
      </c>
      <c r="K686" t="s">
        <v>10</v>
      </c>
      <c r="L686" s="47">
        <v>1010</v>
      </c>
      <c r="M686" t="s">
        <v>1472</v>
      </c>
      <c r="N686" t="s">
        <v>11</v>
      </c>
      <c r="O686" s="50">
        <v>3.23</v>
      </c>
      <c r="P686" s="9">
        <f>ROUND(O686*L686,2)</f>
        <v>3262.3</v>
      </c>
      <c r="Q686" s="10">
        <f>IF(N686="HKD",7.8,IF(N686="CNY",7.30034,1))</f>
        <v>7.3003400000000003</v>
      </c>
      <c r="R686" s="10">
        <f>+ROUND(O686/Q686,4)</f>
        <v>0.44240000000000002</v>
      </c>
      <c r="S686" s="11">
        <f>ROUND(R686*L686,2)</f>
        <v>446.82</v>
      </c>
      <c r="T686" s="10" t="s">
        <v>349</v>
      </c>
      <c r="U686" t="s">
        <v>1</v>
      </c>
    </row>
    <row r="687" spans="1:21">
      <c r="A687" t="s">
        <v>2551</v>
      </c>
      <c r="B687" s="20">
        <v>45743</v>
      </c>
      <c r="C687" s="20">
        <v>45716</v>
      </c>
      <c r="D687" t="s">
        <v>149</v>
      </c>
      <c r="E687" t="s">
        <v>150</v>
      </c>
      <c r="G687" t="s">
        <v>2993</v>
      </c>
      <c r="H687" t="s">
        <v>3170</v>
      </c>
      <c r="I687" t="s">
        <v>787</v>
      </c>
      <c r="J687" s="8" t="str">
        <f>+LEFT(U687,4)</f>
        <v>GLID</v>
      </c>
      <c r="K687" t="s">
        <v>10</v>
      </c>
      <c r="L687" s="47">
        <v>1020</v>
      </c>
      <c r="M687" t="s">
        <v>1472</v>
      </c>
      <c r="N687" t="s">
        <v>11</v>
      </c>
      <c r="O687" s="50">
        <v>2.7372999999999998</v>
      </c>
      <c r="P687" s="9">
        <f>ROUND(O687*L687,2)</f>
        <v>2792.05</v>
      </c>
      <c r="Q687" s="10">
        <f>IF(N687="HKD",7.8,IF(N687="CNY",7.30034,1))</f>
        <v>7.3003400000000003</v>
      </c>
      <c r="R687" s="10">
        <f>+ROUND(O687/Q687,4)</f>
        <v>0.375</v>
      </c>
      <c r="S687" s="11">
        <f>ROUND(R687*L687,2)</f>
        <v>382.5</v>
      </c>
      <c r="T687" s="10" t="s">
        <v>349</v>
      </c>
      <c r="U687" t="s">
        <v>78</v>
      </c>
    </row>
    <row r="688" spans="1:21">
      <c r="A688" t="s">
        <v>2730</v>
      </c>
      <c r="B688" s="20">
        <v>45743</v>
      </c>
      <c r="C688" s="20">
        <v>45728</v>
      </c>
      <c r="D688" t="s">
        <v>149</v>
      </c>
      <c r="E688" t="s">
        <v>150</v>
      </c>
      <c r="G688" t="s">
        <v>2993</v>
      </c>
      <c r="H688" t="s">
        <v>1190</v>
      </c>
      <c r="I688" t="s">
        <v>1191</v>
      </c>
      <c r="J688" s="8" t="str">
        <f>+LEFT(U688,4)</f>
        <v>GLID</v>
      </c>
      <c r="K688" t="s">
        <v>10</v>
      </c>
      <c r="L688" s="47">
        <v>3030</v>
      </c>
      <c r="M688" t="s">
        <v>1472</v>
      </c>
      <c r="N688" t="s">
        <v>11</v>
      </c>
      <c r="O688" s="50">
        <v>4.3726000000000003</v>
      </c>
      <c r="P688" s="9">
        <f>ROUND(O688*L688,2)</f>
        <v>13248.98</v>
      </c>
      <c r="Q688" s="10">
        <f>IF(N688="HKD",7.8,IF(N688="CNY",7.30034,1))</f>
        <v>7.3003400000000003</v>
      </c>
      <c r="R688" s="10">
        <f>+ROUND(O688/Q688,4)</f>
        <v>0.59899999999999998</v>
      </c>
      <c r="S688" s="11">
        <f>ROUND(R688*L688,2)</f>
        <v>1814.97</v>
      </c>
      <c r="T688" s="10" t="s">
        <v>349</v>
      </c>
      <c r="U688" t="s">
        <v>78</v>
      </c>
    </row>
    <row r="689" spans="1:21">
      <c r="A689" t="s">
        <v>2549</v>
      </c>
      <c r="B689" s="20">
        <v>45743</v>
      </c>
      <c r="C689" s="20">
        <v>45716</v>
      </c>
      <c r="D689" t="s">
        <v>149</v>
      </c>
      <c r="E689" t="s">
        <v>150</v>
      </c>
      <c r="G689" t="s">
        <v>2993</v>
      </c>
      <c r="H689" t="s">
        <v>3169</v>
      </c>
      <c r="I689" t="s">
        <v>3379</v>
      </c>
      <c r="J689" s="8" t="str">
        <f>+LEFT(U689,4)</f>
        <v>GLID</v>
      </c>
      <c r="K689" t="s">
        <v>10</v>
      </c>
      <c r="L689" s="47">
        <v>530</v>
      </c>
      <c r="M689" t="s">
        <v>1472</v>
      </c>
      <c r="N689" t="s">
        <v>11</v>
      </c>
      <c r="O689" s="50">
        <v>4.4287999999999998</v>
      </c>
      <c r="P689" s="9">
        <f>ROUND(O689*L689,2)</f>
        <v>2347.2600000000002</v>
      </c>
      <c r="Q689" s="10">
        <f>IF(N689="HKD",7.8,IF(N689="CNY",7.30034,1))</f>
        <v>7.3003400000000003</v>
      </c>
      <c r="R689" s="10">
        <f>+ROUND(O689/Q689,4)</f>
        <v>0.60670000000000002</v>
      </c>
      <c r="S689" s="11">
        <f>ROUND(R689*L689,2)</f>
        <v>321.55</v>
      </c>
      <c r="T689" s="10" t="s">
        <v>349</v>
      </c>
      <c r="U689" t="s">
        <v>78</v>
      </c>
    </row>
    <row r="690" spans="1:21">
      <c r="A690" t="s">
        <v>2643</v>
      </c>
      <c r="B690" s="20">
        <v>45743</v>
      </c>
      <c r="C690" s="20">
        <v>45721</v>
      </c>
      <c r="D690" t="s">
        <v>709</v>
      </c>
      <c r="E690" t="s">
        <v>710</v>
      </c>
      <c r="G690" t="s">
        <v>2998</v>
      </c>
      <c r="H690" t="s">
        <v>738</v>
      </c>
      <c r="I690" t="s">
        <v>739</v>
      </c>
      <c r="J690" s="8" t="str">
        <f>+LEFT(U690,4)</f>
        <v>KNOB</v>
      </c>
      <c r="K690" t="s">
        <v>10</v>
      </c>
      <c r="L690" s="47">
        <v>1000</v>
      </c>
      <c r="M690" t="s">
        <v>1472</v>
      </c>
      <c r="N690" t="s">
        <v>11</v>
      </c>
      <c r="O690" s="50">
        <v>1.0463</v>
      </c>
      <c r="P690" s="9">
        <f>ROUND(O690*L690,2)</f>
        <v>1046.3</v>
      </c>
      <c r="Q690" s="10">
        <f>IF(N690="HKD",7.8,IF(N690="CNY",7.30034,1))</f>
        <v>7.3003400000000003</v>
      </c>
      <c r="R690" s="10">
        <f>+ROUND(O690/Q690,4)</f>
        <v>0.14330000000000001</v>
      </c>
      <c r="S690" s="11">
        <f>ROUND(R690*L690,2)</f>
        <v>143.30000000000001</v>
      </c>
      <c r="T690" s="10" t="s">
        <v>349</v>
      </c>
      <c r="U690" t="s">
        <v>32</v>
      </c>
    </row>
    <row r="691" spans="1:21">
      <c r="A691" t="s">
        <v>2563</v>
      </c>
      <c r="B691" s="20">
        <v>45743</v>
      </c>
      <c r="C691" s="20">
        <v>45716</v>
      </c>
      <c r="D691" t="s">
        <v>709</v>
      </c>
      <c r="E691" t="s">
        <v>710</v>
      </c>
      <c r="G691" t="s">
        <v>2998</v>
      </c>
      <c r="H691" t="s">
        <v>3177</v>
      </c>
      <c r="I691" t="s">
        <v>3384</v>
      </c>
      <c r="J691" s="8" t="str">
        <f>+LEFT(U691,4)</f>
        <v>KNOB</v>
      </c>
      <c r="K691" t="s">
        <v>10</v>
      </c>
      <c r="L691" s="47">
        <v>1010</v>
      </c>
      <c r="M691" t="s">
        <v>1472</v>
      </c>
      <c r="N691" t="s">
        <v>11</v>
      </c>
      <c r="O691" s="50">
        <v>1.2481</v>
      </c>
      <c r="P691" s="9">
        <f>ROUND(O691*L691,2)</f>
        <v>1260.58</v>
      </c>
      <c r="Q691" s="10">
        <f>IF(N691="HKD",7.8,IF(N691="CNY",7.30034,1))</f>
        <v>7.3003400000000003</v>
      </c>
      <c r="R691" s="10">
        <f>+ROUND(O691/Q691,4)</f>
        <v>0.17100000000000001</v>
      </c>
      <c r="S691" s="11">
        <f>ROUND(R691*L691,2)</f>
        <v>172.71</v>
      </c>
      <c r="T691" s="10" t="s">
        <v>349</v>
      </c>
      <c r="U691" t="s">
        <v>32</v>
      </c>
    </row>
    <row r="692" spans="1:21">
      <c r="A692" t="s">
        <v>2377</v>
      </c>
      <c r="B692" s="20">
        <v>45743</v>
      </c>
      <c r="C692" s="20">
        <v>45695</v>
      </c>
      <c r="D692" t="s">
        <v>143</v>
      </c>
      <c r="E692" t="s">
        <v>144</v>
      </c>
      <c r="G692" t="s">
        <v>2913</v>
      </c>
      <c r="H692" t="s">
        <v>141</v>
      </c>
      <c r="I692" t="s">
        <v>142</v>
      </c>
      <c r="J692" s="8" t="str">
        <f>+LEFT(U692,4)</f>
        <v>KNOB</v>
      </c>
      <c r="K692" t="s">
        <v>10</v>
      </c>
      <c r="L692" s="47">
        <v>2900</v>
      </c>
      <c r="M692" t="s">
        <v>1472</v>
      </c>
      <c r="N692" t="s">
        <v>11</v>
      </c>
      <c r="O692" s="50">
        <v>5.0999999999999996</v>
      </c>
      <c r="P692" s="9">
        <f>ROUND(O692*L692,2)</f>
        <v>14790</v>
      </c>
      <c r="Q692" s="10">
        <f>IF(N692="HKD",7.8,IF(N692="CNY",7.30034,1))</f>
        <v>7.3003400000000003</v>
      </c>
      <c r="R692" s="10">
        <f>+ROUND(O692/Q692,4)</f>
        <v>0.6986</v>
      </c>
      <c r="S692" s="11">
        <f>ROUND(R692*L692,2)</f>
        <v>2025.94</v>
      </c>
      <c r="T692" s="10" t="s">
        <v>349</v>
      </c>
      <c r="U692" t="s">
        <v>32</v>
      </c>
    </row>
    <row r="693" spans="1:21">
      <c r="A693" t="s">
        <v>2534</v>
      </c>
      <c r="B693" s="20">
        <v>45743</v>
      </c>
      <c r="C693" s="20">
        <v>45714</v>
      </c>
      <c r="D693" t="s">
        <v>94</v>
      </c>
      <c r="E693" t="s">
        <v>95</v>
      </c>
      <c r="G693" t="s">
        <v>2971</v>
      </c>
      <c r="H693" t="s">
        <v>3164</v>
      </c>
      <c r="I693" t="s">
        <v>3374</v>
      </c>
      <c r="J693" s="8" t="str">
        <f>+LEFT(U693,4)</f>
        <v>LID-</v>
      </c>
      <c r="K693" t="s">
        <v>98</v>
      </c>
      <c r="L693" s="47">
        <v>1127</v>
      </c>
      <c r="M693" t="s">
        <v>1472</v>
      </c>
      <c r="N693" t="s">
        <v>11</v>
      </c>
      <c r="O693" s="50">
        <v>4.26</v>
      </c>
      <c r="P693" s="9">
        <f>ROUND(O693*L693,2)</f>
        <v>4801.0200000000004</v>
      </c>
      <c r="Q693" s="10">
        <f>IF(N693="HKD",7.8,IF(N693="CNY",7.30034,1))</f>
        <v>7.3003400000000003</v>
      </c>
      <c r="R693" s="10">
        <f>+ROUND(O693/Q693,4)</f>
        <v>0.58350000000000002</v>
      </c>
      <c r="S693" s="11">
        <f>ROUND(R693*L693,2)</f>
        <v>657.6</v>
      </c>
      <c r="T693" s="10" t="s">
        <v>349</v>
      </c>
      <c r="U693" t="s">
        <v>368</v>
      </c>
    </row>
    <row r="694" spans="1:21">
      <c r="A694" t="s">
        <v>2787</v>
      </c>
      <c r="B694" s="20">
        <v>45743</v>
      </c>
      <c r="C694" s="20">
        <v>45733</v>
      </c>
      <c r="D694" t="s">
        <v>14</v>
      </c>
      <c r="E694" t="s">
        <v>15</v>
      </c>
      <c r="G694" t="s">
        <v>3049</v>
      </c>
      <c r="H694" t="s">
        <v>12</v>
      </c>
      <c r="I694" t="s">
        <v>13</v>
      </c>
      <c r="J694" s="8" t="str">
        <f>+LEFT(U694,4)</f>
        <v>STKR</v>
      </c>
      <c r="K694" t="s">
        <v>10</v>
      </c>
      <c r="L694" s="47">
        <v>60000</v>
      </c>
      <c r="M694" t="s">
        <v>1472</v>
      </c>
      <c r="N694" t="s">
        <v>11</v>
      </c>
      <c r="O694" s="50">
        <v>2.8199999999999999E-2</v>
      </c>
      <c r="P694" s="9">
        <f>ROUND(O694*L694,2)</f>
        <v>1692</v>
      </c>
      <c r="Q694" s="10">
        <f>IF(N694="HKD",7.8,IF(N694="CNY",7.30034,1))</f>
        <v>7.3003400000000003</v>
      </c>
      <c r="R694" s="10">
        <f>+ROUND(O694/Q694,4)</f>
        <v>3.8999999999999998E-3</v>
      </c>
      <c r="S694" s="11">
        <f>ROUND(R694*L694,2)</f>
        <v>234</v>
      </c>
      <c r="T694" s="10" t="s">
        <v>349</v>
      </c>
      <c r="U694" t="s">
        <v>18</v>
      </c>
    </row>
    <row r="695" spans="1:21">
      <c r="A695" t="s">
        <v>2808</v>
      </c>
      <c r="B695" s="20">
        <v>45742</v>
      </c>
      <c r="C695" s="20">
        <v>45737</v>
      </c>
      <c r="D695" t="s">
        <v>5</v>
      </c>
      <c r="E695" t="s">
        <v>6</v>
      </c>
      <c r="G695" t="s">
        <v>3054</v>
      </c>
      <c r="H695" t="s">
        <v>3269</v>
      </c>
      <c r="I695" t="s">
        <v>3476</v>
      </c>
      <c r="J695" s="8" t="str">
        <f>+LEFT(U695,4)</f>
        <v>BOX-</v>
      </c>
      <c r="K695" t="s">
        <v>10</v>
      </c>
      <c r="L695" s="47">
        <v>505</v>
      </c>
      <c r="M695" t="s">
        <v>1472</v>
      </c>
      <c r="N695" t="s">
        <v>11</v>
      </c>
      <c r="O695" s="50">
        <v>6.52</v>
      </c>
      <c r="P695" s="9">
        <f>ROUND(O695*L695,2)</f>
        <v>3292.6</v>
      </c>
      <c r="Q695" s="10">
        <f>IF(N695="HKD",7.8,IF(N695="CNY",7.30034,1))</f>
        <v>7.3003400000000003</v>
      </c>
      <c r="R695" s="10">
        <f>+ROUND(O695/Q695,4)</f>
        <v>0.8931</v>
      </c>
      <c r="S695" s="11">
        <f>ROUND(R695*L695,2)</f>
        <v>451.02</v>
      </c>
      <c r="T695" s="10" t="s">
        <v>349</v>
      </c>
      <c r="U695" t="s">
        <v>1</v>
      </c>
    </row>
    <row r="696" spans="1:21">
      <c r="A696" t="s">
        <v>2673</v>
      </c>
      <c r="B696" s="20">
        <v>45742</v>
      </c>
      <c r="C696" s="20">
        <v>45726</v>
      </c>
      <c r="D696" t="s">
        <v>311</v>
      </c>
      <c r="E696" t="s">
        <v>312</v>
      </c>
      <c r="G696" t="s">
        <v>3027</v>
      </c>
      <c r="H696" t="s">
        <v>3199</v>
      </c>
      <c r="I696" t="s">
        <v>3406</v>
      </c>
      <c r="J696" s="8" t="str">
        <f>+LEFT(U696,4)</f>
        <v>EXM-</v>
      </c>
      <c r="K696" t="s">
        <v>10</v>
      </c>
      <c r="L696" s="47">
        <v>25</v>
      </c>
      <c r="M696" t="s">
        <v>186</v>
      </c>
      <c r="N696" t="s">
        <v>11</v>
      </c>
      <c r="O696" s="50">
        <v>88.495599999999996</v>
      </c>
      <c r="P696" s="9">
        <f>ROUND(O696*L696,2)</f>
        <v>2212.39</v>
      </c>
      <c r="Q696" s="10">
        <f>IF(N696="HKD",7.8,IF(N696="CNY",7.30034,1))</f>
        <v>7.3003400000000003</v>
      </c>
      <c r="R696" s="10">
        <f>+ROUND(O696/Q696,4)</f>
        <v>12.1221</v>
      </c>
      <c r="S696" s="11">
        <f>ROUND(R696*L696,2)</f>
        <v>303.05</v>
      </c>
      <c r="T696" s="10" t="s">
        <v>349</v>
      </c>
      <c r="U696" t="s">
        <v>315</v>
      </c>
    </row>
    <row r="697" spans="1:21">
      <c r="A697" t="s">
        <v>2647</v>
      </c>
      <c r="B697" s="20">
        <v>45742</v>
      </c>
      <c r="C697" s="20">
        <v>45721</v>
      </c>
      <c r="D697" t="s">
        <v>311</v>
      </c>
      <c r="E697" t="s">
        <v>312</v>
      </c>
      <c r="G697" t="s">
        <v>3022</v>
      </c>
      <c r="H697" t="s">
        <v>309</v>
      </c>
      <c r="I697" t="s">
        <v>310</v>
      </c>
      <c r="J697" s="8" t="str">
        <f>+LEFT(U697,4)</f>
        <v>EXM-</v>
      </c>
      <c r="K697" t="s">
        <v>10</v>
      </c>
      <c r="L697" s="47">
        <v>25</v>
      </c>
      <c r="M697" t="s">
        <v>186</v>
      </c>
      <c r="N697" t="s">
        <v>11</v>
      </c>
      <c r="O697" s="50">
        <v>102.0354</v>
      </c>
      <c r="P697" s="9">
        <f>ROUND(O697*L697,2)</f>
        <v>2550.89</v>
      </c>
      <c r="Q697" s="10">
        <f>IF(N697="HKD",7.8,IF(N697="CNY",7.30034,1))</f>
        <v>7.3003400000000003</v>
      </c>
      <c r="R697" s="10">
        <f>+ROUND(O697/Q697,4)</f>
        <v>13.976800000000001</v>
      </c>
      <c r="S697" s="11">
        <f>ROUND(R697*L697,2)</f>
        <v>349.42</v>
      </c>
      <c r="T697" s="10" t="s">
        <v>349</v>
      </c>
      <c r="U697" t="s">
        <v>315</v>
      </c>
    </row>
    <row r="698" spans="1:21">
      <c r="A698" t="s">
        <v>2757</v>
      </c>
      <c r="B698" s="20">
        <v>45742</v>
      </c>
      <c r="C698" s="20">
        <v>45729</v>
      </c>
      <c r="D698" t="s">
        <v>311</v>
      </c>
      <c r="E698" t="s">
        <v>312</v>
      </c>
      <c r="G698" t="s">
        <v>3046</v>
      </c>
      <c r="H698" t="s">
        <v>320</v>
      </c>
      <c r="I698" t="s">
        <v>321</v>
      </c>
      <c r="J698" s="8" t="str">
        <f>+LEFT(U698,4)</f>
        <v>EXM-</v>
      </c>
      <c r="K698" t="s">
        <v>10</v>
      </c>
      <c r="L698" s="47">
        <v>25</v>
      </c>
      <c r="M698" t="s">
        <v>186</v>
      </c>
      <c r="N698" t="s">
        <v>11</v>
      </c>
      <c r="O698" s="50">
        <v>110.6195</v>
      </c>
      <c r="P698" s="9">
        <f>ROUND(O698*L698,2)</f>
        <v>2765.49</v>
      </c>
      <c r="Q698" s="10">
        <f>IF(N698="HKD",7.8,IF(N698="CNY",7.30034,1))</f>
        <v>7.3003400000000003</v>
      </c>
      <c r="R698" s="10">
        <f>+ROUND(O698/Q698,4)</f>
        <v>15.152699999999999</v>
      </c>
      <c r="S698" s="11">
        <f>ROUND(R698*L698,2)</f>
        <v>378.82</v>
      </c>
      <c r="T698" s="10" t="s">
        <v>349</v>
      </c>
      <c r="U698" t="s">
        <v>315</v>
      </c>
    </row>
    <row r="699" spans="1:21">
      <c r="A699" t="s">
        <v>2771</v>
      </c>
      <c r="B699" s="20">
        <v>45742</v>
      </c>
      <c r="C699" s="20">
        <v>45730</v>
      </c>
      <c r="D699" t="s">
        <v>287</v>
      </c>
      <c r="E699" t="s">
        <v>288</v>
      </c>
      <c r="G699" t="s">
        <v>2851</v>
      </c>
      <c r="H699" t="s">
        <v>76</v>
      </c>
      <c r="I699" t="s">
        <v>77</v>
      </c>
      <c r="J699" s="8" t="str">
        <f>+LEFT(U699,4)</f>
        <v>GLID</v>
      </c>
      <c r="K699" t="s">
        <v>10</v>
      </c>
      <c r="L699" s="47">
        <v>3100</v>
      </c>
      <c r="M699" t="s">
        <v>1472</v>
      </c>
      <c r="N699" t="s">
        <v>11</v>
      </c>
      <c r="O699" s="50">
        <v>6.4610000000000003</v>
      </c>
      <c r="P699" s="9">
        <f>ROUND(O699*L699,2)</f>
        <v>20029.099999999999</v>
      </c>
      <c r="Q699" s="10">
        <f>IF(N699="HKD",7.8,IF(N699="CNY",7.30034,1))</f>
        <v>7.3003400000000003</v>
      </c>
      <c r="R699" s="10">
        <f>+ROUND(O699/Q699,4)</f>
        <v>0.88500000000000001</v>
      </c>
      <c r="S699" s="11">
        <f>ROUND(R699*L699,2)</f>
        <v>2743.5</v>
      </c>
      <c r="T699" s="10" t="s">
        <v>349</v>
      </c>
      <c r="U699" t="s">
        <v>78</v>
      </c>
    </row>
    <row r="700" spans="1:21">
      <c r="A700" t="s">
        <v>2344</v>
      </c>
      <c r="B700" s="20">
        <v>45742</v>
      </c>
      <c r="C700" s="20">
        <v>45677</v>
      </c>
      <c r="D700" t="s">
        <v>287</v>
      </c>
      <c r="E700" t="s">
        <v>288</v>
      </c>
      <c r="G700" t="s">
        <v>2884</v>
      </c>
      <c r="H700" t="s">
        <v>79</v>
      </c>
      <c r="I700" t="s">
        <v>80</v>
      </c>
      <c r="J700" s="8" t="s">
        <v>1478</v>
      </c>
      <c r="K700" t="s">
        <v>10</v>
      </c>
      <c r="L700" s="47">
        <v>-120</v>
      </c>
      <c r="M700" t="s">
        <v>1472</v>
      </c>
      <c r="N700" t="s">
        <v>11</v>
      </c>
      <c r="O700" s="50">
        <v>6.5929000000000002</v>
      </c>
      <c r="P700" s="9">
        <f>ROUND(O700*L700,2)</f>
        <v>-791.15</v>
      </c>
      <c r="Q700" s="10">
        <f>IF(N700="HKD",7.8,IF(N700="CNY",7.30034,1))</f>
        <v>7.3003400000000003</v>
      </c>
      <c r="R700" s="10">
        <f>+ROUND(O700/Q700,4)</f>
        <v>0.90310000000000001</v>
      </c>
      <c r="S700" s="11">
        <f>ROUND(R700*L700,2)</f>
        <v>-108.37</v>
      </c>
      <c r="T700" s="10" t="s">
        <v>349</v>
      </c>
      <c r="U700" t="s">
        <v>36</v>
      </c>
    </row>
    <row r="701" spans="1:21">
      <c r="A701" t="s">
        <v>2770</v>
      </c>
      <c r="B701" s="20">
        <v>45742</v>
      </c>
      <c r="C701" s="20">
        <v>45730</v>
      </c>
      <c r="D701" t="s">
        <v>287</v>
      </c>
      <c r="E701" t="s">
        <v>288</v>
      </c>
      <c r="G701" t="s">
        <v>2851</v>
      </c>
      <c r="H701" t="s">
        <v>79</v>
      </c>
      <c r="I701" t="s">
        <v>80</v>
      </c>
      <c r="J701" s="8" t="s">
        <v>1478</v>
      </c>
      <c r="K701" t="s">
        <v>10</v>
      </c>
      <c r="L701" s="47">
        <v>2050</v>
      </c>
      <c r="M701" t="s">
        <v>1472</v>
      </c>
      <c r="N701" t="s">
        <v>11</v>
      </c>
      <c r="O701" s="50">
        <v>6.5929000000000002</v>
      </c>
      <c r="P701" s="9">
        <f>ROUND(O701*L701,2)</f>
        <v>13515.45</v>
      </c>
      <c r="Q701" s="10">
        <f>IF(N701="HKD",7.8,IF(N701="CNY",7.30034,1))</f>
        <v>7.3003400000000003</v>
      </c>
      <c r="R701" s="10">
        <f>+ROUND(O701/Q701,4)</f>
        <v>0.90310000000000001</v>
      </c>
      <c r="S701" s="11">
        <f>ROUND(R701*L701,2)</f>
        <v>1851.36</v>
      </c>
      <c r="T701" s="10" t="s">
        <v>349</v>
      </c>
      <c r="U701" t="s">
        <v>36</v>
      </c>
    </row>
    <row r="702" spans="1:21">
      <c r="A702" t="s">
        <v>291</v>
      </c>
      <c r="B702" s="20">
        <v>45742</v>
      </c>
      <c r="C702" s="20">
        <v>45670</v>
      </c>
      <c r="D702" t="s">
        <v>287</v>
      </c>
      <c r="E702" t="s">
        <v>288</v>
      </c>
      <c r="G702" t="s">
        <v>2884</v>
      </c>
      <c r="H702" t="s">
        <v>76</v>
      </c>
      <c r="I702" t="s">
        <v>77</v>
      </c>
      <c r="J702" s="8" t="str">
        <f>+LEFT(U702,4)</f>
        <v>GLID</v>
      </c>
      <c r="K702" t="s">
        <v>10</v>
      </c>
      <c r="L702" s="47">
        <v>-110</v>
      </c>
      <c r="M702" t="s">
        <v>1472</v>
      </c>
      <c r="N702" t="s">
        <v>11</v>
      </c>
      <c r="O702" s="50">
        <v>6.5929000000000002</v>
      </c>
      <c r="P702" s="9">
        <f>ROUND(O702*L702,2)</f>
        <v>-725.22</v>
      </c>
      <c r="Q702" s="10">
        <f>IF(N702="HKD",7.8,IF(N702="CNY",7.30034,1))</f>
        <v>7.3003400000000003</v>
      </c>
      <c r="R702" s="10">
        <f>+ROUND(O702/Q702,4)</f>
        <v>0.90310000000000001</v>
      </c>
      <c r="S702" s="11">
        <f>ROUND(R702*L702,2)</f>
        <v>-99.34</v>
      </c>
      <c r="T702" s="10" t="s">
        <v>349</v>
      </c>
      <c r="U702" t="s">
        <v>78</v>
      </c>
    </row>
    <row r="703" spans="1:21">
      <c r="A703" t="s">
        <v>2316</v>
      </c>
      <c r="B703" s="20">
        <v>45742</v>
      </c>
      <c r="C703" s="20">
        <v>45664</v>
      </c>
      <c r="D703" t="s">
        <v>287</v>
      </c>
      <c r="E703" t="s">
        <v>288</v>
      </c>
      <c r="G703" t="s">
        <v>2851</v>
      </c>
      <c r="H703" t="s">
        <v>1557</v>
      </c>
      <c r="I703" t="s">
        <v>1558</v>
      </c>
      <c r="J703" s="8" t="s">
        <v>1478</v>
      </c>
      <c r="K703" t="s">
        <v>10</v>
      </c>
      <c r="L703" s="47">
        <v>200</v>
      </c>
      <c r="M703" t="s">
        <v>1472</v>
      </c>
      <c r="N703" t="s">
        <v>11</v>
      </c>
      <c r="O703" s="50">
        <v>7.2716000000000003</v>
      </c>
      <c r="P703" s="9">
        <f>ROUND(O703*L703,2)</f>
        <v>1454.32</v>
      </c>
      <c r="Q703" s="10">
        <f>IF(N703="HKD",7.8,IF(N703="CNY",7.30034,1))</f>
        <v>7.3003400000000003</v>
      </c>
      <c r="R703" s="10">
        <f>+ROUND(O703/Q703,4)</f>
        <v>0.99609999999999999</v>
      </c>
      <c r="S703" s="11">
        <f>ROUND(R703*L703,2)</f>
        <v>199.22</v>
      </c>
      <c r="T703" s="10" t="s">
        <v>349</v>
      </c>
      <c r="U703" t="s">
        <v>36</v>
      </c>
    </row>
    <row r="704" spans="1:21">
      <c r="A704" t="s">
        <v>705</v>
      </c>
      <c r="B704" s="20">
        <v>45742</v>
      </c>
      <c r="C704" s="20">
        <v>45639</v>
      </c>
      <c r="D704" t="s">
        <v>287</v>
      </c>
      <c r="E704" t="s">
        <v>288</v>
      </c>
      <c r="G704" t="s">
        <v>2851</v>
      </c>
      <c r="H704" t="s">
        <v>703</v>
      </c>
      <c r="I704" t="s">
        <v>704</v>
      </c>
      <c r="J704" s="8" t="s">
        <v>1478</v>
      </c>
      <c r="K704" t="s">
        <v>10</v>
      </c>
      <c r="L704" s="47">
        <v>78</v>
      </c>
      <c r="M704" t="s">
        <v>1472</v>
      </c>
      <c r="N704" t="s">
        <v>11</v>
      </c>
      <c r="O704" s="50">
        <v>7.4237000000000002</v>
      </c>
      <c r="P704" s="9">
        <f>ROUND(O704*L704,2)</f>
        <v>579.04999999999995</v>
      </c>
      <c r="Q704" s="10">
        <f>IF(N704="HKD",7.8,IF(N704="CNY",7.30034,1))</f>
        <v>7.3003400000000003</v>
      </c>
      <c r="R704" s="10">
        <f>+ROUND(O704/Q704,4)</f>
        <v>1.0168999999999999</v>
      </c>
      <c r="S704" s="11">
        <f>ROUND(R704*L704,2)</f>
        <v>79.319999999999993</v>
      </c>
      <c r="T704" s="10" t="s">
        <v>349</v>
      </c>
      <c r="U704" t="s">
        <v>36</v>
      </c>
    </row>
    <row r="705" spans="1:21">
      <c r="A705" t="s">
        <v>2342</v>
      </c>
      <c r="B705" s="20">
        <v>45742</v>
      </c>
      <c r="C705" s="20">
        <v>45674</v>
      </c>
      <c r="D705" t="s">
        <v>287</v>
      </c>
      <c r="E705" t="s">
        <v>288</v>
      </c>
      <c r="G705" t="s">
        <v>2884</v>
      </c>
      <c r="H705" t="s">
        <v>3064</v>
      </c>
      <c r="I705" t="s">
        <v>83</v>
      </c>
      <c r="J705" s="8" t="s">
        <v>1478</v>
      </c>
      <c r="K705" t="s">
        <v>10</v>
      </c>
      <c r="L705" s="47">
        <v>-90</v>
      </c>
      <c r="M705" t="s">
        <v>1472</v>
      </c>
      <c r="N705" t="s">
        <v>11</v>
      </c>
      <c r="O705" s="50">
        <v>7.4237000000000002</v>
      </c>
      <c r="P705" s="9">
        <f>ROUND(O705*L705,2)</f>
        <v>-668.13</v>
      </c>
      <c r="Q705" s="10">
        <f>IF(N705="HKD",7.8,IF(N705="CNY",7.30034,1))</f>
        <v>7.3003400000000003</v>
      </c>
      <c r="R705" s="10">
        <f>+ROUND(O705/Q705,4)</f>
        <v>1.0168999999999999</v>
      </c>
      <c r="S705" s="11">
        <f>ROUND(R705*L705,2)</f>
        <v>-91.52</v>
      </c>
      <c r="T705" s="10" t="s">
        <v>349</v>
      </c>
      <c r="U705" t="s">
        <v>36</v>
      </c>
    </row>
    <row r="706" spans="1:21">
      <c r="A706" t="s">
        <v>2391</v>
      </c>
      <c r="B706" s="20">
        <v>45742</v>
      </c>
      <c r="C706" s="20">
        <v>45695</v>
      </c>
      <c r="D706" t="s">
        <v>287</v>
      </c>
      <c r="E706" t="s">
        <v>288</v>
      </c>
      <c r="G706" t="s">
        <v>2884</v>
      </c>
      <c r="H706" t="s">
        <v>703</v>
      </c>
      <c r="I706" t="s">
        <v>704</v>
      </c>
      <c r="J706" s="8" t="s">
        <v>1478</v>
      </c>
      <c r="K706" t="s">
        <v>10</v>
      </c>
      <c r="L706" s="47">
        <v>-90</v>
      </c>
      <c r="M706" t="s">
        <v>1472</v>
      </c>
      <c r="N706" t="s">
        <v>11</v>
      </c>
      <c r="O706" s="50">
        <v>7.5751999999999997</v>
      </c>
      <c r="P706" s="9">
        <f>ROUND(O706*L706,2)</f>
        <v>-681.77</v>
      </c>
      <c r="Q706" s="10">
        <f>IF(N706="HKD",7.8,IF(N706="CNY",7.30034,1))</f>
        <v>7.3003400000000003</v>
      </c>
      <c r="R706" s="10">
        <f>+ROUND(O706/Q706,4)</f>
        <v>1.0377000000000001</v>
      </c>
      <c r="S706" s="11">
        <f>ROUND(R706*L706,2)</f>
        <v>-93.39</v>
      </c>
      <c r="T706" s="10" t="s">
        <v>349</v>
      </c>
      <c r="U706" t="s">
        <v>36</v>
      </c>
    </row>
    <row r="707" spans="1:21">
      <c r="A707" t="s">
        <v>2284</v>
      </c>
      <c r="B707" s="20">
        <v>45742</v>
      </c>
      <c r="C707" s="20">
        <v>45604</v>
      </c>
      <c r="D707" t="s">
        <v>287</v>
      </c>
      <c r="E707" t="s">
        <v>288</v>
      </c>
      <c r="G707" t="s">
        <v>2851</v>
      </c>
      <c r="H707" t="s">
        <v>75</v>
      </c>
      <c r="I707" t="s">
        <v>3280</v>
      </c>
      <c r="J707" s="8" t="s">
        <v>1478</v>
      </c>
      <c r="K707" t="s">
        <v>10</v>
      </c>
      <c r="L707" s="47">
        <v>100</v>
      </c>
      <c r="M707" t="s">
        <v>1472</v>
      </c>
      <c r="N707" t="s">
        <v>11</v>
      </c>
      <c r="O707" s="50">
        <v>9.2149999999999999</v>
      </c>
      <c r="P707" s="9">
        <f>ROUND(O707*L707,2)</f>
        <v>921.5</v>
      </c>
      <c r="Q707" s="10">
        <f>IF(N707="HKD",7.8,IF(N707="CNY",7.30034,1))</f>
        <v>7.3003400000000003</v>
      </c>
      <c r="R707" s="10">
        <f>+ROUND(O707/Q707,4)</f>
        <v>1.2623</v>
      </c>
      <c r="S707" s="11">
        <f>ROUND(R707*L707,2)</f>
        <v>126.23</v>
      </c>
      <c r="T707" s="10" t="s">
        <v>349</v>
      </c>
      <c r="U707" t="s">
        <v>36</v>
      </c>
    </row>
    <row r="708" spans="1:21">
      <c r="A708" t="s">
        <v>2594</v>
      </c>
      <c r="B708" s="20">
        <v>45742</v>
      </c>
      <c r="C708" s="20">
        <v>45716</v>
      </c>
      <c r="D708" t="s">
        <v>2817</v>
      </c>
      <c r="E708" t="s">
        <v>2818</v>
      </c>
      <c r="G708" t="s">
        <v>3007</v>
      </c>
      <c r="H708" t="s">
        <v>3148</v>
      </c>
      <c r="I708" t="s">
        <v>3358</v>
      </c>
      <c r="J708" s="8" t="str">
        <f>+LEFT(U708,4)</f>
        <v>HDL-</v>
      </c>
      <c r="K708" t="s">
        <v>10</v>
      </c>
      <c r="L708" s="47">
        <v>343</v>
      </c>
      <c r="M708" t="s">
        <v>1472</v>
      </c>
      <c r="N708" t="s">
        <v>2246</v>
      </c>
      <c r="O708" s="50">
        <v>1.1100000000000001</v>
      </c>
      <c r="P708" s="9">
        <f>ROUND(O708*L708,2)</f>
        <v>380.73</v>
      </c>
      <c r="Q708" s="10">
        <f>IF(N708="HKD",7.8,IF(N708="CNY",7.30034,1))</f>
        <v>1</v>
      </c>
      <c r="R708" s="10">
        <f>+ROUND(O708/Q708,4)</f>
        <v>1.1100000000000001</v>
      </c>
      <c r="S708" s="11">
        <f>ROUND(R708*L708,2)</f>
        <v>380.73</v>
      </c>
      <c r="T708" s="10" t="s">
        <v>349</v>
      </c>
      <c r="U708" t="s">
        <v>228</v>
      </c>
    </row>
    <row r="709" spans="1:21">
      <c r="A709" t="s">
        <v>2596</v>
      </c>
      <c r="B709" s="20">
        <v>45742</v>
      </c>
      <c r="C709" s="20">
        <v>45716</v>
      </c>
      <c r="D709" t="s">
        <v>2817</v>
      </c>
      <c r="E709" t="s">
        <v>2818</v>
      </c>
      <c r="G709" t="s">
        <v>3007</v>
      </c>
      <c r="H709" t="s">
        <v>1798</v>
      </c>
      <c r="I709" t="s">
        <v>1799</v>
      </c>
      <c r="J709" s="8" t="str">
        <f>+LEFT(U709,4)</f>
        <v>HDL-</v>
      </c>
      <c r="K709" t="s">
        <v>10</v>
      </c>
      <c r="L709" s="47">
        <v>376</v>
      </c>
      <c r="M709" t="s">
        <v>1472</v>
      </c>
      <c r="N709" t="s">
        <v>2246</v>
      </c>
      <c r="O709" s="50">
        <v>1.1100000000000001</v>
      </c>
      <c r="P709" s="9">
        <f>ROUND(O709*L709,2)</f>
        <v>417.36</v>
      </c>
      <c r="Q709" s="10">
        <f>IF(N709="HKD",7.8,IF(N709="CNY",7.30034,1))</f>
        <v>1</v>
      </c>
      <c r="R709" s="10">
        <f>+ROUND(O709/Q709,4)</f>
        <v>1.1100000000000001</v>
      </c>
      <c r="S709" s="11">
        <f>ROUND(R709*L709,2)</f>
        <v>417.36</v>
      </c>
      <c r="T709" s="10" t="s">
        <v>349</v>
      </c>
      <c r="U709" t="s">
        <v>228</v>
      </c>
    </row>
    <row r="710" spans="1:21">
      <c r="A710" t="s">
        <v>2598</v>
      </c>
      <c r="B710" s="20">
        <v>45742</v>
      </c>
      <c r="C710" s="20">
        <v>45716</v>
      </c>
      <c r="D710" t="s">
        <v>2817</v>
      </c>
      <c r="E710" t="s">
        <v>2818</v>
      </c>
      <c r="G710" t="s">
        <v>3007</v>
      </c>
      <c r="H710" t="s">
        <v>1800</v>
      </c>
      <c r="I710" t="s">
        <v>1801</v>
      </c>
      <c r="J710" s="8" t="str">
        <f>+LEFT(U710,4)</f>
        <v>HDL-</v>
      </c>
      <c r="K710" t="s">
        <v>10</v>
      </c>
      <c r="L710" s="47">
        <v>7287</v>
      </c>
      <c r="M710" t="s">
        <v>1472</v>
      </c>
      <c r="N710" t="s">
        <v>2246</v>
      </c>
      <c r="O710" s="50">
        <v>1.1100000000000001</v>
      </c>
      <c r="P710" s="9">
        <f>ROUND(O710*L710,2)</f>
        <v>8088.57</v>
      </c>
      <c r="Q710" s="10">
        <f>IF(N710="HKD",7.8,IF(N710="CNY",7.30034,1))</f>
        <v>1</v>
      </c>
      <c r="R710" s="10">
        <f>+ROUND(O710/Q710,4)</f>
        <v>1.1100000000000001</v>
      </c>
      <c r="S710" s="11">
        <f>ROUND(R710*L710,2)</f>
        <v>8088.57</v>
      </c>
      <c r="T710" s="10" t="s">
        <v>349</v>
      </c>
      <c r="U710" t="s">
        <v>228</v>
      </c>
    </row>
    <row r="711" spans="1:21">
      <c r="A711" t="s">
        <v>2600</v>
      </c>
      <c r="B711" s="20">
        <v>45742</v>
      </c>
      <c r="C711" s="20">
        <v>45716</v>
      </c>
      <c r="D711" t="s">
        <v>2817</v>
      </c>
      <c r="E711" t="s">
        <v>2818</v>
      </c>
      <c r="G711" t="s">
        <v>3007</v>
      </c>
      <c r="H711" t="s">
        <v>3192</v>
      </c>
      <c r="I711" t="s">
        <v>3399</v>
      </c>
      <c r="J711" s="8" t="str">
        <f>+LEFT(U711,4)</f>
        <v>HDL-</v>
      </c>
      <c r="K711" t="s">
        <v>10</v>
      </c>
      <c r="L711" s="47">
        <v>243</v>
      </c>
      <c r="M711" t="s">
        <v>1472</v>
      </c>
      <c r="N711" t="s">
        <v>2246</v>
      </c>
      <c r="O711" s="50">
        <v>1.1100000000000001</v>
      </c>
      <c r="P711" s="9">
        <f>ROUND(O711*L711,2)</f>
        <v>269.73</v>
      </c>
      <c r="Q711" s="10">
        <f>IF(N711="HKD",7.8,IF(N711="CNY",7.30034,1))</f>
        <v>1</v>
      </c>
      <c r="R711" s="10">
        <f>+ROUND(O711/Q711,4)</f>
        <v>1.1100000000000001</v>
      </c>
      <c r="S711" s="11">
        <f>ROUND(R711*L711,2)</f>
        <v>269.73</v>
      </c>
      <c r="T711" s="10" t="s">
        <v>349</v>
      </c>
      <c r="U711" t="s">
        <v>228</v>
      </c>
    </row>
    <row r="712" spans="1:21">
      <c r="A712" t="s">
        <v>2593</v>
      </c>
      <c r="B712" s="20">
        <v>45742</v>
      </c>
      <c r="C712" s="20">
        <v>45716</v>
      </c>
      <c r="D712" t="s">
        <v>2817</v>
      </c>
      <c r="E712" t="s">
        <v>2818</v>
      </c>
      <c r="G712" t="s">
        <v>3007</v>
      </c>
      <c r="H712" t="s">
        <v>3147</v>
      </c>
      <c r="I712" t="s">
        <v>3357</v>
      </c>
      <c r="J712" s="8" t="str">
        <f>+LEFT(U712,4)</f>
        <v>HDL-</v>
      </c>
      <c r="K712" t="s">
        <v>10</v>
      </c>
      <c r="L712" s="47">
        <v>4283</v>
      </c>
      <c r="M712" t="s">
        <v>1472</v>
      </c>
      <c r="N712" t="s">
        <v>2246</v>
      </c>
      <c r="O712" s="50">
        <v>1.3</v>
      </c>
      <c r="P712" s="9">
        <f>ROUND(O712*L712,2)</f>
        <v>5567.9</v>
      </c>
      <c r="Q712" s="10">
        <f>IF(N712="HKD",7.8,IF(N712="CNY",7.30034,1))</f>
        <v>1</v>
      </c>
      <c r="R712" s="10">
        <f>+ROUND(O712/Q712,4)</f>
        <v>1.3</v>
      </c>
      <c r="S712" s="11">
        <f>ROUND(R712*L712,2)</f>
        <v>5567.9</v>
      </c>
      <c r="T712" s="10" t="s">
        <v>349</v>
      </c>
      <c r="U712" t="s">
        <v>228</v>
      </c>
    </row>
    <row r="713" spans="1:21">
      <c r="A713" t="s">
        <v>2595</v>
      </c>
      <c r="B713" s="20">
        <v>45742</v>
      </c>
      <c r="C713" s="20">
        <v>45716</v>
      </c>
      <c r="D713" t="s">
        <v>2817</v>
      </c>
      <c r="E713" t="s">
        <v>2818</v>
      </c>
      <c r="G713" t="s">
        <v>3007</v>
      </c>
      <c r="H713" t="s">
        <v>3149</v>
      </c>
      <c r="I713" t="s">
        <v>3359</v>
      </c>
      <c r="J713" s="8" t="str">
        <f>+LEFT(U713,4)</f>
        <v>HDL-</v>
      </c>
      <c r="K713" t="s">
        <v>10</v>
      </c>
      <c r="L713" s="47">
        <v>4439</v>
      </c>
      <c r="M713" t="s">
        <v>1472</v>
      </c>
      <c r="N713" t="s">
        <v>2246</v>
      </c>
      <c r="O713" s="50">
        <v>1.3</v>
      </c>
      <c r="P713" s="9">
        <f>ROUND(O713*L713,2)</f>
        <v>5770.7</v>
      </c>
      <c r="Q713" s="10">
        <f>IF(N713="HKD",7.8,IF(N713="CNY",7.30034,1))</f>
        <v>1</v>
      </c>
      <c r="R713" s="10">
        <f>+ROUND(O713/Q713,4)</f>
        <v>1.3</v>
      </c>
      <c r="S713" s="11">
        <f>ROUND(R713*L713,2)</f>
        <v>5770.7</v>
      </c>
      <c r="T713" s="10" t="s">
        <v>349</v>
      </c>
      <c r="U713" t="s">
        <v>228</v>
      </c>
    </row>
    <row r="714" spans="1:21">
      <c r="A714" t="s">
        <v>2597</v>
      </c>
      <c r="B714" s="20">
        <v>45742</v>
      </c>
      <c r="C714" s="20">
        <v>45716</v>
      </c>
      <c r="D714" t="s">
        <v>2817</v>
      </c>
      <c r="E714" t="s">
        <v>2818</v>
      </c>
      <c r="G714" t="s">
        <v>3007</v>
      </c>
      <c r="H714" t="s">
        <v>3150</v>
      </c>
      <c r="I714" t="s">
        <v>3360</v>
      </c>
      <c r="J714" s="8" t="str">
        <f>+LEFT(U714,4)</f>
        <v>HDL-</v>
      </c>
      <c r="K714" t="s">
        <v>10</v>
      </c>
      <c r="L714" s="47">
        <v>4556</v>
      </c>
      <c r="M714" t="s">
        <v>1472</v>
      </c>
      <c r="N714" t="s">
        <v>2246</v>
      </c>
      <c r="O714" s="50">
        <v>1.3</v>
      </c>
      <c r="P714" s="9">
        <f>ROUND(O714*L714,2)</f>
        <v>5922.8</v>
      </c>
      <c r="Q714" s="10">
        <f>IF(N714="HKD",7.8,IF(N714="CNY",7.30034,1))</f>
        <v>1</v>
      </c>
      <c r="R714" s="10">
        <f>+ROUND(O714/Q714,4)</f>
        <v>1.3</v>
      </c>
      <c r="S714" s="11">
        <f>ROUND(R714*L714,2)</f>
        <v>5922.8</v>
      </c>
      <c r="T714" s="10" t="s">
        <v>349</v>
      </c>
      <c r="U714" t="s">
        <v>228</v>
      </c>
    </row>
    <row r="715" spans="1:21">
      <c r="A715" t="s">
        <v>2599</v>
      </c>
      <c r="B715" s="20">
        <v>45742</v>
      </c>
      <c r="C715" s="20">
        <v>45716</v>
      </c>
      <c r="D715" t="s">
        <v>2817</v>
      </c>
      <c r="E715" t="s">
        <v>2818</v>
      </c>
      <c r="G715" t="s">
        <v>3007</v>
      </c>
      <c r="H715" t="s">
        <v>3151</v>
      </c>
      <c r="I715" t="s">
        <v>3361</v>
      </c>
      <c r="J715" s="8" t="str">
        <f>+LEFT(U715,4)</f>
        <v>HDL-</v>
      </c>
      <c r="K715" t="s">
        <v>10</v>
      </c>
      <c r="L715" s="47">
        <v>4289</v>
      </c>
      <c r="M715" t="s">
        <v>1472</v>
      </c>
      <c r="N715" t="s">
        <v>2246</v>
      </c>
      <c r="O715" s="50">
        <v>1.3</v>
      </c>
      <c r="P715" s="9">
        <f>ROUND(O715*L715,2)</f>
        <v>5575.7</v>
      </c>
      <c r="Q715" s="10">
        <f>IF(N715="HKD",7.8,IF(N715="CNY",7.30034,1))</f>
        <v>1</v>
      </c>
      <c r="R715" s="10">
        <f>+ROUND(O715/Q715,4)</f>
        <v>1.3</v>
      </c>
      <c r="S715" s="11">
        <f>ROUND(R715*L715,2)</f>
        <v>5575.7</v>
      </c>
      <c r="T715" s="10" t="s">
        <v>349</v>
      </c>
      <c r="U715" t="s">
        <v>228</v>
      </c>
    </row>
    <row r="716" spans="1:21">
      <c r="A716" t="s">
        <v>2499</v>
      </c>
      <c r="B716" s="20">
        <v>45742</v>
      </c>
      <c r="C716" s="20">
        <v>45713</v>
      </c>
      <c r="D716" t="s">
        <v>2257</v>
      </c>
      <c r="E716" t="s">
        <v>2258</v>
      </c>
      <c r="G716" t="s">
        <v>2957</v>
      </c>
      <c r="H716" t="s">
        <v>1800</v>
      </c>
      <c r="I716" t="s">
        <v>1801</v>
      </c>
      <c r="J716" s="8" t="str">
        <f>+LEFT(U716,4)</f>
        <v>HDL-</v>
      </c>
      <c r="K716" t="s">
        <v>10</v>
      </c>
      <c r="L716" s="47">
        <v>3520</v>
      </c>
      <c r="M716" t="s">
        <v>1472</v>
      </c>
      <c r="N716" t="s">
        <v>11</v>
      </c>
      <c r="O716" s="50">
        <v>7.4931000000000001</v>
      </c>
      <c r="P716" s="9">
        <f>ROUND(O716*L716,2)</f>
        <v>26375.71</v>
      </c>
      <c r="Q716" s="10">
        <f>IF(N716="HKD",7.8,IF(N716="CNY",7.30034,1))</f>
        <v>7.3003400000000003</v>
      </c>
      <c r="R716" s="10">
        <f>+ROUND(O716/Q716,4)</f>
        <v>1.0264</v>
      </c>
      <c r="S716" s="11">
        <f>ROUND(R716*L716,2)</f>
        <v>3612.93</v>
      </c>
      <c r="T716" s="10" t="s">
        <v>349</v>
      </c>
      <c r="U716" t="s">
        <v>228</v>
      </c>
    </row>
    <row r="717" spans="1:21">
      <c r="A717" t="s">
        <v>2500</v>
      </c>
      <c r="B717" s="20">
        <v>45742</v>
      </c>
      <c r="C717" s="20">
        <v>45713</v>
      </c>
      <c r="D717" t="s">
        <v>2257</v>
      </c>
      <c r="E717" t="s">
        <v>2258</v>
      </c>
      <c r="G717" t="s">
        <v>2957</v>
      </c>
      <c r="H717" t="s">
        <v>1800</v>
      </c>
      <c r="I717" t="s">
        <v>1801</v>
      </c>
      <c r="J717" s="8" t="str">
        <f>+LEFT(U717,4)</f>
        <v>HDL-</v>
      </c>
      <c r="K717" t="s">
        <v>10</v>
      </c>
      <c r="L717" s="47">
        <v>2200</v>
      </c>
      <c r="M717" t="s">
        <v>1472</v>
      </c>
      <c r="N717" t="s">
        <v>11</v>
      </c>
      <c r="O717" s="50">
        <v>7.4931000000000001</v>
      </c>
      <c r="P717" s="9">
        <f>ROUND(O717*L717,2)</f>
        <v>16484.82</v>
      </c>
      <c r="Q717" s="10">
        <f>IF(N717="HKD",7.8,IF(N717="CNY",7.30034,1))</f>
        <v>7.3003400000000003</v>
      </c>
      <c r="R717" s="10">
        <f>+ROUND(O717/Q717,4)</f>
        <v>1.0264</v>
      </c>
      <c r="S717" s="11">
        <f>ROUND(R717*L717,2)</f>
        <v>2258.08</v>
      </c>
      <c r="T717" s="10" t="s">
        <v>349</v>
      </c>
      <c r="U717" t="s">
        <v>228</v>
      </c>
    </row>
    <row r="718" spans="1:21">
      <c r="A718" t="s">
        <v>2651</v>
      </c>
      <c r="B718" s="20">
        <v>45742</v>
      </c>
      <c r="C718" s="20">
        <v>45721</v>
      </c>
      <c r="D718" t="s">
        <v>311</v>
      </c>
      <c r="E718" t="s">
        <v>312</v>
      </c>
      <c r="G718" t="s">
        <v>3023</v>
      </c>
      <c r="H718" t="s">
        <v>341</v>
      </c>
      <c r="I718" t="s">
        <v>342</v>
      </c>
      <c r="J718" s="8" t="str">
        <f>+LEFT(U718,4)</f>
        <v>INM-</v>
      </c>
      <c r="K718" t="s">
        <v>10</v>
      </c>
      <c r="L718" s="47">
        <v>25</v>
      </c>
      <c r="M718" t="s">
        <v>186</v>
      </c>
      <c r="N718" t="s">
        <v>11</v>
      </c>
      <c r="O718" s="50">
        <v>63.008800000000001</v>
      </c>
      <c r="P718" s="9">
        <f>ROUND(O718*L718,2)</f>
        <v>1575.22</v>
      </c>
      <c r="Q718" s="10">
        <f>IF(N718="HKD",7.8,IF(N718="CNY",7.30034,1))</f>
        <v>7.3003400000000003</v>
      </c>
      <c r="R718" s="10">
        <f>+ROUND(O718/Q718,4)</f>
        <v>8.6309000000000005</v>
      </c>
      <c r="S718" s="11">
        <f>ROUND(R718*L718,2)</f>
        <v>215.77</v>
      </c>
      <c r="T718" s="10" t="s">
        <v>349</v>
      </c>
      <c r="U718" t="s">
        <v>327</v>
      </c>
    </row>
    <row r="719" spans="1:21">
      <c r="A719" t="s">
        <v>2694</v>
      </c>
      <c r="B719" s="20">
        <v>45742</v>
      </c>
      <c r="C719" s="20">
        <v>45728</v>
      </c>
      <c r="D719" t="s">
        <v>311</v>
      </c>
      <c r="E719" t="s">
        <v>312</v>
      </c>
      <c r="G719" t="s">
        <v>3033</v>
      </c>
      <c r="H719" t="s">
        <v>341</v>
      </c>
      <c r="I719" t="s">
        <v>342</v>
      </c>
      <c r="J719" s="8" t="str">
        <f>+LEFT(U719,4)</f>
        <v>INM-</v>
      </c>
      <c r="K719" t="s">
        <v>10</v>
      </c>
      <c r="L719" s="47">
        <v>75</v>
      </c>
      <c r="M719" t="s">
        <v>186</v>
      </c>
      <c r="N719" t="s">
        <v>11</v>
      </c>
      <c r="O719" s="50">
        <v>63.008800000000001</v>
      </c>
      <c r="P719" s="9">
        <f>ROUND(O719*L719,2)</f>
        <v>4725.66</v>
      </c>
      <c r="Q719" s="10">
        <f>IF(N719="HKD",7.8,IF(N719="CNY",7.30034,1))</f>
        <v>7.3003400000000003</v>
      </c>
      <c r="R719" s="10">
        <f>+ROUND(O719/Q719,4)</f>
        <v>8.6309000000000005</v>
      </c>
      <c r="S719" s="11">
        <f>ROUND(R719*L719,2)</f>
        <v>647.32000000000005</v>
      </c>
      <c r="T719" s="10" t="s">
        <v>349</v>
      </c>
      <c r="U719" t="s">
        <v>327</v>
      </c>
    </row>
    <row r="720" spans="1:21">
      <c r="A720" t="s">
        <v>2649</v>
      </c>
      <c r="B720" s="20">
        <v>45742</v>
      </c>
      <c r="C720" s="20">
        <v>45721</v>
      </c>
      <c r="D720" t="s">
        <v>311</v>
      </c>
      <c r="E720" t="s">
        <v>312</v>
      </c>
      <c r="G720" t="s">
        <v>3023</v>
      </c>
      <c r="H720" t="s">
        <v>331</v>
      </c>
      <c r="I720" t="s">
        <v>332</v>
      </c>
      <c r="J720" s="8" t="str">
        <f>+LEFT(U720,4)</f>
        <v>INM-</v>
      </c>
      <c r="K720" t="s">
        <v>10</v>
      </c>
      <c r="L720" s="47">
        <v>25</v>
      </c>
      <c r="M720" t="s">
        <v>186</v>
      </c>
      <c r="N720" t="s">
        <v>11</v>
      </c>
      <c r="O720" s="50">
        <v>64.778800000000004</v>
      </c>
      <c r="P720" s="9">
        <f>ROUND(O720*L720,2)</f>
        <v>1619.47</v>
      </c>
      <c r="Q720" s="10">
        <f>IF(N720="HKD",7.8,IF(N720="CNY",7.30034,1))</f>
        <v>7.3003400000000003</v>
      </c>
      <c r="R720" s="10">
        <f>+ROUND(O720/Q720,4)</f>
        <v>8.8734000000000002</v>
      </c>
      <c r="S720" s="11">
        <f>ROUND(R720*L720,2)</f>
        <v>221.84</v>
      </c>
      <c r="T720" s="10" t="s">
        <v>349</v>
      </c>
      <c r="U720" t="s">
        <v>327</v>
      </c>
    </row>
    <row r="721" spans="1:21">
      <c r="A721" t="s">
        <v>2756</v>
      </c>
      <c r="B721" s="20">
        <v>45742</v>
      </c>
      <c r="C721" s="20">
        <v>45729</v>
      </c>
      <c r="D721" t="s">
        <v>311</v>
      </c>
      <c r="E721" t="s">
        <v>312</v>
      </c>
      <c r="G721" t="s">
        <v>3045</v>
      </c>
      <c r="H721" t="s">
        <v>331</v>
      </c>
      <c r="I721" t="s">
        <v>332</v>
      </c>
      <c r="J721" s="8" t="str">
        <f>+LEFT(U721,4)</f>
        <v>INM-</v>
      </c>
      <c r="K721" t="s">
        <v>10</v>
      </c>
      <c r="L721" s="47">
        <v>50</v>
      </c>
      <c r="M721" t="s">
        <v>186</v>
      </c>
      <c r="N721" t="s">
        <v>11</v>
      </c>
      <c r="O721" s="50">
        <v>64.778800000000004</v>
      </c>
      <c r="P721" s="9">
        <f>ROUND(O721*L721,2)</f>
        <v>3238.94</v>
      </c>
      <c r="Q721" s="10">
        <f>IF(N721="HKD",7.8,IF(N721="CNY",7.30034,1))</f>
        <v>7.3003400000000003</v>
      </c>
      <c r="R721" s="10">
        <f>+ROUND(O721/Q721,4)</f>
        <v>8.8734000000000002</v>
      </c>
      <c r="S721" s="11">
        <f>ROUND(R721*L721,2)</f>
        <v>443.67</v>
      </c>
      <c r="T721" s="10" t="s">
        <v>349</v>
      </c>
      <c r="U721" t="s">
        <v>327</v>
      </c>
    </row>
    <row r="722" spans="1:21">
      <c r="A722" t="s">
        <v>2758</v>
      </c>
      <c r="B722" s="20">
        <v>45742</v>
      </c>
      <c r="C722" s="20">
        <v>45729</v>
      </c>
      <c r="D722" t="s">
        <v>311</v>
      </c>
      <c r="E722" t="s">
        <v>312</v>
      </c>
      <c r="G722" t="s">
        <v>3045</v>
      </c>
      <c r="H722" t="s">
        <v>328</v>
      </c>
      <c r="I722" t="s">
        <v>329</v>
      </c>
      <c r="J722" s="8" t="str">
        <f>+LEFT(U722,4)</f>
        <v>INM-</v>
      </c>
      <c r="K722" t="s">
        <v>10</v>
      </c>
      <c r="L722" s="47">
        <v>25</v>
      </c>
      <c r="M722" t="s">
        <v>186</v>
      </c>
      <c r="N722" t="s">
        <v>11</v>
      </c>
      <c r="O722" s="50">
        <v>69.026499999999999</v>
      </c>
      <c r="P722" s="9">
        <f>ROUND(O722*L722,2)</f>
        <v>1725.66</v>
      </c>
      <c r="Q722" s="10">
        <f>IF(N722="HKD",7.8,IF(N722="CNY",7.30034,1))</f>
        <v>7.3003400000000003</v>
      </c>
      <c r="R722" s="10">
        <f>+ROUND(O722/Q722,4)</f>
        <v>9.4551999999999996</v>
      </c>
      <c r="S722" s="11">
        <f>ROUND(R722*L722,2)</f>
        <v>236.38</v>
      </c>
      <c r="T722" s="10" t="s">
        <v>349</v>
      </c>
      <c r="U722" t="s">
        <v>327</v>
      </c>
    </row>
    <row r="723" spans="1:21">
      <c r="A723" t="s">
        <v>2759</v>
      </c>
      <c r="B723" s="20">
        <v>45742</v>
      </c>
      <c r="C723" s="20">
        <v>45729</v>
      </c>
      <c r="D723" t="s">
        <v>311</v>
      </c>
      <c r="E723" t="s">
        <v>312</v>
      </c>
      <c r="G723" t="s">
        <v>3045</v>
      </c>
      <c r="H723" t="s">
        <v>323</v>
      </c>
      <c r="I723" t="s">
        <v>324</v>
      </c>
      <c r="J723" s="8" t="str">
        <f>+LEFT(U723,4)</f>
        <v>INM-</v>
      </c>
      <c r="K723" t="s">
        <v>10</v>
      </c>
      <c r="L723" s="47">
        <v>50</v>
      </c>
      <c r="M723" t="s">
        <v>186</v>
      </c>
      <c r="N723" t="s">
        <v>11</v>
      </c>
      <c r="O723" s="50">
        <v>69.026499999999999</v>
      </c>
      <c r="P723" s="9">
        <f>ROUND(O723*L723,2)</f>
        <v>3451.33</v>
      </c>
      <c r="Q723" s="10">
        <f>IF(N723="HKD",7.8,IF(N723="CNY",7.30034,1))</f>
        <v>7.3003400000000003</v>
      </c>
      <c r="R723" s="10">
        <f>+ROUND(O723/Q723,4)</f>
        <v>9.4551999999999996</v>
      </c>
      <c r="S723" s="11">
        <f>ROUND(R723*L723,2)</f>
        <v>472.76</v>
      </c>
      <c r="T723" s="10" t="s">
        <v>349</v>
      </c>
      <c r="U723" t="s">
        <v>327</v>
      </c>
    </row>
    <row r="724" spans="1:21">
      <c r="A724" t="s">
        <v>2650</v>
      </c>
      <c r="B724" s="20">
        <v>45742</v>
      </c>
      <c r="C724" s="20">
        <v>45721</v>
      </c>
      <c r="D724" t="s">
        <v>311</v>
      </c>
      <c r="E724" t="s">
        <v>312</v>
      </c>
      <c r="G724" t="s">
        <v>3023</v>
      </c>
      <c r="H724" t="s">
        <v>662</v>
      </c>
      <c r="I724" t="s">
        <v>663</v>
      </c>
      <c r="J724" s="8" t="str">
        <f>+LEFT(U724,4)</f>
        <v>INM-</v>
      </c>
      <c r="K724" t="s">
        <v>10</v>
      </c>
      <c r="L724" s="47">
        <v>75</v>
      </c>
      <c r="M724" t="s">
        <v>186</v>
      </c>
      <c r="N724" t="s">
        <v>11</v>
      </c>
      <c r="O724" s="50">
        <v>92.743399999999994</v>
      </c>
      <c r="P724" s="9">
        <f>ROUND(O724*L724,2)</f>
        <v>6955.76</v>
      </c>
      <c r="Q724" s="10">
        <f>IF(N724="HKD",7.8,IF(N724="CNY",7.30034,1))</f>
        <v>7.3003400000000003</v>
      </c>
      <c r="R724" s="10">
        <f>+ROUND(O724/Q724,4)</f>
        <v>12.704000000000001</v>
      </c>
      <c r="S724" s="11">
        <f>ROUND(R724*L724,2)</f>
        <v>952.8</v>
      </c>
      <c r="T724" s="10" t="s">
        <v>349</v>
      </c>
      <c r="U724" t="s">
        <v>327</v>
      </c>
    </row>
    <row r="725" spans="1:21">
      <c r="A725" t="s">
        <v>2672</v>
      </c>
      <c r="B725" s="20">
        <v>45742</v>
      </c>
      <c r="C725" s="20">
        <v>45726</v>
      </c>
      <c r="D725" t="s">
        <v>311</v>
      </c>
      <c r="E725" t="s">
        <v>312</v>
      </c>
      <c r="G725" t="s">
        <v>3026</v>
      </c>
      <c r="H725" t="s">
        <v>662</v>
      </c>
      <c r="I725" t="s">
        <v>663</v>
      </c>
      <c r="J725" s="8" t="str">
        <f>+LEFT(U725,4)</f>
        <v>INM-</v>
      </c>
      <c r="K725" t="s">
        <v>10</v>
      </c>
      <c r="L725" s="47">
        <v>75</v>
      </c>
      <c r="M725" t="s">
        <v>186</v>
      </c>
      <c r="N725" t="s">
        <v>11</v>
      </c>
      <c r="O725" s="50">
        <v>92.743399999999994</v>
      </c>
      <c r="P725" s="9">
        <f>ROUND(O725*L725,2)</f>
        <v>6955.76</v>
      </c>
      <c r="Q725" s="10">
        <f>IF(N725="HKD",7.8,IF(N725="CNY",7.30034,1))</f>
        <v>7.3003400000000003</v>
      </c>
      <c r="R725" s="10">
        <f>+ROUND(O725/Q725,4)</f>
        <v>12.704000000000001</v>
      </c>
      <c r="S725" s="11">
        <f>ROUND(R725*L725,2)</f>
        <v>952.8</v>
      </c>
      <c r="T725" s="10" t="s">
        <v>349</v>
      </c>
      <c r="U725" t="s">
        <v>327</v>
      </c>
    </row>
    <row r="726" spans="1:21">
      <c r="A726" t="s">
        <v>2648</v>
      </c>
      <c r="B726" s="20">
        <v>45742</v>
      </c>
      <c r="C726" s="20">
        <v>45721</v>
      </c>
      <c r="D726" t="s">
        <v>311</v>
      </c>
      <c r="E726" t="s">
        <v>312</v>
      </c>
      <c r="G726" t="s">
        <v>3023</v>
      </c>
      <c r="H726" t="s">
        <v>669</v>
      </c>
      <c r="I726" t="s">
        <v>670</v>
      </c>
      <c r="J726" s="8" t="str">
        <f>+LEFT(U726,4)</f>
        <v>INM-</v>
      </c>
      <c r="K726" t="s">
        <v>10</v>
      </c>
      <c r="L726" s="47">
        <v>50</v>
      </c>
      <c r="M726" t="s">
        <v>186</v>
      </c>
      <c r="N726" t="s">
        <v>11</v>
      </c>
      <c r="O726" s="50">
        <v>110.17700000000001</v>
      </c>
      <c r="P726" s="9">
        <f>ROUND(O726*L726,2)</f>
        <v>5508.85</v>
      </c>
      <c r="Q726" s="10">
        <f>IF(N726="HKD",7.8,IF(N726="CNY",7.30034,1))</f>
        <v>7.3003400000000003</v>
      </c>
      <c r="R726" s="10">
        <f>+ROUND(O726/Q726,4)</f>
        <v>15.092000000000001</v>
      </c>
      <c r="S726" s="11">
        <f>ROUND(R726*L726,2)</f>
        <v>754.6</v>
      </c>
      <c r="T726" s="10" t="s">
        <v>349</v>
      </c>
      <c r="U726" t="s">
        <v>327</v>
      </c>
    </row>
    <row r="727" spans="1:21">
      <c r="A727" t="s">
        <v>2671</v>
      </c>
      <c r="B727" s="20">
        <v>45742</v>
      </c>
      <c r="C727" s="20">
        <v>45726</v>
      </c>
      <c r="D727" t="s">
        <v>311</v>
      </c>
      <c r="E727" t="s">
        <v>312</v>
      </c>
      <c r="G727" t="s">
        <v>3026</v>
      </c>
      <c r="H727" t="s">
        <v>669</v>
      </c>
      <c r="I727" t="s">
        <v>670</v>
      </c>
      <c r="J727" s="8" t="str">
        <f>+LEFT(U727,4)</f>
        <v>INM-</v>
      </c>
      <c r="K727" t="s">
        <v>10</v>
      </c>
      <c r="L727" s="47">
        <v>50</v>
      </c>
      <c r="M727" t="s">
        <v>186</v>
      </c>
      <c r="N727" t="s">
        <v>11</v>
      </c>
      <c r="O727" s="50">
        <v>110.17700000000001</v>
      </c>
      <c r="P727" s="9">
        <f>ROUND(O727*L727,2)</f>
        <v>5508.85</v>
      </c>
      <c r="Q727" s="10">
        <f>IF(N727="HKD",7.8,IF(N727="CNY",7.30034,1))</f>
        <v>7.3003400000000003</v>
      </c>
      <c r="R727" s="10">
        <f>+ROUND(O727/Q727,4)</f>
        <v>15.092000000000001</v>
      </c>
      <c r="S727" s="11">
        <f>ROUND(R727*L727,2)</f>
        <v>754.6</v>
      </c>
      <c r="T727" s="10" t="s">
        <v>349</v>
      </c>
      <c r="U727" t="s">
        <v>327</v>
      </c>
    </row>
    <row r="728" spans="1:21">
      <c r="A728" t="s">
        <v>2617</v>
      </c>
      <c r="B728" s="20">
        <v>45742</v>
      </c>
      <c r="C728" s="20">
        <v>45720</v>
      </c>
      <c r="D728" t="s">
        <v>252</v>
      </c>
      <c r="E728" t="s">
        <v>253</v>
      </c>
      <c r="G728" t="s">
        <v>2915</v>
      </c>
      <c r="H728" t="s">
        <v>3068</v>
      </c>
      <c r="I728" t="s">
        <v>3285</v>
      </c>
      <c r="J728" s="8" t="s">
        <v>1527</v>
      </c>
      <c r="K728" t="s">
        <v>10</v>
      </c>
      <c r="L728" s="47">
        <v>8200</v>
      </c>
      <c r="M728" t="s">
        <v>1472</v>
      </c>
      <c r="N728" t="s">
        <v>11</v>
      </c>
      <c r="O728" s="50">
        <v>0.873</v>
      </c>
      <c r="P728" s="9">
        <f>ROUND(O728*L728,2)</f>
        <v>7158.6</v>
      </c>
      <c r="Q728" s="10">
        <f>IF(N728="HKD",7.8,IF(N728="CNY",7.30034,1))</f>
        <v>7.3003400000000003</v>
      </c>
      <c r="R728" s="10">
        <f>+ROUND(O728/Q728,4)</f>
        <v>0.1196</v>
      </c>
      <c r="S728" s="11">
        <f>ROUND(R728*L728,2)</f>
        <v>980.72</v>
      </c>
      <c r="T728" s="10" t="s">
        <v>349</v>
      </c>
      <c r="U728" t="s">
        <v>36</v>
      </c>
    </row>
    <row r="729" spans="1:21">
      <c r="A729" t="s">
        <v>2387</v>
      </c>
      <c r="B729" s="20">
        <v>45742</v>
      </c>
      <c r="C729" s="20">
        <v>45695</v>
      </c>
      <c r="D729" t="s">
        <v>252</v>
      </c>
      <c r="E729" t="s">
        <v>253</v>
      </c>
      <c r="G729" t="s">
        <v>2915</v>
      </c>
      <c r="H729" t="s">
        <v>1022</v>
      </c>
      <c r="I729" t="s">
        <v>1023</v>
      </c>
      <c r="J729" s="8" t="s">
        <v>1527</v>
      </c>
      <c r="K729" t="s">
        <v>10</v>
      </c>
      <c r="L729" s="47">
        <v>3050</v>
      </c>
      <c r="M729" t="s">
        <v>1472</v>
      </c>
      <c r="N729" t="s">
        <v>11</v>
      </c>
      <c r="O729" s="50">
        <v>1.2838000000000001</v>
      </c>
      <c r="P729" s="9">
        <f>ROUND(O729*L729,2)</f>
        <v>3915.59</v>
      </c>
      <c r="Q729" s="10">
        <f>IF(N729="HKD",7.8,IF(N729="CNY",7.30034,1))</f>
        <v>7.3003400000000003</v>
      </c>
      <c r="R729" s="10">
        <f>+ROUND(O729/Q729,4)</f>
        <v>0.1759</v>
      </c>
      <c r="S729" s="11">
        <f>ROUND(R729*L729,2)</f>
        <v>536.5</v>
      </c>
      <c r="T729" s="10" t="s">
        <v>349</v>
      </c>
      <c r="U729" t="s">
        <v>36</v>
      </c>
    </row>
    <row r="730" spans="1:21">
      <c r="A730" t="s">
        <v>2388</v>
      </c>
      <c r="B730" s="20">
        <v>45742</v>
      </c>
      <c r="C730" s="20">
        <v>45695</v>
      </c>
      <c r="D730" t="s">
        <v>252</v>
      </c>
      <c r="E730" t="s">
        <v>253</v>
      </c>
      <c r="G730" t="s">
        <v>2915</v>
      </c>
      <c r="H730" t="s">
        <v>682</v>
      </c>
      <c r="I730" t="s">
        <v>683</v>
      </c>
      <c r="J730" s="8" t="s">
        <v>1527</v>
      </c>
      <c r="K730" t="s">
        <v>10</v>
      </c>
      <c r="L730" s="47">
        <v>4900</v>
      </c>
      <c r="M730" t="s">
        <v>1472</v>
      </c>
      <c r="N730" t="s">
        <v>11</v>
      </c>
      <c r="O730" s="50">
        <v>1.3524</v>
      </c>
      <c r="P730" s="9">
        <f>ROUND(O730*L730,2)</f>
        <v>6626.76</v>
      </c>
      <c r="Q730" s="10">
        <f>IF(N730="HKD",7.8,IF(N730="CNY",7.30034,1))</f>
        <v>7.3003400000000003</v>
      </c>
      <c r="R730" s="10">
        <f>+ROUND(O730/Q730,4)</f>
        <v>0.18529999999999999</v>
      </c>
      <c r="S730" s="11">
        <f>ROUND(R730*L730,2)</f>
        <v>907.97</v>
      </c>
      <c r="T730" s="10" t="s">
        <v>349</v>
      </c>
      <c r="U730" t="s">
        <v>36</v>
      </c>
    </row>
    <row r="731" spans="1:21">
      <c r="A731" t="s">
        <v>2666</v>
      </c>
      <c r="B731" s="20">
        <v>45742</v>
      </c>
      <c r="C731" s="20">
        <v>45723</v>
      </c>
      <c r="D731" t="s">
        <v>252</v>
      </c>
      <c r="E731" t="s">
        <v>253</v>
      </c>
      <c r="G731" t="s">
        <v>2915</v>
      </c>
      <c r="H731" t="s">
        <v>1530</v>
      </c>
      <c r="I731" t="s">
        <v>1531</v>
      </c>
      <c r="J731" s="8" t="s">
        <v>1527</v>
      </c>
      <c r="K731" t="s">
        <v>10</v>
      </c>
      <c r="L731" s="47">
        <v>1000</v>
      </c>
      <c r="M731" t="s">
        <v>1472</v>
      </c>
      <c r="N731" t="s">
        <v>11</v>
      </c>
      <c r="O731" s="50">
        <v>1.38</v>
      </c>
      <c r="P731" s="9">
        <f>ROUND(O731*L731,2)</f>
        <v>1380</v>
      </c>
      <c r="Q731" s="10">
        <f>IF(N731="HKD",7.8,IF(N731="CNY",7.30034,1))</f>
        <v>7.3003400000000003</v>
      </c>
      <c r="R731" s="10">
        <f>+ROUND(O731/Q731,4)</f>
        <v>0.189</v>
      </c>
      <c r="S731" s="11">
        <f>ROUND(R731*L731,2)</f>
        <v>189</v>
      </c>
      <c r="T731" s="10" t="s">
        <v>349</v>
      </c>
      <c r="U731" t="s">
        <v>36</v>
      </c>
    </row>
    <row r="732" spans="1:21">
      <c r="A732" t="s">
        <v>2691</v>
      </c>
      <c r="B732" s="20">
        <v>45742</v>
      </c>
      <c r="C732" s="20">
        <v>45727</v>
      </c>
      <c r="D732" t="s">
        <v>252</v>
      </c>
      <c r="E732" t="s">
        <v>253</v>
      </c>
      <c r="G732" t="s">
        <v>2915</v>
      </c>
      <c r="H732" t="s">
        <v>1530</v>
      </c>
      <c r="I732" t="s">
        <v>1531</v>
      </c>
      <c r="J732" s="8" t="s">
        <v>1527</v>
      </c>
      <c r="K732" t="s">
        <v>10</v>
      </c>
      <c r="L732" s="47">
        <v>1250</v>
      </c>
      <c r="M732" t="s">
        <v>1472</v>
      </c>
      <c r="N732" t="s">
        <v>11</v>
      </c>
      <c r="O732" s="50">
        <v>1.38</v>
      </c>
      <c r="P732" s="9">
        <f>ROUND(O732*L732,2)</f>
        <v>1725</v>
      </c>
      <c r="Q732" s="10">
        <f>IF(N732="HKD",7.8,IF(N732="CNY",7.30034,1))</f>
        <v>7.3003400000000003</v>
      </c>
      <c r="R732" s="10">
        <f>+ROUND(O732/Q732,4)</f>
        <v>0.189</v>
      </c>
      <c r="S732" s="11">
        <f>ROUND(R732*L732,2)</f>
        <v>236.25</v>
      </c>
      <c r="T732" s="10" t="s">
        <v>349</v>
      </c>
      <c r="U732" t="s">
        <v>36</v>
      </c>
    </row>
    <row r="733" spans="1:21">
      <c r="A733" t="s">
        <v>2534</v>
      </c>
      <c r="B733" s="20">
        <v>45742</v>
      </c>
      <c r="C733" s="20">
        <v>45714</v>
      </c>
      <c r="D733" t="s">
        <v>94</v>
      </c>
      <c r="E733" t="s">
        <v>95</v>
      </c>
      <c r="G733" t="s">
        <v>2972</v>
      </c>
      <c r="H733" t="s">
        <v>3164</v>
      </c>
      <c r="I733" t="s">
        <v>3374</v>
      </c>
      <c r="J733" s="8" t="str">
        <f>+LEFT(U733,4)</f>
        <v>LID-</v>
      </c>
      <c r="K733" t="s">
        <v>98</v>
      </c>
      <c r="L733" s="47">
        <v>600</v>
      </c>
      <c r="M733" t="s">
        <v>1472</v>
      </c>
      <c r="N733" t="s">
        <v>11</v>
      </c>
      <c r="O733" s="50">
        <v>4.26</v>
      </c>
      <c r="P733" s="9">
        <f>ROUND(O733*L733,2)</f>
        <v>2556</v>
      </c>
      <c r="Q733" s="10">
        <f>IF(N733="HKD",7.8,IF(N733="CNY",7.30034,1))</f>
        <v>7.3003400000000003</v>
      </c>
      <c r="R733" s="10">
        <f>+ROUND(O733/Q733,4)</f>
        <v>0.58350000000000002</v>
      </c>
      <c r="S733" s="11">
        <f>ROUND(R733*L733,2)</f>
        <v>350.1</v>
      </c>
      <c r="T733" s="10" t="s">
        <v>349</v>
      </c>
      <c r="U733" t="s">
        <v>368</v>
      </c>
    </row>
    <row r="734" spans="1:21">
      <c r="A734" t="s">
        <v>2809</v>
      </c>
      <c r="B734" s="20">
        <v>45742</v>
      </c>
      <c r="C734" s="20">
        <v>45737</v>
      </c>
      <c r="D734" t="s">
        <v>268</v>
      </c>
      <c r="E734" t="s">
        <v>269</v>
      </c>
      <c r="G734" t="s">
        <v>3055</v>
      </c>
      <c r="H734" t="s">
        <v>1686</v>
      </c>
      <c r="I734" t="s">
        <v>1687</v>
      </c>
      <c r="J734" s="8" t="str">
        <f>+LEFT(U734,4)</f>
        <v>MISC</v>
      </c>
      <c r="K734" t="s">
        <v>10</v>
      </c>
      <c r="L734" s="47">
        <v>3500</v>
      </c>
      <c r="M734" t="s">
        <v>1472</v>
      </c>
      <c r="N734" t="s">
        <v>11</v>
      </c>
      <c r="O734" s="50">
        <v>2.5</v>
      </c>
      <c r="P734" s="9">
        <f>ROUND(O734*L734,2)</f>
        <v>8750</v>
      </c>
      <c r="Q734" s="10">
        <f>IF(N734="HKD",7.8,IF(N734="CNY",7.30034,1))</f>
        <v>7.3003400000000003</v>
      </c>
      <c r="R734" s="10">
        <f>+ROUND(O734/Q734,4)</f>
        <v>0.34239999999999998</v>
      </c>
      <c r="S734" s="11">
        <f>ROUND(R734*L734,2)</f>
        <v>1198.4000000000001</v>
      </c>
      <c r="T734" s="10" t="s">
        <v>349</v>
      </c>
      <c r="U734" t="s">
        <v>25</v>
      </c>
    </row>
    <row r="735" spans="1:21">
      <c r="A735" t="s">
        <v>2718</v>
      </c>
      <c r="B735" s="20">
        <v>45741</v>
      </c>
      <c r="C735" s="20">
        <v>45728</v>
      </c>
      <c r="D735" t="s">
        <v>28</v>
      </c>
      <c r="E735" t="s">
        <v>29</v>
      </c>
      <c r="G735" t="s">
        <v>3001</v>
      </c>
      <c r="H735" t="s">
        <v>1149</v>
      </c>
      <c r="I735" t="s">
        <v>1150</v>
      </c>
      <c r="J735" s="8" t="str">
        <f>+LEFT(U735,4)</f>
        <v>BRKT</v>
      </c>
      <c r="K735" t="s">
        <v>10</v>
      </c>
      <c r="L735" s="47">
        <v>3100</v>
      </c>
      <c r="M735" t="s">
        <v>1472</v>
      </c>
      <c r="N735" t="s">
        <v>11</v>
      </c>
      <c r="O735" s="50">
        <v>0.57750000000000001</v>
      </c>
      <c r="P735" s="9">
        <f>ROUND(O735*L735,2)</f>
        <v>1790.25</v>
      </c>
      <c r="Q735" s="10">
        <f>IF(N735="HKD",7.8,IF(N735="CNY",7.30034,1))</f>
        <v>7.3003400000000003</v>
      </c>
      <c r="R735" s="10">
        <f>+ROUND(O735/Q735,4)</f>
        <v>7.9100000000000004E-2</v>
      </c>
      <c r="S735" s="11">
        <f>ROUND(R735*L735,2)</f>
        <v>245.21</v>
      </c>
      <c r="T735" s="10" t="s">
        <v>349</v>
      </c>
      <c r="U735" t="s">
        <v>442</v>
      </c>
    </row>
    <row r="736" spans="1:21">
      <c r="A736" t="s">
        <v>2719</v>
      </c>
      <c r="B736" s="20">
        <v>45741</v>
      </c>
      <c r="C736" s="20">
        <v>45728</v>
      </c>
      <c r="D736" t="s">
        <v>28</v>
      </c>
      <c r="E736" t="s">
        <v>29</v>
      </c>
      <c r="G736" t="s">
        <v>3001</v>
      </c>
      <c r="H736" t="s">
        <v>1145</v>
      </c>
      <c r="I736" t="s">
        <v>1146</v>
      </c>
      <c r="J736" s="8" t="str">
        <f>+LEFT(U736,4)</f>
        <v>BRKT</v>
      </c>
      <c r="K736" t="s">
        <v>10</v>
      </c>
      <c r="L736" s="47">
        <v>3100</v>
      </c>
      <c r="M736" t="s">
        <v>1472</v>
      </c>
      <c r="N736" t="s">
        <v>11</v>
      </c>
      <c r="O736" s="50">
        <v>0.59809999999999997</v>
      </c>
      <c r="P736" s="9">
        <f>ROUND(O736*L736,2)</f>
        <v>1854.11</v>
      </c>
      <c r="Q736" s="10">
        <f>IF(N736="HKD",7.8,IF(N736="CNY",7.30034,1))</f>
        <v>7.3003400000000003</v>
      </c>
      <c r="R736" s="10">
        <f>+ROUND(O736/Q736,4)</f>
        <v>8.1900000000000001E-2</v>
      </c>
      <c r="S736" s="11">
        <f>ROUND(R736*L736,2)</f>
        <v>253.89</v>
      </c>
      <c r="T736" s="10" t="s">
        <v>349</v>
      </c>
      <c r="U736" t="s">
        <v>442</v>
      </c>
    </row>
    <row r="737" spans="1:21">
      <c r="A737" t="s">
        <v>2664</v>
      </c>
      <c r="B737" s="20">
        <v>45741</v>
      </c>
      <c r="C737" s="20">
        <v>45723</v>
      </c>
      <c r="D737" t="s">
        <v>28</v>
      </c>
      <c r="E737" t="s">
        <v>29</v>
      </c>
      <c r="G737" t="s">
        <v>2937</v>
      </c>
      <c r="H737" t="s">
        <v>1152</v>
      </c>
      <c r="I737" t="s">
        <v>1153</v>
      </c>
      <c r="J737" s="8" t="str">
        <f>+LEFT(U737,4)</f>
        <v>BRKT</v>
      </c>
      <c r="K737" t="s">
        <v>10</v>
      </c>
      <c r="L737" s="47">
        <v>1530</v>
      </c>
      <c r="M737" t="s">
        <v>1472</v>
      </c>
      <c r="N737" t="s">
        <v>11</v>
      </c>
      <c r="O737" s="50">
        <v>0.6522</v>
      </c>
      <c r="P737" s="9">
        <f>ROUND(O737*L737,2)</f>
        <v>997.87</v>
      </c>
      <c r="Q737" s="10">
        <f>IF(N737="HKD",7.8,IF(N737="CNY",7.30034,1))</f>
        <v>7.3003400000000003</v>
      </c>
      <c r="R737" s="10">
        <f>+ROUND(O737/Q737,4)</f>
        <v>8.9300000000000004E-2</v>
      </c>
      <c r="S737" s="11">
        <f>ROUND(R737*L737,2)</f>
        <v>136.63</v>
      </c>
      <c r="T737" s="10" t="s">
        <v>349</v>
      </c>
      <c r="U737" t="s">
        <v>442</v>
      </c>
    </row>
    <row r="738" spans="1:21">
      <c r="A738" t="s">
        <v>2614</v>
      </c>
      <c r="B738" s="20">
        <v>45741</v>
      </c>
      <c r="C738" s="20">
        <v>45720</v>
      </c>
      <c r="D738" t="s">
        <v>28</v>
      </c>
      <c r="E738" t="s">
        <v>29</v>
      </c>
      <c r="G738" t="s">
        <v>2937</v>
      </c>
      <c r="H738" t="s">
        <v>3202</v>
      </c>
      <c r="I738" t="s">
        <v>3409</v>
      </c>
      <c r="J738" s="8" t="str">
        <f>+LEFT(U738,4)</f>
        <v>BRKT</v>
      </c>
      <c r="K738" t="s">
        <v>10</v>
      </c>
      <c r="L738" s="47">
        <v>1030</v>
      </c>
      <c r="M738" t="s">
        <v>1472</v>
      </c>
      <c r="N738" t="s">
        <v>11</v>
      </c>
      <c r="O738" s="50">
        <v>0.68369999999999997</v>
      </c>
      <c r="P738" s="9">
        <f>ROUND(O738*L738,2)</f>
        <v>704.21</v>
      </c>
      <c r="Q738" s="10">
        <f>IF(N738="HKD",7.8,IF(N738="CNY",7.30034,1))</f>
        <v>7.3003400000000003</v>
      </c>
      <c r="R738" s="10">
        <f>+ROUND(O738/Q738,4)</f>
        <v>9.3700000000000006E-2</v>
      </c>
      <c r="S738" s="11">
        <f>ROUND(R738*L738,2)</f>
        <v>96.51</v>
      </c>
      <c r="T738" s="10" t="s">
        <v>349</v>
      </c>
      <c r="U738" t="s">
        <v>442</v>
      </c>
    </row>
    <row r="739" spans="1:21">
      <c r="A739" t="s">
        <v>2615</v>
      </c>
      <c r="B739" s="20">
        <v>45741</v>
      </c>
      <c r="C739" s="20">
        <v>45720</v>
      </c>
      <c r="D739" t="s">
        <v>28</v>
      </c>
      <c r="E739" t="s">
        <v>29</v>
      </c>
      <c r="G739" t="s">
        <v>2937</v>
      </c>
      <c r="H739" t="s">
        <v>3203</v>
      </c>
      <c r="I739" t="s">
        <v>3410</v>
      </c>
      <c r="J739" s="8" t="str">
        <f>+LEFT(U739,4)</f>
        <v>BRKT</v>
      </c>
      <c r="K739" t="s">
        <v>10</v>
      </c>
      <c r="L739" s="47">
        <v>1550</v>
      </c>
      <c r="M739" t="s">
        <v>1472</v>
      </c>
      <c r="N739" t="s">
        <v>11</v>
      </c>
      <c r="O739" s="50">
        <v>0.68369999999999997</v>
      </c>
      <c r="P739" s="9">
        <f>ROUND(O739*L739,2)</f>
        <v>1059.74</v>
      </c>
      <c r="Q739" s="10">
        <f>IF(N739="HKD",7.8,IF(N739="CNY",7.30034,1))</f>
        <v>7.3003400000000003</v>
      </c>
      <c r="R739" s="10">
        <f>+ROUND(O739/Q739,4)</f>
        <v>9.3700000000000006E-2</v>
      </c>
      <c r="S739" s="11">
        <f>ROUND(R739*L739,2)</f>
        <v>145.24</v>
      </c>
      <c r="T739" s="10" t="s">
        <v>349</v>
      </c>
      <c r="U739" t="s">
        <v>442</v>
      </c>
    </row>
    <row r="740" spans="1:21">
      <c r="A740" t="s">
        <v>2636</v>
      </c>
      <c r="B740" s="20">
        <v>45741</v>
      </c>
      <c r="C740" s="20">
        <v>45721</v>
      </c>
      <c r="D740" t="s">
        <v>28</v>
      </c>
      <c r="E740" t="s">
        <v>29</v>
      </c>
      <c r="G740" t="s">
        <v>2937</v>
      </c>
      <c r="H740" t="s">
        <v>3203</v>
      </c>
      <c r="I740" t="s">
        <v>3410</v>
      </c>
      <c r="J740" s="8" t="str">
        <f>+LEFT(U740,4)</f>
        <v>BRKT</v>
      </c>
      <c r="K740" t="s">
        <v>10</v>
      </c>
      <c r="L740" s="47">
        <v>500</v>
      </c>
      <c r="M740" t="s">
        <v>1472</v>
      </c>
      <c r="N740" t="s">
        <v>11</v>
      </c>
      <c r="O740" s="50">
        <v>0.68369999999999997</v>
      </c>
      <c r="P740" s="9">
        <f>ROUND(O740*L740,2)</f>
        <v>341.85</v>
      </c>
      <c r="Q740" s="10">
        <f>IF(N740="HKD",7.8,IF(N740="CNY",7.30034,1))</f>
        <v>7.3003400000000003</v>
      </c>
      <c r="R740" s="10">
        <f>+ROUND(O740/Q740,4)</f>
        <v>9.3700000000000006E-2</v>
      </c>
      <c r="S740" s="11">
        <f>ROUND(R740*L740,2)</f>
        <v>46.85</v>
      </c>
      <c r="T740" s="10" t="s">
        <v>349</v>
      </c>
      <c r="U740" t="s">
        <v>442</v>
      </c>
    </row>
    <row r="741" spans="1:21">
      <c r="A741" t="s">
        <v>2663</v>
      </c>
      <c r="B741" s="20">
        <v>45741</v>
      </c>
      <c r="C741" s="20">
        <v>45723</v>
      </c>
      <c r="D741" t="s">
        <v>28</v>
      </c>
      <c r="E741" t="s">
        <v>29</v>
      </c>
      <c r="G741" t="s">
        <v>2937</v>
      </c>
      <c r="H741" t="s">
        <v>3202</v>
      </c>
      <c r="I741" t="s">
        <v>3409</v>
      </c>
      <c r="J741" s="8" t="str">
        <f>+LEFT(U741,4)</f>
        <v>BRKT</v>
      </c>
      <c r="K741" t="s">
        <v>10</v>
      </c>
      <c r="L741" s="47">
        <v>500</v>
      </c>
      <c r="M741" t="s">
        <v>1472</v>
      </c>
      <c r="N741" t="s">
        <v>11</v>
      </c>
      <c r="O741" s="50">
        <v>0.68369999999999997</v>
      </c>
      <c r="P741" s="9">
        <f>ROUND(O741*L741,2)</f>
        <v>341.85</v>
      </c>
      <c r="Q741" s="10">
        <f>IF(N741="HKD",7.8,IF(N741="CNY",7.30034,1))</f>
        <v>7.3003400000000003</v>
      </c>
      <c r="R741" s="10">
        <f>+ROUND(O741/Q741,4)</f>
        <v>9.3700000000000006E-2</v>
      </c>
      <c r="S741" s="11">
        <f>ROUND(R741*L741,2)</f>
        <v>46.85</v>
      </c>
      <c r="T741" s="10" t="s">
        <v>349</v>
      </c>
      <c r="U741" t="s">
        <v>442</v>
      </c>
    </row>
    <row r="742" spans="1:21">
      <c r="A742" t="s">
        <v>2635</v>
      </c>
      <c r="B742" s="20">
        <v>45741</v>
      </c>
      <c r="C742" s="20">
        <v>45721</v>
      </c>
      <c r="D742" t="s">
        <v>28</v>
      </c>
      <c r="E742" t="s">
        <v>29</v>
      </c>
      <c r="G742" t="s">
        <v>3001</v>
      </c>
      <c r="H742" t="s">
        <v>1629</v>
      </c>
      <c r="I742" t="s">
        <v>1630</v>
      </c>
      <c r="J742" s="8" t="str">
        <f>+LEFT(U742,4)</f>
        <v>FG--</v>
      </c>
      <c r="K742" t="s">
        <v>10</v>
      </c>
      <c r="L742" s="47">
        <v>500</v>
      </c>
      <c r="M742" t="s">
        <v>1472</v>
      </c>
      <c r="N742" t="s">
        <v>11</v>
      </c>
      <c r="O742" s="50">
        <v>0.4859</v>
      </c>
      <c r="P742" s="9">
        <f>ROUND(O742*L742,2)</f>
        <v>242.95</v>
      </c>
      <c r="Q742" s="10">
        <f>IF(N742="HKD",7.8,IF(N742="CNY",7.30034,1))</f>
        <v>7.3003400000000003</v>
      </c>
      <c r="R742" s="10">
        <f>+ROUND(O742/Q742,4)</f>
        <v>6.6600000000000006E-2</v>
      </c>
      <c r="S742" s="11">
        <f>ROUND(R742*L742,2)</f>
        <v>33.299999999999997</v>
      </c>
      <c r="T742" s="10" t="s">
        <v>349</v>
      </c>
      <c r="U742" t="s">
        <v>64</v>
      </c>
    </row>
    <row r="743" spans="1:21">
      <c r="A743" t="s">
        <v>2716</v>
      </c>
      <c r="B743" s="20">
        <v>45741</v>
      </c>
      <c r="C743" s="20">
        <v>45728</v>
      </c>
      <c r="D743" t="s">
        <v>651</v>
      </c>
      <c r="E743" t="s">
        <v>652</v>
      </c>
      <c r="G743" t="s">
        <v>3038</v>
      </c>
      <c r="H743" t="s">
        <v>3237</v>
      </c>
      <c r="I743" t="s">
        <v>3444</v>
      </c>
      <c r="J743" s="8" t="str">
        <f>+LEFT(U743,4)</f>
        <v>FG--</v>
      </c>
      <c r="K743" t="s">
        <v>10</v>
      </c>
      <c r="L743" s="47">
        <v>2030</v>
      </c>
      <c r="M743" t="s">
        <v>1472</v>
      </c>
      <c r="N743" t="s">
        <v>11</v>
      </c>
      <c r="O743" s="50">
        <v>0.77500000000000002</v>
      </c>
      <c r="P743" s="9">
        <f>ROUND(O743*L743,2)</f>
        <v>1573.25</v>
      </c>
      <c r="Q743" s="10">
        <f>IF(N743="HKD",7.8,IF(N743="CNY",7.30034,1))</f>
        <v>7.3003400000000003</v>
      </c>
      <c r="R743" s="10">
        <f>+ROUND(O743/Q743,4)</f>
        <v>0.1062</v>
      </c>
      <c r="S743" s="11">
        <f>ROUND(R743*L743,2)</f>
        <v>215.59</v>
      </c>
      <c r="T743" s="10" t="s">
        <v>349</v>
      </c>
      <c r="U743" t="s">
        <v>64</v>
      </c>
    </row>
    <row r="744" spans="1:21">
      <c r="A744" t="s">
        <v>2717</v>
      </c>
      <c r="B744" s="20">
        <v>45741</v>
      </c>
      <c r="C744" s="20">
        <v>45728</v>
      </c>
      <c r="D744" t="s">
        <v>651</v>
      </c>
      <c r="E744" t="s">
        <v>652</v>
      </c>
      <c r="G744" t="s">
        <v>3038</v>
      </c>
      <c r="H744" t="s">
        <v>3238</v>
      </c>
      <c r="I744" t="s">
        <v>3445</v>
      </c>
      <c r="J744" s="8" t="str">
        <f>+LEFT(U744,4)</f>
        <v>FG--</v>
      </c>
      <c r="K744" t="s">
        <v>10</v>
      </c>
      <c r="L744" s="47">
        <v>3100</v>
      </c>
      <c r="M744" t="s">
        <v>1472</v>
      </c>
      <c r="N744" t="s">
        <v>11</v>
      </c>
      <c r="O744" s="50">
        <v>0.82320000000000004</v>
      </c>
      <c r="P744" s="9">
        <f>ROUND(O744*L744,2)</f>
        <v>2551.92</v>
      </c>
      <c r="Q744" s="10">
        <f>IF(N744="HKD",7.8,IF(N744="CNY",7.30034,1))</f>
        <v>7.3003400000000003</v>
      </c>
      <c r="R744" s="10">
        <f>+ROUND(O744/Q744,4)</f>
        <v>0.1128</v>
      </c>
      <c r="S744" s="11">
        <f>ROUND(R744*L744,2)</f>
        <v>349.68</v>
      </c>
      <c r="T744" s="10" t="s">
        <v>349</v>
      </c>
      <c r="U744" t="s">
        <v>64</v>
      </c>
    </row>
    <row r="745" spans="1:21">
      <c r="A745" t="s">
        <v>2441</v>
      </c>
      <c r="B745" s="20">
        <v>45741</v>
      </c>
      <c r="C745" s="20">
        <v>45702</v>
      </c>
      <c r="D745" t="s">
        <v>128</v>
      </c>
      <c r="E745" t="s">
        <v>129</v>
      </c>
      <c r="G745" t="s">
        <v>2938</v>
      </c>
      <c r="H745" t="s">
        <v>443</v>
      </c>
      <c r="I745" t="s">
        <v>444</v>
      </c>
      <c r="J745" s="8" t="str">
        <f>+LEFT(U745,4)</f>
        <v>FG--</v>
      </c>
      <c r="K745" t="s">
        <v>10</v>
      </c>
      <c r="L745" s="47">
        <v>6000</v>
      </c>
      <c r="M745" t="s">
        <v>1472</v>
      </c>
      <c r="N745" t="s">
        <v>11</v>
      </c>
      <c r="O745" s="50">
        <v>1.0021</v>
      </c>
      <c r="P745" s="9">
        <f>ROUND(O745*L745,2)</f>
        <v>6012.6</v>
      </c>
      <c r="Q745" s="10">
        <f>IF(N745="HKD",7.8,IF(N745="CNY",7.30034,1))</f>
        <v>7.3003400000000003</v>
      </c>
      <c r="R745" s="10">
        <f>+ROUND(O745/Q745,4)</f>
        <v>0.13730000000000001</v>
      </c>
      <c r="S745" s="11">
        <f>ROUND(R745*L745,2)</f>
        <v>823.8</v>
      </c>
      <c r="T745" s="10" t="s">
        <v>349</v>
      </c>
      <c r="U745" t="s">
        <v>64</v>
      </c>
    </row>
    <row r="746" spans="1:21">
      <c r="A746" t="s">
        <v>2440</v>
      </c>
      <c r="B746" s="20">
        <v>45741</v>
      </c>
      <c r="C746" s="20">
        <v>45702</v>
      </c>
      <c r="D746" t="s">
        <v>28</v>
      </c>
      <c r="E746" t="s">
        <v>29</v>
      </c>
      <c r="G746" t="s">
        <v>2937</v>
      </c>
      <c r="H746" t="s">
        <v>1167</v>
      </c>
      <c r="I746" t="s">
        <v>1168</v>
      </c>
      <c r="J746" s="8" t="str">
        <f>+LEFT(U746,4)</f>
        <v>FG--</v>
      </c>
      <c r="K746" t="s">
        <v>10</v>
      </c>
      <c r="L746" s="47">
        <v>2050</v>
      </c>
      <c r="M746" t="s">
        <v>1472</v>
      </c>
      <c r="N746" t="s">
        <v>11</v>
      </c>
      <c r="O746" s="50">
        <v>1.2692000000000001</v>
      </c>
      <c r="P746" s="9">
        <f>ROUND(O746*L746,2)</f>
        <v>2601.86</v>
      </c>
      <c r="Q746" s="10">
        <f>IF(N746="HKD",7.8,IF(N746="CNY",7.30034,1))</f>
        <v>7.3003400000000003</v>
      </c>
      <c r="R746" s="10">
        <f>+ROUND(O746/Q746,4)</f>
        <v>0.1739</v>
      </c>
      <c r="S746" s="11">
        <f>ROUND(R746*L746,2)</f>
        <v>356.5</v>
      </c>
      <c r="T746" s="10" t="s">
        <v>349</v>
      </c>
      <c r="U746" t="s">
        <v>64</v>
      </c>
    </row>
    <row r="747" spans="1:21">
      <c r="A747" t="s">
        <v>2422</v>
      </c>
      <c r="B747" s="20">
        <v>45741</v>
      </c>
      <c r="C747" s="20">
        <v>45702</v>
      </c>
      <c r="D747" t="s">
        <v>709</v>
      </c>
      <c r="E747" t="s">
        <v>710</v>
      </c>
      <c r="G747" t="s">
        <v>2930</v>
      </c>
      <c r="H747" t="s">
        <v>729</v>
      </c>
      <c r="I747" t="s">
        <v>730</v>
      </c>
      <c r="J747" s="8" t="str">
        <f>+LEFT(U747,4)</f>
        <v>HDL-</v>
      </c>
      <c r="K747" t="s">
        <v>10</v>
      </c>
      <c r="L747" s="47">
        <v>5020</v>
      </c>
      <c r="M747" t="s">
        <v>1472</v>
      </c>
      <c r="N747" t="s">
        <v>11</v>
      </c>
      <c r="O747" s="50">
        <v>1.5156000000000001</v>
      </c>
      <c r="P747" s="9">
        <f>ROUND(O747*L747,2)</f>
        <v>7608.31</v>
      </c>
      <c r="Q747" s="10">
        <f>IF(N747="HKD",7.8,IF(N747="CNY",7.30034,1))</f>
        <v>7.3003400000000003</v>
      </c>
      <c r="R747" s="10">
        <f>+ROUND(O747/Q747,4)</f>
        <v>0.20760000000000001</v>
      </c>
      <c r="S747" s="11">
        <f>ROUND(R747*L747,2)</f>
        <v>1042.1500000000001</v>
      </c>
      <c r="T747" s="10" t="s">
        <v>349</v>
      </c>
      <c r="U747" t="s">
        <v>228</v>
      </c>
    </row>
    <row r="748" spans="1:21">
      <c r="A748" t="s">
        <v>2633</v>
      </c>
      <c r="B748" s="20">
        <v>45741</v>
      </c>
      <c r="C748" s="20">
        <v>45721</v>
      </c>
      <c r="D748" t="s">
        <v>651</v>
      </c>
      <c r="E748" t="s">
        <v>652</v>
      </c>
      <c r="G748" t="s">
        <v>3014</v>
      </c>
      <c r="H748" t="s">
        <v>1674</v>
      </c>
      <c r="I748" t="s">
        <v>1675</v>
      </c>
      <c r="J748" s="8" t="str">
        <f>+LEFT(U748,4)</f>
        <v>HDL-</v>
      </c>
      <c r="K748" t="s">
        <v>10</v>
      </c>
      <c r="L748" s="47">
        <v>3100</v>
      </c>
      <c r="M748" t="s">
        <v>1472</v>
      </c>
      <c r="N748" t="s">
        <v>11</v>
      </c>
      <c r="O748" s="50">
        <v>2.0844999999999998</v>
      </c>
      <c r="P748" s="9">
        <f>ROUND(O748*L748,2)</f>
        <v>6461.95</v>
      </c>
      <c r="Q748" s="10">
        <f>IF(N748="HKD",7.8,IF(N748="CNY",7.30034,1))</f>
        <v>7.3003400000000003</v>
      </c>
      <c r="R748" s="10">
        <f>+ROUND(O748/Q748,4)</f>
        <v>0.28549999999999998</v>
      </c>
      <c r="S748" s="11">
        <f>ROUND(R748*L748,2)</f>
        <v>885.05</v>
      </c>
      <c r="T748" s="10" t="s">
        <v>349</v>
      </c>
      <c r="U748" t="s">
        <v>228</v>
      </c>
    </row>
    <row r="749" spans="1:21">
      <c r="A749" t="s">
        <v>2715</v>
      </c>
      <c r="B749" s="20">
        <v>45741</v>
      </c>
      <c r="C749" s="20">
        <v>45728</v>
      </c>
      <c r="D749" t="s">
        <v>651</v>
      </c>
      <c r="E749" t="s">
        <v>652</v>
      </c>
      <c r="G749" t="s">
        <v>3014</v>
      </c>
      <c r="H749" t="s">
        <v>1674</v>
      </c>
      <c r="I749" t="s">
        <v>1675</v>
      </c>
      <c r="J749" s="8" t="str">
        <f>+LEFT(U749,4)</f>
        <v>HDL-</v>
      </c>
      <c r="K749" t="s">
        <v>10</v>
      </c>
      <c r="L749" s="47">
        <v>3000</v>
      </c>
      <c r="M749" t="s">
        <v>1472</v>
      </c>
      <c r="N749" t="s">
        <v>11</v>
      </c>
      <c r="O749" s="50">
        <v>2.0844999999999998</v>
      </c>
      <c r="P749" s="9">
        <f>ROUND(O749*L749,2)</f>
        <v>6253.5</v>
      </c>
      <c r="Q749" s="10">
        <f>IF(N749="HKD",7.8,IF(N749="CNY",7.30034,1))</f>
        <v>7.3003400000000003</v>
      </c>
      <c r="R749" s="10">
        <f>+ROUND(O749/Q749,4)</f>
        <v>0.28549999999999998</v>
      </c>
      <c r="S749" s="11">
        <f>ROUND(R749*L749,2)</f>
        <v>856.5</v>
      </c>
      <c r="T749" s="10" t="s">
        <v>349</v>
      </c>
      <c r="U749" t="s">
        <v>228</v>
      </c>
    </row>
    <row r="750" spans="1:21">
      <c r="A750" t="s">
        <v>2612</v>
      </c>
      <c r="B750" s="20">
        <v>45741</v>
      </c>
      <c r="C750" s="20">
        <v>45720</v>
      </c>
      <c r="D750" t="s">
        <v>651</v>
      </c>
      <c r="E750" t="s">
        <v>652</v>
      </c>
      <c r="G750" t="s">
        <v>3014</v>
      </c>
      <c r="H750" t="s">
        <v>3200</v>
      </c>
      <c r="I750" t="s">
        <v>3407</v>
      </c>
      <c r="J750" s="8" t="str">
        <f>+LEFT(U750,4)</f>
        <v>HDL-</v>
      </c>
      <c r="K750" t="s">
        <v>10</v>
      </c>
      <c r="L750" s="47">
        <v>3400</v>
      </c>
      <c r="M750" t="s">
        <v>1472</v>
      </c>
      <c r="N750" t="s">
        <v>11</v>
      </c>
      <c r="O750" s="50">
        <v>2.3401999999999998</v>
      </c>
      <c r="P750" s="9">
        <f>ROUND(O750*L750,2)</f>
        <v>7956.68</v>
      </c>
      <c r="Q750" s="10">
        <f>IF(N750="HKD",7.8,IF(N750="CNY",7.30034,1))</f>
        <v>7.3003400000000003</v>
      </c>
      <c r="R750" s="10">
        <f>+ROUND(O750/Q750,4)</f>
        <v>0.3206</v>
      </c>
      <c r="S750" s="11">
        <f>ROUND(R750*L750,2)</f>
        <v>1090.04</v>
      </c>
      <c r="T750" s="10" t="s">
        <v>349</v>
      </c>
      <c r="U750" t="s">
        <v>228</v>
      </c>
    </row>
    <row r="751" spans="1:21">
      <c r="A751" t="s">
        <v>2425</v>
      </c>
      <c r="B751" s="20">
        <v>45741</v>
      </c>
      <c r="C751" s="20">
        <v>45702</v>
      </c>
      <c r="D751" t="s">
        <v>709</v>
      </c>
      <c r="E751" t="s">
        <v>710</v>
      </c>
      <c r="G751" t="s">
        <v>2930</v>
      </c>
      <c r="H751" t="s">
        <v>3114</v>
      </c>
      <c r="I751" t="s">
        <v>3328</v>
      </c>
      <c r="J751" s="8" t="str">
        <f>+LEFT(U751,4)</f>
        <v>HDL-</v>
      </c>
      <c r="K751" t="s">
        <v>10</v>
      </c>
      <c r="L751" s="47">
        <v>1020</v>
      </c>
      <c r="M751" t="s">
        <v>1472</v>
      </c>
      <c r="N751" t="s">
        <v>11</v>
      </c>
      <c r="O751" s="50">
        <v>2.3549000000000002</v>
      </c>
      <c r="P751" s="9">
        <f>ROUND(O751*L751,2)</f>
        <v>2402</v>
      </c>
      <c r="Q751" s="10">
        <f>IF(N751="HKD",7.8,IF(N751="CNY",7.30034,1))</f>
        <v>7.3003400000000003</v>
      </c>
      <c r="R751" s="10">
        <f>+ROUND(O751/Q751,4)</f>
        <v>0.3226</v>
      </c>
      <c r="S751" s="11">
        <f>ROUND(R751*L751,2)</f>
        <v>329.05</v>
      </c>
      <c r="T751" s="10" t="s">
        <v>349</v>
      </c>
      <c r="U751" t="s">
        <v>228</v>
      </c>
    </row>
    <row r="752" spans="1:21">
      <c r="A752" t="s">
        <v>2423</v>
      </c>
      <c r="B752" s="20">
        <v>45741</v>
      </c>
      <c r="C752" s="20">
        <v>45702</v>
      </c>
      <c r="D752" t="s">
        <v>709</v>
      </c>
      <c r="E752" t="s">
        <v>710</v>
      </c>
      <c r="G752" t="s">
        <v>2930</v>
      </c>
      <c r="H752" t="s">
        <v>726</v>
      </c>
      <c r="I752" t="s">
        <v>727</v>
      </c>
      <c r="J752" s="8" t="str">
        <f>+LEFT(U752,4)</f>
        <v>KNOB</v>
      </c>
      <c r="K752" t="s">
        <v>10</v>
      </c>
      <c r="L752" s="47">
        <v>1120</v>
      </c>
      <c r="M752" t="s">
        <v>1472</v>
      </c>
      <c r="N752" t="s">
        <v>11</v>
      </c>
      <c r="O752" s="50">
        <v>0.54969999999999997</v>
      </c>
      <c r="P752" s="9">
        <f>ROUND(O752*L752,2)</f>
        <v>615.66</v>
      </c>
      <c r="Q752" s="10">
        <f>IF(N752="HKD",7.8,IF(N752="CNY",7.30034,1))</f>
        <v>7.3003400000000003</v>
      </c>
      <c r="R752" s="10">
        <f>+ROUND(O752/Q752,4)</f>
        <v>7.5300000000000006E-2</v>
      </c>
      <c r="S752" s="11">
        <f>ROUND(R752*L752,2)</f>
        <v>84.34</v>
      </c>
      <c r="T752" s="10" t="s">
        <v>349</v>
      </c>
      <c r="U752" t="s">
        <v>32</v>
      </c>
    </row>
    <row r="753" spans="1:21">
      <c r="A753" t="s">
        <v>2638</v>
      </c>
      <c r="B753" s="20">
        <v>45741</v>
      </c>
      <c r="C753" s="20">
        <v>45721</v>
      </c>
      <c r="D753" t="s">
        <v>2247</v>
      </c>
      <c r="E753" t="s">
        <v>2248</v>
      </c>
      <c r="G753" t="s">
        <v>3020</v>
      </c>
      <c r="H753" t="s">
        <v>1635</v>
      </c>
      <c r="I753" t="s">
        <v>1636</v>
      </c>
      <c r="J753" s="8" t="str">
        <f>+LEFT(U753,4)</f>
        <v>KNOB</v>
      </c>
      <c r="K753" t="s">
        <v>10</v>
      </c>
      <c r="L753" s="47">
        <v>500</v>
      </c>
      <c r="M753" t="s">
        <v>1472</v>
      </c>
      <c r="N753" t="s">
        <v>11</v>
      </c>
      <c r="O753" s="50">
        <v>0.70320000000000005</v>
      </c>
      <c r="P753" s="9">
        <f>ROUND(O753*L753,2)</f>
        <v>351.6</v>
      </c>
      <c r="Q753" s="10">
        <f>IF(N753="HKD",7.8,IF(N753="CNY",7.30034,1))</f>
        <v>7.3003400000000003</v>
      </c>
      <c r="R753" s="10">
        <f>+ROUND(O753/Q753,4)</f>
        <v>9.6299999999999997E-2</v>
      </c>
      <c r="S753" s="11">
        <f>ROUND(R753*L753,2)</f>
        <v>48.15</v>
      </c>
      <c r="T753" s="10" t="s">
        <v>349</v>
      </c>
      <c r="U753" t="s">
        <v>32</v>
      </c>
    </row>
    <row r="754" spans="1:21">
      <c r="A754" t="s">
        <v>2698</v>
      </c>
      <c r="B754" s="20">
        <v>45741</v>
      </c>
      <c r="C754" s="20">
        <v>45728</v>
      </c>
      <c r="D754" t="s">
        <v>709</v>
      </c>
      <c r="E754" t="s">
        <v>710</v>
      </c>
      <c r="G754" t="s">
        <v>2930</v>
      </c>
      <c r="H754" t="s">
        <v>1641</v>
      </c>
      <c r="I754" t="s">
        <v>1642</v>
      </c>
      <c r="J754" s="8" t="str">
        <f>+LEFT(U754,4)</f>
        <v>KNOB</v>
      </c>
      <c r="K754" t="s">
        <v>10</v>
      </c>
      <c r="L754" s="47">
        <v>4100</v>
      </c>
      <c r="M754" t="s">
        <v>1472</v>
      </c>
      <c r="N754" t="s">
        <v>11</v>
      </c>
      <c r="O754" s="50">
        <v>0.87629999999999997</v>
      </c>
      <c r="P754" s="9">
        <f>ROUND(O754*L754,2)</f>
        <v>3592.83</v>
      </c>
      <c r="Q754" s="10">
        <f>IF(N754="HKD",7.8,IF(N754="CNY",7.30034,1))</f>
        <v>7.3003400000000003</v>
      </c>
      <c r="R754" s="10">
        <f>+ROUND(O754/Q754,4)</f>
        <v>0.12</v>
      </c>
      <c r="S754" s="11">
        <f>ROUND(R754*L754,2)</f>
        <v>492</v>
      </c>
      <c r="T754" s="10" t="s">
        <v>349</v>
      </c>
      <c r="U754" t="s">
        <v>32</v>
      </c>
    </row>
    <row r="755" spans="1:21">
      <c r="A755" t="s">
        <v>2696</v>
      </c>
      <c r="B755" s="20">
        <v>45741</v>
      </c>
      <c r="C755" s="20">
        <v>45728</v>
      </c>
      <c r="D755" t="s">
        <v>709</v>
      </c>
      <c r="E755" t="s">
        <v>710</v>
      </c>
      <c r="G755" t="s">
        <v>2930</v>
      </c>
      <c r="H755" t="s">
        <v>1647</v>
      </c>
      <c r="I755" t="s">
        <v>1648</v>
      </c>
      <c r="J755" s="8" t="str">
        <f>+LEFT(U755,4)</f>
        <v>KNOB</v>
      </c>
      <c r="K755" t="s">
        <v>10</v>
      </c>
      <c r="L755" s="47">
        <v>1010</v>
      </c>
      <c r="M755" t="s">
        <v>1472</v>
      </c>
      <c r="N755" t="s">
        <v>11</v>
      </c>
      <c r="O755" s="50">
        <v>1.0902000000000001</v>
      </c>
      <c r="P755" s="9">
        <f>ROUND(O755*L755,2)</f>
        <v>1101.0999999999999</v>
      </c>
      <c r="Q755" s="10">
        <f>IF(N755="HKD",7.8,IF(N755="CNY",7.30034,1))</f>
        <v>7.3003400000000003</v>
      </c>
      <c r="R755" s="10">
        <f>+ROUND(O755/Q755,4)</f>
        <v>0.14929999999999999</v>
      </c>
      <c r="S755" s="11">
        <f>ROUND(R755*L755,2)</f>
        <v>150.79</v>
      </c>
      <c r="T755" s="10" t="s">
        <v>349</v>
      </c>
      <c r="U755" t="s">
        <v>32</v>
      </c>
    </row>
    <row r="756" spans="1:21">
      <c r="A756" t="s">
        <v>2697</v>
      </c>
      <c r="B756" s="20">
        <v>45741</v>
      </c>
      <c r="C756" s="20">
        <v>45728</v>
      </c>
      <c r="D756" t="s">
        <v>709</v>
      </c>
      <c r="E756" t="s">
        <v>710</v>
      </c>
      <c r="G756" t="s">
        <v>2930</v>
      </c>
      <c r="H756" t="s">
        <v>3227</v>
      </c>
      <c r="I756" t="s">
        <v>3434</v>
      </c>
      <c r="J756" s="8" t="str">
        <f>+LEFT(U756,4)</f>
        <v>KNOB</v>
      </c>
      <c r="K756" t="s">
        <v>10</v>
      </c>
      <c r="L756" s="47">
        <v>3000</v>
      </c>
      <c r="M756" t="s">
        <v>1472</v>
      </c>
      <c r="N756" t="s">
        <v>11</v>
      </c>
      <c r="O756" s="50">
        <v>1.6423000000000001</v>
      </c>
      <c r="P756" s="9">
        <f>ROUND(O756*L756,2)</f>
        <v>4926.8999999999996</v>
      </c>
      <c r="Q756" s="10">
        <f>IF(N756="HKD",7.8,IF(N756="CNY",7.30034,1))</f>
        <v>7.3003400000000003</v>
      </c>
      <c r="R756" s="10">
        <f>+ROUND(O756/Q756,4)</f>
        <v>0.22500000000000001</v>
      </c>
      <c r="S756" s="11">
        <f>ROUND(R756*L756,2)</f>
        <v>675</v>
      </c>
      <c r="T756" s="10" t="s">
        <v>349</v>
      </c>
      <c r="U756" t="s">
        <v>32</v>
      </c>
    </row>
    <row r="757" spans="1:21">
      <c r="A757" t="s">
        <v>2424</v>
      </c>
      <c r="B757" s="20">
        <v>45741</v>
      </c>
      <c r="C757" s="20">
        <v>45702</v>
      </c>
      <c r="D757" t="s">
        <v>709</v>
      </c>
      <c r="E757" t="s">
        <v>710</v>
      </c>
      <c r="G757" t="s">
        <v>2930</v>
      </c>
      <c r="H757" t="s">
        <v>3113</v>
      </c>
      <c r="I757" t="s">
        <v>727</v>
      </c>
      <c r="J757" s="8" t="str">
        <f>+LEFT(U757,4)</f>
        <v>KNOB</v>
      </c>
      <c r="K757" t="s">
        <v>10</v>
      </c>
      <c r="L757" s="47">
        <v>1000</v>
      </c>
      <c r="M757" t="s">
        <v>1472</v>
      </c>
      <c r="N757" t="s">
        <v>11</v>
      </c>
      <c r="O757" s="50">
        <v>2.0691000000000002</v>
      </c>
      <c r="P757" s="9">
        <f>ROUND(O757*L757,2)</f>
        <v>2069.1</v>
      </c>
      <c r="Q757" s="10">
        <f>IF(N757="HKD",7.8,IF(N757="CNY",7.30034,1))</f>
        <v>7.3003400000000003</v>
      </c>
      <c r="R757" s="10">
        <f>+ROUND(O757/Q757,4)</f>
        <v>0.28339999999999999</v>
      </c>
      <c r="S757" s="11">
        <f>ROUND(R757*L757,2)</f>
        <v>283.39999999999998</v>
      </c>
      <c r="T757" s="10" t="s">
        <v>349</v>
      </c>
      <c r="U757" t="s">
        <v>32</v>
      </c>
    </row>
    <row r="758" spans="1:21">
      <c r="A758" t="s">
        <v>2540</v>
      </c>
      <c r="B758" s="20">
        <v>45741</v>
      </c>
      <c r="C758" s="20">
        <v>45714</v>
      </c>
      <c r="D758" t="s">
        <v>830</v>
      </c>
      <c r="E758" t="s">
        <v>831</v>
      </c>
      <c r="G758" t="s">
        <v>2988</v>
      </c>
      <c r="H758" t="s">
        <v>3166</v>
      </c>
      <c r="I758" t="s">
        <v>3376</v>
      </c>
      <c r="J758" s="8" t="str">
        <f>+LEFT(U758,4)</f>
        <v>LID-</v>
      </c>
      <c r="K758" t="s">
        <v>98</v>
      </c>
      <c r="L758" s="47">
        <v>1920</v>
      </c>
      <c r="M758" t="s">
        <v>1472</v>
      </c>
      <c r="N758" t="s">
        <v>11</v>
      </c>
      <c r="O758" s="50">
        <v>4.2</v>
      </c>
      <c r="P758" s="9">
        <f>ROUND(O758*L758,2)</f>
        <v>8064</v>
      </c>
      <c r="Q758" s="10">
        <f>IF(N758="HKD",7.8,IF(N758="CNY",7.30034,1))</f>
        <v>7.3003400000000003</v>
      </c>
      <c r="R758" s="10">
        <f>+ROUND(O758/Q758,4)</f>
        <v>0.57530000000000003</v>
      </c>
      <c r="S758" s="11">
        <f>ROUND(R758*L758,2)</f>
        <v>1104.58</v>
      </c>
      <c r="T758" s="10" t="s">
        <v>349</v>
      </c>
      <c r="U758" t="s">
        <v>368</v>
      </c>
    </row>
    <row r="759" spans="1:21">
      <c r="A759" t="s">
        <v>2533</v>
      </c>
      <c r="B759" s="20">
        <v>45741</v>
      </c>
      <c r="C759" s="20">
        <v>45714</v>
      </c>
      <c r="D759" t="s">
        <v>94</v>
      </c>
      <c r="E759" t="s">
        <v>95</v>
      </c>
      <c r="G759" t="s">
        <v>2968</v>
      </c>
      <c r="H759" t="s">
        <v>3164</v>
      </c>
      <c r="I759" t="s">
        <v>3374</v>
      </c>
      <c r="J759" s="8" t="str">
        <f>+LEFT(U759,4)</f>
        <v>LID-</v>
      </c>
      <c r="K759" t="s">
        <v>98</v>
      </c>
      <c r="L759" s="47">
        <v>560</v>
      </c>
      <c r="M759" t="s">
        <v>1472</v>
      </c>
      <c r="N759" t="s">
        <v>11</v>
      </c>
      <c r="O759" s="50">
        <v>4.26</v>
      </c>
      <c r="P759" s="9">
        <f>ROUND(O759*L759,2)</f>
        <v>2385.6</v>
      </c>
      <c r="Q759" s="10">
        <f>IF(N759="HKD",7.8,IF(N759="CNY",7.30034,1))</f>
        <v>7.3003400000000003</v>
      </c>
      <c r="R759" s="10">
        <f>+ROUND(O759/Q759,4)</f>
        <v>0.58350000000000002</v>
      </c>
      <c r="S759" s="11">
        <f>ROUND(R759*L759,2)</f>
        <v>326.76</v>
      </c>
      <c r="T759" s="10" t="s">
        <v>349</v>
      </c>
      <c r="U759" t="s">
        <v>368</v>
      </c>
    </row>
    <row r="760" spans="1:21">
      <c r="A760" t="s">
        <v>2534</v>
      </c>
      <c r="B760" s="20">
        <v>45741</v>
      </c>
      <c r="C760" s="20">
        <v>45714</v>
      </c>
      <c r="D760" t="s">
        <v>94</v>
      </c>
      <c r="E760" t="s">
        <v>95</v>
      </c>
      <c r="G760" t="s">
        <v>2968</v>
      </c>
      <c r="H760" t="s">
        <v>3164</v>
      </c>
      <c r="I760" t="s">
        <v>3374</v>
      </c>
      <c r="J760" s="8" t="str">
        <f>+LEFT(U760,4)</f>
        <v>LID-</v>
      </c>
      <c r="K760" t="s">
        <v>98</v>
      </c>
      <c r="L760" s="47">
        <v>850</v>
      </c>
      <c r="M760" t="s">
        <v>1472</v>
      </c>
      <c r="N760" t="s">
        <v>11</v>
      </c>
      <c r="O760" s="50">
        <v>4.26</v>
      </c>
      <c r="P760" s="9">
        <f>ROUND(O760*L760,2)</f>
        <v>3621</v>
      </c>
      <c r="Q760" s="10">
        <f>IF(N760="HKD",7.8,IF(N760="CNY",7.30034,1))</f>
        <v>7.3003400000000003</v>
      </c>
      <c r="R760" s="10">
        <f>+ROUND(O760/Q760,4)</f>
        <v>0.58350000000000002</v>
      </c>
      <c r="S760" s="11">
        <f>ROUND(R760*L760,2)</f>
        <v>495.98</v>
      </c>
      <c r="T760" s="10" t="s">
        <v>349</v>
      </c>
      <c r="U760" t="s">
        <v>368</v>
      </c>
    </row>
    <row r="761" spans="1:21">
      <c r="A761" t="s">
        <v>2321</v>
      </c>
      <c r="B761" s="20">
        <v>45741</v>
      </c>
      <c r="C761" s="20">
        <v>45664</v>
      </c>
      <c r="D761" t="s">
        <v>94</v>
      </c>
      <c r="E761" t="s">
        <v>95</v>
      </c>
      <c r="G761" t="s">
        <v>2879</v>
      </c>
      <c r="H761" t="s">
        <v>3081</v>
      </c>
      <c r="I761" t="s">
        <v>3297</v>
      </c>
      <c r="J761" s="8" t="str">
        <f>+LEFT(U761,4)</f>
        <v>LID-</v>
      </c>
      <c r="K761" t="s">
        <v>369</v>
      </c>
      <c r="L761" s="47">
        <v>426</v>
      </c>
      <c r="M761" t="s">
        <v>1472</v>
      </c>
      <c r="N761" t="s">
        <v>11</v>
      </c>
      <c r="O761" s="50">
        <v>8.9</v>
      </c>
      <c r="P761" s="9">
        <f>ROUND(O761*L761,2)</f>
        <v>3791.4</v>
      </c>
      <c r="Q761" s="10">
        <f>IF(N761="HKD",7.8,IF(N761="CNY",7.30034,1))</f>
        <v>7.3003400000000003</v>
      </c>
      <c r="R761" s="10">
        <f>+ROUND(O761/Q761,4)</f>
        <v>1.2191000000000001</v>
      </c>
      <c r="S761" s="11">
        <f>ROUND(R761*L761,2)</f>
        <v>519.34</v>
      </c>
      <c r="T761" s="10" t="s">
        <v>349</v>
      </c>
      <c r="U761" t="s">
        <v>368</v>
      </c>
    </row>
    <row r="762" spans="1:21">
      <c r="A762" t="s">
        <v>2575</v>
      </c>
      <c r="B762" s="20">
        <v>45741</v>
      </c>
      <c r="C762" s="20">
        <v>45716</v>
      </c>
      <c r="D762" t="s">
        <v>28</v>
      </c>
      <c r="E762" t="s">
        <v>29</v>
      </c>
      <c r="G762" t="s">
        <v>3001</v>
      </c>
      <c r="H762" t="s">
        <v>1175</v>
      </c>
      <c r="I762" t="s">
        <v>1176</v>
      </c>
      <c r="J762" s="8" t="str">
        <f>+LEFT(U762,4)</f>
        <v>MISC</v>
      </c>
      <c r="K762" t="s">
        <v>10</v>
      </c>
      <c r="L762" s="47">
        <v>1700</v>
      </c>
      <c r="M762" t="s">
        <v>1472</v>
      </c>
      <c r="N762" t="s">
        <v>11</v>
      </c>
      <c r="O762" s="50">
        <v>0.18720000000000001</v>
      </c>
      <c r="P762" s="9">
        <f>ROUND(O762*L762,2)</f>
        <v>318.24</v>
      </c>
      <c r="Q762" s="10">
        <f>IF(N762="HKD",7.8,IF(N762="CNY",7.30034,1))</f>
        <v>7.3003400000000003</v>
      </c>
      <c r="R762" s="10">
        <f>+ROUND(O762/Q762,4)</f>
        <v>2.5600000000000001E-2</v>
      </c>
      <c r="S762" s="11">
        <f>ROUND(R762*L762,2)</f>
        <v>43.52</v>
      </c>
      <c r="T762" s="10" t="s">
        <v>349</v>
      </c>
      <c r="U762" t="s">
        <v>25</v>
      </c>
    </row>
    <row r="763" spans="1:21">
      <c r="A763" t="s">
        <v>2578</v>
      </c>
      <c r="B763" s="20">
        <v>45741</v>
      </c>
      <c r="C763" s="20">
        <v>45716</v>
      </c>
      <c r="D763" t="s">
        <v>128</v>
      </c>
      <c r="E763" t="s">
        <v>129</v>
      </c>
      <c r="G763" t="s">
        <v>2938</v>
      </c>
      <c r="H763" t="s">
        <v>954</v>
      </c>
      <c r="I763" t="s">
        <v>955</v>
      </c>
      <c r="J763" s="8" t="str">
        <f>+LEFT(U763,4)</f>
        <v>RIV-</v>
      </c>
      <c r="K763" t="s">
        <v>10</v>
      </c>
      <c r="L763" s="47">
        <v>6100</v>
      </c>
      <c r="M763" t="s">
        <v>1472</v>
      </c>
      <c r="N763" t="s">
        <v>11</v>
      </c>
      <c r="O763" s="50">
        <v>7.0099999999999996E-2</v>
      </c>
      <c r="P763" s="9">
        <f>ROUND(O763*L763,2)</f>
        <v>427.61</v>
      </c>
      <c r="Q763" s="10">
        <f>IF(N763="HKD",7.8,IF(N763="CNY",7.30034,1))</f>
        <v>7.3003400000000003</v>
      </c>
      <c r="R763" s="10">
        <f>+ROUND(O763/Q763,4)</f>
        <v>9.5999999999999992E-3</v>
      </c>
      <c r="S763" s="11">
        <f>ROUND(R763*L763,2)</f>
        <v>58.56</v>
      </c>
      <c r="T763" s="10" t="s">
        <v>349</v>
      </c>
      <c r="U763" t="s">
        <v>132</v>
      </c>
    </row>
    <row r="764" spans="1:21">
      <c r="A764" t="s">
        <v>2720</v>
      </c>
      <c r="B764" s="20">
        <v>45741</v>
      </c>
      <c r="C764" s="20">
        <v>45728</v>
      </c>
      <c r="D764" t="s">
        <v>128</v>
      </c>
      <c r="E764" t="s">
        <v>129</v>
      </c>
      <c r="G764" t="s">
        <v>2938</v>
      </c>
      <c r="H764" t="s">
        <v>954</v>
      </c>
      <c r="I764" t="s">
        <v>955</v>
      </c>
      <c r="J764" s="8" t="str">
        <f>+LEFT(U764,4)</f>
        <v>RIV-</v>
      </c>
      <c r="K764" t="s">
        <v>10</v>
      </c>
      <c r="L764" s="47">
        <v>3500</v>
      </c>
      <c r="M764" t="s">
        <v>1472</v>
      </c>
      <c r="N764" t="s">
        <v>11</v>
      </c>
      <c r="O764" s="50">
        <v>7.0099999999999996E-2</v>
      </c>
      <c r="P764" s="9">
        <f>ROUND(O764*L764,2)</f>
        <v>245.35</v>
      </c>
      <c r="Q764" s="10">
        <f>IF(N764="HKD",7.8,IF(N764="CNY",7.30034,1))</f>
        <v>7.3003400000000003</v>
      </c>
      <c r="R764" s="10">
        <f>+ROUND(O764/Q764,4)</f>
        <v>9.5999999999999992E-3</v>
      </c>
      <c r="S764" s="11">
        <f>ROUND(R764*L764,2)</f>
        <v>33.6</v>
      </c>
      <c r="T764" s="10" t="s">
        <v>349</v>
      </c>
      <c r="U764" t="s">
        <v>132</v>
      </c>
    </row>
    <row r="765" spans="1:21">
      <c r="A765" t="s">
        <v>2754</v>
      </c>
      <c r="B765" s="20">
        <v>45741</v>
      </c>
      <c r="C765" s="20">
        <v>45729</v>
      </c>
      <c r="D765" t="s">
        <v>128</v>
      </c>
      <c r="E765" t="s">
        <v>129</v>
      </c>
      <c r="G765" t="s">
        <v>2938</v>
      </c>
      <c r="H765" t="s">
        <v>954</v>
      </c>
      <c r="I765" t="s">
        <v>955</v>
      </c>
      <c r="J765" s="8" t="str">
        <f>+LEFT(U765,4)</f>
        <v>RIV-</v>
      </c>
      <c r="K765" t="s">
        <v>10</v>
      </c>
      <c r="L765" s="47">
        <v>1000</v>
      </c>
      <c r="M765" t="s">
        <v>1472</v>
      </c>
      <c r="N765" t="s">
        <v>11</v>
      </c>
      <c r="O765" s="50">
        <v>7.0099999999999996E-2</v>
      </c>
      <c r="P765" s="9">
        <f>ROUND(O765*L765,2)</f>
        <v>70.099999999999994</v>
      </c>
      <c r="Q765" s="10">
        <f>IF(N765="HKD",7.8,IF(N765="CNY",7.30034,1))</f>
        <v>7.3003400000000003</v>
      </c>
      <c r="R765" s="10">
        <f>+ROUND(O765/Q765,4)</f>
        <v>9.5999999999999992E-3</v>
      </c>
      <c r="S765" s="11">
        <f>ROUND(R765*L765,2)</f>
        <v>9.6</v>
      </c>
      <c r="T765" s="10" t="s">
        <v>349</v>
      </c>
      <c r="U765" t="s">
        <v>132</v>
      </c>
    </row>
    <row r="766" spans="1:21">
      <c r="A766" t="s">
        <v>2421</v>
      </c>
      <c r="B766" s="20">
        <v>45741</v>
      </c>
      <c r="C766" s="20">
        <v>45702</v>
      </c>
      <c r="D766" t="s">
        <v>709</v>
      </c>
      <c r="E766" t="s">
        <v>710</v>
      </c>
      <c r="G766" t="s">
        <v>2930</v>
      </c>
      <c r="H766" t="s">
        <v>3112</v>
      </c>
      <c r="I766" t="s">
        <v>3327</v>
      </c>
      <c r="J766" s="8" t="str">
        <f>+LEFT(U766,4)</f>
        <v>SHDL</v>
      </c>
      <c r="K766" t="s">
        <v>10</v>
      </c>
      <c r="L766" s="47">
        <v>2040</v>
      </c>
      <c r="M766" t="s">
        <v>1472</v>
      </c>
      <c r="N766" t="s">
        <v>11</v>
      </c>
      <c r="O766" s="50">
        <v>2.6659999999999999</v>
      </c>
      <c r="P766" s="9">
        <f>ROUND(O766*L766,2)</f>
        <v>5438.64</v>
      </c>
      <c r="Q766" s="10">
        <f>IF(N766="HKD",7.8,IF(N766="CNY",7.30034,1))</f>
        <v>7.3003400000000003</v>
      </c>
      <c r="R766" s="10">
        <f>+ROUND(O766/Q766,4)</f>
        <v>0.36520000000000002</v>
      </c>
      <c r="S766" s="11">
        <f>ROUND(R766*L766,2)</f>
        <v>745.01</v>
      </c>
      <c r="T766" s="10" t="s">
        <v>349</v>
      </c>
      <c r="U766" t="s">
        <v>722</v>
      </c>
    </row>
    <row r="767" spans="1:21">
      <c r="A767" t="s">
        <v>2420</v>
      </c>
      <c r="B767" s="20">
        <v>45741</v>
      </c>
      <c r="C767" s="20">
        <v>45702</v>
      </c>
      <c r="D767" t="s">
        <v>709</v>
      </c>
      <c r="E767" t="s">
        <v>710</v>
      </c>
      <c r="G767" t="s">
        <v>2930</v>
      </c>
      <c r="H767" t="s">
        <v>3111</v>
      </c>
      <c r="I767" t="s">
        <v>3326</v>
      </c>
      <c r="J767" s="8" t="str">
        <f>+LEFT(U767,4)</f>
        <v>SHDL</v>
      </c>
      <c r="K767" t="s">
        <v>10</v>
      </c>
      <c r="L767" s="47">
        <v>2060</v>
      </c>
      <c r="M767" t="s">
        <v>1472</v>
      </c>
      <c r="N767" t="s">
        <v>11</v>
      </c>
      <c r="O767" s="50">
        <v>3.5226999999999999</v>
      </c>
      <c r="P767" s="9">
        <f>ROUND(O767*L767,2)</f>
        <v>7256.76</v>
      </c>
      <c r="Q767" s="10">
        <f>IF(N767="HKD",7.8,IF(N767="CNY",7.30034,1))</f>
        <v>7.3003400000000003</v>
      </c>
      <c r="R767" s="10">
        <f>+ROUND(O767/Q767,4)</f>
        <v>0.48249999999999998</v>
      </c>
      <c r="S767" s="11">
        <f>ROUND(R767*L767,2)</f>
        <v>993.95</v>
      </c>
      <c r="T767" s="10" t="s">
        <v>349</v>
      </c>
      <c r="U767" t="s">
        <v>722</v>
      </c>
    </row>
    <row r="768" spans="1:21">
      <c r="A768" t="s">
        <v>2769</v>
      </c>
      <c r="B768" s="20">
        <v>45741</v>
      </c>
      <c r="C768" s="20">
        <v>45730</v>
      </c>
      <c r="D768" t="s">
        <v>806</v>
      </c>
      <c r="E768" t="s">
        <v>807</v>
      </c>
      <c r="G768" t="s">
        <v>3024</v>
      </c>
      <c r="H768" t="s">
        <v>3087</v>
      </c>
      <c r="I768" t="s">
        <v>3303</v>
      </c>
      <c r="J768" s="8" t="str">
        <f>+LEFT(U768,4)</f>
        <v>SWF-</v>
      </c>
      <c r="K768" t="s">
        <v>10</v>
      </c>
      <c r="L768" s="47">
        <v>16.5</v>
      </c>
      <c r="M768" t="s">
        <v>186</v>
      </c>
      <c r="N768" t="s">
        <v>11</v>
      </c>
      <c r="O768" s="50">
        <v>16</v>
      </c>
      <c r="P768" s="9">
        <f>ROUND(O768*L768,2)</f>
        <v>264</v>
      </c>
      <c r="Q768" s="10">
        <f>IF(N768="HKD",7.8,IF(N768="CNY",7.30034,1))</f>
        <v>7.3003400000000003</v>
      </c>
      <c r="R768" s="10">
        <f>+ROUND(O768/Q768,4)</f>
        <v>2.1917</v>
      </c>
      <c r="S768" s="11">
        <f>ROUND(R768*L768,2)</f>
        <v>36.159999999999997</v>
      </c>
      <c r="T768" s="10" t="s">
        <v>349</v>
      </c>
      <c r="U768" t="s">
        <v>3483</v>
      </c>
    </row>
    <row r="769" spans="1:21">
      <c r="A769" t="s">
        <v>2767</v>
      </c>
      <c r="B769" s="20">
        <v>45741</v>
      </c>
      <c r="C769" s="20">
        <v>45730</v>
      </c>
      <c r="D769" t="s">
        <v>806</v>
      </c>
      <c r="E769" t="s">
        <v>807</v>
      </c>
      <c r="G769" t="s">
        <v>3024</v>
      </c>
      <c r="H769" t="s">
        <v>3254</v>
      </c>
      <c r="I769" t="s">
        <v>3461</v>
      </c>
      <c r="J769" s="8" t="str">
        <f>+LEFT(U769,4)</f>
        <v>SWF-</v>
      </c>
      <c r="K769" t="s">
        <v>10</v>
      </c>
      <c r="L769" s="47">
        <v>11</v>
      </c>
      <c r="M769" t="s">
        <v>186</v>
      </c>
      <c r="N769" t="s">
        <v>11</v>
      </c>
      <c r="O769" s="50">
        <v>17.2</v>
      </c>
      <c r="P769" s="9">
        <f>ROUND(O769*L769,2)</f>
        <v>189.2</v>
      </c>
      <c r="Q769" s="10">
        <f>IF(N769="HKD",7.8,IF(N769="CNY",7.30034,1))</f>
        <v>7.3003400000000003</v>
      </c>
      <c r="R769" s="10">
        <f>+ROUND(O769/Q769,4)</f>
        <v>2.3561000000000001</v>
      </c>
      <c r="S769" s="11">
        <f>ROUND(R769*L769,2)</f>
        <v>25.92</v>
      </c>
      <c r="T769" s="10" t="s">
        <v>349</v>
      </c>
      <c r="U769" t="s">
        <v>3483</v>
      </c>
    </row>
    <row r="770" spans="1:21">
      <c r="A770" t="s">
        <v>2768</v>
      </c>
      <c r="B770" s="20">
        <v>45741</v>
      </c>
      <c r="C770" s="20">
        <v>45730</v>
      </c>
      <c r="D770" t="s">
        <v>806</v>
      </c>
      <c r="E770" t="s">
        <v>807</v>
      </c>
      <c r="G770" t="s">
        <v>3024</v>
      </c>
      <c r="H770" t="s">
        <v>3255</v>
      </c>
      <c r="I770" t="s">
        <v>3462</v>
      </c>
      <c r="J770" s="8" t="str">
        <f>+LEFT(U770,4)</f>
        <v>SWF-</v>
      </c>
      <c r="K770" t="s">
        <v>10</v>
      </c>
      <c r="L770" s="47">
        <v>9</v>
      </c>
      <c r="M770" t="s">
        <v>186</v>
      </c>
      <c r="N770" t="s">
        <v>11</v>
      </c>
      <c r="O770" s="50">
        <v>17.2</v>
      </c>
      <c r="P770" s="9">
        <f>ROUND(O770*L770,2)</f>
        <v>154.80000000000001</v>
      </c>
      <c r="Q770" s="10">
        <f>IF(N770="HKD",7.8,IF(N770="CNY",7.30034,1))</f>
        <v>7.3003400000000003</v>
      </c>
      <c r="R770" s="10">
        <f>+ROUND(O770/Q770,4)</f>
        <v>2.3561000000000001</v>
      </c>
      <c r="S770" s="11">
        <f>ROUND(R770*L770,2)</f>
        <v>21.2</v>
      </c>
      <c r="T770" s="10" t="s">
        <v>349</v>
      </c>
      <c r="U770" t="s">
        <v>3483</v>
      </c>
    </row>
    <row r="771" spans="1:21">
      <c r="A771" t="s">
        <v>2562</v>
      </c>
      <c r="B771" s="20">
        <v>45741</v>
      </c>
      <c r="C771" s="20">
        <v>45716</v>
      </c>
      <c r="D771" t="s">
        <v>143</v>
      </c>
      <c r="E771" t="s">
        <v>144</v>
      </c>
      <c r="G771" t="s">
        <v>2997</v>
      </c>
      <c r="H771" t="s">
        <v>245</v>
      </c>
      <c r="I771" t="s">
        <v>246</v>
      </c>
      <c r="J771" s="8" t="str">
        <f>+LEFT(U771,4)</f>
        <v>WHR-</v>
      </c>
      <c r="K771" t="s">
        <v>10</v>
      </c>
      <c r="L771" s="47">
        <v>17000</v>
      </c>
      <c r="M771" t="s">
        <v>1472</v>
      </c>
      <c r="N771" t="s">
        <v>11</v>
      </c>
      <c r="O771" s="50">
        <v>0.1096</v>
      </c>
      <c r="P771" s="9">
        <f>ROUND(O771*L771,2)</f>
        <v>1863.2</v>
      </c>
      <c r="Q771" s="10">
        <f>IF(N771="HKD",7.8,IF(N771="CNY",7.30034,1))</f>
        <v>7.3003400000000003</v>
      </c>
      <c r="R771" s="10">
        <f>+ROUND(O771/Q771,4)</f>
        <v>1.4999999999999999E-2</v>
      </c>
      <c r="S771" s="11">
        <f>ROUND(R771*L771,2)</f>
        <v>255</v>
      </c>
      <c r="T771" s="10" t="s">
        <v>349</v>
      </c>
      <c r="U771" t="s">
        <v>248</v>
      </c>
    </row>
    <row r="772" spans="1:21">
      <c r="A772" t="s">
        <v>2585</v>
      </c>
      <c r="B772" s="20">
        <v>45740</v>
      </c>
      <c r="C772" s="20">
        <v>45716</v>
      </c>
      <c r="D772" t="s">
        <v>187</v>
      </c>
      <c r="E772" t="s">
        <v>188</v>
      </c>
      <c r="G772" t="s">
        <v>3006</v>
      </c>
      <c r="H772" t="s">
        <v>3188</v>
      </c>
      <c r="I772" t="s">
        <v>3395</v>
      </c>
      <c r="J772" s="8" t="str">
        <f>+LEFT(U772,4)</f>
        <v>ALM-</v>
      </c>
      <c r="K772" t="s">
        <v>98</v>
      </c>
      <c r="L772" s="47">
        <v>200</v>
      </c>
      <c r="M772" t="s">
        <v>186</v>
      </c>
      <c r="N772" t="s">
        <v>11</v>
      </c>
      <c r="O772" s="50">
        <v>3.1415999999999999</v>
      </c>
      <c r="P772" s="9">
        <f>ROUND(O772*L772,2)</f>
        <v>628.32000000000005</v>
      </c>
      <c r="Q772" s="10">
        <f>IF(N772="HKD",7.8,IF(N772="CNY",7.30034,1))</f>
        <v>7.3003400000000003</v>
      </c>
      <c r="R772" s="10">
        <f>+ROUND(O772/Q772,4)</f>
        <v>0.43030000000000002</v>
      </c>
      <c r="S772" s="11">
        <f>ROUND(R772*L772,2)</f>
        <v>86.06</v>
      </c>
      <c r="T772" s="10" t="s">
        <v>349</v>
      </c>
      <c r="U772" t="s">
        <v>191</v>
      </c>
    </row>
    <row r="773" spans="1:21">
      <c r="A773" t="s">
        <v>2586</v>
      </c>
      <c r="B773" s="20">
        <v>45740</v>
      </c>
      <c r="C773" s="20">
        <v>45716</v>
      </c>
      <c r="D773" t="s">
        <v>187</v>
      </c>
      <c r="E773" t="s">
        <v>188</v>
      </c>
      <c r="G773" t="s">
        <v>3006</v>
      </c>
      <c r="H773" t="s">
        <v>3189</v>
      </c>
      <c r="I773" t="s">
        <v>3396</v>
      </c>
      <c r="J773" s="8" t="str">
        <f>+LEFT(U773,4)</f>
        <v>ALM-</v>
      </c>
      <c r="K773" t="s">
        <v>98</v>
      </c>
      <c r="L773" s="47">
        <v>50</v>
      </c>
      <c r="M773" t="s">
        <v>186</v>
      </c>
      <c r="N773" t="s">
        <v>11</v>
      </c>
      <c r="O773" s="50">
        <v>3.1415999999999999</v>
      </c>
      <c r="P773" s="9">
        <f>ROUND(O773*L773,2)</f>
        <v>157.08000000000001</v>
      </c>
      <c r="Q773" s="10">
        <f>IF(N773="HKD",7.8,IF(N773="CNY",7.30034,1))</f>
        <v>7.3003400000000003</v>
      </c>
      <c r="R773" s="10">
        <f>+ROUND(O773/Q773,4)</f>
        <v>0.43030000000000002</v>
      </c>
      <c r="S773" s="11">
        <f>ROUND(R773*L773,2)</f>
        <v>21.52</v>
      </c>
      <c r="T773" s="10" t="s">
        <v>349</v>
      </c>
      <c r="U773" t="s">
        <v>191</v>
      </c>
    </row>
    <row r="774" spans="1:21">
      <c r="A774" t="s">
        <v>2587</v>
      </c>
      <c r="B774" s="20">
        <v>45740</v>
      </c>
      <c r="C774" s="20">
        <v>45716</v>
      </c>
      <c r="D774" t="s">
        <v>187</v>
      </c>
      <c r="E774" t="s">
        <v>188</v>
      </c>
      <c r="G774" t="s">
        <v>3006</v>
      </c>
      <c r="H774" t="s">
        <v>1217</v>
      </c>
      <c r="I774" t="s">
        <v>1218</v>
      </c>
      <c r="J774" s="8" t="str">
        <f>+LEFT(U774,4)</f>
        <v>ALM-</v>
      </c>
      <c r="K774" t="s">
        <v>98</v>
      </c>
      <c r="L774" s="47">
        <v>225</v>
      </c>
      <c r="M774" t="s">
        <v>186</v>
      </c>
      <c r="N774" t="s">
        <v>11</v>
      </c>
      <c r="O774" s="50">
        <v>3.1415999999999999</v>
      </c>
      <c r="P774" s="9">
        <f>ROUND(O774*L774,2)</f>
        <v>706.86</v>
      </c>
      <c r="Q774" s="10">
        <f>IF(N774="HKD",7.8,IF(N774="CNY",7.30034,1))</f>
        <v>7.3003400000000003</v>
      </c>
      <c r="R774" s="10">
        <f>+ROUND(O774/Q774,4)</f>
        <v>0.43030000000000002</v>
      </c>
      <c r="S774" s="11">
        <f>ROUND(R774*L774,2)</f>
        <v>96.82</v>
      </c>
      <c r="T774" s="10" t="s">
        <v>349</v>
      </c>
      <c r="U774" t="s">
        <v>191</v>
      </c>
    </row>
    <row r="775" spans="1:21">
      <c r="A775" t="s">
        <v>2589</v>
      </c>
      <c r="B775" s="20">
        <v>45740</v>
      </c>
      <c r="C775" s="20">
        <v>45716</v>
      </c>
      <c r="D775" t="s">
        <v>187</v>
      </c>
      <c r="E775" t="s">
        <v>188</v>
      </c>
      <c r="G775" t="s">
        <v>3006</v>
      </c>
      <c r="H775" t="s">
        <v>211</v>
      </c>
      <c r="I775" t="s">
        <v>212</v>
      </c>
      <c r="J775" s="8" t="str">
        <f>+LEFT(U775,4)</f>
        <v>ALM-</v>
      </c>
      <c r="K775" t="s">
        <v>98</v>
      </c>
      <c r="L775" s="47">
        <v>50</v>
      </c>
      <c r="M775" t="s">
        <v>186</v>
      </c>
      <c r="N775" t="s">
        <v>11</v>
      </c>
      <c r="O775" s="50">
        <v>3.1415999999999999</v>
      </c>
      <c r="P775" s="9">
        <f>ROUND(O775*L775,2)</f>
        <v>157.08000000000001</v>
      </c>
      <c r="Q775" s="10">
        <f>IF(N775="HKD",7.8,IF(N775="CNY",7.30034,1))</f>
        <v>7.3003400000000003</v>
      </c>
      <c r="R775" s="10">
        <f>+ROUND(O775/Q775,4)</f>
        <v>0.43030000000000002</v>
      </c>
      <c r="S775" s="11">
        <f>ROUND(R775*L775,2)</f>
        <v>21.52</v>
      </c>
      <c r="T775" s="10" t="s">
        <v>349</v>
      </c>
      <c r="U775" t="s">
        <v>191</v>
      </c>
    </row>
    <row r="776" spans="1:21">
      <c r="A776" t="s">
        <v>2590</v>
      </c>
      <c r="B776" s="20">
        <v>45740</v>
      </c>
      <c r="C776" s="20">
        <v>45716</v>
      </c>
      <c r="D776" t="s">
        <v>187</v>
      </c>
      <c r="E776" t="s">
        <v>188</v>
      </c>
      <c r="G776" t="s">
        <v>3006</v>
      </c>
      <c r="H776" t="s">
        <v>205</v>
      </c>
      <c r="I776" t="s">
        <v>206</v>
      </c>
      <c r="J776" s="8" t="str">
        <f>+LEFT(U776,4)</f>
        <v>ALM-</v>
      </c>
      <c r="K776" t="s">
        <v>98</v>
      </c>
      <c r="L776" s="47">
        <v>200</v>
      </c>
      <c r="M776" t="s">
        <v>186</v>
      </c>
      <c r="N776" t="s">
        <v>11</v>
      </c>
      <c r="O776" s="50">
        <v>3.1415999999999999</v>
      </c>
      <c r="P776" s="9">
        <f>ROUND(O776*L776,2)</f>
        <v>628.32000000000005</v>
      </c>
      <c r="Q776" s="10">
        <f>IF(N776="HKD",7.8,IF(N776="CNY",7.30034,1))</f>
        <v>7.3003400000000003</v>
      </c>
      <c r="R776" s="10">
        <f>+ROUND(O776/Q776,4)</f>
        <v>0.43030000000000002</v>
      </c>
      <c r="S776" s="11">
        <f>ROUND(R776*L776,2)</f>
        <v>86.06</v>
      </c>
      <c r="T776" s="10" t="s">
        <v>349</v>
      </c>
      <c r="U776" t="s">
        <v>191</v>
      </c>
    </row>
    <row r="777" spans="1:21">
      <c r="A777" t="s">
        <v>2591</v>
      </c>
      <c r="B777" s="20">
        <v>45740</v>
      </c>
      <c r="C777" s="20">
        <v>45716</v>
      </c>
      <c r="D777" t="s">
        <v>187</v>
      </c>
      <c r="E777" t="s">
        <v>188</v>
      </c>
      <c r="G777" t="s">
        <v>3006</v>
      </c>
      <c r="H777" t="s">
        <v>3191</v>
      </c>
      <c r="I777" t="s">
        <v>3398</v>
      </c>
      <c r="J777" s="8" t="str">
        <f>+LEFT(U777,4)</f>
        <v>ALM-</v>
      </c>
      <c r="K777" t="s">
        <v>98</v>
      </c>
      <c r="L777" s="47">
        <v>410</v>
      </c>
      <c r="M777" t="s">
        <v>186</v>
      </c>
      <c r="N777" t="s">
        <v>11</v>
      </c>
      <c r="O777" s="50">
        <v>3.1415999999999999</v>
      </c>
      <c r="P777" s="9">
        <f>ROUND(O777*L777,2)</f>
        <v>1288.06</v>
      </c>
      <c r="Q777" s="10">
        <f>IF(N777="HKD",7.8,IF(N777="CNY",7.30034,1))</f>
        <v>7.3003400000000003</v>
      </c>
      <c r="R777" s="10">
        <f>+ROUND(O777/Q777,4)</f>
        <v>0.43030000000000002</v>
      </c>
      <c r="S777" s="11">
        <f>ROUND(R777*L777,2)</f>
        <v>176.42</v>
      </c>
      <c r="T777" s="10" t="s">
        <v>349</v>
      </c>
      <c r="U777" t="s">
        <v>191</v>
      </c>
    </row>
    <row r="778" spans="1:21">
      <c r="A778" t="s">
        <v>2654</v>
      </c>
      <c r="B778" s="20">
        <v>45740</v>
      </c>
      <c r="C778" s="20">
        <v>45722</v>
      </c>
      <c r="D778" t="s">
        <v>187</v>
      </c>
      <c r="E778" t="s">
        <v>188</v>
      </c>
      <c r="G778" t="s">
        <v>3006</v>
      </c>
      <c r="H778" t="s">
        <v>211</v>
      </c>
      <c r="I778" t="s">
        <v>212</v>
      </c>
      <c r="J778" s="8" t="str">
        <f>+LEFT(U778,4)</f>
        <v>ALM-</v>
      </c>
      <c r="K778" t="s">
        <v>98</v>
      </c>
      <c r="L778" s="47">
        <v>100</v>
      </c>
      <c r="M778" t="s">
        <v>186</v>
      </c>
      <c r="N778" t="s">
        <v>11</v>
      </c>
      <c r="O778" s="50">
        <v>3.1415999999999999</v>
      </c>
      <c r="P778" s="9">
        <f>ROUND(O778*L778,2)</f>
        <v>314.16000000000003</v>
      </c>
      <c r="Q778" s="10">
        <f>IF(N778="HKD",7.8,IF(N778="CNY",7.30034,1))</f>
        <v>7.3003400000000003</v>
      </c>
      <c r="R778" s="10">
        <f>+ROUND(O778/Q778,4)</f>
        <v>0.43030000000000002</v>
      </c>
      <c r="S778" s="11">
        <f>ROUND(R778*L778,2)</f>
        <v>43.03</v>
      </c>
      <c r="T778" s="10" t="s">
        <v>349</v>
      </c>
      <c r="U778" t="s">
        <v>191</v>
      </c>
    </row>
    <row r="779" spans="1:21">
      <c r="A779" t="s">
        <v>2655</v>
      </c>
      <c r="B779" s="20">
        <v>45740</v>
      </c>
      <c r="C779" s="20">
        <v>45722</v>
      </c>
      <c r="D779" t="s">
        <v>187</v>
      </c>
      <c r="E779" t="s">
        <v>188</v>
      </c>
      <c r="G779" t="s">
        <v>3006</v>
      </c>
      <c r="H779" t="s">
        <v>202</v>
      </c>
      <c r="I779" t="s">
        <v>203</v>
      </c>
      <c r="J779" s="8" t="str">
        <f>+LEFT(U779,4)</f>
        <v>ALM-</v>
      </c>
      <c r="K779" t="s">
        <v>98</v>
      </c>
      <c r="L779" s="47">
        <v>50</v>
      </c>
      <c r="M779" t="s">
        <v>186</v>
      </c>
      <c r="N779" t="s">
        <v>11</v>
      </c>
      <c r="O779" s="50">
        <v>3.1415999999999999</v>
      </c>
      <c r="P779" s="9">
        <f>ROUND(O779*L779,2)</f>
        <v>157.08000000000001</v>
      </c>
      <c r="Q779" s="10">
        <f>IF(N779="HKD",7.8,IF(N779="CNY",7.30034,1))</f>
        <v>7.3003400000000003</v>
      </c>
      <c r="R779" s="10">
        <f>+ROUND(O779/Q779,4)</f>
        <v>0.43030000000000002</v>
      </c>
      <c r="S779" s="11">
        <f>ROUND(R779*L779,2)</f>
        <v>21.52</v>
      </c>
      <c r="T779" s="10" t="s">
        <v>349</v>
      </c>
      <c r="U779" t="s">
        <v>191</v>
      </c>
    </row>
    <row r="780" spans="1:21">
      <c r="A780" t="s">
        <v>2682</v>
      </c>
      <c r="B780" s="20">
        <v>45740</v>
      </c>
      <c r="C780" s="20">
        <v>45726</v>
      </c>
      <c r="D780" t="s">
        <v>187</v>
      </c>
      <c r="E780" t="s">
        <v>188</v>
      </c>
      <c r="G780" t="s">
        <v>3006</v>
      </c>
      <c r="H780" t="s">
        <v>1210</v>
      </c>
      <c r="I780" t="s">
        <v>1211</v>
      </c>
      <c r="J780" s="8" t="str">
        <f>+LEFT(U780,4)</f>
        <v>ALM-</v>
      </c>
      <c r="K780" t="s">
        <v>98</v>
      </c>
      <c r="L780" s="47">
        <v>450</v>
      </c>
      <c r="M780" t="s">
        <v>186</v>
      </c>
      <c r="N780" t="s">
        <v>11</v>
      </c>
      <c r="O780" s="50">
        <v>3.1415999999999999</v>
      </c>
      <c r="P780" s="9">
        <f>ROUND(O780*L780,2)</f>
        <v>1413.72</v>
      </c>
      <c r="Q780" s="10">
        <f>IF(N780="HKD",7.8,IF(N780="CNY",7.30034,1))</f>
        <v>7.3003400000000003</v>
      </c>
      <c r="R780" s="10">
        <f>+ROUND(O780/Q780,4)</f>
        <v>0.43030000000000002</v>
      </c>
      <c r="S780" s="11">
        <f>ROUND(R780*L780,2)</f>
        <v>193.64</v>
      </c>
      <c r="T780" s="10" t="s">
        <v>349</v>
      </c>
      <c r="U780" t="s">
        <v>191</v>
      </c>
    </row>
    <row r="781" spans="1:21">
      <c r="A781" t="s">
        <v>2683</v>
      </c>
      <c r="B781" s="20">
        <v>45740</v>
      </c>
      <c r="C781" s="20">
        <v>45726</v>
      </c>
      <c r="D781" t="s">
        <v>187</v>
      </c>
      <c r="E781" t="s">
        <v>188</v>
      </c>
      <c r="G781" t="s">
        <v>3006</v>
      </c>
      <c r="H781" t="s">
        <v>1217</v>
      </c>
      <c r="I781" t="s">
        <v>1218</v>
      </c>
      <c r="J781" s="8" t="str">
        <f>+LEFT(U781,4)</f>
        <v>ALM-</v>
      </c>
      <c r="K781" t="s">
        <v>98</v>
      </c>
      <c r="L781" s="47">
        <v>100</v>
      </c>
      <c r="M781" t="s">
        <v>186</v>
      </c>
      <c r="N781" t="s">
        <v>11</v>
      </c>
      <c r="O781" s="50">
        <v>3.1415999999999999</v>
      </c>
      <c r="P781" s="9">
        <f>ROUND(O781*L781,2)</f>
        <v>314.16000000000003</v>
      </c>
      <c r="Q781" s="10">
        <f>IF(N781="HKD",7.8,IF(N781="CNY",7.30034,1))</f>
        <v>7.3003400000000003</v>
      </c>
      <c r="R781" s="10">
        <f>+ROUND(O781/Q781,4)</f>
        <v>0.43030000000000002</v>
      </c>
      <c r="S781" s="11">
        <f>ROUND(R781*L781,2)</f>
        <v>43.03</v>
      </c>
      <c r="T781" s="10" t="s">
        <v>349</v>
      </c>
      <c r="U781" t="s">
        <v>191</v>
      </c>
    </row>
    <row r="782" spans="1:21">
      <c r="A782" t="s">
        <v>2684</v>
      </c>
      <c r="B782" s="20">
        <v>45740</v>
      </c>
      <c r="C782" s="20">
        <v>45726</v>
      </c>
      <c r="D782" t="s">
        <v>187</v>
      </c>
      <c r="E782" t="s">
        <v>188</v>
      </c>
      <c r="G782" t="s">
        <v>3006</v>
      </c>
      <c r="H782" t="s">
        <v>196</v>
      </c>
      <c r="I782" t="s">
        <v>197</v>
      </c>
      <c r="J782" s="8" t="str">
        <f>+LEFT(U782,4)</f>
        <v>ALM-</v>
      </c>
      <c r="K782" t="s">
        <v>98</v>
      </c>
      <c r="L782" s="47">
        <v>50</v>
      </c>
      <c r="M782" t="s">
        <v>186</v>
      </c>
      <c r="N782" t="s">
        <v>11</v>
      </c>
      <c r="O782" s="50">
        <v>3.1415999999999999</v>
      </c>
      <c r="P782" s="9">
        <f>ROUND(O782*L782,2)</f>
        <v>157.08000000000001</v>
      </c>
      <c r="Q782" s="10">
        <f>IF(N782="HKD",7.8,IF(N782="CNY",7.30034,1))</f>
        <v>7.3003400000000003</v>
      </c>
      <c r="R782" s="10">
        <f>+ROUND(O782/Q782,4)</f>
        <v>0.43030000000000002</v>
      </c>
      <c r="S782" s="11">
        <f>ROUND(R782*L782,2)</f>
        <v>21.52</v>
      </c>
      <c r="T782" s="10" t="s">
        <v>349</v>
      </c>
      <c r="U782" t="s">
        <v>191</v>
      </c>
    </row>
    <row r="783" spans="1:21">
      <c r="A783" t="s">
        <v>2690</v>
      </c>
      <c r="B783" s="20">
        <v>45740</v>
      </c>
      <c r="C783" s="20">
        <v>45727</v>
      </c>
      <c r="D783" t="s">
        <v>187</v>
      </c>
      <c r="E783" t="s">
        <v>188</v>
      </c>
      <c r="G783" t="s">
        <v>3006</v>
      </c>
      <c r="H783" t="s">
        <v>3226</v>
      </c>
      <c r="I783" t="s">
        <v>3433</v>
      </c>
      <c r="J783" s="8" t="str">
        <f>+LEFT(U783,4)</f>
        <v>ALM-</v>
      </c>
      <c r="K783" t="s">
        <v>98</v>
      </c>
      <c r="L783" s="47">
        <v>50</v>
      </c>
      <c r="M783" t="s">
        <v>186</v>
      </c>
      <c r="N783" t="s">
        <v>11</v>
      </c>
      <c r="O783" s="50">
        <v>3.1415999999999999</v>
      </c>
      <c r="P783" s="9">
        <f>ROUND(O783*L783,2)</f>
        <v>157.08000000000001</v>
      </c>
      <c r="Q783" s="10">
        <f>IF(N783="HKD",7.8,IF(N783="CNY",7.30034,1))</f>
        <v>7.3003400000000003</v>
      </c>
      <c r="R783" s="10">
        <f>+ROUND(O783/Q783,4)</f>
        <v>0.43030000000000002</v>
      </c>
      <c r="S783" s="11">
        <f>ROUND(R783*L783,2)</f>
        <v>21.52</v>
      </c>
      <c r="T783" s="10" t="s">
        <v>349</v>
      </c>
      <c r="U783" t="s">
        <v>191</v>
      </c>
    </row>
    <row r="784" spans="1:21">
      <c r="A784" t="s">
        <v>2772</v>
      </c>
      <c r="B784" s="20">
        <v>45740</v>
      </c>
      <c r="C784" s="20">
        <v>45730</v>
      </c>
      <c r="D784" t="s">
        <v>187</v>
      </c>
      <c r="E784" t="s">
        <v>188</v>
      </c>
      <c r="G784" t="s">
        <v>3006</v>
      </c>
      <c r="H784" t="s">
        <v>208</v>
      </c>
      <c r="I784" t="s">
        <v>209</v>
      </c>
      <c r="J784" s="8" t="str">
        <f>+LEFT(U784,4)</f>
        <v>ALM-</v>
      </c>
      <c r="K784" t="s">
        <v>98</v>
      </c>
      <c r="L784" s="47">
        <v>300</v>
      </c>
      <c r="M784" t="s">
        <v>186</v>
      </c>
      <c r="N784" t="s">
        <v>11</v>
      </c>
      <c r="O784" s="50">
        <v>3.1415999999999999</v>
      </c>
      <c r="P784" s="9">
        <f>ROUND(O784*L784,2)</f>
        <v>942.48</v>
      </c>
      <c r="Q784" s="10">
        <f>IF(N784="HKD",7.8,IF(N784="CNY",7.30034,1))</f>
        <v>7.3003400000000003</v>
      </c>
      <c r="R784" s="10">
        <f>+ROUND(O784/Q784,4)</f>
        <v>0.43030000000000002</v>
      </c>
      <c r="S784" s="11">
        <f>ROUND(R784*L784,2)</f>
        <v>129.09</v>
      </c>
      <c r="T784" s="10" t="s">
        <v>349</v>
      </c>
      <c r="U784" t="s">
        <v>191</v>
      </c>
    </row>
    <row r="785" spans="1:21">
      <c r="A785" t="s">
        <v>2773</v>
      </c>
      <c r="B785" s="20">
        <v>45740</v>
      </c>
      <c r="C785" s="20">
        <v>45730</v>
      </c>
      <c r="D785" t="s">
        <v>187</v>
      </c>
      <c r="E785" t="s">
        <v>188</v>
      </c>
      <c r="G785" t="s">
        <v>3006</v>
      </c>
      <c r="H785" t="s">
        <v>1715</v>
      </c>
      <c r="I785" t="s">
        <v>1716</v>
      </c>
      <c r="J785" s="8" t="str">
        <f>+LEFT(U785,4)</f>
        <v>ALM-</v>
      </c>
      <c r="K785" t="s">
        <v>98</v>
      </c>
      <c r="L785" s="47">
        <v>110</v>
      </c>
      <c r="M785" t="s">
        <v>186</v>
      </c>
      <c r="N785" t="s">
        <v>11</v>
      </c>
      <c r="O785" s="50">
        <v>3.1415999999999999</v>
      </c>
      <c r="P785" s="9">
        <f>ROUND(O785*L785,2)</f>
        <v>345.58</v>
      </c>
      <c r="Q785" s="10">
        <f>IF(N785="HKD",7.8,IF(N785="CNY",7.30034,1))</f>
        <v>7.3003400000000003</v>
      </c>
      <c r="R785" s="10">
        <f>+ROUND(O785/Q785,4)</f>
        <v>0.43030000000000002</v>
      </c>
      <c r="S785" s="11">
        <f>ROUND(R785*L785,2)</f>
        <v>47.33</v>
      </c>
      <c r="T785" s="10" t="s">
        <v>349</v>
      </c>
      <c r="U785" t="s">
        <v>191</v>
      </c>
    </row>
    <row r="786" spans="1:21">
      <c r="A786" t="s">
        <v>2774</v>
      </c>
      <c r="B786" s="20">
        <v>45740</v>
      </c>
      <c r="C786" s="20">
        <v>45730</v>
      </c>
      <c r="D786" t="s">
        <v>187</v>
      </c>
      <c r="E786" t="s">
        <v>188</v>
      </c>
      <c r="G786" t="s">
        <v>3006</v>
      </c>
      <c r="H786" t="s">
        <v>202</v>
      </c>
      <c r="I786" t="s">
        <v>203</v>
      </c>
      <c r="J786" s="8" t="str">
        <f>+LEFT(U786,4)</f>
        <v>ALM-</v>
      </c>
      <c r="K786" t="s">
        <v>98</v>
      </c>
      <c r="L786" s="47">
        <v>300</v>
      </c>
      <c r="M786" t="s">
        <v>186</v>
      </c>
      <c r="N786" t="s">
        <v>11</v>
      </c>
      <c r="O786" s="50">
        <v>3.1415999999999999</v>
      </c>
      <c r="P786" s="9">
        <f>ROUND(O786*L786,2)</f>
        <v>942.48</v>
      </c>
      <c r="Q786" s="10">
        <f>IF(N786="HKD",7.8,IF(N786="CNY",7.30034,1))</f>
        <v>7.3003400000000003</v>
      </c>
      <c r="R786" s="10">
        <f>+ROUND(O786/Q786,4)</f>
        <v>0.43030000000000002</v>
      </c>
      <c r="S786" s="11">
        <f>ROUND(R786*L786,2)</f>
        <v>129.09</v>
      </c>
      <c r="T786" s="10" t="s">
        <v>349</v>
      </c>
      <c r="U786" t="s">
        <v>191</v>
      </c>
    </row>
    <row r="787" spans="1:21">
      <c r="A787" t="s">
        <v>2775</v>
      </c>
      <c r="B787" s="20">
        <v>45740</v>
      </c>
      <c r="C787" s="20">
        <v>45730</v>
      </c>
      <c r="D787" t="s">
        <v>187</v>
      </c>
      <c r="E787" t="s">
        <v>188</v>
      </c>
      <c r="G787" t="s">
        <v>3006</v>
      </c>
      <c r="H787" t="s">
        <v>199</v>
      </c>
      <c r="I787" t="s">
        <v>200</v>
      </c>
      <c r="J787" s="8" t="str">
        <f>+LEFT(U787,4)</f>
        <v>ALM-</v>
      </c>
      <c r="K787" t="s">
        <v>98</v>
      </c>
      <c r="L787" s="47">
        <v>50</v>
      </c>
      <c r="M787" t="s">
        <v>186</v>
      </c>
      <c r="N787" t="s">
        <v>11</v>
      </c>
      <c r="O787" s="50">
        <v>3.1415999999999999</v>
      </c>
      <c r="P787" s="9">
        <f>ROUND(O787*L787,2)</f>
        <v>157.08000000000001</v>
      </c>
      <c r="Q787" s="10">
        <f>IF(N787="HKD",7.8,IF(N787="CNY",7.30034,1))</f>
        <v>7.3003400000000003</v>
      </c>
      <c r="R787" s="10">
        <f>+ROUND(O787/Q787,4)</f>
        <v>0.43030000000000002</v>
      </c>
      <c r="S787" s="11">
        <f>ROUND(R787*L787,2)</f>
        <v>21.52</v>
      </c>
      <c r="T787" s="10" t="s">
        <v>349</v>
      </c>
      <c r="U787" t="s">
        <v>191</v>
      </c>
    </row>
    <row r="788" spans="1:21">
      <c r="A788" t="s">
        <v>2588</v>
      </c>
      <c r="B788" s="20">
        <v>45740</v>
      </c>
      <c r="C788" s="20">
        <v>45716</v>
      </c>
      <c r="D788" t="s">
        <v>187</v>
      </c>
      <c r="E788" t="s">
        <v>188</v>
      </c>
      <c r="G788" t="s">
        <v>3006</v>
      </c>
      <c r="H788" t="s">
        <v>3190</v>
      </c>
      <c r="I788" t="s">
        <v>3397</v>
      </c>
      <c r="J788" s="8" t="str">
        <f>+LEFT(U788,4)</f>
        <v>ALM-</v>
      </c>
      <c r="K788" t="s">
        <v>98</v>
      </c>
      <c r="L788" s="47">
        <v>140</v>
      </c>
      <c r="M788" t="s">
        <v>186</v>
      </c>
      <c r="N788" t="s">
        <v>11</v>
      </c>
      <c r="O788" s="50">
        <v>3.6282999999999999</v>
      </c>
      <c r="P788" s="9">
        <f>ROUND(O788*L788,2)</f>
        <v>507.96</v>
      </c>
      <c r="Q788" s="10">
        <f>IF(N788="HKD",7.8,IF(N788="CNY",7.30034,1))</f>
        <v>7.3003400000000003</v>
      </c>
      <c r="R788" s="10">
        <f>+ROUND(O788/Q788,4)</f>
        <v>0.497</v>
      </c>
      <c r="S788" s="11">
        <f>ROUND(R788*L788,2)</f>
        <v>69.58</v>
      </c>
      <c r="T788" s="10" t="s">
        <v>349</v>
      </c>
      <c r="U788" t="s">
        <v>191</v>
      </c>
    </row>
    <row r="789" spans="1:21">
      <c r="A789" t="s">
        <v>2592</v>
      </c>
      <c r="B789" s="20">
        <v>45740</v>
      </c>
      <c r="C789" s="20">
        <v>45716</v>
      </c>
      <c r="D789" t="s">
        <v>187</v>
      </c>
      <c r="E789" t="s">
        <v>188</v>
      </c>
      <c r="G789" t="s">
        <v>3006</v>
      </c>
      <c r="H789" t="s">
        <v>1226</v>
      </c>
      <c r="I789" t="s">
        <v>1227</v>
      </c>
      <c r="J789" s="8" t="str">
        <f>+LEFT(U789,4)</f>
        <v>ALM-</v>
      </c>
      <c r="K789" t="s">
        <v>98</v>
      </c>
      <c r="L789" s="47">
        <v>120</v>
      </c>
      <c r="M789" t="s">
        <v>186</v>
      </c>
      <c r="N789" t="s">
        <v>11</v>
      </c>
      <c r="O789" s="50">
        <v>3.6282999999999999</v>
      </c>
      <c r="P789" s="9">
        <f>ROUND(O789*L789,2)</f>
        <v>435.4</v>
      </c>
      <c r="Q789" s="10">
        <f>IF(N789="HKD",7.8,IF(N789="CNY",7.30034,1))</f>
        <v>7.3003400000000003</v>
      </c>
      <c r="R789" s="10">
        <f>+ROUND(O789/Q789,4)</f>
        <v>0.497</v>
      </c>
      <c r="S789" s="11">
        <f>ROUND(R789*L789,2)</f>
        <v>59.64</v>
      </c>
      <c r="T789" s="10" t="s">
        <v>349</v>
      </c>
      <c r="U789" t="s">
        <v>191</v>
      </c>
    </row>
    <row r="790" spans="1:21">
      <c r="A790" t="s">
        <v>2653</v>
      </c>
      <c r="B790" s="20">
        <v>45740</v>
      </c>
      <c r="C790" s="20">
        <v>45722</v>
      </c>
      <c r="D790" t="s">
        <v>187</v>
      </c>
      <c r="E790" t="s">
        <v>188</v>
      </c>
      <c r="G790" t="s">
        <v>3006</v>
      </c>
      <c r="H790" t="s">
        <v>1223</v>
      </c>
      <c r="I790" t="s">
        <v>1224</v>
      </c>
      <c r="J790" s="8" t="str">
        <f>+LEFT(U790,4)</f>
        <v>ALM-</v>
      </c>
      <c r="K790" t="s">
        <v>98</v>
      </c>
      <c r="L790" s="47">
        <v>50</v>
      </c>
      <c r="M790" t="s">
        <v>186</v>
      </c>
      <c r="N790" t="s">
        <v>11</v>
      </c>
      <c r="O790" s="50">
        <v>3.6282999999999999</v>
      </c>
      <c r="P790" s="9">
        <f>ROUND(O790*L790,2)</f>
        <v>181.42</v>
      </c>
      <c r="Q790" s="10">
        <f>IF(N790="HKD",7.8,IF(N790="CNY",7.30034,1))</f>
        <v>7.3003400000000003</v>
      </c>
      <c r="R790" s="10">
        <f>+ROUND(O790/Q790,4)</f>
        <v>0.497</v>
      </c>
      <c r="S790" s="11">
        <f>ROUND(R790*L790,2)</f>
        <v>24.85</v>
      </c>
      <c r="T790" s="10" t="s">
        <v>349</v>
      </c>
      <c r="U790" t="s">
        <v>191</v>
      </c>
    </row>
    <row r="791" spans="1:21">
      <c r="A791" t="s">
        <v>2681</v>
      </c>
      <c r="B791" s="20">
        <v>45740</v>
      </c>
      <c r="C791" s="20">
        <v>45726</v>
      </c>
      <c r="D791" t="s">
        <v>187</v>
      </c>
      <c r="E791" t="s">
        <v>188</v>
      </c>
      <c r="G791" t="s">
        <v>3006</v>
      </c>
      <c r="H791" t="s">
        <v>3223</v>
      </c>
      <c r="I791" t="s">
        <v>3430</v>
      </c>
      <c r="J791" s="8" t="str">
        <f>+LEFT(U791,4)</f>
        <v>ALM-</v>
      </c>
      <c r="K791" t="s">
        <v>98</v>
      </c>
      <c r="L791" s="47">
        <v>100</v>
      </c>
      <c r="M791" t="s">
        <v>186</v>
      </c>
      <c r="N791" t="s">
        <v>11</v>
      </c>
      <c r="O791" s="50">
        <v>3.6282999999999999</v>
      </c>
      <c r="P791" s="9">
        <f>ROUND(O791*L791,2)</f>
        <v>362.83</v>
      </c>
      <c r="Q791" s="10">
        <f>IF(N791="HKD",7.8,IF(N791="CNY",7.30034,1))</f>
        <v>7.3003400000000003</v>
      </c>
      <c r="R791" s="10">
        <f>+ROUND(O791/Q791,4)</f>
        <v>0.497</v>
      </c>
      <c r="S791" s="11">
        <f>ROUND(R791*L791,2)</f>
        <v>49.7</v>
      </c>
      <c r="T791" s="10" t="s">
        <v>349</v>
      </c>
      <c r="U791" t="s">
        <v>191</v>
      </c>
    </row>
    <row r="792" spans="1:21">
      <c r="A792" t="s">
        <v>2766</v>
      </c>
      <c r="B792" s="20">
        <v>45740</v>
      </c>
      <c r="C792" s="20">
        <v>45730</v>
      </c>
      <c r="D792" t="s">
        <v>806</v>
      </c>
      <c r="E792" t="s">
        <v>807</v>
      </c>
      <c r="G792" t="s">
        <v>3037</v>
      </c>
      <c r="H792" t="s">
        <v>817</v>
      </c>
      <c r="I792" t="s">
        <v>818</v>
      </c>
      <c r="J792" s="8" t="str">
        <f>+LEFT(U792,4)</f>
        <v>BAG-</v>
      </c>
      <c r="K792" t="s">
        <v>10</v>
      </c>
      <c r="L792" s="47">
        <v>3000</v>
      </c>
      <c r="M792" t="s">
        <v>1472</v>
      </c>
      <c r="N792" t="s">
        <v>11</v>
      </c>
      <c r="O792" s="50">
        <v>8.5000000000000006E-2</v>
      </c>
      <c r="P792" s="9">
        <f>ROUND(O792*L792,2)</f>
        <v>255</v>
      </c>
      <c r="Q792" s="10">
        <f>IF(N792="HKD",7.8,IF(N792="CNY",7.30034,1))</f>
        <v>7.3003400000000003</v>
      </c>
      <c r="R792" s="10">
        <f>+ROUND(O792/Q792,4)</f>
        <v>1.1599999999999999E-2</v>
      </c>
      <c r="S792" s="11">
        <f>ROUND(R792*L792,2)</f>
        <v>34.799999999999997</v>
      </c>
      <c r="T792" s="10" t="s">
        <v>349</v>
      </c>
      <c r="U792" t="s">
        <v>810</v>
      </c>
    </row>
    <row r="793" spans="1:21">
      <c r="A793" t="s">
        <v>2748</v>
      </c>
      <c r="B793" s="20">
        <v>45740</v>
      </c>
      <c r="C793" s="20">
        <v>45729</v>
      </c>
      <c r="D793" t="s">
        <v>806</v>
      </c>
      <c r="E793" t="s">
        <v>807</v>
      </c>
      <c r="G793" t="s">
        <v>3037</v>
      </c>
      <c r="H793" t="s">
        <v>3215</v>
      </c>
      <c r="I793" t="s">
        <v>3422</v>
      </c>
      <c r="J793" s="8" t="str">
        <f>+LEFT(U793,4)</f>
        <v>BAG-</v>
      </c>
      <c r="K793" t="s">
        <v>10</v>
      </c>
      <c r="L793" s="47">
        <v>2820</v>
      </c>
      <c r="M793" t="s">
        <v>1472</v>
      </c>
      <c r="N793" t="s">
        <v>11</v>
      </c>
      <c r="O793" s="50">
        <v>0.1</v>
      </c>
      <c r="P793" s="9">
        <f>ROUND(O793*L793,2)</f>
        <v>282</v>
      </c>
      <c r="Q793" s="10">
        <f>IF(N793="HKD",7.8,IF(N793="CNY",7.30034,1))</f>
        <v>7.3003400000000003</v>
      </c>
      <c r="R793" s="10">
        <f>+ROUND(O793/Q793,4)</f>
        <v>1.37E-2</v>
      </c>
      <c r="S793" s="11">
        <f>ROUND(R793*L793,2)</f>
        <v>38.630000000000003</v>
      </c>
      <c r="T793" s="10" t="s">
        <v>349</v>
      </c>
      <c r="U793" t="s">
        <v>810</v>
      </c>
    </row>
    <row r="794" spans="1:21">
      <c r="A794" t="s">
        <v>2749</v>
      </c>
      <c r="B794" s="20">
        <v>45740</v>
      </c>
      <c r="C794" s="20">
        <v>45729</v>
      </c>
      <c r="D794" t="s">
        <v>806</v>
      </c>
      <c r="E794" t="s">
        <v>807</v>
      </c>
      <c r="G794" t="s">
        <v>3037</v>
      </c>
      <c r="H794" t="s">
        <v>3216</v>
      </c>
      <c r="I794" t="s">
        <v>3423</v>
      </c>
      <c r="J794" s="8" t="str">
        <f>+LEFT(U794,4)</f>
        <v>BAG-</v>
      </c>
      <c r="K794" t="s">
        <v>10</v>
      </c>
      <c r="L794" s="47">
        <v>15000</v>
      </c>
      <c r="M794" t="s">
        <v>1472</v>
      </c>
      <c r="N794" t="s">
        <v>11</v>
      </c>
      <c r="O794" s="50">
        <v>0.13</v>
      </c>
      <c r="P794" s="9">
        <f>ROUND(O794*L794,2)</f>
        <v>1950</v>
      </c>
      <c r="Q794" s="10">
        <f>IF(N794="HKD",7.8,IF(N794="CNY",7.30034,1))</f>
        <v>7.3003400000000003</v>
      </c>
      <c r="R794" s="10">
        <f>+ROUND(O794/Q794,4)</f>
        <v>1.78E-2</v>
      </c>
      <c r="S794" s="11">
        <f>ROUND(R794*L794,2)</f>
        <v>267</v>
      </c>
      <c r="T794" s="10" t="s">
        <v>349</v>
      </c>
      <c r="U794" t="s">
        <v>810</v>
      </c>
    </row>
    <row r="795" spans="1:21">
      <c r="A795" t="s">
        <v>2765</v>
      </c>
      <c r="B795" s="20">
        <v>45740</v>
      </c>
      <c r="C795" s="20">
        <v>45730</v>
      </c>
      <c r="D795" t="s">
        <v>806</v>
      </c>
      <c r="E795" t="s">
        <v>807</v>
      </c>
      <c r="G795" t="s">
        <v>3037</v>
      </c>
      <c r="H795" t="s">
        <v>3253</v>
      </c>
      <c r="I795" t="s">
        <v>3460</v>
      </c>
      <c r="J795" s="8" t="str">
        <f>+LEFT(U795,4)</f>
        <v>BAG-</v>
      </c>
      <c r="K795" t="s">
        <v>10</v>
      </c>
      <c r="L795" s="47">
        <v>7000</v>
      </c>
      <c r="M795" t="s">
        <v>1472</v>
      </c>
      <c r="N795" t="s">
        <v>11</v>
      </c>
      <c r="O795" s="50">
        <v>0.13</v>
      </c>
      <c r="P795" s="9">
        <f>ROUND(O795*L795,2)</f>
        <v>910</v>
      </c>
      <c r="Q795" s="10">
        <f>IF(N795="HKD",7.8,IF(N795="CNY",7.30034,1))</f>
        <v>7.3003400000000003</v>
      </c>
      <c r="R795" s="10">
        <f>+ROUND(O795/Q795,4)</f>
        <v>1.78E-2</v>
      </c>
      <c r="S795" s="11">
        <f>ROUND(R795*L795,2)</f>
        <v>124.6</v>
      </c>
      <c r="T795" s="10" t="s">
        <v>349</v>
      </c>
      <c r="U795" t="s">
        <v>810</v>
      </c>
    </row>
    <row r="796" spans="1:21">
      <c r="A796" t="s">
        <v>2750</v>
      </c>
      <c r="B796" s="20">
        <v>45740</v>
      </c>
      <c r="C796" s="20">
        <v>45729</v>
      </c>
      <c r="D796" t="s">
        <v>806</v>
      </c>
      <c r="E796" t="s">
        <v>807</v>
      </c>
      <c r="G796" t="s">
        <v>3037</v>
      </c>
      <c r="H796" t="s">
        <v>3217</v>
      </c>
      <c r="I796" t="s">
        <v>3424</v>
      </c>
      <c r="J796" s="8" t="str">
        <f>+LEFT(U796,4)</f>
        <v>BAG-</v>
      </c>
      <c r="K796" t="s">
        <v>10</v>
      </c>
      <c r="L796" s="47">
        <v>7200</v>
      </c>
      <c r="M796" t="s">
        <v>1472</v>
      </c>
      <c r="N796" t="s">
        <v>11</v>
      </c>
      <c r="O796" s="50">
        <v>0.14000000000000001</v>
      </c>
      <c r="P796" s="9">
        <f>ROUND(O796*L796,2)</f>
        <v>1008</v>
      </c>
      <c r="Q796" s="10">
        <f>IF(N796="HKD",7.8,IF(N796="CNY",7.30034,1))</f>
        <v>7.3003400000000003</v>
      </c>
      <c r="R796" s="10">
        <f>+ROUND(O796/Q796,4)</f>
        <v>1.9199999999999998E-2</v>
      </c>
      <c r="S796" s="11">
        <f>ROUND(R796*L796,2)</f>
        <v>138.24</v>
      </c>
      <c r="T796" s="10" t="s">
        <v>349</v>
      </c>
      <c r="U796" t="s">
        <v>810</v>
      </c>
    </row>
    <row r="797" spans="1:21">
      <c r="A797" t="s">
        <v>2713</v>
      </c>
      <c r="B797" s="20">
        <v>45740</v>
      </c>
      <c r="C797" s="20">
        <v>45728</v>
      </c>
      <c r="D797" t="s">
        <v>806</v>
      </c>
      <c r="E797" t="s">
        <v>807</v>
      </c>
      <c r="G797" t="s">
        <v>3037</v>
      </c>
      <c r="H797" t="s">
        <v>1607</v>
      </c>
      <c r="I797" t="s">
        <v>1608</v>
      </c>
      <c r="J797" s="8" t="str">
        <f>+LEFT(U797,4)</f>
        <v>BAG-</v>
      </c>
      <c r="K797" t="s">
        <v>10</v>
      </c>
      <c r="L797" s="47">
        <v>30000</v>
      </c>
      <c r="M797" t="s">
        <v>1472</v>
      </c>
      <c r="N797" t="s">
        <v>11</v>
      </c>
      <c r="O797" s="50">
        <v>0.17299999999999999</v>
      </c>
      <c r="P797" s="9">
        <f>ROUND(O797*L797,2)</f>
        <v>5190</v>
      </c>
      <c r="Q797" s="10">
        <f>IF(N797="HKD",7.8,IF(N797="CNY",7.30034,1))</f>
        <v>7.3003400000000003</v>
      </c>
      <c r="R797" s="10">
        <f>+ROUND(O797/Q797,4)</f>
        <v>2.3699999999999999E-2</v>
      </c>
      <c r="S797" s="11">
        <f>ROUND(R797*L797,2)</f>
        <v>711</v>
      </c>
      <c r="T797" s="10" t="s">
        <v>349</v>
      </c>
      <c r="U797" t="s">
        <v>810</v>
      </c>
    </row>
    <row r="798" spans="1:21">
      <c r="A798" t="s">
        <v>2751</v>
      </c>
      <c r="B798" s="20">
        <v>45740</v>
      </c>
      <c r="C798" s="20">
        <v>45729</v>
      </c>
      <c r="D798" t="s">
        <v>806</v>
      </c>
      <c r="E798" t="s">
        <v>807</v>
      </c>
      <c r="G798" t="s">
        <v>3037</v>
      </c>
      <c r="H798" t="s">
        <v>3248</v>
      </c>
      <c r="I798" t="s">
        <v>3455</v>
      </c>
      <c r="J798" s="8" t="str">
        <f>+LEFT(U798,4)</f>
        <v>BAG-</v>
      </c>
      <c r="K798" t="s">
        <v>10</v>
      </c>
      <c r="L798" s="47">
        <v>3000</v>
      </c>
      <c r="M798" t="s">
        <v>1472</v>
      </c>
      <c r="N798" t="s">
        <v>11</v>
      </c>
      <c r="O798" s="50">
        <v>0.185</v>
      </c>
      <c r="P798" s="9">
        <f>ROUND(O798*L798,2)</f>
        <v>555</v>
      </c>
      <c r="Q798" s="10">
        <f>IF(N798="HKD",7.8,IF(N798="CNY",7.30034,1))</f>
        <v>7.3003400000000003</v>
      </c>
      <c r="R798" s="10">
        <f>+ROUND(O798/Q798,4)</f>
        <v>2.53E-2</v>
      </c>
      <c r="S798" s="11">
        <f>ROUND(R798*L798,2)</f>
        <v>75.900000000000006</v>
      </c>
      <c r="T798" s="10" t="s">
        <v>349</v>
      </c>
      <c r="U798" t="s">
        <v>810</v>
      </c>
    </row>
    <row r="799" spans="1:21">
      <c r="A799" t="s">
        <v>2789</v>
      </c>
      <c r="B799" s="20">
        <v>45740</v>
      </c>
      <c r="C799" s="20">
        <v>45734</v>
      </c>
      <c r="D799" t="s">
        <v>121</v>
      </c>
      <c r="E799" t="s">
        <v>122</v>
      </c>
      <c r="G799" t="s">
        <v>3050</v>
      </c>
      <c r="H799" t="s">
        <v>3261</v>
      </c>
      <c r="I799" t="s">
        <v>3468</v>
      </c>
      <c r="J799" s="8" t="str">
        <f>+LEFT(U799,4)</f>
        <v>HDL-</v>
      </c>
      <c r="K799" t="s">
        <v>10</v>
      </c>
      <c r="L799" s="47">
        <v>150</v>
      </c>
      <c r="M799" t="s">
        <v>1472</v>
      </c>
      <c r="N799" t="s">
        <v>11</v>
      </c>
      <c r="O799" s="50">
        <v>5.1675000000000004</v>
      </c>
      <c r="P799" s="9">
        <f>ROUND(O799*L799,2)</f>
        <v>775.13</v>
      </c>
      <c r="Q799" s="10">
        <f>IF(N799="HKD",7.8,IF(N799="CNY",7.30034,1))</f>
        <v>7.3003400000000003</v>
      </c>
      <c r="R799" s="10">
        <f>+ROUND(O799/Q799,4)</f>
        <v>0.70779999999999998</v>
      </c>
      <c r="S799" s="11">
        <f>ROUND(R799*L799,2)</f>
        <v>106.17</v>
      </c>
      <c r="T799" s="10" t="s">
        <v>349</v>
      </c>
      <c r="U799" t="s">
        <v>228</v>
      </c>
    </row>
    <row r="800" spans="1:21">
      <c r="A800" t="s">
        <v>2492</v>
      </c>
      <c r="B800" s="20">
        <v>45740</v>
      </c>
      <c r="C800" s="20">
        <v>45713</v>
      </c>
      <c r="D800" t="s">
        <v>2257</v>
      </c>
      <c r="E800" t="s">
        <v>2258</v>
      </c>
      <c r="G800" t="s">
        <v>2955</v>
      </c>
      <c r="H800" t="s">
        <v>1798</v>
      </c>
      <c r="I800" t="s">
        <v>1799</v>
      </c>
      <c r="J800" s="8" t="str">
        <f>+LEFT(U800,4)</f>
        <v>HDL-</v>
      </c>
      <c r="K800" t="s">
        <v>10</v>
      </c>
      <c r="L800" s="47">
        <v>3500</v>
      </c>
      <c r="M800" t="s">
        <v>1472</v>
      </c>
      <c r="N800" t="s">
        <v>11</v>
      </c>
      <c r="O800" s="50">
        <v>7.4931000000000001</v>
      </c>
      <c r="P800" s="9">
        <f>ROUND(O800*L800,2)</f>
        <v>26225.85</v>
      </c>
      <c r="Q800" s="10">
        <f>IF(N800="HKD",7.8,IF(N800="CNY",7.30034,1))</f>
        <v>7.3003400000000003</v>
      </c>
      <c r="R800" s="10">
        <f>+ROUND(O800/Q800,4)</f>
        <v>1.0264</v>
      </c>
      <c r="S800" s="11">
        <f>ROUND(R800*L800,2)</f>
        <v>3592.4</v>
      </c>
      <c r="T800" s="10" t="s">
        <v>349</v>
      </c>
      <c r="U800" t="s">
        <v>228</v>
      </c>
    </row>
    <row r="801" spans="1:21">
      <c r="A801" t="s">
        <v>2497</v>
      </c>
      <c r="B801" s="20">
        <v>45740</v>
      </c>
      <c r="C801" s="20">
        <v>45713</v>
      </c>
      <c r="D801" t="s">
        <v>2257</v>
      </c>
      <c r="E801" t="s">
        <v>2258</v>
      </c>
      <c r="G801" t="s">
        <v>2955</v>
      </c>
      <c r="H801" t="s">
        <v>1800</v>
      </c>
      <c r="I801" t="s">
        <v>1801</v>
      </c>
      <c r="J801" s="8" t="str">
        <f>+LEFT(U801,4)</f>
        <v>HDL-</v>
      </c>
      <c r="K801" t="s">
        <v>10</v>
      </c>
      <c r="L801" s="47">
        <v>2600</v>
      </c>
      <c r="M801" t="s">
        <v>1472</v>
      </c>
      <c r="N801" t="s">
        <v>11</v>
      </c>
      <c r="O801" s="50">
        <v>7.4931000000000001</v>
      </c>
      <c r="P801" s="9">
        <f>ROUND(O801*L801,2)</f>
        <v>19482.060000000001</v>
      </c>
      <c r="Q801" s="10">
        <f>IF(N801="HKD",7.8,IF(N801="CNY",7.30034,1))</f>
        <v>7.3003400000000003</v>
      </c>
      <c r="R801" s="10">
        <f>+ROUND(O801/Q801,4)</f>
        <v>1.0264</v>
      </c>
      <c r="S801" s="11">
        <f>ROUND(R801*L801,2)</f>
        <v>2668.64</v>
      </c>
      <c r="T801" s="10" t="s">
        <v>349</v>
      </c>
      <c r="U801" t="s">
        <v>228</v>
      </c>
    </row>
    <row r="802" spans="1:21">
      <c r="A802" t="s">
        <v>2498</v>
      </c>
      <c r="B802" s="20">
        <v>45740</v>
      </c>
      <c r="C802" s="20">
        <v>45713</v>
      </c>
      <c r="D802" t="s">
        <v>2257</v>
      </c>
      <c r="E802" t="s">
        <v>2258</v>
      </c>
      <c r="G802" t="s">
        <v>2955</v>
      </c>
      <c r="H802" t="s">
        <v>1800</v>
      </c>
      <c r="I802" t="s">
        <v>1801</v>
      </c>
      <c r="J802" s="8" t="str">
        <f>+LEFT(U802,4)</f>
        <v>HDL-</v>
      </c>
      <c r="K802" t="s">
        <v>10</v>
      </c>
      <c r="L802" s="47">
        <v>3020</v>
      </c>
      <c r="M802" t="s">
        <v>1472</v>
      </c>
      <c r="N802" t="s">
        <v>11</v>
      </c>
      <c r="O802" s="50">
        <v>7.4931000000000001</v>
      </c>
      <c r="P802" s="9">
        <f>ROUND(O802*L802,2)</f>
        <v>22629.16</v>
      </c>
      <c r="Q802" s="10">
        <f>IF(N802="HKD",7.8,IF(N802="CNY",7.30034,1))</f>
        <v>7.3003400000000003</v>
      </c>
      <c r="R802" s="10">
        <f>+ROUND(O802/Q802,4)</f>
        <v>1.0264</v>
      </c>
      <c r="S802" s="11">
        <f>ROUND(R802*L802,2)</f>
        <v>3099.73</v>
      </c>
      <c r="T802" s="10" t="s">
        <v>349</v>
      </c>
      <c r="U802" t="s">
        <v>228</v>
      </c>
    </row>
    <row r="803" spans="1:21">
      <c r="A803" t="s">
        <v>2504</v>
      </c>
      <c r="B803" s="20">
        <v>45740</v>
      </c>
      <c r="C803" s="20">
        <v>45713</v>
      </c>
      <c r="D803" t="s">
        <v>2257</v>
      </c>
      <c r="E803" t="s">
        <v>2258</v>
      </c>
      <c r="G803" t="s">
        <v>2955</v>
      </c>
      <c r="H803" t="s">
        <v>3152</v>
      </c>
      <c r="I803" t="s">
        <v>3362</v>
      </c>
      <c r="J803" s="8" t="str">
        <f>+LEFT(U803,4)</f>
        <v>HDL-</v>
      </c>
      <c r="K803" t="s">
        <v>10</v>
      </c>
      <c r="L803" s="47">
        <v>3100</v>
      </c>
      <c r="M803" t="s">
        <v>1472</v>
      </c>
      <c r="N803" t="s">
        <v>11</v>
      </c>
      <c r="O803" s="50">
        <v>7.4931000000000001</v>
      </c>
      <c r="P803" s="9">
        <f>ROUND(O803*L803,2)</f>
        <v>23228.61</v>
      </c>
      <c r="Q803" s="10">
        <f>IF(N803="HKD",7.8,IF(N803="CNY",7.30034,1))</f>
        <v>7.3003400000000003</v>
      </c>
      <c r="R803" s="10">
        <f>+ROUND(O803/Q803,4)</f>
        <v>1.0264</v>
      </c>
      <c r="S803" s="11">
        <f>ROUND(R803*L803,2)</f>
        <v>3181.84</v>
      </c>
      <c r="T803" s="10" t="s">
        <v>349</v>
      </c>
      <c r="U803" t="s">
        <v>228</v>
      </c>
    </row>
    <row r="804" spans="1:21">
      <c r="A804" t="s">
        <v>2376</v>
      </c>
      <c r="B804" s="20">
        <v>45740</v>
      </c>
      <c r="C804" s="20">
        <v>45695</v>
      </c>
      <c r="D804" t="s">
        <v>143</v>
      </c>
      <c r="E804" t="s">
        <v>144</v>
      </c>
      <c r="G804" t="s">
        <v>2912</v>
      </c>
      <c r="H804" t="s">
        <v>3091</v>
      </c>
      <c r="I804" t="s">
        <v>3307</v>
      </c>
      <c r="J804" s="8" t="str">
        <f>+LEFT(U804,4)</f>
        <v>LHDL</v>
      </c>
      <c r="K804" t="s">
        <v>10</v>
      </c>
      <c r="L804" s="47">
        <v>1000</v>
      </c>
      <c r="M804" t="s">
        <v>1472</v>
      </c>
      <c r="N804" t="s">
        <v>11</v>
      </c>
      <c r="O804" s="50">
        <v>5.5971000000000002</v>
      </c>
      <c r="P804" s="9">
        <f>ROUND(O804*L804,2)</f>
        <v>5597.1</v>
      </c>
      <c r="Q804" s="10">
        <f>IF(N804="HKD",7.8,IF(N804="CNY",7.30034,1))</f>
        <v>7.3003400000000003</v>
      </c>
      <c r="R804" s="10">
        <f>+ROUND(O804/Q804,4)</f>
        <v>0.76670000000000005</v>
      </c>
      <c r="S804" s="11">
        <f>ROUND(R804*L804,2)</f>
        <v>766.7</v>
      </c>
      <c r="T804" s="10" t="s">
        <v>349</v>
      </c>
      <c r="U804" t="s">
        <v>125</v>
      </c>
    </row>
    <row r="805" spans="1:21">
      <c r="A805" t="s">
        <v>2282</v>
      </c>
      <c r="B805" s="20">
        <v>45740</v>
      </c>
      <c r="C805" s="20">
        <v>45576</v>
      </c>
      <c r="D805" t="s">
        <v>94</v>
      </c>
      <c r="E805" t="s">
        <v>95</v>
      </c>
      <c r="G805" t="s">
        <v>2849</v>
      </c>
      <c r="H805" t="s">
        <v>3063</v>
      </c>
      <c r="I805" t="s">
        <v>3279</v>
      </c>
      <c r="J805" s="8" t="str">
        <f>+LEFT(U805,4)</f>
        <v>LID-</v>
      </c>
      <c r="K805" t="s">
        <v>98</v>
      </c>
      <c r="L805" s="47">
        <v>1010</v>
      </c>
      <c r="M805" t="s">
        <v>1472</v>
      </c>
      <c r="N805" t="s">
        <v>11</v>
      </c>
      <c r="O805" s="50">
        <v>3.7</v>
      </c>
      <c r="P805" s="9">
        <f>ROUND(O805*L805,2)</f>
        <v>3737</v>
      </c>
      <c r="Q805" s="10">
        <f>IF(N805="HKD",7.8,IF(N805="CNY",7.30034,1))</f>
        <v>7.3003400000000003</v>
      </c>
      <c r="R805" s="10">
        <f>+ROUND(O805/Q805,4)</f>
        <v>0.50680000000000003</v>
      </c>
      <c r="S805" s="11">
        <f>ROUND(R805*L805,2)</f>
        <v>511.87</v>
      </c>
      <c r="T805" s="10" t="s">
        <v>349</v>
      </c>
      <c r="U805" t="s">
        <v>368</v>
      </c>
    </row>
    <row r="806" spans="1:21">
      <c r="A806" t="s">
        <v>2286</v>
      </c>
      <c r="B806" s="20">
        <v>45740</v>
      </c>
      <c r="C806" s="20">
        <v>45611</v>
      </c>
      <c r="D806" t="s">
        <v>94</v>
      </c>
      <c r="E806" t="s">
        <v>95</v>
      </c>
      <c r="G806" t="s">
        <v>2849</v>
      </c>
      <c r="H806" t="s">
        <v>3063</v>
      </c>
      <c r="I806" t="s">
        <v>3279</v>
      </c>
      <c r="J806" s="8" t="str">
        <f>+LEFT(U806,4)</f>
        <v>LID-</v>
      </c>
      <c r="K806" t="s">
        <v>98</v>
      </c>
      <c r="L806" s="47">
        <v>510</v>
      </c>
      <c r="M806" t="s">
        <v>1472</v>
      </c>
      <c r="N806" t="s">
        <v>11</v>
      </c>
      <c r="O806" s="50">
        <v>3.7</v>
      </c>
      <c r="P806" s="9">
        <f>ROUND(O806*L806,2)</f>
        <v>1887</v>
      </c>
      <c r="Q806" s="10">
        <f>IF(N806="HKD",7.8,IF(N806="CNY",7.30034,1))</f>
        <v>7.3003400000000003</v>
      </c>
      <c r="R806" s="10">
        <f>+ROUND(O806/Q806,4)</f>
        <v>0.50680000000000003</v>
      </c>
      <c r="S806" s="11">
        <f>ROUND(R806*L806,2)</f>
        <v>258.47000000000003</v>
      </c>
      <c r="T806" s="10" t="s">
        <v>349</v>
      </c>
      <c r="U806" t="s">
        <v>368</v>
      </c>
    </row>
    <row r="807" spans="1:21">
      <c r="A807" t="s">
        <v>2532</v>
      </c>
      <c r="B807" s="20">
        <v>45740</v>
      </c>
      <c r="C807" s="20">
        <v>45714</v>
      </c>
      <c r="D807" t="s">
        <v>94</v>
      </c>
      <c r="E807" t="s">
        <v>95</v>
      </c>
      <c r="G807" t="s">
        <v>2965</v>
      </c>
      <c r="H807" t="s">
        <v>3163</v>
      </c>
      <c r="I807" t="s">
        <v>3373</v>
      </c>
      <c r="J807" s="8" t="str">
        <f>+LEFT(U807,4)</f>
        <v>LID-</v>
      </c>
      <c r="K807" t="s">
        <v>98</v>
      </c>
      <c r="L807" s="47">
        <v>1764</v>
      </c>
      <c r="M807" t="s">
        <v>1472</v>
      </c>
      <c r="N807" t="s">
        <v>11</v>
      </c>
      <c r="O807" s="50">
        <v>3.95</v>
      </c>
      <c r="P807" s="9">
        <f>ROUND(O807*L807,2)</f>
        <v>6967.8</v>
      </c>
      <c r="Q807" s="10">
        <f>IF(N807="HKD",7.8,IF(N807="CNY",7.30034,1))</f>
        <v>7.3003400000000003</v>
      </c>
      <c r="R807" s="10">
        <f>+ROUND(O807/Q807,4)</f>
        <v>0.54110000000000003</v>
      </c>
      <c r="S807" s="11">
        <f>ROUND(R807*L807,2)</f>
        <v>954.5</v>
      </c>
      <c r="T807" s="10" t="s">
        <v>349</v>
      </c>
      <c r="U807" t="s">
        <v>368</v>
      </c>
    </row>
    <row r="808" spans="1:21">
      <c r="A808" t="s">
        <v>2539</v>
      </c>
      <c r="B808" s="20">
        <v>45740</v>
      </c>
      <c r="C808" s="20">
        <v>45714</v>
      </c>
      <c r="D808" t="s">
        <v>830</v>
      </c>
      <c r="E808" t="s">
        <v>831</v>
      </c>
      <c r="G808" t="s">
        <v>2984</v>
      </c>
      <c r="H808" t="s">
        <v>3166</v>
      </c>
      <c r="I808" t="s">
        <v>3376</v>
      </c>
      <c r="J808" s="8" t="str">
        <f>+LEFT(U808,4)</f>
        <v>LID-</v>
      </c>
      <c r="K808" t="s">
        <v>98</v>
      </c>
      <c r="L808" s="47">
        <v>400</v>
      </c>
      <c r="M808" t="s">
        <v>1472</v>
      </c>
      <c r="N808" t="s">
        <v>11</v>
      </c>
      <c r="O808" s="50">
        <v>4.2</v>
      </c>
      <c r="P808" s="9">
        <f>ROUND(O808*L808,2)</f>
        <v>1680</v>
      </c>
      <c r="Q808" s="10">
        <f>IF(N808="HKD",7.8,IF(N808="CNY",7.30034,1))</f>
        <v>7.3003400000000003</v>
      </c>
      <c r="R808" s="10">
        <f>+ROUND(O808/Q808,4)</f>
        <v>0.57530000000000003</v>
      </c>
      <c r="S808" s="11">
        <f>ROUND(R808*L808,2)</f>
        <v>230.12</v>
      </c>
      <c r="T808" s="10" t="s">
        <v>349</v>
      </c>
      <c r="U808" t="s">
        <v>368</v>
      </c>
    </row>
    <row r="809" spans="1:21">
      <c r="A809" t="s">
        <v>2539</v>
      </c>
      <c r="B809" s="20">
        <v>45740</v>
      </c>
      <c r="C809" s="20">
        <v>45714</v>
      </c>
      <c r="D809" t="s">
        <v>830</v>
      </c>
      <c r="E809" t="s">
        <v>831</v>
      </c>
      <c r="G809" t="s">
        <v>2984</v>
      </c>
      <c r="H809" t="s">
        <v>3166</v>
      </c>
      <c r="I809" t="s">
        <v>3376</v>
      </c>
      <c r="J809" s="8" t="str">
        <f>+LEFT(U809,4)</f>
        <v>LID-</v>
      </c>
      <c r="K809" t="s">
        <v>98</v>
      </c>
      <c r="L809" s="47">
        <v>2880</v>
      </c>
      <c r="M809" t="s">
        <v>1472</v>
      </c>
      <c r="N809" t="s">
        <v>11</v>
      </c>
      <c r="O809" s="50">
        <v>4.2</v>
      </c>
      <c r="P809" s="9">
        <f>ROUND(O809*L809,2)</f>
        <v>12096</v>
      </c>
      <c r="Q809" s="10">
        <f>IF(N809="HKD",7.8,IF(N809="CNY",7.30034,1))</f>
        <v>7.3003400000000003</v>
      </c>
      <c r="R809" s="10">
        <f>+ROUND(O809/Q809,4)</f>
        <v>0.57530000000000003</v>
      </c>
      <c r="S809" s="11">
        <f>ROUND(R809*L809,2)</f>
        <v>1656.86</v>
      </c>
      <c r="T809" s="10" t="s">
        <v>349</v>
      </c>
      <c r="U809" t="s">
        <v>368</v>
      </c>
    </row>
    <row r="810" spans="1:21">
      <c r="A810" t="s">
        <v>2625</v>
      </c>
      <c r="B810" s="20">
        <v>45740</v>
      </c>
      <c r="C810" s="20">
        <v>45721</v>
      </c>
      <c r="D810" t="s">
        <v>169</v>
      </c>
      <c r="E810" t="s">
        <v>170</v>
      </c>
      <c r="G810" t="s">
        <v>3017</v>
      </c>
      <c r="H810" t="s">
        <v>1101</v>
      </c>
      <c r="I810" t="s">
        <v>1102</v>
      </c>
      <c r="J810" s="8" t="str">
        <f>+LEFT(U810,4)</f>
        <v>PAP-</v>
      </c>
      <c r="K810" t="s">
        <v>10</v>
      </c>
      <c r="L810" s="47">
        <v>8500</v>
      </c>
      <c r="M810" t="s">
        <v>1472</v>
      </c>
      <c r="N810" t="s">
        <v>11</v>
      </c>
      <c r="O810" s="50">
        <v>0.1</v>
      </c>
      <c r="P810" s="9">
        <f>ROUND(O810*L810,2)</f>
        <v>850</v>
      </c>
      <c r="Q810" s="10">
        <f>IF(N810="HKD",7.8,IF(N810="CNY",7.30034,1))</f>
        <v>7.3003400000000003</v>
      </c>
      <c r="R810" s="10">
        <f>+ROUND(O810/Q810,4)</f>
        <v>1.37E-2</v>
      </c>
      <c r="S810" s="11">
        <f>ROUND(R810*L810,2)</f>
        <v>116.45</v>
      </c>
      <c r="T810" s="10" t="s">
        <v>349</v>
      </c>
      <c r="U810" t="s">
        <v>1094</v>
      </c>
    </row>
    <row r="811" spans="1:21">
      <c r="A811" t="s">
        <v>2777</v>
      </c>
      <c r="B811" s="20">
        <v>45740</v>
      </c>
      <c r="C811" s="20">
        <v>45730</v>
      </c>
      <c r="D811" t="s">
        <v>169</v>
      </c>
      <c r="E811" t="s">
        <v>170</v>
      </c>
      <c r="G811" t="s">
        <v>3017</v>
      </c>
      <c r="H811" t="s">
        <v>3256</v>
      </c>
      <c r="I811" t="s">
        <v>3463</v>
      </c>
      <c r="J811" s="8" t="str">
        <f>+LEFT(U811,4)</f>
        <v>PAP-</v>
      </c>
      <c r="K811" t="s">
        <v>10</v>
      </c>
      <c r="L811" s="47">
        <v>18000</v>
      </c>
      <c r="M811" t="s">
        <v>1472</v>
      </c>
      <c r="N811" t="s">
        <v>11</v>
      </c>
      <c r="O811" s="50">
        <v>0.14000000000000001</v>
      </c>
      <c r="P811" s="9">
        <f>ROUND(O811*L811,2)</f>
        <v>2520</v>
      </c>
      <c r="Q811" s="10">
        <f>IF(N811="HKD",7.8,IF(N811="CNY",7.30034,1))</f>
        <v>7.3003400000000003</v>
      </c>
      <c r="R811" s="10">
        <f>+ROUND(O811/Q811,4)</f>
        <v>1.9199999999999998E-2</v>
      </c>
      <c r="S811" s="11">
        <f>ROUND(R811*L811,2)</f>
        <v>345.6</v>
      </c>
      <c r="T811" s="10" t="s">
        <v>349</v>
      </c>
      <c r="U811" t="s">
        <v>1094</v>
      </c>
    </row>
    <row r="812" spans="1:21">
      <c r="A812" t="s">
        <v>2572</v>
      </c>
      <c r="B812" s="20">
        <v>45740</v>
      </c>
      <c r="C812" s="20">
        <v>45716</v>
      </c>
      <c r="D812" t="s">
        <v>162</v>
      </c>
      <c r="E812" t="s">
        <v>163</v>
      </c>
      <c r="G812" t="s">
        <v>2907</v>
      </c>
      <c r="H812" t="s">
        <v>599</v>
      </c>
      <c r="I812" t="s">
        <v>600</v>
      </c>
      <c r="J812" s="8" t="str">
        <f>+LEFT(U812,4)</f>
        <v>SCR-</v>
      </c>
      <c r="K812" t="s">
        <v>10</v>
      </c>
      <c r="L812" s="47">
        <v>11000</v>
      </c>
      <c r="M812" t="s">
        <v>1472</v>
      </c>
      <c r="N812" t="s">
        <v>11</v>
      </c>
      <c r="O812" s="50">
        <v>4.2000000000000003E-2</v>
      </c>
      <c r="P812" s="9">
        <f>ROUND(O812*L812,2)</f>
        <v>462</v>
      </c>
      <c r="Q812" s="10">
        <f>IF(N812="HKD",7.8,IF(N812="CNY",7.30034,1))</f>
        <v>7.3003400000000003</v>
      </c>
      <c r="R812" s="10">
        <f>+ROUND(O812/Q812,4)</f>
        <v>5.7999999999999996E-3</v>
      </c>
      <c r="S812" s="11">
        <f>ROUND(R812*L812,2)</f>
        <v>63.8</v>
      </c>
      <c r="T812" s="10" t="s">
        <v>349</v>
      </c>
      <c r="U812" t="s">
        <v>166</v>
      </c>
    </row>
    <row r="813" spans="1:21">
      <c r="A813" t="s">
        <v>2570</v>
      </c>
      <c r="B813" s="20">
        <v>45740</v>
      </c>
      <c r="C813" s="20">
        <v>45716</v>
      </c>
      <c r="D813" t="s">
        <v>162</v>
      </c>
      <c r="E813" t="s">
        <v>163</v>
      </c>
      <c r="G813" t="s">
        <v>2907</v>
      </c>
      <c r="H813" t="s">
        <v>606</v>
      </c>
      <c r="I813" t="s">
        <v>607</v>
      </c>
      <c r="J813" s="8" t="str">
        <f>+LEFT(U813,4)</f>
        <v>SCR-</v>
      </c>
      <c r="K813" t="s">
        <v>10</v>
      </c>
      <c r="L813" s="47">
        <v>3000</v>
      </c>
      <c r="M813" t="s">
        <v>1472</v>
      </c>
      <c r="N813" t="s">
        <v>11</v>
      </c>
      <c r="O813" s="50">
        <v>6.9000000000000006E-2</v>
      </c>
      <c r="P813" s="9">
        <f>ROUND(O813*L813,2)</f>
        <v>207</v>
      </c>
      <c r="Q813" s="10">
        <f>IF(N813="HKD",7.8,IF(N813="CNY",7.30034,1))</f>
        <v>7.3003400000000003</v>
      </c>
      <c r="R813" s="10">
        <f>+ROUND(O813/Q813,4)</f>
        <v>9.4999999999999998E-3</v>
      </c>
      <c r="S813" s="11">
        <f>ROUND(R813*L813,2)</f>
        <v>28.5</v>
      </c>
      <c r="T813" s="10" t="s">
        <v>349</v>
      </c>
      <c r="U813" t="s">
        <v>166</v>
      </c>
    </row>
    <row r="814" spans="1:21">
      <c r="A814" t="s">
        <v>2369</v>
      </c>
      <c r="B814" s="20">
        <v>45740</v>
      </c>
      <c r="C814" s="20">
        <v>45695</v>
      </c>
      <c r="D814" t="s">
        <v>162</v>
      </c>
      <c r="E814" t="s">
        <v>163</v>
      </c>
      <c r="G814" t="s">
        <v>2907</v>
      </c>
      <c r="H814" t="s">
        <v>592</v>
      </c>
      <c r="I814" t="s">
        <v>593</v>
      </c>
      <c r="J814" s="8" t="str">
        <f>+LEFT(U814,4)</f>
        <v>SCR-</v>
      </c>
      <c r="K814" t="s">
        <v>10</v>
      </c>
      <c r="L814" s="47">
        <v>3000</v>
      </c>
      <c r="M814" t="s">
        <v>1472</v>
      </c>
      <c r="N814" t="s">
        <v>11</v>
      </c>
      <c r="O814" s="50">
        <v>7.0000000000000007E-2</v>
      </c>
      <c r="P814" s="9">
        <f>ROUND(O814*L814,2)</f>
        <v>210</v>
      </c>
      <c r="Q814" s="10">
        <f>IF(N814="HKD",7.8,IF(N814="CNY",7.30034,1))</f>
        <v>7.3003400000000003</v>
      </c>
      <c r="R814" s="10">
        <f>+ROUND(O814/Q814,4)</f>
        <v>9.5999999999999992E-3</v>
      </c>
      <c r="S814" s="11">
        <f>ROUND(R814*L814,2)</f>
        <v>28.8</v>
      </c>
      <c r="T814" s="10" t="s">
        <v>349</v>
      </c>
      <c r="U814" t="s">
        <v>166</v>
      </c>
    </row>
    <row r="815" spans="1:21">
      <c r="A815" t="s">
        <v>2573</v>
      </c>
      <c r="B815" s="20">
        <v>45740</v>
      </c>
      <c r="C815" s="20">
        <v>45716</v>
      </c>
      <c r="D815" t="s">
        <v>162</v>
      </c>
      <c r="E815" t="s">
        <v>163</v>
      </c>
      <c r="G815" t="s">
        <v>2907</v>
      </c>
      <c r="H815" t="s">
        <v>578</v>
      </c>
      <c r="I815" t="s">
        <v>579</v>
      </c>
      <c r="J815" s="8" t="str">
        <f>+LEFT(U815,4)</f>
        <v>SCR-</v>
      </c>
      <c r="K815" t="s">
        <v>10</v>
      </c>
      <c r="L815" s="47">
        <v>4000</v>
      </c>
      <c r="M815" t="s">
        <v>1472</v>
      </c>
      <c r="N815" t="s">
        <v>11</v>
      </c>
      <c r="O815" s="50">
        <v>9.8000000000000004E-2</v>
      </c>
      <c r="P815" s="9">
        <f>ROUND(O815*L815,2)</f>
        <v>392</v>
      </c>
      <c r="Q815" s="10">
        <f>IF(N815="HKD",7.8,IF(N815="CNY",7.30034,1))</f>
        <v>7.3003400000000003</v>
      </c>
      <c r="R815" s="10">
        <f>+ROUND(O815/Q815,4)</f>
        <v>1.34E-2</v>
      </c>
      <c r="S815" s="11">
        <f>ROUND(R815*L815,2)</f>
        <v>53.6</v>
      </c>
      <c r="T815" s="10" t="s">
        <v>349</v>
      </c>
      <c r="U815" t="s">
        <v>166</v>
      </c>
    </row>
    <row r="816" spans="1:21">
      <c r="A816" t="s">
        <v>2569</v>
      </c>
      <c r="B816" s="20">
        <v>45740</v>
      </c>
      <c r="C816" s="20">
        <v>45716</v>
      </c>
      <c r="D816" t="s">
        <v>162</v>
      </c>
      <c r="E816" t="s">
        <v>163</v>
      </c>
      <c r="G816" t="s">
        <v>3000</v>
      </c>
      <c r="H816" t="s">
        <v>573</v>
      </c>
      <c r="I816" t="s">
        <v>574</v>
      </c>
      <c r="J816" s="8" t="str">
        <f>+LEFT(U816,4)</f>
        <v>SCR-</v>
      </c>
      <c r="K816" t="s">
        <v>10</v>
      </c>
      <c r="L816" s="47">
        <v>5000</v>
      </c>
      <c r="M816" t="s">
        <v>1472</v>
      </c>
      <c r="N816" t="s">
        <v>11</v>
      </c>
      <c r="O816" s="50">
        <v>0.11700000000000001</v>
      </c>
      <c r="P816" s="9">
        <f>ROUND(O816*L816,2)</f>
        <v>585</v>
      </c>
      <c r="Q816" s="10">
        <f>IF(N816="HKD",7.8,IF(N816="CNY",7.30034,1))</f>
        <v>7.3003400000000003</v>
      </c>
      <c r="R816" s="10">
        <f>+ROUND(O816/Q816,4)</f>
        <v>1.6E-2</v>
      </c>
      <c r="S816" s="11">
        <f>ROUND(R816*L816,2)</f>
        <v>80</v>
      </c>
      <c r="T816" s="10" t="s">
        <v>349</v>
      </c>
      <c r="U816" t="s">
        <v>166</v>
      </c>
    </row>
    <row r="817" spans="1:21">
      <c r="A817" t="s">
        <v>2753</v>
      </c>
      <c r="B817" s="20">
        <v>45740</v>
      </c>
      <c r="C817" s="20">
        <v>45729</v>
      </c>
      <c r="D817" t="s">
        <v>162</v>
      </c>
      <c r="E817" t="s">
        <v>163</v>
      </c>
      <c r="G817" t="s">
        <v>3000</v>
      </c>
      <c r="H817" t="s">
        <v>573</v>
      </c>
      <c r="I817" t="s">
        <v>574</v>
      </c>
      <c r="J817" s="8" t="str">
        <f>+LEFT(U817,4)</f>
        <v>SCR-</v>
      </c>
      <c r="K817" t="s">
        <v>10</v>
      </c>
      <c r="L817" s="47">
        <v>930</v>
      </c>
      <c r="M817" t="s">
        <v>1472</v>
      </c>
      <c r="N817" t="s">
        <v>11</v>
      </c>
      <c r="O817" s="50">
        <v>0.11700000000000001</v>
      </c>
      <c r="P817" s="9">
        <f>ROUND(O817*L817,2)</f>
        <v>108.81</v>
      </c>
      <c r="Q817" s="10">
        <f>IF(N817="HKD",7.8,IF(N817="CNY",7.30034,1))</f>
        <v>7.3003400000000003</v>
      </c>
      <c r="R817" s="10">
        <f>+ROUND(O817/Q817,4)</f>
        <v>1.6E-2</v>
      </c>
      <c r="S817" s="11">
        <f>ROUND(R817*L817,2)</f>
        <v>14.88</v>
      </c>
      <c r="T817" s="10" t="s">
        <v>349</v>
      </c>
      <c r="U817" t="s">
        <v>166</v>
      </c>
    </row>
    <row r="818" spans="1:21">
      <c r="A818" t="s">
        <v>2571</v>
      </c>
      <c r="B818" s="20">
        <v>45740</v>
      </c>
      <c r="C818" s="20">
        <v>45716</v>
      </c>
      <c r="D818" t="s">
        <v>162</v>
      </c>
      <c r="E818" t="s">
        <v>163</v>
      </c>
      <c r="G818" t="s">
        <v>2907</v>
      </c>
      <c r="H818" t="s">
        <v>160</v>
      </c>
      <c r="I818" t="s">
        <v>161</v>
      </c>
      <c r="J818" s="8" t="str">
        <f>+LEFT(U818,4)</f>
        <v>SCR-</v>
      </c>
      <c r="K818" t="s">
        <v>10</v>
      </c>
      <c r="L818" s="47">
        <v>15000</v>
      </c>
      <c r="M818" t="s">
        <v>1472</v>
      </c>
      <c r="N818" t="s">
        <v>11</v>
      </c>
      <c r="O818" s="50">
        <v>0.14199999999999999</v>
      </c>
      <c r="P818" s="9">
        <f>ROUND(O818*L818,2)</f>
        <v>2130</v>
      </c>
      <c r="Q818" s="10">
        <f>IF(N818="HKD",7.8,IF(N818="CNY",7.30034,1))</f>
        <v>7.3003400000000003</v>
      </c>
      <c r="R818" s="10">
        <f>+ROUND(O818/Q818,4)</f>
        <v>1.95E-2</v>
      </c>
      <c r="S818" s="11">
        <f>ROUND(R818*L818,2)</f>
        <v>292.5</v>
      </c>
      <c r="T818" s="10" t="s">
        <v>349</v>
      </c>
      <c r="U818" t="s">
        <v>166</v>
      </c>
    </row>
    <row r="819" spans="1:21">
      <c r="A819" t="s">
        <v>2466</v>
      </c>
      <c r="B819" s="20">
        <v>45740</v>
      </c>
      <c r="C819" s="20">
        <v>45706</v>
      </c>
      <c r="D819" t="s">
        <v>162</v>
      </c>
      <c r="E819" t="s">
        <v>163</v>
      </c>
      <c r="G819" t="s">
        <v>2907</v>
      </c>
      <c r="H819" t="s">
        <v>587</v>
      </c>
      <c r="I819" t="s">
        <v>588</v>
      </c>
      <c r="J819" s="8" t="str">
        <f>+LEFT(U819,4)</f>
        <v>SCR-</v>
      </c>
      <c r="K819" t="s">
        <v>10</v>
      </c>
      <c r="L819" s="47">
        <v>5000</v>
      </c>
      <c r="M819" t="s">
        <v>1472</v>
      </c>
      <c r="N819" t="s">
        <v>11</v>
      </c>
      <c r="O819" s="50">
        <v>0.153</v>
      </c>
      <c r="P819" s="9">
        <f>ROUND(O819*L819,2)</f>
        <v>765</v>
      </c>
      <c r="Q819" s="10">
        <f>IF(N819="HKD",7.8,IF(N819="CNY",7.30034,1))</f>
        <v>7.3003400000000003</v>
      </c>
      <c r="R819" s="10">
        <f>+ROUND(O819/Q819,4)</f>
        <v>2.1000000000000001E-2</v>
      </c>
      <c r="S819" s="11">
        <f>ROUND(R819*L819,2)</f>
        <v>105</v>
      </c>
      <c r="T819" s="10" t="s">
        <v>349</v>
      </c>
      <c r="U819" t="s">
        <v>166</v>
      </c>
    </row>
    <row r="820" spans="1:21">
      <c r="A820" t="s">
        <v>2634</v>
      </c>
      <c r="B820" s="20">
        <v>45740</v>
      </c>
      <c r="C820" s="20">
        <v>45721</v>
      </c>
      <c r="D820" t="s">
        <v>162</v>
      </c>
      <c r="E820" t="s">
        <v>163</v>
      </c>
      <c r="G820" t="s">
        <v>2907</v>
      </c>
      <c r="H820" t="s">
        <v>3210</v>
      </c>
      <c r="I820" t="s">
        <v>3417</v>
      </c>
      <c r="J820" s="8" t="str">
        <f>+LEFT(U820,4)</f>
        <v>SCR-</v>
      </c>
      <c r="K820" t="s">
        <v>10</v>
      </c>
      <c r="L820" s="47">
        <v>1030</v>
      </c>
      <c r="M820" t="s">
        <v>1472</v>
      </c>
      <c r="N820" t="s">
        <v>11</v>
      </c>
      <c r="O820" s="50">
        <v>0.16500000000000001</v>
      </c>
      <c r="P820" s="9">
        <f>ROUND(O820*L820,2)</f>
        <v>169.95</v>
      </c>
      <c r="Q820" s="10">
        <f>IF(N820="HKD",7.8,IF(N820="CNY",7.30034,1))</f>
        <v>7.3003400000000003</v>
      </c>
      <c r="R820" s="10">
        <f>+ROUND(O820/Q820,4)</f>
        <v>2.2599999999999999E-2</v>
      </c>
      <c r="S820" s="11">
        <f>ROUND(R820*L820,2)</f>
        <v>23.28</v>
      </c>
      <c r="T820" s="10" t="s">
        <v>349</v>
      </c>
      <c r="U820" t="s">
        <v>166</v>
      </c>
    </row>
    <row r="821" spans="1:21">
      <c r="A821" t="s">
        <v>2710</v>
      </c>
      <c r="B821" s="20">
        <v>45740</v>
      </c>
      <c r="C821" s="20">
        <v>45728</v>
      </c>
      <c r="D821" t="s">
        <v>169</v>
      </c>
      <c r="E821" t="s">
        <v>170</v>
      </c>
      <c r="G821" t="s">
        <v>3016</v>
      </c>
      <c r="H821" t="s">
        <v>1133</v>
      </c>
      <c r="I821" t="s">
        <v>1134</v>
      </c>
      <c r="J821" s="8" t="str">
        <f>+LEFT(U821,4)</f>
        <v>STKR</v>
      </c>
      <c r="K821" t="s">
        <v>10</v>
      </c>
      <c r="L821" s="47">
        <v>6500</v>
      </c>
      <c r="M821" t="s">
        <v>1472</v>
      </c>
      <c r="N821" t="s">
        <v>11</v>
      </c>
      <c r="O821" s="50">
        <v>2.5899999999999999E-2</v>
      </c>
      <c r="P821" s="9">
        <f>ROUND(O821*L821,2)</f>
        <v>168.35</v>
      </c>
      <c r="Q821" s="10">
        <f>IF(N821="HKD",7.8,IF(N821="CNY",7.30034,1))</f>
        <v>7.3003400000000003</v>
      </c>
      <c r="R821" s="10">
        <f>+ROUND(O821/Q821,4)</f>
        <v>3.5000000000000001E-3</v>
      </c>
      <c r="S821" s="11">
        <f>ROUND(R821*L821,2)</f>
        <v>22.75</v>
      </c>
      <c r="T821" s="10" t="s">
        <v>349</v>
      </c>
      <c r="U821" t="s">
        <v>18</v>
      </c>
    </row>
    <row r="822" spans="1:21">
      <c r="A822" t="s">
        <v>2699</v>
      </c>
      <c r="B822" s="20">
        <v>45740</v>
      </c>
      <c r="C822" s="20">
        <v>45728</v>
      </c>
      <c r="D822" t="s">
        <v>169</v>
      </c>
      <c r="E822" t="s">
        <v>170</v>
      </c>
      <c r="G822" t="s">
        <v>3016</v>
      </c>
      <c r="H822" t="s">
        <v>619</v>
      </c>
      <c r="I822" t="s">
        <v>620</v>
      </c>
      <c r="J822" s="8" t="str">
        <f>+LEFT(U822,4)</f>
        <v>STKR</v>
      </c>
      <c r="K822" t="s">
        <v>10</v>
      </c>
      <c r="L822" s="47">
        <v>3020</v>
      </c>
      <c r="M822" t="s">
        <v>1472</v>
      </c>
      <c r="N822" t="s">
        <v>11</v>
      </c>
      <c r="O822" s="50">
        <v>0.03</v>
      </c>
      <c r="P822" s="9">
        <f>ROUND(O822*L822,2)</f>
        <v>90.6</v>
      </c>
      <c r="Q822" s="10">
        <f>IF(N822="HKD",7.8,IF(N822="CNY",7.30034,1))</f>
        <v>7.3003400000000003</v>
      </c>
      <c r="R822" s="10">
        <f>+ROUND(O822/Q822,4)</f>
        <v>4.1000000000000003E-3</v>
      </c>
      <c r="S822" s="11">
        <f>ROUND(R822*L822,2)</f>
        <v>12.38</v>
      </c>
      <c r="T822" s="10" t="s">
        <v>349</v>
      </c>
      <c r="U822" t="s">
        <v>18</v>
      </c>
    </row>
    <row r="823" spans="1:21">
      <c r="A823" t="s">
        <v>2700</v>
      </c>
      <c r="B823" s="20">
        <v>45740</v>
      </c>
      <c r="C823" s="20">
        <v>45728</v>
      </c>
      <c r="D823" t="s">
        <v>169</v>
      </c>
      <c r="E823" t="s">
        <v>170</v>
      </c>
      <c r="G823" t="s">
        <v>3016</v>
      </c>
      <c r="H823" t="s">
        <v>615</v>
      </c>
      <c r="I823" t="s">
        <v>616</v>
      </c>
      <c r="J823" s="8" t="str">
        <f>+LEFT(U823,4)</f>
        <v>STKR</v>
      </c>
      <c r="K823" t="s">
        <v>10</v>
      </c>
      <c r="L823" s="47">
        <v>3020</v>
      </c>
      <c r="M823" t="s">
        <v>1472</v>
      </c>
      <c r="N823" t="s">
        <v>11</v>
      </c>
      <c r="O823" s="50">
        <v>0.03</v>
      </c>
      <c r="P823" s="9">
        <f>ROUND(O823*L823,2)</f>
        <v>90.6</v>
      </c>
      <c r="Q823" s="10">
        <f>IF(N823="HKD",7.8,IF(N823="CNY",7.30034,1))</f>
        <v>7.3003400000000003</v>
      </c>
      <c r="R823" s="10">
        <f>+ROUND(O823/Q823,4)</f>
        <v>4.1000000000000003E-3</v>
      </c>
      <c r="S823" s="11">
        <f>ROUND(R823*L823,2)</f>
        <v>12.38</v>
      </c>
      <c r="T823" s="10" t="s">
        <v>349</v>
      </c>
      <c r="U823" t="s">
        <v>18</v>
      </c>
    </row>
    <row r="824" spans="1:21">
      <c r="A824" t="s">
        <v>2709</v>
      </c>
      <c r="B824" s="20">
        <v>45740</v>
      </c>
      <c r="C824" s="20">
        <v>45728</v>
      </c>
      <c r="D824" t="s">
        <v>169</v>
      </c>
      <c r="E824" t="s">
        <v>170</v>
      </c>
      <c r="G824" t="s">
        <v>3016</v>
      </c>
      <c r="H824" t="s">
        <v>1561</v>
      </c>
      <c r="I824" t="s">
        <v>1562</v>
      </c>
      <c r="J824" s="8" t="str">
        <f>+LEFT(U824,4)</f>
        <v>STKR</v>
      </c>
      <c r="K824" t="s">
        <v>10</v>
      </c>
      <c r="L824" s="47">
        <v>4000</v>
      </c>
      <c r="M824" t="s">
        <v>1472</v>
      </c>
      <c r="N824" t="s">
        <v>11</v>
      </c>
      <c r="O824" s="50">
        <v>3.5000000000000003E-2</v>
      </c>
      <c r="P824" s="9">
        <f>ROUND(O824*L824,2)</f>
        <v>140</v>
      </c>
      <c r="Q824" s="10">
        <f>IF(N824="HKD",7.8,IF(N824="CNY",7.30034,1))</f>
        <v>7.3003400000000003</v>
      </c>
      <c r="R824" s="10">
        <f>+ROUND(O824/Q824,4)</f>
        <v>4.7999999999999996E-3</v>
      </c>
      <c r="S824" s="11">
        <f>ROUND(R824*L824,2)</f>
        <v>19.2</v>
      </c>
      <c r="T824" s="10" t="s">
        <v>349</v>
      </c>
      <c r="U824" t="s">
        <v>18</v>
      </c>
    </row>
    <row r="825" spans="1:21">
      <c r="A825" t="s">
        <v>2776</v>
      </c>
      <c r="B825" s="20">
        <v>45740</v>
      </c>
      <c r="C825" s="20">
        <v>45730</v>
      </c>
      <c r="D825" t="s">
        <v>169</v>
      </c>
      <c r="E825" t="s">
        <v>170</v>
      </c>
      <c r="G825" t="s">
        <v>3016</v>
      </c>
      <c r="H825" t="s">
        <v>3157</v>
      </c>
      <c r="I825" t="s">
        <v>3367</v>
      </c>
      <c r="J825" s="8" t="str">
        <f>+LEFT(U825,4)</f>
        <v>STKR</v>
      </c>
      <c r="K825" t="s">
        <v>10</v>
      </c>
      <c r="L825" s="47">
        <v>2020</v>
      </c>
      <c r="M825" t="s">
        <v>1472</v>
      </c>
      <c r="N825" t="s">
        <v>11</v>
      </c>
      <c r="O825" s="50">
        <v>3.5000000000000003E-2</v>
      </c>
      <c r="P825" s="9">
        <f>ROUND(O825*L825,2)</f>
        <v>70.7</v>
      </c>
      <c r="Q825" s="10">
        <f>IF(N825="HKD",7.8,IF(N825="CNY",7.30034,1))</f>
        <v>7.3003400000000003</v>
      </c>
      <c r="R825" s="10">
        <f>+ROUND(O825/Q825,4)</f>
        <v>4.7999999999999996E-3</v>
      </c>
      <c r="S825" s="11">
        <f>ROUND(R825*L825,2)</f>
        <v>9.6999999999999993</v>
      </c>
      <c r="T825" s="10" t="s">
        <v>349</v>
      </c>
      <c r="U825" t="s">
        <v>18</v>
      </c>
    </row>
    <row r="826" spans="1:21">
      <c r="A826" t="s">
        <v>2703</v>
      </c>
      <c r="B826" s="20">
        <v>45740</v>
      </c>
      <c r="C826" s="20">
        <v>45728</v>
      </c>
      <c r="D826" t="s">
        <v>169</v>
      </c>
      <c r="E826" t="s">
        <v>170</v>
      </c>
      <c r="G826" t="s">
        <v>3036</v>
      </c>
      <c r="H826" t="s">
        <v>3230</v>
      </c>
      <c r="I826" t="s">
        <v>3437</v>
      </c>
      <c r="J826" s="8" t="str">
        <f>+LEFT(U826,4)</f>
        <v>STKR</v>
      </c>
      <c r="K826" t="s">
        <v>10</v>
      </c>
      <c r="L826" s="47">
        <v>1010</v>
      </c>
      <c r="M826" t="s">
        <v>1472</v>
      </c>
      <c r="N826" t="s">
        <v>11</v>
      </c>
      <c r="O826" s="50">
        <v>4.2000000000000003E-2</v>
      </c>
      <c r="P826" s="9">
        <f>ROUND(O826*L826,2)</f>
        <v>42.42</v>
      </c>
      <c r="Q826" s="10">
        <f>IF(N826="HKD",7.8,IF(N826="CNY",7.30034,1))</f>
        <v>7.3003400000000003</v>
      </c>
      <c r="R826" s="10">
        <f>+ROUND(O826/Q826,4)</f>
        <v>5.7999999999999996E-3</v>
      </c>
      <c r="S826" s="11">
        <f>ROUND(R826*L826,2)</f>
        <v>5.86</v>
      </c>
      <c r="T826" s="10" t="s">
        <v>349</v>
      </c>
      <c r="U826" t="s">
        <v>18</v>
      </c>
    </row>
    <row r="827" spans="1:21">
      <c r="A827" t="s">
        <v>2704</v>
      </c>
      <c r="B827" s="20">
        <v>45740</v>
      </c>
      <c r="C827" s="20">
        <v>45728</v>
      </c>
      <c r="D827" t="s">
        <v>169</v>
      </c>
      <c r="E827" t="s">
        <v>170</v>
      </c>
      <c r="G827" t="s">
        <v>3036</v>
      </c>
      <c r="H827" t="s">
        <v>3231</v>
      </c>
      <c r="I827" t="s">
        <v>3438</v>
      </c>
      <c r="J827" s="8" t="str">
        <f>+LEFT(U827,4)</f>
        <v>STKR</v>
      </c>
      <c r="K827" t="s">
        <v>10</v>
      </c>
      <c r="L827" s="47">
        <v>1010</v>
      </c>
      <c r="M827" t="s">
        <v>1472</v>
      </c>
      <c r="N827" t="s">
        <v>11</v>
      </c>
      <c r="O827" s="50">
        <v>4.2000000000000003E-2</v>
      </c>
      <c r="P827" s="9">
        <f>ROUND(O827*L827,2)</f>
        <v>42.42</v>
      </c>
      <c r="Q827" s="10">
        <f>IF(N827="HKD",7.8,IF(N827="CNY",7.30034,1))</f>
        <v>7.3003400000000003</v>
      </c>
      <c r="R827" s="10">
        <f>+ROUND(O827/Q827,4)</f>
        <v>5.7999999999999996E-3</v>
      </c>
      <c r="S827" s="11">
        <f>ROUND(R827*L827,2)</f>
        <v>5.86</v>
      </c>
      <c r="T827" s="10" t="s">
        <v>349</v>
      </c>
      <c r="U827" t="s">
        <v>18</v>
      </c>
    </row>
    <row r="828" spans="1:21">
      <c r="A828" t="s">
        <v>2705</v>
      </c>
      <c r="B828" s="20">
        <v>45740</v>
      </c>
      <c r="C828" s="20">
        <v>45728</v>
      </c>
      <c r="D828" t="s">
        <v>169</v>
      </c>
      <c r="E828" t="s">
        <v>170</v>
      </c>
      <c r="G828" t="s">
        <v>3036</v>
      </c>
      <c r="H828" t="s">
        <v>3232</v>
      </c>
      <c r="I828" t="s">
        <v>3439</v>
      </c>
      <c r="J828" s="8" t="str">
        <f>+LEFT(U828,4)</f>
        <v>STKR</v>
      </c>
      <c r="K828" t="s">
        <v>10</v>
      </c>
      <c r="L828" s="47">
        <v>1010</v>
      </c>
      <c r="M828" t="s">
        <v>1472</v>
      </c>
      <c r="N828" t="s">
        <v>11</v>
      </c>
      <c r="O828" s="50">
        <v>4.2000000000000003E-2</v>
      </c>
      <c r="P828" s="9">
        <f>ROUND(O828*L828,2)</f>
        <v>42.42</v>
      </c>
      <c r="Q828" s="10">
        <f>IF(N828="HKD",7.8,IF(N828="CNY",7.30034,1))</f>
        <v>7.3003400000000003</v>
      </c>
      <c r="R828" s="10">
        <f>+ROUND(O828/Q828,4)</f>
        <v>5.7999999999999996E-3</v>
      </c>
      <c r="S828" s="11">
        <f>ROUND(R828*L828,2)</f>
        <v>5.86</v>
      </c>
      <c r="T828" s="10" t="s">
        <v>349</v>
      </c>
      <c r="U828" t="s">
        <v>18</v>
      </c>
    </row>
    <row r="829" spans="1:21">
      <c r="A829" t="s">
        <v>2706</v>
      </c>
      <c r="B829" s="20">
        <v>45740</v>
      </c>
      <c r="C829" s="20">
        <v>45728</v>
      </c>
      <c r="D829" t="s">
        <v>169</v>
      </c>
      <c r="E829" t="s">
        <v>170</v>
      </c>
      <c r="G829" t="s">
        <v>3036</v>
      </c>
      <c r="H829" t="s">
        <v>3233</v>
      </c>
      <c r="I829" t="s">
        <v>3440</v>
      </c>
      <c r="J829" s="8" t="str">
        <f>+LEFT(U829,4)</f>
        <v>STKR</v>
      </c>
      <c r="K829" t="s">
        <v>10</v>
      </c>
      <c r="L829" s="47">
        <v>1010</v>
      </c>
      <c r="M829" t="s">
        <v>1472</v>
      </c>
      <c r="N829" t="s">
        <v>11</v>
      </c>
      <c r="O829" s="50">
        <v>4.2000000000000003E-2</v>
      </c>
      <c r="P829" s="9">
        <f>ROUND(O829*L829,2)</f>
        <v>42.42</v>
      </c>
      <c r="Q829" s="10">
        <f>IF(N829="HKD",7.8,IF(N829="CNY",7.30034,1))</f>
        <v>7.3003400000000003</v>
      </c>
      <c r="R829" s="10">
        <f>+ROUND(O829/Q829,4)</f>
        <v>5.7999999999999996E-3</v>
      </c>
      <c r="S829" s="11">
        <f>ROUND(R829*L829,2)</f>
        <v>5.86</v>
      </c>
      <c r="T829" s="10" t="s">
        <v>349</v>
      </c>
      <c r="U829" t="s">
        <v>18</v>
      </c>
    </row>
    <row r="830" spans="1:21">
      <c r="A830" t="s">
        <v>2707</v>
      </c>
      <c r="B830" s="20">
        <v>45740</v>
      </c>
      <c r="C830" s="20">
        <v>45728</v>
      </c>
      <c r="D830" t="s">
        <v>169</v>
      </c>
      <c r="E830" t="s">
        <v>170</v>
      </c>
      <c r="G830" t="s">
        <v>3036</v>
      </c>
      <c r="H830" t="s">
        <v>3234</v>
      </c>
      <c r="I830" t="s">
        <v>3441</v>
      </c>
      <c r="J830" s="8" t="str">
        <f>+LEFT(U830,4)</f>
        <v>STKR</v>
      </c>
      <c r="K830" t="s">
        <v>10</v>
      </c>
      <c r="L830" s="47">
        <v>1010</v>
      </c>
      <c r="M830" t="s">
        <v>1472</v>
      </c>
      <c r="N830" t="s">
        <v>11</v>
      </c>
      <c r="O830" s="50">
        <v>4.2000000000000003E-2</v>
      </c>
      <c r="P830" s="9">
        <f>ROUND(O830*L830,2)</f>
        <v>42.42</v>
      </c>
      <c r="Q830" s="10">
        <f>IF(N830="HKD",7.8,IF(N830="CNY",7.30034,1))</f>
        <v>7.3003400000000003</v>
      </c>
      <c r="R830" s="10">
        <f>+ROUND(O830/Q830,4)</f>
        <v>5.7999999999999996E-3</v>
      </c>
      <c r="S830" s="11">
        <f>ROUND(R830*L830,2)</f>
        <v>5.86</v>
      </c>
      <c r="T830" s="10" t="s">
        <v>349</v>
      </c>
      <c r="U830" t="s">
        <v>18</v>
      </c>
    </row>
    <row r="831" spans="1:21">
      <c r="A831" t="s">
        <v>2708</v>
      </c>
      <c r="B831" s="20">
        <v>45740</v>
      </c>
      <c r="C831" s="20">
        <v>45728</v>
      </c>
      <c r="D831" t="s">
        <v>169</v>
      </c>
      <c r="E831" t="s">
        <v>170</v>
      </c>
      <c r="G831" t="s">
        <v>3036</v>
      </c>
      <c r="H831" t="s">
        <v>3235</v>
      </c>
      <c r="I831" t="s">
        <v>3442</v>
      </c>
      <c r="J831" s="8" t="str">
        <f>+LEFT(U831,4)</f>
        <v>STKR</v>
      </c>
      <c r="K831" t="s">
        <v>10</v>
      </c>
      <c r="L831" s="47">
        <v>510</v>
      </c>
      <c r="M831" t="s">
        <v>1472</v>
      </c>
      <c r="N831" t="s">
        <v>11</v>
      </c>
      <c r="O831" s="50">
        <v>4.2000000000000003E-2</v>
      </c>
      <c r="P831" s="9">
        <f>ROUND(O831*L831,2)</f>
        <v>21.42</v>
      </c>
      <c r="Q831" s="10">
        <f>IF(N831="HKD",7.8,IF(N831="CNY",7.30034,1))</f>
        <v>7.3003400000000003</v>
      </c>
      <c r="R831" s="10">
        <f>+ROUND(O831/Q831,4)</f>
        <v>5.7999999999999996E-3</v>
      </c>
      <c r="S831" s="11">
        <f>ROUND(R831*L831,2)</f>
        <v>2.96</v>
      </c>
      <c r="T831" s="10" t="s">
        <v>349</v>
      </c>
      <c r="U831" t="s">
        <v>18</v>
      </c>
    </row>
    <row r="832" spans="1:21">
      <c r="A832" t="s">
        <v>2711</v>
      </c>
      <c r="B832" s="20">
        <v>45740</v>
      </c>
      <c r="C832" s="20">
        <v>45728</v>
      </c>
      <c r="D832" t="s">
        <v>169</v>
      </c>
      <c r="E832" t="s">
        <v>170</v>
      </c>
      <c r="G832" t="s">
        <v>3016</v>
      </c>
      <c r="H832" t="s">
        <v>3236</v>
      </c>
      <c r="I832" t="s">
        <v>3443</v>
      </c>
      <c r="J832" s="8" t="str">
        <f>+LEFT(U832,4)</f>
        <v>STKR</v>
      </c>
      <c r="K832" t="s">
        <v>10</v>
      </c>
      <c r="L832" s="47">
        <v>200</v>
      </c>
      <c r="M832" t="s">
        <v>1472</v>
      </c>
      <c r="N832" t="s">
        <v>11</v>
      </c>
      <c r="O832" s="50">
        <v>4.2000000000000003E-2</v>
      </c>
      <c r="P832" s="9">
        <f>ROUND(O832*L832,2)</f>
        <v>8.4</v>
      </c>
      <c r="Q832" s="10">
        <f>IF(N832="HKD",7.8,IF(N832="CNY",7.30034,1))</f>
        <v>7.3003400000000003</v>
      </c>
      <c r="R832" s="10">
        <f>+ROUND(O832/Q832,4)</f>
        <v>5.7999999999999996E-3</v>
      </c>
      <c r="S832" s="11">
        <f>ROUND(R832*L832,2)</f>
        <v>1.1599999999999999</v>
      </c>
      <c r="T832" s="10" t="s">
        <v>349</v>
      </c>
      <c r="U832" t="s">
        <v>18</v>
      </c>
    </row>
    <row r="833" spans="1:21">
      <c r="A833" t="s">
        <v>2712</v>
      </c>
      <c r="B833" s="20">
        <v>45740</v>
      </c>
      <c r="C833" s="20">
        <v>45728</v>
      </c>
      <c r="D833" t="s">
        <v>169</v>
      </c>
      <c r="E833" t="s">
        <v>170</v>
      </c>
      <c r="G833" t="s">
        <v>3016</v>
      </c>
      <c r="H833" t="s">
        <v>3236</v>
      </c>
      <c r="I833" t="s">
        <v>3443</v>
      </c>
      <c r="J833" s="8" t="str">
        <f>+LEFT(U833,4)</f>
        <v>STKR</v>
      </c>
      <c r="K833" t="s">
        <v>10</v>
      </c>
      <c r="L833" s="47">
        <v>2020</v>
      </c>
      <c r="M833" t="s">
        <v>1472</v>
      </c>
      <c r="N833" t="s">
        <v>11</v>
      </c>
      <c r="O833" s="50">
        <v>4.2000000000000003E-2</v>
      </c>
      <c r="P833" s="9">
        <f>ROUND(O833*L833,2)</f>
        <v>84.84</v>
      </c>
      <c r="Q833" s="10">
        <f>IF(N833="HKD",7.8,IF(N833="CNY",7.30034,1))</f>
        <v>7.3003400000000003</v>
      </c>
      <c r="R833" s="10">
        <f>+ROUND(O833/Q833,4)</f>
        <v>5.7999999999999996E-3</v>
      </c>
      <c r="S833" s="11">
        <f>ROUND(R833*L833,2)</f>
        <v>11.72</v>
      </c>
      <c r="T833" s="10" t="s">
        <v>349</v>
      </c>
      <c r="U833" t="s">
        <v>18</v>
      </c>
    </row>
    <row r="834" spans="1:21">
      <c r="A834" t="s">
        <v>2722</v>
      </c>
      <c r="B834" s="20">
        <v>45740</v>
      </c>
      <c r="C834" s="20">
        <v>45728</v>
      </c>
      <c r="D834" t="s">
        <v>101</v>
      </c>
      <c r="E834" t="s">
        <v>102</v>
      </c>
      <c r="G834" t="s">
        <v>3039</v>
      </c>
      <c r="H834" t="s">
        <v>111</v>
      </c>
      <c r="I834" t="s">
        <v>112</v>
      </c>
      <c r="J834" s="8" t="str">
        <f>+LEFT(U834,4)</f>
        <v>STKR</v>
      </c>
      <c r="K834" t="s">
        <v>10</v>
      </c>
      <c r="L834" s="47">
        <v>2270</v>
      </c>
      <c r="M834" t="s">
        <v>1472</v>
      </c>
      <c r="N834" t="s">
        <v>11</v>
      </c>
      <c r="O834" s="50">
        <v>0.05</v>
      </c>
      <c r="P834" s="9">
        <f>ROUND(O834*L834,2)</f>
        <v>113.5</v>
      </c>
      <c r="Q834" s="10">
        <f>IF(N834="HKD",7.8,IF(N834="CNY",7.30034,1))</f>
        <v>7.3003400000000003</v>
      </c>
      <c r="R834" s="10">
        <f>+ROUND(O834/Q834,4)</f>
        <v>6.7999999999999996E-3</v>
      </c>
      <c r="S834" s="11">
        <f>ROUND(R834*L834,2)</f>
        <v>15.44</v>
      </c>
      <c r="T834" s="10" t="s">
        <v>349</v>
      </c>
      <c r="U834" t="s">
        <v>18</v>
      </c>
    </row>
    <row r="835" spans="1:21">
      <c r="A835" t="s">
        <v>2723</v>
      </c>
      <c r="B835" s="20">
        <v>45740</v>
      </c>
      <c r="C835" s="20">
        <v>45728</v>
      </c>
      <c r="D835" t="s">
        <v>101</v>
      </c>
      <c r="E835" t="s">
        <v>102</v>
      </c>
      <c r="G835" t="s">
        <v>3039</v>
      </c>
      <c r="H835" t="s">
        <v>108</v>
      </c>
      <c r="I835" t="s">
        <v>109</v>
      </c>
      <c r="J835" s="8" t="str">
        <f>+LEFT(U835,4)</f>
        <v>STKR</v>
      </c>
      <c r="K835" t="s">
        <v>10</v>
      </c>
      <c r="L835" s="47">
        <v>2270</v>
      </c>
      <c r="M835" t="s">
        <v>1472</v>
      </c>
      <c r="N835" t="s">
        <v>11</v>
      </c>
      <c r="O835" s="50">
        <v>0.05</v>
      </c>
      <c r="P835" s="9">
        <f>ROUND(O835*L835,2)</f>
        <v>113.5</v>
      </c>
      <c r="Q835" s="10">
        <f>IF(N835="HKD",7.8,IF(N835="CNY",7.30034,1))</f>
        <v>7.3003400000000003</v>
      </c>
      <c r="R835" s="10">
        <f>+ROUND(O835/Q835,4)</f>
        <v>6.7999999999999996E-3</v>
      </c>
      <c r="S835" s="11">
        <f>ROUND(R835*L835,2)</f>
        <v>15.44</v>
      </c>
      <c r="T835" s="10" t="s">
        <v>349</v>
      </c>
      <c r="U835" t="s">
        <v>18</v>
      </c>
    </row>
    <row r="836" spans="1:21">
      <c r="A836" t="s">
        <v>2800</v>
      </c>
      <c r="B836" s="20">
        <v>45740</v>
      </c>
      <c r="C836" s="20">
        <v>45735</v>
      </c>
      <c r="D836" t="s">
        <v>101</v>
      </c>
      <c r="E836" t="s">
        <v>102</v>
      </c>
      <c r="G836" t="s">
        <v>3039</v>
      </c>
      <c r="H836" t="s">
        <v>1245</v>
      </c>
      <c r="I836" t="s">
        <v>1246</v>
      </c>
      <c r="J836" s="8" t="str">
        <f>+LEFT(U836,4)</f>
        <v>STKR</v>
      </c>
      <c r="K836" t="s">
        <v>10</v>
      </c>
      <c r="L836" s="47">
        <v>510</v>
      </c>
      <c r="M836" t="s">
        <v>1472</v>
      </c>
      <c r="N836" t="s">
        <v>11</v>
      </c>
      <c r="O836" s="50">
        <v>0.05</v>
      </c>
      <c r="P836" s="9">
        <f>ROUND(O836*L836,2)</f>
        <v>25.5</v>
      </c>
      <c r="Q836" s="10">
        <f>IF(N836="HKD",7.8,IF(N836="CNY",7.30034,1))</f>
        <v>7.3003400000000003</v>
      </c>
      <c r="R836" s="10">
        <f>+ROUND(O836/Q836,4)</f>
        <v>6.7999999999999996E-3</v>
      </c>
      <c r="S836" s="11">
        <f>ROUND(R836*L836,2)</f>
        <v>3.47</v>
      </c>
      <c r="T836" s="10" t="s">
        <v>349</v>
      </c>
      <c r="U836" t="s">
        <v>18</v>
      </c>
    </row>
    <row r="837" spans="1:21">
      <c r="A837" t="s">
        <v>2802</v>
      </c>
      <c r="B837" s="20">
        <v>45740</v>
      </c>
      <c r="C837" s="20">
        <v>45735</v>
      </c>
      <c r="D837" t="s">
        <v>101</v>
      </c>
      <c r="E837" t="s">
        <v>102</v>
      </c>
      <c r="G837" t="s">
        <v>3039</v>
      </c>
      <c r="H837" t="s">
        <v>1265</v>
      </c>
      <c r="I837" t="s">
        <v>1266</v>
      </c>
      <c r="J837" s="8" t="str">
        <f>+LEFT(U837,4)</f>
        <v>STKR</v>
      </c>
      <c r="K837" t="s">
        <v>10</v>
      </c>
      <c r="L837" s="47">
        <v>1210</v>
      </c>
      <c r="M837" t="s">
        <v>1472</v>
      </c>
      <c r="N837" t="s">
        <v>11</v>
      </c>
      <c r="O837" s="50">
        <v>0.06</v>
      </c>
      <c r="P837" s="9">
        <f>ROUND(O837*L837,2)</f>
        <v>72.599999999999994</v>
      </c>
      <c r="Q837" s="10">
        <f>IF(N837="HKD",7.8,IF(N837="CNY",7.30034,1))</f>
        <v>7.3003400000000003</v>
      </c>
      <c r="R837" s="10">
        <f>+ROUND(O837/Q837,4)</f>
        <v>8.2000000000000007E-3</v>
      </c>
      <c r="S837" s="11">
        <f>ROUND(R837*L837,2)</f>
        <v>9.92</v>
      </c>
      <c r="T837" s="10" t="s">
        <v>349</v>
      </c>
      <c r="U837" t="s">
        <v>18</v>
      </c>
    </row>
    <row r="838" spans="1:21">
      <c r="A838" t="s">
        <v>2623</v>
      </c>
      <c r="B838" s="20">
        <v>45740</v>
      </c>
      <c r="C838" s="20">
        <v>45721</v>
      </c>
      <c r="D838" t="s">
        <v>169</v>
      </c>
      <c r="E838" t="s">
        <v>170</v>
      </c>
      <c r="G838" t="s">
        <v>3016</v>
      </c>
      <c r="H838" t="s">
        <v>3206</v>
      </c>
      <c r="I838" t="s">
        <v>3413</v>
      </c>
      <c r="J838" s="8" t="str">
        <f>+LEFT(U838,4)</f>
        <v>STKR</v>
      </c>
      <c r="K838" t="s">
        <v>10</v>
      </c>
      <c r="L838" s="47">
        <v>1010</v>
      </c>
      <c r="M838" t="s">
        <v>1472</v>
      </c>
      <c r="N838" t="s">
        <v>11</v>
      </c>
      <c r="O838" s="50">
        <v>7.0000000000000007E-2</v>
      </c>
      <c r="P838" s="9">
        <f>ROUND(O838*L838,2)</f>
        <v>70.7</v>
      </c>
      <c r="Q838" s="10">
        <f>IF(N838="HKD",7.8,IF(N838="CNY",7.30034,1))</f>
        <v>7.3003400000000003</v>
      </c>
      <c r="R838" s="10">
        <f>+ROUND(O838/Q838,4)</f>
        <v>9.5999999999999992E-3</v>
      </c>
      <c r="S838" s="11">
        <f>ROUND(R838*L838,2)</f>
        <v>9.6999999999999993</v>
      </c>
      <c r="T838" s="10" t="s">
        <v>349</v>
      </c>
      <c r="U838" t="s">
        <v>18</v>
      </c>
    </row>
    <row r="839" spans="1:21">
      <c r="A839" t="s">
        <v>2624</v>
      </c>
      <c r="B839" s="20">
        <v>45740</v>
      </c>
      <c r="C839" s="20">
        <v>45721</v>
      </c>
      <c r="D839" t="s">
        <v>169</v>
      </c>
      <c r="E839" t="s">
        <v>170</v>
      </c>
      <c r="G839" t="s">
        <v>3016</v>
      </c>
      <c r="H839" t="s">
        <v>3207</v>
      </c>
      <c r="I839" t="s">
        <v>3414</v>
      </c>
      <c r="J839" s="8" t="str">
        <f>+LEFT(U839,4)</f>
        <v>STKR</v>
      </c>
      <c r="K839" t="s">
        <v>10</v>
      </c>
      <c r="L839" s="47">
        <v>1010</v>
      </c>
      <c r="M839" t="s">
        <v>1472</v>
      </c>
      <c r="N839" t="s">
        <v>11</v>
      </c>
      <c r="O839" s="50">
        <v>7.0000000000000007E-2</v>
      </c>
      <c r="P839" s="9">
        <f>ROUND(O839*L839,2)</f>
        <v>70.7</v>
      </c>
      <c r="Q839" s="10">
        <f>IF(N839="HKD",7.8,IF(N839="CNY",7.30034,1))</f>
        <v>7.3003400000000003</v>
      </c>
      <c r="R839" s="10">
        <f>+ROUND(O839/Q839,4)</f>
        <v>9.5999999999999992E-3</v>
      </c>
      <c r="S839" s="11">
        <f>ROUND(R839*L839,2)</f>
        <v>9.6999999999999993</v>
      </c>
      <c r="T839" s="10" t="s">
        <v>349</v>
      </c>
      <c r="U839" t="s">
        <v>18</v>
      </c>
    </row>
    <row r="840" spans="1:21">
      <c r="A840" t="s">
        <v>2721</v>
      </c>
      <c r="B840" s="20">
        <v>45740</v>
      </c>
      <c r="C840" s="20">
        <v>45728</v>
      </c>
      <c r="D840" t="s">
        <v>101</v>
      </c>
      <c r="E840" t="s">
        <v>102</v>
      </c>
      <c r="G840" t="s">
        <v>3039</v>
      </c>
      <c r="H840" t="s">
        <v>3239</v>
      </c>
      <c r="I840" t="s">
        <v>3446</v>
      </c>
      <c r="J840" s="8" t="str">
        <f>+LEFT(U840,4)</f>
        <v>STKR</v>
      </c>
      <c r="K840" t="s">
        <v>10</v>
      </c>
      <c r="L840" s="47">
        <v>1010</v>
      </c>
      <c r="M840" t="s">
        <v>1472</v>
      </c>
      <c r="N840" t="s">
        <v>11</v>
      </c>
      <c r="O840" s="50">
        <v>0.11</v>
      </c>
      <c r="P840" s="9">
        <f>ROUND(O840*L840,2)</f>
        <v>111.1</v>
      </c>
      <c r="Q840" s="10">
        <f>IF(N840="HKD",7.8,IF(N840="CNY",7.30034,1))</f>
        <v>7.3003400000000003</v>
      </c>
      <c r="R840" s="10">
        <f>+ROUND(O840/Q840,4)</f>
        <v>1.5100000000000001E-2</v>
      </c>
      <c r="S840" s="11">
        <f>ROUND(R840*L840,2)</f>
        <v>15.25</v>
      </c>
      <c r="T840" s="10" t="s">
        <v>349</v>
      </c>
      <c r="U840" t="s">
        <v>18</v>
      </c>
    </row>
    <row r="841" spans="1:21">
      <c r="A841" t="s">
        <v>2724</v>
      </c>
      <c r="B841" s="20">
        <v>45740</v>
      </c>
      <c r="C841" s="20">
        <v>45728</v>
      </c>
      <c r="D841" t="s">
        <v>101</v>
      </c>
      <c r="E841" t="s">
        <v>102</v>
      </c>
      <c r="G841" t="s">
        <v>3039</v>
      </c>
      <c r="H841" t="s">
        <v>3240</v>
      </c>
      <c r="I841" t="s">
        <v>3447</v>
      </c>
      <c r="J841" s="8" t="str">
        <f>+LEFT(U841,4)</f>
        <v>STKR</v>
      </c>
      <c r="K841" t="s">
        <v>10</v>
      </c>
      <c r="L841" s="47">
        <v>1010</v>
      </c>
      <c r="M841" t="s">
        <v>1472</v>
      </c>
      <c r="N841" t="s">
        <v>11</v>
      </c>
      <c r="O841" s="50">
        <v>0.11</v>
      </c>
      <c r="P841" s="9">
        <f>ROUND(O841*L841,2)</f>
        <v>111.1</v>
      </c>
      <c r="Q841" s="10">
        <f>IF(N841="HKD",7.8,IF(N841="CNY",7.30034,1))</f>
        <v>7.3003400000000003</v>
      </c>
      <c r="R841" s="10">
        <f>+ROUND(O841/Q841,4)</f>
        <v>1.5100000000000001E-2</v>
      </c>
      <c r="S841" s="11">
        <f>ROUND(R841*L841,2)</f>
        <v>15.25</v>
      </c>
      <c r="T841" s="10" t="s">
        <v>349</v>
      </c>
      <c r="U841" t="s">
        <v>18</v>
      </c>
    </row>
    <row r="842" spans="1:21">
      <c r="A842" t="s">
        <v>2801</v>
      </c>
      <c r="B842" s="20">
        <v>45740</v>
      </c>
      <c r="C842" s="20">
        <v>45735</v>
      </c>
      <c r="D842" t="s">
        <v>101</v>
      </c>
      <c r="E842" t="s">
        <v>102</v>
      </c>
      <c r="G842" t="s">
        <v>3039</v>
      </c>
      <c r="H842" t="s">
        <v>3267</v>
      </c>
      <c r="I842" t="s">
        <v>3474</v>
      </c>
      <c r="J842" s="8" t="str">
        <f>+LEFT(U842,4)</f>
        <v>STKR</v>
      </c>
      <c r="K842" t="s">
        <v>10</v>
      </c>
      <c r="L842" s="47">
        <v>102</v>
      </c>
      <c r="M842" t="s">
        <v>1472</v>
      </c>
      <c r="N842" t="s">
        <v>11</v>
      </c>
      <c r="O842" s="50">
        <v>0.217</v>
      </c>
      <c r="P842" s="9">
        <f>ROUND(O842*L842,2)</f>
        <v>22.13</v>
      </c>
      <c r="Q842" s="10">
        <f>IF(N842="HKD",7.8,IF(N842="CNY",7.30034,1))</f>
        <v>7.3003400000000003</v>
      </c>
      <c r="R842" s="10">
        <f>+ROUND(O842/Q842,4)</f>
        <v>2.9700000000000001E-2</v>
      </c>
      <c r="S842" s="11">
        <f>ROUND(R842*L842,2)</f>
        <v>3.03</v>
      </c>
      <c r="T842" s="10" t="s">
        <v>349</v>
      </c>
      <c r="U842" t="s">
        <v>18</v>
      </c>
    </row>
    <row r="843" spans="1:21">
      <c r="A843" t="s">
        <v>2656</v>
      </c>
      <c r="B843" s="20">
        <v>45740</v>
      </c>
      <c r="C843" s="20">
        <v>45723</v>
      </c>
      <c r="D843" t="s">
        <v>806</v>
      </c>
      <c r="E843" t="s">
        <v>807</v>
      </c>
      <c r="G843" t="s">
        <v>3024</v>
      </c>
      <c r="H843" t="s">
        <v>3212</v>
      </c>
      <c r="I843" t="s">
        <v>3419</v>
      </c>
      <c r="J843" s="8" t="str">
        <f>+LEFT(U843,4)</f>
        <v>SWF-</v>
      </c>
      <c r="K843" t="s">
        <v>10</v>
      </c>
      <c r="L843" s="47">
        <v>98.7</v>
      </c>
      <c r="M843" t="s">
        <v>186</v>
      </c>
      <c r="N843" t="s">
        <v>11</v>
      </c>
      <c r="O843" s="50">
        <v>16</v>
      </c>
      <c r="P843" s="9">
        <f>ROUND(O843*L843,2)</f>
        <v>1579.2</v>
      </c>
      <c r="Q843" s="10">
        <f>IF(N843="HKD",7.8,IF(N843="CNY",7.30034,1))</f>
        <v>7.3003400000000003</v>
      </c>
      <c r="R843" s="10">
        <f>+ROUND(O843/Q843,4)</f>
        <v>2.1917</v>
      </c>
      <c r="S843" s="11">
        <f>ROUND(R843*L843,2)</f>
        <v>216.32</v>
      </c>
      <c r="T843" s="10" t="s">
        <v>349</v>
      </c>
      <c r="U843" t="s">
        <v>3483</v>
      </c>
    </row>
    <row r="844" spans="1:21">
      <c r="A844" t="s">
        <v>2769</v>
      </c>
      <c r="B844" s="20">
        <v>45740</v>
      </c>
      <c r="C844" s="20">
        <v>45730</v>
      </c>
      <c r="D844" t="s">
        <v>806</v>
      </c>
      <c r="E844" t="s">
        <v>807</v>
      </c>
      <c r="G844" t="s">
        <v>3024</v>
      </c>
      <c r="H844" t="s">
        <v>3087</v>
      </c>
      <c r="I844" t="s">
        <v>3303</v>
      </c>
      <c r="J844" s="8" t="str">
        <f>+LEFT(U844,4)</f>
        <v>SWF-</v>
      </c>
      <c r="K844" t="s">
        <v>10</v>
      </c>
      <c r="L844" s="47">
        <v>100</v>
      </c>
      <c r="M844" t="s">
        <v>186</v>
      </c>
      <c r="N844" t="s">
        <v>11</v>
      </c>
      <c r="O844" s="50">
        <v>16</v>
      </c>
      <c r="P844" s="9">
        <f>ROUND(O844*L844,2)</f>
        <v>1600</v>
      </c>
      <c r="Q844" s="10">
        <f>IF(N844="HKD",7.8,IF(N844="CNY",7.30034,1))</f>
        <v>7.3003400000000003</v>
      </c>
      <c r="R844" s="10">
        <f>+ROUND(O844/Q844,4)</f>
        <v>2.1917</v>
      </c>
      <c r="S844" s="11">
        <f>ROUND(R844*L844,2)</f>
        <v>219.17</v>
      </c>
      <c r="T844" s="10" t="s">
        <v>349</v>
      </c>
      <c r="U844" t="s">
        <v>3483</v>
      </c>
    </row>
    <row r="845" spans="1:21">
      <c r="A845" t="s">
        <v>2767</v>
      </c>
      <c r="B845" s="20">
        <v>45740</v>
      </c>
      <c r="C845" s="20">
        <v>45730</v>
      </c>
      <c r="D845" t="s">
        <v>806</v>
      </c>
      <c r="E845" t="s">
        <v>807</v>
      </c>
      <c r="G845" t="s">
        <v>3024</v>
      </c>
      <c r="H845" t="s">
        <v>3254</v>
      </c>
      <c r="I845" t="s">
        <v>3461</v>
      </c>
      <c r="J845" s="8" t="str">
        <f>+LEFT(U845,4)</f>
        <v>SWF-</v>
      </c>
      <c r="K845" t="s">
        <v>10</v>
      </c>
      <c r="L845" s="47">
        <v>100</v>
      </c>
      <c r="M845" t="s">
        <v>186</v>
      </c>
      <c r="N845" t="s">
        <v>11</v>
      </c>
      <c r="O845" s="50">
        <v>17.2</v>
      </c>
      <c r="P845" s="9">
        <f>ROUND(O845*L845,2)</f>
        <v>1720</v>
      </c>
      <c r="Q845" s="10">
        <f>IF(N845="HKD",7.8,IF(N845="CNY",7.30034,1))</f>
        <v>7.3003400000000003</v>
      </c>
      <c r="R845" s="10">
        <f>+ROUND(O845/Q845,4)</f>
        <v>2.3561000000000001</v>
      </c>
      <c r="S845" s="11">
        <f>ROUND(R845*L845,2)</f>
        <v>235.61</v>
      </c>
      <c r="T845" s="10" t="s">
        <v>349</v>
      </c>
      <c r="U845" t="s">
        <v>3483</v>
      </c>
    </row>
    <row r="846" spans="1:21">
      <c r="A846" t="s">
        <v>2768</v>
      </c>
      <c r="B846" s="20">
        <v>45740</v>
      </c>
      <c r="C846" s="20">
        <v>45730</v>
      </c>
      <c r="D846" t="s">
        <v>806</v>
      </c>
      <c r="E846" t="s">
        <v>807</v>
      </c>
      <c r="G846" t="s">
        <v>3024</v>
      </c>
      <c r="H846" t="s">
        <v>3255</v>
      </c>
      <c r="I846" t="s">
        <v>3462</v>
      </c>
      <c r="J846" s="8" t="str">
        <f>+LEFT(U846,4)</f>
        <v>SWF-</v>
      </c>
      <c r="K846" t="s">
        <v>10</v>
      </c>
      <c r="L846" s="47">
        <v>100</v>
      </c>
      <c r="M846" t="s">
        <v>186</v>
      </c>
      <c r="N846" t="s">
        <v>11</v>
      </c>
      <c r="O846" s="50">
        <v>17.2</v>
      </c>
      <c r="P846" s="9">
        <f>ROUND(O846*L846,2)</f>
        <v>1720</v>
      </c>
      <c r="Q846" s="10">
        <f>IF(N846="HKD",7.8,IF(N846="CNY",7.30034,1))</f>
        <v>7.3003400000000003</v>
      </c>
      <c r="R846" s="10">
        <f>+ROUND(O846/Q846,4)</f>
        <v>2.3561000000000001</v>
      </c>
      <c r="S846" s="11">
        <f>ROUND(R846*L846,2)</f>
        <v>235.61</v>
      </c>
      <c r="T846" s="10" t="s">
        <v>349</v>
      </c>
      <c r="U846" t="s">
        <v>3483</v>
      </c>
    </row>
    <row r="847" spans="1:21">
      <c r="A847" t="s">
        <v>2701</v>
      </c>
      <c r="B847" s="20">
        <v>45740</v>
      </c>
      <c r="C847" s="20">
        <v>45728</v>
      </c>
      <c r="D847" t="s">
        <v>169</v>
      </c>
      <c r="E847" t="s">
        <v>170</v>
      </c>
      <c r="G847" t="s">
        <v>3035</v>
      </c>
      <c r="H847" t="s">
        <v>3228</v>
      </c>
      <c r="I847" t="s">
        <v>3435</v>
      </c>
      <c r="J847" s="8" t="str">
        <f>+LEFT(U847,4)</f>
        <v>U&amp;C-</v>
      </c>
      <c r="K847" t="s">
        <v>10</v>
      </c>
      <c r="L847" s="47">
        <v>2020</v>
      </c>
      <c r="M847" t="s">
        <v>1472</v>
      </c>
      <c r="N847" t="s">
        <v>11</v>
      </c>
      <c r="O847" s="50">
        <v>1.45</v>
      </c>
      <c r="P847" s="9">
        <f>ROUND(O847*L847,2)</f>
        <v>2929</v>
      </c>
      <c r="Q847" s="10">
        <f>IF(N847="HKD",7.8,IF(N847="CNY",7.30034,1))</f>
        <v>7.3003400000000003</v>
      </c>
      <c r="R847" s="10">
        <f>+ROUND(O847/Q847,4)</f>
        <v>0.1986</v>
      </c>
      <c r="S847" s="11">
        <f>ROUND(R847*L847,2)</f>
        <v>401.17</v>
      </c>
      <c r="T847" s="10" t="s">
        <v>349</v>
      </c>
      <c r="U847" t="s">
        <v>177</v>
      </c>
    </row>
    <row r="848" spans="1:21">
      <c r="A848" t="s">
        <v>2702</v>
      </c>
      <c r="B848" s="20">
        <v>45740</v>
      </c>
      <c r="C848" s="20">
        <v>45728</v>
      </c>
      <c r="D848" t="s">
        <v>169</v>
      </c>
      <c r="E848" t="s">
        <v>170</v>
      </c>
      <c r="G848" t="s">
        <v>3035</v>
      </c>
      <c r="H848" t="s">
        <v>3229</v>
      </c>
      <c r="I848" t="s">
        <v>3436</v>
      </c>
      <c r="J848" s="8" t="str">
        <f>+LEFT(U848,4)</f>
        <v>U&amp;C-</v>
      </c>
      <c r="K848" t="s">
        <v>10</v>
      </c>
      <c r="L848" s="47">
        <v>2020</v>
      </c>
      <c r="M848" t="s">
        <v>1472</v>
      </c>
      <c r="N848" t="s">
        <v>11</v>
      </c>
      <c r="O848" s="50">
        <v>1.81</v>
      </c>
      <c r="P848" s="9">
        <f>ROUND(O848*L848,2)</f>
        <v>3656.2</v>
      </c>
      <c r="Q848" s="10">
        <f>IF(N848="HKD",7.8,IF(N848="CNY",7.30034,1))</f>
        <v>7.3003400000000003</v>
      </c>
      <c r="R848" s="10">
        <f>+ROUND(O848/Q848,4)</f>
        <v>0.24790000000000001</v>
      </c>
      <c r="S848" s="11">
        <f>ROUND(R848*L848,2)</f>
        <v>500.76</v>
      </c>
      <c r="T848" s="10" t="s">
        <v>349</v>
      </c>
      <c r="U848" t="s">
        <v>177</v>
      </c>
    </row>
    <row r="849" spans="1:21">
      <c r="A849" t="s">
        <v>2374</v>
      </c>
      <c r="B849" s="20">
        <v>45737</v>
      </c>
      <c r="C849" s="20">
        <v>45695</v>
      </c>
      <c r="D849" t="s">
        <v>128</v>
      </c>
      <c r="E849" t="s">
        <v>129</v>
      </c>
      <c r="G849" t="s">
        <v>2909</v>
      </c>
      <c r="H849" t="s">
        <v>443</v>
      </c>
      <c r="I849" t="s">
        <v>444</v>
      </c>
      <c r="J849" s="8" t="str">
        <f>+LEFT(U849,4)</f>
        <v>FG--</v>
      </c>
      <c r="K849" t="s">
        <v>10</v>
      </c>
      <c r="L849" s="47">
        <v>1000</v>
      </c>
      <c r="M849" t="s">
        <v>1472</v>
      </c>
      <c r="N849" t="s">
        <v>11</v>
      </c>
      <c r="O849" s="50">
        <v>1.0021</v>
      </c>
      <c r="P849" s="9">
        <f>ROUND(O849*L849,2)</f>
        <v>1002.1</v>
      </c>
      <c r="Q849" s="10">
        <f>IF(N849="HKD",7.8,IF(N849="CNY",7.30034,1))</f>
        <v>7.3003400000000003</v>
      </c>
      <c r="R849" s="10">
        <f>+ROUND(O849/Q849,4)</f>
        <v>0.13730000000000001</v>
      </c>
      <c r="S849" s="11">
        <f>ROUND(R849*L849,2)</f>
        <v>137.30000000000001</v>
      </c>
      <c r="T849" s="10" t="s">
        <v>349</v>
      </c>
      <c r="U849" t="s">
        <v>64</v>
      </c>
    </row>
    <row r="850" spans="1:21">
      <c r="A850" t="s">
        <v>2806</v>
      </c>
      <c r="B850" s="20">
        <v>45737</v>
      </c>
      <c r="C850" s="20">
        <v>45736</v>
      </c>
      <c r="D850" t="s">
        <v>149</v>
      </c>
      <c r="E850" t="s">
        <v>150</v>
      </c>
      <c r="G850" t="s">
        <v>3053</v>
      </c>
      <c r="H850" t="s">
        <v>157</v>
      </c>
      <c r="I850" t="s">
        <v>158</v>
      </c>
      <c r="J850" s="8" t="str">
        <f>+LEFT(U850,4)</f>
        <v>GLID</v>
      </c>
      <c r="K850" t="s">
        <v>10</v>
      </c>
      <c r="L850" s="47">
        <v>1300</v>
      </c>
      <c r="M850" t="s">
        <v>1472</v>
      </c>
      <c r="N850" t="s">
        <v>11</v>
      </c>
      <c r="O850" s="50">
        <v>3.3437000000000001</v>
      </c>
      <c r="P850" s="9">
        <f>ROUND(O850*L850,2)</f>
        <v>4346.8100000000004</v>
      </c>
      <c r="Q850" s="10">
        <f>IF(N850="HKD",7.8,IF(N850="CNY",7.30034,1))</f>
        <v>7.3003400000000003</v>
      </c>
      <c r="R850" s="10">
        <f>+ROUND(O850/Q850,4)</f>
        <v>0.45800000000000002</v>
      </c>
      <c r="S850" s="11">
        <f>ROUND(R850*L850,2)</f>
        <v>595.4</v>
      </c>
      <c r="T850" s="10" t="s">
        <v>349</v>
      </c>
      <c r="U850" t="s">
        <v>78</v>
      </c>
    </row>
    <row r="851" spans="1:21">
      <c r="A851" t="s">
        <v>2665</v>
      </c>
      <c r="B851" s="20">
        <v>45737</v>
      </c>
      <c r="C851" s="20">
        <v>45723</v>
      </c>
      <c r="D851" t="s">
        <v>569</v>
      </c>
      <c r="E851" t="s">
        <v>570</v>
      </c>
      <c r="G851" t="s">
        <v>2871</v>
      </c>
      <c r="H851" t="s">
        <v>1521</v>
      </c>
      <c r="I851" t="s">
        <v>1522</v>
      </c>
      <c r="J851" s="8" t="s">
        <v>1505</v>
      </c>
      <c r="K851" t="s">
        <v>10</v>
      </c>
      <c r="L851" s="47">
        <v>2050</v>
      </c>
      <c r="M851" t="s">
        <v>1472</v>
      </c>
      <c r="N851" t="s">
        <v>11</v>
      </c>
      <c r="O851" s="50">
        <v>3.0379999999999998</v>
      </c>
      <c r="P851" s="9">
        <f>ROUND(O851*L851,2)</f>
        <v>6227.9</v>
      </c>
      <c r="Q851" s="10">
        <f>IF(N851="HKD",7.8,IF(N851="CNY",7.30034,1))</f>
        <v>7.3003400000000003</v>
      </c>
      <c r="R851" s="10">
        <f>+ROUND(O851/Q851,4)</f>
        <v>0.41610000000000003</v>
      </c>
      <c r="S851" s="11">
        <f>ROUND(R851*L851,2)</f>
        <v>853.01</v>
      </c>
      <c r="T851" s="10" t="s">
        <v>349</v>
      </c>
      <c r="U851" t="s">
        <v>36</v>
      </c>
    </row>
    <row r="852" spans="1:21">
      <c r="A852" t="s">
        <v>2530</v>
      </c>
      <c r="B852" s="20">
        <v>45737</v>
      </c>
      <c r="C852" s="20">
        <v>45713</v>
      </c>
      <c r="D852" t="s">
        <v>569</v>
      </c>
      <c r="E852" t="s">
        <v>570</v>
      </c>
      <c r="G852" t="s">
        <v>2871</v>
      </c>
      <c r="H852" t="s">
        <v>1513</v>
      </c>
      <c r="I852" t="s">
        <v>1514</v>
      </c>
      <c r="J852" s="8" t="s">
        <v>1505</v>
      </c>
      <c r="K852" t="s">
        <v>10</v>
      </c>
      <c r="L852" s="47">
        <v>1000</v>
      </c>
      <c r="M852" t="s">
        <v>1472</v>
      </c>
      <c r="N852" t="s">
        <v>11</v>
      </c>
      <c r="O852" s="50">
        <v>3.5</v>
      </c>
      <c r="P852" s="9">
        <f>ROUND(O852*L852,2)</f>
        <v>3500</v>
      </c>
      <c r="Q852" s="10">
        <f>IF(N852="HKD",7.8,IF(N852="CNY",7.30034,1))</f>
        <v>7.3003400000000003</v>
      </c>
      <c r="R852" s="10">
        <f>+ROUND(O852/Q852,4)</f>
        <v>0.47939999999999999</v>
      </c>
      <c r="S852" s="11">
        <f>ROUND(R852*L852,2)</f>
        <v>479.4</v>
      </c>
      <c r="T852" s="10" t="s">
        <v>349</v>
      </c>
      <c r="U852" t="s">
        <v>36</v>
      </c>
    </row>
    <row r="853" spans="1:21">
      <c r="A853" t="s">
        <v>2303</v>
      </c>
      <c r="B853" s="20">
        <v>45737</v>
      </c>
      <c r="C853" s="20">
        <v>45660</v>
      </c>
      <c r="D853" t="s">
        <v>569</v>
      </c>
      <c r="E853" t="s">
        <v>570</v>
      </c>
      <c r="G853" t="s">
        <v>2871</v>
      </c>
      <c r="H853" t="s">
        <v>1555</v>
      </c>
      <c r="I853" t="s">
        <v>3284</v>
      </c>
      <c r="J853" s="8" t="s">
        <v>1505</v>
      </c>
      <c r="K853" t="s">
        <v>10</v>
      </c>
      <c r="L853" s="47">
        <v>1000</v>
      </c>
      <c r="M853" t="s">
        <v>1472</v>
      </c>
      <c r="N853" t="s">
        <v>11</v>
      </c>
      <c r="O853" s="50">
        <v>4.2</v>
      </c>
      <c r="P853" s="9">
        <f>ROUND(O853*L853,2)</f>
        <v>4200</v>
      </c>
      <c r="Q853" s="10">
        <f>IF(N853="HKD",7.8,IF(N853="CNY",7.30034,1))</f>
        <v>7.3003400000000003</v>
      </c>
      <c r="R853" s="10">
        <f>+ROUND(O853/Q853,4)</f>
        <v>0.57530000000000003</v>
      </c>
      <c r="S853" s="11">
        <f>ROUND(R853*L853,2)</f>
        <v>575.29999999999995</v>
      </c>
      <c r="T853" s="10" t="s">
        <v>349</v>
      </c>
      <c r="U853" t="s">
        <v>36</v>
      </c>
    </row>
    <row r="854" spans="1:21">
      <c r="A854" t="s">
        <v>2807</v>
      </c>
      <c r="B854" s="20">
        <v>45737</v>
      </c>
      <c r="C854" s="20">
        <v>45737</v>
      </c>
      <c r="D854" t="s">
        <v>128</v>
      </c>
      <c r="E854" t="s">
        <v>129</v>
      </c>
      <c r="G854" t="s">
        <v>2909</v>
      </c>
      <c r="H854" t="s">
        <v>1762</v>
      </c>
      <c r="I854" t="s">
        <v>1763</v>
      </c>
      <c r="J854" s="8" t="str">
        <f>+LEFT(U854,4)</f>
        <v>HDL-</v>
      </c>
      <c r="K854" t="s">
        <v>10</v>
      </c>
      <c r="L854" s="47">
        <v>200</v>
      </c>
      <c r="M854" t="s">
        <v>1472</v>
      </c>
      <c r="N854" t="s">
        <v>11</v>
      </c>
      <c r="O854" s="50">
        <v>4.5491999999999999</v>
      </c>
      <c r="P854" s="9">
        <f>ROUND(O854*L854,2)</f>
        <v>909.84</v>
      </c>
      <c r="Q854" s="10">
        <f>IF(N854="HKD",7.8,IF(N854="CNY",7.30034,1))</f>
        <v>7.3003400000000003</v>
      </c>
      <c r="R854" s="10">
        <f>+ROUND(O854/Q854,4)</f>
        <v>0.62309999999999999</v>
      </c>
      <c r="S854" s="11">
        <f>ROUND(R854*L854,2)</f>
        <v>124.62</v>
      </c>
      <c r="T854" s="10" t="s">
        <v>349</v>
      </c>
      <c r="U854" t="s">
        <v>228</v>
      </c>
    </row>
    <row r="855" spans="1:21">
      <c r="A855" t="s">
        <v>2402</v>
      </c>
      <c r="B855" s="20">
        <v>45737</v>
      </c>
      <c r="C855" s="20">
        <v>45698</v>
      </c>
      <c r="D855" t="s">
        <v>925</v>
      </c>
      <c r="E855" t="s">
        <v>926</v>
      </c>
      <c r="G855" t="s">
        <v>2925</v>
      </c>
      <c r="H855" t="s">
        <v>3100</v>
      </c>
      <c r="I855" t="s">
        <v>3315</v>
      </c>
      <c r="J855" s="8" t="str">
        <f>+LEFT(U855,4)</f>
        <v>KNOB</v>
      </c>
      <c r="K855" t="s">
        <v>10</v>
      </c>
      <c r="L855" s="47">
        <v>200</v>
      </c>
      <c r="M855" t="s">
        <v>1472</v>
      </c>
      <c r="N855" t="s">
        <v>11</v>
      </c>
      <c r="O855" s="50">
        <v>5.7881999999999998</v>
      </c>
      <c r="P855" s="9">
        <f>ROUND(O855*L855,2)</f>
        <v>1157.6400000000001</v>
      </c>
      <c r="Q855" s="10">
        <f>IF(N855="HKD",7.8,IF(N855="CNY",7.30034,1))</f>
        <v>7.3003400000000003</v>
      </c>
      <c r="R855" s="10">
        <f>+ROUND(O855/Q855,4)</f>
        <v>0.79290000000000005</v>
      </c>
      <c r="S855" s="11">
        <f>ROUND(R855*L855,2)</f>
        <v>158.58000000000001</v>
      </c>
      <c r="T855" s="10" t="s">
        <v>349</v>
      </c>
      <c r="U855" t="s">
        <v>32</v>
      </c>
    </row>
    <row r="856" spans="1:21">
      <c r="A856" t="s">
        <v>2532</v>
      </c>
      <c r="B856" s="20">
        <v>45737</v>
      </c>
      <c r="C856" s="20">
        <v>45714</v>
      </c>
      <c r="D856" t="s">
        <v>94</v>
      </c>
      <c r="E856" t="s">
        <v>95</v>
      </c>
      <c r="G856" t="s">
        <v>2966</v>
      </c>
      <c r="H856" t="s">
        <v>3163</v>
      </c>
      <c r="I856" t="s">
        <v>3373</v>
      </c>
      <c r="J856" s="8" t="str">
        <f>+LEFT(U856,4)</f>
        <v>LID-</v>
      </c>
      <c r="K856" t="s">
        <v>98</v>
      </c>
      <c r="L856" s="47">
        <v>856</v>
      </c>
      <c r="M856" t="s">
        <v>1472</v>
      </c>
      <c r="N856" t="s">
        <v>11</v>
      </c>
      <c r="O856" s="50">
        <v>3.95</v>
      </c>
      <c r="P856" s="9">
        <f>ROUND(O856*L856,2)</f>
        <v>3381.2</v>
      </c>
      <c r="Q856" s="10">
        <f>IF(N856="HKD",7.8,IF(N856="CNY",7.30034,1))</f>
        <v>7.3003400000000003</v>
      </c>
      <c r="R856" s="10">
        <f>+ROUND(O856/Q856,4)</f>
        <v>0.54110000000000003</v>
      </c>
      <c r="S856" s="11">
        <f>ROUND(R856*L856,2)</f>
        <v>463.18</v>
      </c>
      <c r="T856" s="10" t="s">
        <v>349</v>
      </c>
      <c r="U856" t="s">
        <v>368</v>
      </c>
    </row>
    <row r="857" spans="1:21">
      <c r="A857" t="s">
        <v>2532</v>
      </c>
      <c r="B857" s="20">
        <v>45737</v>
      </c>
      <c r="C857" s="20">
        <v>45714</v>
      </c>
      <c r="D857" t="s">
        <v>94</v>
      </c>
      <c r="E857" t="s">
        <v>95</v>
      </c>
      <c r="G857" t="s">
        <v>2967</v>
      </c>
      <c r="H857" t="s">
        <v>3163</v>
      </c>
      <c r="I857" t="s">
        <v>3373</v>
      </c>
      <c r="J857" s="8" t="str">
        <f>+LEFT(U857,4)</f>
        <v>LID-</v>
      </c>
      <c r="K857" t="s">
        <v>98</v>
      </c>
      <c r="L857" s="47">
        <v>900</v>
      </c>
      <c r="M857" t="s">
        <v>1472</v>
      </c>
      <c r="N857" t="s">
        <v>11</v>
      </c>
      <c r="O857" s="50">
        <v>3.95</v>
      </c>
      <c r="P857" s="9">
        <f>ROUND(O857*L857,2)</f>
        <v>3555</v>
      </c>
      <c r="Q857" s="10">
        <f>IF(N857="HKD",7.8,IF(N857="CNY",7.30034,1))</f>
        <v>7.3003400000000003</v>
      </c>
      <c r="R857" s="10">
        <f>+ROUND(O857/Q857,4)</f>
        <v>0.54110000000000003</v>
      </c>
      <c r="S857" s="11">
        <f>ROUND(R857*L857,2)</f>
        <v>486.99</v>
      </c>
      <c r="T857" s="10" t="s">
        <v>349</v>
      </c>
      <c r="U857" t="s">
        <v>368</v>
      </c>
    </row>
    <row r="858" spans="1:21">
      <c r="A858" t="s">
        <v>2760</v>
      </c>
      <c r="B858" s="20">
        <v>45737</v>
      </c>
      <c r="C858" s="20">
        <v>45730</v>
      </c>
      <c r="D858" t="s">
        <v>268</v>
      </c>
      <c r="E858" t="s">
        <v>269</v>
      </c>
      <c r="G858" t="s">
        <v>3047</v>
      </c>
      <c r="H858" t="s">
        <v>3249</v>
      </c>
      <c r="I858" t="s">
        <v>3456</v>
      </c>
      <c r="J858" s="8" t="str">
        <f>+LEFT(U858,4)</f>
        <v>MISC</v>
      </c>
      <c r="K858" t="s">
        <v>10</v>
      </c>
      <c r="L858" s="47">
        <v>180</v>
      </c>
      <c r="M858" t="s">
        <v>136</v>
      </c>
      <c r="N858" t="s">
        <v>11</v>
      </c>
      <c r="O858" s="50">
        <v>2.15</v>
      </c>
      <c r="P858" s="9">
        <f>ROUND(O858*L858,2)</f>
        <v>387</v>
      </c>
      <c r="Q858" s="10">
        <f>IF(N858="HKD",7.8,IF(N858="CNY",7.30034,1))</f>
        <v>7.3003400000000003</v>
      </c>
      <c r="R858" s="10">
        <f>+ROUND(O858/Q858,4)</f>
        <v>0.29449999999999998</v>
      </c>
      <c r="S858" s="11">
        <f>ROUND(R858*L858,2)</f>
        <v>53.01</v>
      </c>
      <c r="T858" s="10" t="s">
        <v>349</v>
      </c>
      <c r="U858" t="s">
        <v>25</v>
      </c>
    </row>
    <row r="859" spans="1:21">
      <c r="A859" t="s">
        <v>2384</v>
      </c>
      <c r="B859" s="20">
        <v>45737</v>
      </c>
      <c r="C859" s="20">
        <v>45695</v>
      </c>
      <c r="D859" t="s">
        <v>569</v>
      </c>
      <c r="E859" t="s">
        <v>570</v>
      </c>
      <c r="G859" t="s">
        <v>2871</v>
      </c>
      <c r="H859" t="s">
        <v>1764</v>
      </c>
      <c r="I859" t="s">
        <v>1765</v>
      </c>
      <c r="J859" s="8" t="str">
        <f>+LEFT(U859,4)</f>
        <v>MISC</v>
      </c>
      <c r="K859" t="s">
        <v>10</v>
      </c>
      <c r="L859" s="47">
        <v>1700</v>
      </c>
      <c r="M859" t="s">
        <v>1472</v>
      </c>
      <c r="N859" t="s">
        <v>11</v>
      </c>
      <c r="O859" s="50">
        <v>4.6900000000000004</v>
      </c>
      <c r="P859" s="9">
        <f>ROUND(O859*L859,2)</f>
        <v>7973</v>
      </c>
      <c r="Q859" s="10">
        <f>IF(N859="HKD",7.8,IF(N859="CNY",7.30034,1))</f>
        <v>7.3003400000000003</v>
      </c>
      <c r="R859" s="10">
        <f>+ROUND(O859/Q859,4)</f>
        <v>0.64239999999999997</v>
      </c>
      <c r="S859" s="11">
        <f>ROUND(R859*L859,2)</f>
        <v>1092.08</v>
      </c>
      <c r="T859" s="10" t="s">
        <v>349</v>
      </c>
      <c r="U859" t="s">
        <v>25</v>
      </c>
    </row>
    <row r="860" spans="1:21">
      <c r="A860" t="s">
        <v>2385</v>
      </c>
      <c r="B860" s="20">
        <v>45737</v>
      </c>
      <c r="C860" s="20">
        <v>45695</v>
      </c>
      <c r="D860" t="s">
        <v>569</v>
      </c>
      <c r="E860" t="s">
        <v>570</v>
      </c>
      <c r="G860" t="s">
        <v>2871</v>
      </c>
      <c r="H860" t="s">
        <v>1780</v>
      </c>
      <c r="I860" t="s">
        <v>1781</v>
      </c>
      <c r="J860" s="8" t="str">
        <f>+LEFT(U860,4)</f>
        <v>MISC</v>
      </c>
      <c r="K860" t="s">
        <v>10</v>
      </c>
      <c r="L860" s="47">
        <v>1100</v>
      </c>
      <c r="M860" t="s">
        <v>1472</v>
      </c>
      <c r="N860" t="s">
        <v>11</v>
      </c>
      <c r="O860" s="50">
        <v>6.02</v>
      </c>
      <c r="P860" s="9">
        <f>ROUND(O860*L860,2)</f>
        <v>6622</v>
      </c>
      <c r="Q860" s="10">
        <f>IF(N860="HKD",7.8,IF(N860="CNY",7.30034,1))</f>
        <v>7.3003400000000003</v>
      </c>
      <c r="R860" s="10">
        <f>+ROUND(O860/Q860,4)</f>
        <v>0.8246</v>
      </c>
      <c r="S860" s="11">
        <f>ROUND(R860*L860,2)</f>
        <v>907.06</v>
      </c>
      <c r="T860" s="10" t="s">
        <v>349</v>
      </c>
      <c r="U860" t="s">
        <v>25</v>
      </c>
    </row>
    <row r="861" spans="1:21">
      <c r="A861" t="s">
        <v>2576</v>
      </c>
      <c r="B861" s="20">
        <v>45737</v>
      </c>
      <c r="C861" s="20">
        <v>45716</v>
      </c>
      <c r="D861" t="s">
        <v>128</v>
      </c>
      <c r="E861" t="s">
        <v>129</v>
      </c>
      <c r="G861" t="s">
        <v>2909</v>
      </c>
      <c r="H861" t="s">
        <v>3182</v>
      </c>
      <c r="I861" t="s">
        <v>3389</v>
      </c>
      <c r="J861" s="8" t="str">
        <f>+LEFT(U861,4)</f>
        <v>RIV-</v>
      </c>
      <c r="K861" t="s">
        <v>10</v>
      </c>
      <c r="L861" s="47">
        <v>1000</v>
      </c>
      <c r="M861" t="s">
        <v>1472</v>
      </c>
      <c r="N861" t="s">
        <v>11</v>
      </c>
      <c r="O861" s="50">
        <v>9.1499999999999998E-2</v>
      </c>
      <c r="P861" s="9">
        <f>ROUND(O861*L861,2)</f>
        <v>91.5</v>
      </c>
      <c r="Q861" s="10">
        <f>IF(N861="HKD",7.8,IF(N861="CNY",7.30034,1))</f>
        <v>7.3003400000000003</v>
      </c>
      <c r="R861" s="10">
        <f>+ROUND(O861/Q861,4)</f>
        <v>1.2500000000000001E-2</v>
      </c>
      <c r="S861" s="11">
        <f>ROUND(R861*L861,2)</f>
        <v>12.5</v>
      </c>
      <c r="T861" s="10" t="s">
        <v>349</v>
      </c>
      <c r="U861" t="s">
        <v>132</v>
      </c>
    </row>
    <row r="862" spans="1:21">
      <c r="A862" t="s">
        <v>2577</v>
      </c>
      <c r="B862" s="20">
        <v>45737</v>
      </c>
      <c r="C862" s="20">
        <v>45716</v>
      </c>
      <c r="D862" t="s">
        <v>128</v>
      </c>
      <c r="E862" t="s">
        <v>129</v>
      </c>
      <c r="G862" t="s">
        <v>2909</v>
      </c>
      <c r="H862" t="s">
        <v>950</v>
      </c>
      <c r="I862" t="s">
        <v>951</v>
      </c>
      <c r="J862" s="8" t="str">
        <f>+LEFT(U862,4)</f>
        <v>RIV-</v>
      </c>
      <c r="K862" t="s">
        <v>10</v>
      </c>
      <c r="L862" s="47">
        <v>9000</v>
      </c>
      <c r="M862" t="s">
        <v>1472</v>
      </c>
      <c r="N862" t="s">
        <v>11</v>
      </c>
      <c r="O862" s="50">
        <v>0.1016</v>
      </c>
      <c r="P862" s="9">
        <f>ROUND(O862*L862,2)</f>
        <v>914.4</v>
      </c>
      <c r="Q862" s="10">
        <f>IF(N862="HKD",7.8,IF(N862="CNY",7.30034,1))</f>
        <v>7.3003400000000003</v>
      </c>
      <c r="R862" s="10">
        <f>+ROUND(O862/Q862,4)</f>
        <v>1.3899999999999999E-2</v>
      </c>
      <c r="S862" s="11">
        <f>ROUND(R862*L862,2)</f>
        <v>125.1</v>
      </c>
      <c r="T862" s="10" t="s">
        <v>349</v>
      </c>
      <c r="U862" t="s">
        <v>132</v>
      </c>
    </row>
    <row r="863" spans="1:21">
      <c r="A863" t="s">
        <v>2412</v>
      </c>
      <c r="B863" s="20">
        <v>45737</v>
      </c>
      <c r="C863" s="20">
        <v>45702</v>
      </c>
      <c r="D863" t="s">
        <v>372</v>
      </c>
      <c r="E863" t="s">
        <v>373</v>
      </c>
      <c r="G863" t="s">
        <v>2927</v>
      </c>
      <c r="H863" t="s">
        <v>3103</v>
      </c>
      <c r="I863" t="s">
        <v>3318</v>
      </c>
      <c r="J863" s="8" t="str">
        <f>+LEFT(U863,4)</f>
        <v>SHDL</v>
      </c>
      <c r="K863" t="s">
        <v>98</v>
      </c>
      <c r="L863" s="47">
        <v>1940</v>
      </c>
      <c r="M863" t="s">
        <v>1472</v>
      </c>
      <c r="N863" t="s">
        <v>11</v>
      </c>
      <c r="O863" s="50">
        <v>0.92230000000000001</v>
      </c>
      <c r="P863" s="9">
        <f>ROUND(O863*L863,2)</f>
        <v>1789.26</v>
      </c>
      <c r="Q863" s="10">
        <f>IF(N863="HKD",7.8,IF(N863="CNY",7.30034,1))</f>
        <v>7.3003400000000003</v>
      </c>
      <c r="R863" s="10">
        <f>+ROUND(O863/Q863,4)</f>
        <v>0.1263</v>
      </c>
      <c r="S863" s="11">
        <f>ROUND(R863*L863,2)</f>
        <v>245.02</v>
      </c>
      <c r="T863" s="10" t="s">
        <v>349</v>
      </c>
      <c r="U863" t="s">
        <v>722</v>
      </c>
    </row>
    <row r="864" spans="1:21">
      <c r="A864" t="s">
        <v>2729</v>
      </c>
      <c r="B864" s="20">
        <v>45737</v>
      </c>
      <c r="C864" s="20">
        <v>45728</v>
      </c>
      <c r="D864" t="s">
        <v>569</v>
      </c>
      <c r="E864" t="s">
        <v>570</v>
      </c>
      <c r="G864" t="s">
        <v>2871</v>
      </c>
      <c r="H864" t="s">
        <v>1412</v>
      </c>
      <c r="I864" t="s">
        <v>1413</v>
      </c>
      <c r="J864" s="8" t="str">
        <f>+LEFT(U864,4)</f>
        <v>WHR-</v>
      </c>
      <c r="K864" t="s">
        <v>10</v>
      </c>
      <c r="L864" s="47">
        <v>4000</v>
      </c>
      <c r="M864" t="s">
        <v>1472</v>
      </c>
      <c r="N864" t="s">
        <v>11</v>
      </c>
      <c r="O864" s="50">
        <v>0.1176</v>
      </c>
      <c r="P864" s="9">
        <f>ROUND(O864*L864,2)</f>
        <v>470.4</v>
      </c>
      <c r="Q864" s="10">
        <f>IF(N864="HKD",7.8,IF(N864="CNY",7.30034,1))</f>
        <v>7.3003400000000003</v>
      </c>
      <c r="R864" s="10">
        <f>+ROUND(O864/Q864,4)</f>
        <v>1.61E-2</v>
      </c>
      <c r="S864" s="11">
        <f>ROUND(R864*L864,2)</f>
        <v>64.400000000000006</v>
      </c>
      <c r="T864" s="10" t="s">
        <v>349</v>
      </c>
      <c r="U864" t="s">
        <v>248</v>
      </c>
    </row>
    <row r="865" spans="1:21">
      <c r="A865" t="s">
        <v>2605</v>
      </c>
      <c r="B865" s="20">
        <v>45736</v>
      </c>
      <c r="C865" s="20">
        <v>45720</v>
      </c>
      <c r="D865" t="s">
        <v>1006</v>
      </c>
      <c r="E865" t="s">
        <v>1007</v>
      </c>
      <c r="G865" t="s">
        <v>3012</v>
      </c>
      <c r="H865" t="s">
        <v>3195</v>
      </c>
      <c r="I865" t="s">
        <v>3402</v>
      </c>
      <c r="J865" s="8" t="str">
        <f>+LEFT(U865,4)</f>
        <v>ALM-</v>
      </c>
      <c r="K865" t="s">
        <v>98</v>
      </c>
      <c r="L865" s="47">
        <v>534</v>
      </c>
      <c r="M865" t="s">
        <v>186</v>
      </c>
      <c r="N865" t="s">
        <v>11</v>
      </c>
      <c r="O865" s="50">
        <v>2.9203999999999999</v>
      </c>
      <c r="P865" s="9">
        <f>ROUND(O865*L865,2)</f>
        <v>1559.49</v>
      </c>
      <c r="Q865" s="10">
        <f>IF(N865="HKD",7.8,IF(N865="CNY",7.30034,1))</f>
        <v>7.3003400000000003</v>
      </c>
      <c r="R865" s="10">
        <f>+ROUND(O865/Q865,4)</f>
        <v>0.4</v>
      </c>
      <c r="S865" s="11">
        <f>ROUND(R865*L865,2)</f>
        <v>213.6</v>
      </c>
      <c r="T865" s="10" t="s">
        <v>349</v>
      </c>
      <c r="U865" t="s">
        <v>191</v>
      </c>
    </row>
    <row r="866" spans="1:21">
      <c r="A866" t="s">
        <v>2606</v>
      </c>
      <c r="B866" s="20">
        <v>45736</v>
      </c>
      <c r="C866" s="20">
        <v>45720</v>
      </c>
      <c r="D866" t="s">
        <v>1006</v>
      </c>
      <c r="E866" t="s">
        <v>1007</v>
      </c>
      <c r="G866" t="s">
        <v>3012</v>
      </c>
      <c r="H866" t="s">
        <v>3196</v>
      </c>
      <c r="I866" t="s">
        <v>3403</v>
      </c>
      <c r="J866" s="8" t="str">
        <f>+LEFT(U866,4)</f>
        <v>ALM-</v>
      </c>
      <c r="K866" t="s">
        <v>98</v>
      </c>
      <c r="L866" s="47">
        <v>1072</v>
      </c>
      <c r="M866" t="s">
        <v>186</v>
      </c>
      <c r="N866" t="s">
        <v>11</v>
      </c>
      <c r="O866" s="50">
        <v>2.9203999999999999</v>
      </c>
      <c r="P866" s="9">
        <f>ROUND(O866*L866,2)</f>
        <v>3130.67</v>
      </c>
      <c r="Q866" s="10">
        <f>IF(N866="HKD",7.8,IF(N866="CNY",7.30034,1))</f>
        <v>7.3003400000000003</v>
      </c>
      <c r="R866" s="10">
        <f>+ROUND(O866/Q866,4)</f>
        <v>0.4</v>
      </c>
      <c r="S866" s="11">
        <f>ROUND(R866*L866,2)</f>
        <v>428.8</v>
      </c>
      <c r="T866" s="10" t="s">
        <v>349</v>
      </c>
      <c r="U866" t="s">
        <v>191</v>
      </c>
    </row>
    <row r="867" spans="1:21">
      <c r="A867" t="s">
        <v>2607</v>
      </c>
      <c r="B867" s="20">
        <v>45736</v>
      </c>
      <c r="C867" s="20">
        <v>45720</v>
      </c>
      <c r="D867" t="s">
        <v>1006</v>
      </c>
      <c r="E867" t="s">
        <v>1007</v>
      </c>
      <c r="G867" t="s">
        <v>3012</v>
      </c>
      <c r="H867" t="s">
        <v>1004</v>
      </c>
      <c r="I867" t="s">
        <v>1005</v>
      </c>
      <c r="J867" s="8" t="str">
        <f>+LEFT(U867,4)</f>
        <v>ALM-</v>
      </c>
      <c r="K867" t="s">
        <v>98</v>
      </c>
      <c r="L867" s="47">
        <v>572</v>
      </c>
      <c r="M867" t="s">
        <v>186</v>
      </c>
      <c r="N867" t="s">
        <v>11</v>
      </c>
      <c r="O867" s="50">
        <v>2.9203999999999999</v>
      </c>
      <c r="P867" s="9">
        <f>ROUND(O867*L867,2)</f>
        <v>1670.47</v>
      </c>
      <c r="Q867" s="10">
        <f>IF(N867="HKD",7.8,IF(N867="CNY",7.30034,1))</f>
        <v>7.3003400000000003</v>
      </c>
      <c r="R867" s="10">
        <f>+ROUND(O867/Q867,4)</f>
        <v>0.4</v>
      </c>
      <c r="S867" s="11">
        <f>ROUND(R867*L867,2)</f>
        <v>228.8</v>
      </c>
      <c r="T867" s="10" t="s">
        <v>349</v>
      </c>
      <c r="U867" t="s">
        <v>191</v>
      </c>
    </row>
    <row r="868" spans="1:21">
      <c r="A868" t="s">
        <v>2608</v>
      </c>
      <c r="B868" s="20">
        <v>45736</v>
      </c>
      <c r="C868" s="20">
        <v>45720</v>
      </c>
      <c r="D868" t="s">
        <v>1006</v>
      </c>
      <c r="E868" t="s">
        <v>1007</v>
      </c>
      <c r="G868" t="s">
        <v>3012</v>
      </c>
      <c r="H868" t="s">
        <v>3197</v>
      </c>
      <c r="I868" t="s">
        <v>3404</v>
      </c>
      <c r="J868" s="8" t="str">
        <f>+LEFT(U868,4)</f>
        <v>ALM-</v>
      </c>
      <c r="K868" t="s">
        <v>98</v>
      </c>
      <c r="L868" s="47">
        <v>1206</v>
      </c>
      <c r="M868" t="s">
        <v>186</v>
      </c>
      <c r="N868" t="s">
        <v>11</v>
      </c>
      <c r="O868" s="50">
        <v>2.9203999999999999</v>
      </c>
      <c r="P868" s="9">
        <f>ROUND(O868*L868,2)</f>
        <v>3522</v>
      </c>
      <c r="Q868" s="10">
        <f>IF(N868="HKD",7.8,IF(N868="CNY",7.30034,1))</f>
        <v>7.3003400000000003</v>
      </c>
      <c r="R868" s="10">
        <f>+ROUND(O868/Q868,4)</f>
        <v>0.4</v>
      </c>
      <c r="S868" s="11">
        <f>ROUND(R868*L868,2)</f>
        <v>482.4</v>
      </c>
      <c r="T868" s="10" t="s">
        <v>349</v>
      </c>
      <c r="U868" t="s">
        <v>191</v>
      </c>
    </row>
    <row r="869" spans="1:21">
      <c r="A869" t="s">
        <v>2609</v>
      </c>
      <c r="B869" s="20">
        <v>45736</v>
      </c>
      <c r="C869" s="20">
        <v>45720</v>
      </c>
      <c r="D869" t="s">
        <v>1006</v>
      </c>
      <c r="E869" t="s">
        <v>1007</v>
      </c>
      <c r="G869" t="s">
        <v>3012</v>
      </c>
      <c r="H869" t="s">
        <v>3198</v>
      </c>
      <c r="I869" t="s">
        <v>3405</v>
      </c>
      <c r="J869" s="8" t="str">
        <f>+LEFT(U869,4)</f>
        <v>ALM-</v>
      </c>
      <c r="K869" t="s">
        <v>98</v>
      </c>
      <c r="L869" s="47">
        <v>828</v>
      </c>
      <c r="M869" t="s">
        <v>186</v>
      </c>
      <c r="N869" t="s">
        <v>11</v>
      </c>
      <c r="O869" s="50">
        <v>2.9203999999999999</v>
      </c>
      <c r="P869" s="9">
        <f>ROUND(O869*L869,2)</f>
        <v>2418.09</v>
      </c>
      <c r="Q869" s="10">
        <f>IF(N869="HKD",7.8,IF(N869="CNY",7.30034,1))</f>
        <v>7.3003400000000003</v>
      </c>
      <c r="R869" s="10">
        <f>+ROUND(O869/Q869,4)</f>
        <v>0.4</v>
      </c>
      <c r="S869" s="11">
        <f>ROUND(R869*L869,2)</f>
        <v>331.2</v>
      </c>
      <c r="T869" s="10" t="s">
        <v>349</v>
      </c>
      <c r="U869" t="s">
        <v>191</v>
      </c>
    </row>
    <row r="870" spans="1:21">
      <c r="A870" t="s">
        <v>2652</v>
      </c>
      <c r="B870" s="20">
        <v>45736</v>
      </c>
      <c r="C870" s="20">
        <v>45722</v>
      </c>
      <c r="D870" t="s">
        <v>2831</v>
      </c>
      <c r="E870" t="s">
        <v>1007</v>
      </c>
      <c r="G870" t="s">
        <v>3012</v>
      </c>
      <c r="H870" t="s">
        <v>3198</v>
      </c>
      <c r="I870" t="s">
        <v>3405</v>
      </c>
      <c r="J870" s="8" t="str">
        <f>+LEFT(U870,4)</f>
        <v>ALM-</v>
      </c>
      <c r="K870" t="s">
        <v>98</v>
      </c>
      <c r="L870" s="47">
        <v>576</v>
      </c>
      <c r="M870" t="s">
        <v>186</v>
      </c>
      <c r="N870" t="s">
        <v>11</v>
      </c>
      <c r="O870" s="50">
        <v>2.9203999999999999</v>
      </c>
      <c r="P870" s="9">
        <f>ROUND(O870*L870,2)</f>
        <v>1682.15</v>
      </c>
      <c r="Q870" s="10">
        <f>IF(N870="HKD",7.8,IF(N870="CNY",7.30034,1))</f>
        <v>7.3003400000000003</v>
      </c>
      <c r="R870" s="10">
        <f>+ROUND(O870/Q870,4)</f>
        <v>0.4</v>
      </c>
      <c r="S870" s="11">
        <f>ROUND(R870*L870,2)</f>
        <v>230.4</v>
      </c>
      <c r="T870" s="10" t="s">
        <v>349</v>
      </c>
      <c r="U870" t="s">
        <v>191</v>
      </c>
    </row>
    <row r="871" spans="1:21">
      <c r="A871" t="s">
        <v>2675</v>
      </c>
      <c r="B871" s="20">
        <v>45736</v>
      </c>
      <c r="C871" s="20">
        <v>45726</v>
      </c>
      <c r="D871" t="s">
        <v>1006</v>
      </c>
      <c r="E871" t="s">
        <v>1007</v>
      </c>
      <c r="G871" t="s">
        <v>3012</v>
      </c>
      <c r="H871" t="s">
        <v>3219</v>
      </c>
      <c r="I871" t="s">
        <v>3426</v>
      </c>
      <c r="J871" s="8" t="str">
        <f>+LEFT(U871,4)</f>
        <v>ALM-</v>
      </c>
      <c r="K871" t="s">
        <v>98</v>
      </c>
      <c r="L871" s="47">
        <v>556</v>
      </c>
      <c r="M871" t="s">
        <v>186</v>
      </c>
      <c r="N871" t="s">
        <v>11</v>
      </c>
      <c r="O871" s="50">
        <v>2.9203999999999999</v>
      </c>
      <c r="P871" s="9">
        <f>ROUND(O871*L871,2)</f>
        <v>1623.74</v>
      </c>
      <c r="Q871" s="10">
        <f>IF(N871="HKD",7.8,IF(N871="CNY",7.30034,1))</f>
        <v>7.3003400000000003</v>
      </c>
      <c r="R871" s="10">
        <f>+ROUND(O871/Q871,4)</f>
        <v>0.4</v>
      </c>
      <c r="S871" s="11">
        <f>ROUND(R871*L871,2)</f>
        <v>222.4</v>
      </c>
      <c r="T871" s="10" t="s">
        <v>349</v>
      </c>
      <c r="U871" t="s">
        <v>191</v>
      </c>
    </row>
    <row r="872" spans="1:21">
      <c r="A872" t="s">
        <v>2678</v>
      </c>
      <c r="B872" s="20">
        <v>45736</v>
      </c>
      <c r="C872" s="20">
        <v>45726</v>
      </c>
      <c r="D872" t="s">
        <v>1006</v>
      </c>
      <c r="E872" t="s">
        <v>1007</v>
      </c>
      <c r="G872" t="s">
        <v>3012</v>
      </c>
      <c r="H872" t="s">
        <v>1019</v>
      </c>
      <c r="I872" t="s">
        <v>1020</v>
      </c>
      <c r="J872" s="8" t="str">
        <f>+LEFT(U872,4)</f>
        <v>ALM-</v>
      </c>
      <c r="K872" t="s">
        <v>98</v>
      </c>
      <c r="L872" s="47">
        <v>2040</v>
      </c>
      <c r="M872" t="s">
        <v>186</v>
      </c>
      <c r="N872" t="s">
        <v>11</v>
      </c>
      <c r="O872" s="50">
        <v>2.9203999999999999</v>
      </c>
      <c r="P872" s="9">
        <f>ROUND(O872*L872,2)</f>
        <v>5957.62</v>
      </c>
      <c r="Q872" s="10">
        <f>IF(N872="HKD",7.8,IF(N872="CNY",7.30034,1))</f>
        <v>7.3003400000000003</v>
      </c>
      <c r="R872" s="10">
        <f>+ROUND(O872/Q872,4)</f>
        <v>0.4</v>
      </c>
      <c r="S872" s="11">
        <f>ROUND(R872*L872,2)</f>
        <v>816</v>
      </c>
      <c r="T872" s="10" t="s">
        <v>349</v>
      </c>
      <c r="U872" t="s">
        <v>191</v>
      </c>
    </row>
    <row r="873" spans="1:21">
      <c r="A873" t="s">
        <v>2646</v>
      </c>
      <c r="B873" s="20">
        <v>45736</v>
      </c>
      <c r="C873" s="20">
        <v>45721</v>
      </c>
      <c r="D873" t="s">
        <v>1006</v>
      </c>
      <c r="E873" t="s">
        <v>1007</v>
      </c>
      <c r="G873" t="s">
        <v>3012</v>
      </c>
      <c r="H873" t="s">
        <v>1013</v>
      </c>
      <c r="I873" t="s">
        <v>1014</v>
      </c>
      <c r="J873" s="8" t="str">
        <f>+LEFT(U873,4)</f>
        <v>ALM-</v>
      </c>
      <c r="K873" t="s">
        <v>98</v>
      </c>
      <c r="L873" s="47">
        <v>485</v>
      </c>
      <c r="M873" t="s">
        <v>186</v>
      </c>
      <c r="N873" t="s">
        <v>11</v>
      </c>
      <c r="O873" s="50">
        <v>3.0973000000000002</v>
      </c>
      <c r="P873" s="9">
        <f>ROUND(O873*L873,2)</f>
        <v>1502.19</v>
      </c>
      <c r="Q873" s="10">
        <f>IF(N873="HKD",7.8,IF(N873="CNY",7.30034,1))</f>
        <v>7.3003400000000003</v>
      </c>
      <c r="R873" s="10">
        <f>+ROUND(O873/Q873,4)</f>
        <v>0.42430000000000001</v>
      </c>
      <c r="S873" s="11">
        <f>ROUND(R873*L873,2)</f>
        <v>205.79</v>
      </c>
      <c r="T873" s="10" t="s">
        <v>349</v>
      </c>
      <c r="U873" t="s">
        <v>191</v>
      </c>
    </row>
    <row r="874" spans="1:21">
      <c r="A874" t="s">
        <v>2677</v>
      </c>
      <c r="B874" s="20">
        <v>45736</v>
      </c>
      <c r="C874" s="20">
        <v>45726</v>
      </c>
      <c r="D874" t="s">
        <v>1006</v>
      </c>
      <c r="E874" t="s">
        <v>1007</v>
      </c>
      <c r="G874" t="s">
        <v>3012</v>
      </c>
      <c r="H874" t="s">
        <v>1016</v>
      </c>
      <c r="I874" t="s">
        <v>1017</v>
      </c>
      <c r="J874" s="8" t="str">
        <f>+LEFT(U874,4)</f>
        <v>ALM-</v>
      </c>
      <c r="K874" t="s">
        <v>98</v>
      </c>
      <c r="L874" s="47">
        <v>786</v>
      </c>
      <c r="M874" t="s">
        <v>186</v>
      </c>
      <c r="N874" t="s">
        <v>11</v>
      </c>
      <c r="O874" s="50">
        <v>3.0973000000000002</v>
      </c>
      <c r="P874" s="9">
        <f>ROUND(O874*L874,2)</f>
        <v>2434.48</v>
      </c>
      <c r="Q874" s="10">
        <f>IF(N874="HKD",7.8,IF(N874="CNY",7.30034,1))</f>
        <v>7.3003400000000003</v>
      </c>
      <c r="R874" s="10">
        <f>+ROUND(O874/Q874,4)</f>
        <v>0.42430000000000001</v>
      </c>
      <c r="S874" s="11">
        <f>ROUND(R874*L874,2)</f>
        <v>333.5</v>
      </c>
      <c r="T874" s="10" t="s">
        <v>349</v>
      </c>
      <c r="U874" t="s">
        <v>191</v>
      </c>
    </row>
    <row r="875" spans="1:21">
      <c r="A875" t="s">
        <v>2791</v>
      </c>
      <c r="B875" s="20">
        <v>45736</v>
      </c>
      <c r="C875" s="20">
        <v>45735</v>
      </c>
      <c r="D875" t="s">
        <v>5</v>
      </c>
      <c r="E875" t="s">
        <v>6</v>
      </c>
      <c r="G875" t="s">
        <v>3051</v>
      </c>
      <c r="H875" t="s">
        <v>3263</v>
      </c>
      <c r="I875" t="s">
        <v>3470</v>
      </c>
      <c r="J875" s="8" t="str">
        <f>+LEFT(U875,4)</f>
        <v>BOX-</v>
      </c>
      <c r="K875" t="s">
        <v>10</v>
      </c>
      <c r="L875" s="47">
        <v>505</v>
      </c>
      <c r="M875" t="s">
        <v>1472</v>
      </c>
      <c r="N875" t="s">
        <v>11</v>
      </c>
      <c r="O875" s="50">
        <v>2.4500000000000002</v>
      </c>
      <c r="P875" s="9">
        <f>ROUND(O875*L875,2)</f>
        <v>1237.25</v>
      </c>
      <c r="Q875" s="10">
        <f>IF(N875="HKD",7.8,IF(N875="CNY",7.30034,1))</f>
        <v>7.3003400000000003</v>
      </c>
      <c r="R875" s="10">
        <f>+ROUND(O875/Q875,4)</f>
        <v>0.33560000000000001</v>
      </c>
      <c r="S875" s="11">
        <f>ROUND(R875*L875,2)</f>
        <v>169.48</v>
      </c>
      <c r="T875" s="10" t="s">
        <v>349</v>
      </c>
      <c r="U875" t="s">
        <v>1</v>
      </c>
    </row>
    <row r="876" spans="1:21">
      <c r="A876" t="s">
        <v>2790</v>
      </c>
      <c r="B876" s="20">
        <v>45736</v>
      </c>
      <c r="C876" s="20">
        <v>45735</v>
      </c>
      <c r="D876" t="s">
        <v>5</v>
      </c>
      <c r="E876" t="s">
        <v>6</v>
      </c>
      <c r="G876" t="s">
        <v>2900</v>
      </c>
      <c r="H876" t="s">
        <v>3262</v>
      </c>
      <c r="I876" t="s">
        <v>3469</v>
      </c>
      <c r="J876" s="8" t="str">
        <f>+LEFT(U876,4)</f>
        <v>BOX-</v>
      </c>
      <c r="K876" t="s">
        <v>10</v>
      </c>
      <c r="L876" s="47">
        <v>1010</v>
      </c>
      <c r="M876" t="s">
        <v>1472</v>
      </c>
      <c r="N876" t="s">
        <v>11</v>
      </c>
      <c r="O876" s="50">
        <v>4.43</v>
      </c>
      <c r="P876" s="9">
        <f>ROUND(O876*L876,2)</f>
        <v>4474.3</v>
      </c>
      <c r="Q876" s="10">
        <f>IF(N876="HKD",7.8,IF(N876="CNY",7.30034,1))</f>
        <v>7.3003400000000003</v>
      </c>
      <c r="R876" s="10">
        <f>+ROUND(O876/Q876,4)</f>
        <v>0.60680000000000001</v>
      </c>
      <c r="S876" s="11">
        <f>ROUND(R876*L876,2)</f>
        <v>612.87</v>
      </c>
      <c r="T876" s="10" t="s">
        <v>349</v>
      </c>
      <c r="U876" t="s">
        <v>1</v>
      </c>
    </row>
    <row r="877" spans="1:21">
      <c r="A877" t="s">
        <v>2799</v>
      </c>
      <c r="B877" s="20">
        <v>45736</v>
      </c>
      <c r="C877" s="20">
        <v>45735</v>
      </c>
      <c r="D877" t="s">
        <v>5</v>
      </c>
      <c r="E877" t="s">
        <v>6</v>
      </c>
      <c r="G877" t="s">
        <v>2900</v>
      </c>
      <c r="H877" t="s">
        <v>3266</v>
      </c>
      <c r="I877" t="s">
        <v>3473</v>
      </c>
      <c r="J877" s="8" t="str">
        <f>+LEFT(U877,4)</f>
        <v>BOX-</v>
      </c>
      <c r="K877" t="s">
        <v>10</v>
      </c>
      <c r="L877" s="47">
        <v>1010</v>
      </c>
      <c r="M877" t="s">
        <v>1472</v>
      </c>
      <c r="N877" t="s">
        <v>11</v>
      </c>
      <c r="O877" s="50">
        <v>6.35</v>
      </c>
      <c r="P877" s="9">
        <f>ROUND(O877*L877,2)</f>
        <v>6413.5</v>
      </c>
      <c r="Q877" s="10">
        <f>IF(N877="HKD",7.8,IF(N877="CNY",7.30034,1))</f>
        <v>7.3003400000000003</v>
      </c>
      <c r="R877" s="10">
        <f>+ROUND(O877/Q877,4)</f>
        <v>0.86980000000000002</v>
      </c>
      <c r="S877" s="11">
        <f>ROUND(R877*L877,2)</f>
        <v>878.5</v>
      </c>
      <c r="T877" s="10" t="s">
        <v>349</v>
      </c>
      <c r="U877" t="s">
        <v>1</v>
      </c>
    </row>
    <row r="878" spans="1:21">
      <c r="A878" t="s">
        <v>2797</v>
      </c>
      <c r="B878" s="20">
        <v>45736</v>
      </c>
      <c r="C878" s="20">
        <v>45735</v>
      </c>
      <c r="D878" t="s">
        <v>5</v>
      </c>
      <c r="E878" t="s">
        <v>6</v>
      </c>
      <c r="G878" t="s">
        <v>2900</v>
      </c>
      <c r="H878" t="s">
        <v>3264</v>
      </c>
      <c r="I878" t="s">
        <v>3471</v>
      </c>
      <c r="J878" s="8" t="str">
        <f>+LEFT(U878,4)</f>
        <v>BOX-</v>
      </c>
      <c r="K878" t="s">
        <v>10</v>
      </c>
      <c r="L878" s="47">
        <v>1010</v>
      </c>
      <c r="M878" t="s">
        <v>1472</v>
      </c>
      <c r="N878" t="s">
        <v>11</v>
      </c>
      <c r="O878" s="50">
        <v>8.08</v>
      </c>
      <c r="P878" s="9">
        <f>ROUND(O878*L878,2)</f>
        <v>8160.8</v>
      </c>
      <c r="Q878" s="10">
        <f>IF(N878="HKD",7.8,IF(N878="CNY",7.30034,1))</f>
        <v>7.3003400000000003</v>
      </c>
      <c r="R878" s="10">
        <f>+ROUND(O878/Q878,4)</f>
        <v>1.1068</v>
      </c>
      <c r="S878" s="11">
        <f>ROUND(R878*L878,2)</f>
        <v>1117.8699999999999</v>
      </c>
      <c r="T878" s="10" t="s">
        <v>349</v>
      </c>
      <c r="U878" t="s">
        <v>1</v>
      </c>
    </row>
    <row r="879" spans="1:21">
      <c r="A879" t="s">
        <v>2347</v>
      </c>
      <c r="B879" s="20">
        <v>45736</v>
      </c>
      <c r="C879" s="20">
        <v>45677</v>
      </c>
      <c r="D879" t="s">
        <v>5</v>
      </c>
      <c r="E879" t="s">
        <v>6</v>
      </c>
      <c r="G879" t="s">
        <v>2900</v>
      </c>
      <c r="H879" t="s">
        <v>1804</v>
      </c>
      <c r="I879" t="s">
        <v>1805</v>
      </c>
      <c r="J879" s="8" t="str">
        <f>+LEFT(U879,4)</f>
        <v>BOX-</v>
      </c>
      <c r="K879" t="s">
        <v>10</v>
      </c>
      <c r="L879" s="47">
        <v>1010</v>
      </c>
      <c r="M879" t="s">
        <v>1472</v>
      </c>
      <c r="N879" t="s">
        <v>11</v>
      </c>
      <c r="O879" s="50">
        <v>8.2200000000000006</v>
      </c>
      <c r="P879" s="9">
        <f>ROUND(O879*L879,2)</f>
        <v>8302.2000000000007</v>
      </c>
      <c r="Q879" s="10">
        <f>IF(N879="HKD",7.8,IF(N879="CNY",7.30034,1))</f>
        <v>7.3003400000000003</v>
      </c>
      <c r="R879" s="10">
        <f>+ROUND(O879/Q879,4)</f>
        <v>1.1259999999999999</v>
      </c>
      <c r="S879" s="11">
        <f>ROUND(R879*L879,2)</f>
        <v>1137.26</v>
      </c>
      <c r="T879" s="10" t="s">
        <v>349</v>
      </c>
      <c r="U879" t="s">
        <v>1</v>
      </c>
    </row>
    <row r="880" spans="1:21">
      <c r="A880" t="s">
        <v>2557</v>
      </c>
      <c r="B880" s="20">
        <v>45736</v>
      </c>
      <c r="C880" s="20">
        <v>45716</v>
      </c>
      <c r="D880" t="s">
        <v>149</v>
      </c>
      <c r="E880" t="s">
        <v>150</v>
      </c>
      <c r="G880" t="s">
        <v>2994</v>
      </c>
      <c r="H880" t="s">
        <v>3174</v>
      </c>
      <c r="I880" t="s">
        <v>3381</v>
      </c>
      <c r="J880" s="8" t="str">
        <f>+LEFT(U880,4)</f>
        <v>GLID</v>
      </c>
      <c r="K880" t="s">
        <v>10</v>
      </c>
      <c r="L880" s="47">
        <v>1030</v>
      </c>
      <c r="M880" t="s">
        <v>1472</v>
      </c>
      <c r="N880" t="s">
        <v>11</v>
      </c>
      <c r="O880" s="50">
        <v>2.2637999999999998</v>
      </c>
      <c r="P880" s="9">
        <f>ROUND(O880*L880,2)</f>
        <v>2331.71</v>
      </c>
      <c r="Q880" s="10">
        <f>IF(N880="HKD",7.8,IF(N880="CNY",7.30034,1))</f>
        <v>7.3003400000000003</v>
      </c>
      <c r="R880" s="10">
        <f>+ROUND(O880/Q880,4)</f>
        <v>0.31009999999999999</v>
      </c>
      <c r="S880" s="11">
        <f>ROUND(R880*L880,2)</f>
        <v>319.39999999999998</v>
      </c>
      <c r="T880" s="10" t="s">
        <v>349</v>
      </c>
      <c r="U880" t="s">
        <v>78</v>
      </c>
    </row>
    <row r="881" spans="1:21">
      <c r="A881" t="s">
        <v>2550</v>
      </c>
      <c r="B881" s="20">
        <v>45736</v>
      </c>
      <c r="C881" s="20">
        <v>45716</v>
      </c>
      <c r="D881" t="s">
        <v>149</v>
      </c>
      <c r="E881" t="s">
        <v>150</v>
      </c>
      <c r="G881" t="s">
        <v>2994</v>
      </c>
      <c r="H881" t="s">
        <v>1688</v>
      </c>
      <c r="I881" t="s">
        <v>1188</v>
      </c>
      <c r="J881" s="8" t="str">
        <f>+LEFT(U881,4)</f>
        <v>GLID</v>
      </c>
      <c r="K881" t="s">
        <v>10</v>
      </c>
      <c r="L881" s="47">
        <v>1020</v>
      </c>
      <c r="M881" t="s">
        <v>1472</v>
      </c>
      <c r="N881" t="s">
        <v>11</v>
      </c>
      <c r="O881" s="50">
        <v>2.5366</v>
      </c>
      <c r="P881" s="9">
        <f>ROUND(O881*L881,2)</f>
        <v>2587.33</v>
      </c>
      <c r="Q881" s="10">
        <f>IF(N881="HKD",7.8,IF(N881="CNY",7.30034,1))</f>
        <v>7.3003400000000003</v>
      </c>
      <c r="R881" s="10">
        <f>+ROUND(O881/Q881,4)</f>
        <v>0.34749999999999998</v>
      </c>
      <c r="S881" s="11">
        <f>ROUND(R881*L881,2)</f>
        <v>354.45</v>
      </c>
      <c r="T881" s="10" t="s">
        <v>349</v>
      </c>
      <c r="U881" t="s">
        <v>78</v>
      </c>
    </row>
    <row r="882" spans="1:21">
      <c r="A882" t="s">
        <v>2558</v>
      </c>
      <c r="B882" s="20">
        <v>45736</v>
      </c>
      <c r="C882" s="20">
        <v>45716</v>
      </c>
      <c r="D882" t="s">
        <v>149</v>
      </c>
      <c r="E882" t="s">
        <v>150</v>
      </c>
      <c r="G882" t="s">
        <v>2994</v>
      </c>
      <c r="H882" t="s">
        <v>1187</v>
      </c>
      <c r="I882" t="s">
        <v>1188</v>
      </c>
      <c r="J882" s="8" t="str">
        <f>+LEFT(U882,4)</f>
        <v>GLID</v>
      </c>
      <c r="K882" t="s">
        <v>10</v>
      </c>
      <c r="L882" s="47">
        <v>1000</v>
      </c>
      <c r="M882" t="s">
        <v>1472</v>
      </c>
      <c r="N882" t="s">
        <v>11</v>
      </c>
      <c r="O882" s="50">
        <v>2.5366</v>
      </c>
      <c r="P882" s="9">
        <f>ROUND(O882*L882,2)</f>
        <v>2536.6</v>
      </c>
      <c r="Q882" s="10">
        <f>IF(N882="HKD",7.8,IF(N882="CNY",7.30034,1))</f>
        <v>7.3003400000000003</v>
      </c>
      <c r="R882" s="10">
        <f>+ROUND(O882/Q882,4)</f>
        <v>0.34749999999999998</v>
      </c>
      <c r="S882" s="11">
        <f>ROUND(R882*L882,2)</f>
        <v>347.5</v>
      </c>
      <c r="T882" s="10" t="s">
        <v>349</v>
      </c>
      <c r="U882" t="s">
        <v>78</v>
      </c>
    </row>
    <row r="883" spans="1:21">
      <c r="A883" t="s">
        <v>2805</v>
      </c>
      <c r="B883" s="20">
        <v>45736</v>
      </c>
      <c r="C883" s="20">
        <v>45735</v>
      </c>
      <c r="D883" t="s">
        <v>149</v>
      </c>
      <c r="E883" t="s">
        <v>150</v>
      </c>
      <c r="G883" t="s">
        <v>2994</v>
      </c>
      <c r="H883" t="s">
        <v>157</v>
      </c>
      <c r="I883" t="s">
        <v>158</v>
      </c>
      <c r="J883" s="8" t="str">
        <f>+LEFT(U883,4)</f>
        <v>GLID</v>
      </c>
      <c r="K883" t="s">
        <v>10</v>
      </c>
      <c r="L883" s="47">
        <v>220</v>
      </c>
      <c r="M883" t="s">
        <v>1472</v>
      </c>
      <c r="N883" t="s">
        <v>11</v>
      </c>
      <c r="O883" s="50">
        <v>3.3437000000000001</v>
      </c>
      <c r="P883" s="9">
        <f>ROUND(O883*L883,2)</f>
        <v>735.61</v>
      </c>
      <c r="Q883" s="10">
        <f>IF(N883="HKD",7.8,IF(N883="CNY",7.30034,1))</f>
        <v>7.3003400000000003</v>
      </c>
      <c r="R883" s="10">
        <f>+ROUND(O883/Q883,4)</f>
        <v>0.45800000000000002</v>
      </c>
      <c r="S883" s="11">
        <f>ROUND(R883*L883,2)</f>
        <v>100.76</v>
      </c>
      <c r="T883" s="10" t="s">
        <v>349</v>
      </c>
      <c r="U883" t="s">
        <v>78</v>
      </c>
    </row>
    <row r="884" spans="1:21">
      <c r="A884" t="s">
        <v>2559</v>
      </c>
      <c r="B884" s="20">
        <v>45736</v>
      </c>
      <c r="C884" s="20">
        <v>45716</v>
      </c>
      <c r="D884" t="s">
        <v>149</v>
      </c>
      <c r="E884" t="s">
        <v>150</v>
      </c>
      <c r="G884" t="s">
        <v>2994</v>
      </c>
      <c r="H884" t="s">
        <v>1179</v>
      </c>
      <c r="I884" t="s">
        <v>1180</v>
      </c>
      <c r="J884" s="8" t="str">
        <f>+LEFT(U884,4)</f>
        <v>GLID</v>
      </c>
      <c r="K884" t="s">
        <v>10</v>
      </c>
      <c r="L884" s="47">
        <v>2020</v>
      </c>
      <c r="M884" t="s">
        <v>1472</v>
      </c>
      <c r="N884" t="s">
        <v>11</v>
      </c>
      <c r="O884" s="50">
        <v>3.6753999999999998</v>
      </c>
      <c r="P884" s="9">
        <f>ROUND(O884*L884,2)</f>
        <v>7424.31</v>
      </c>
      <c r="Q884" s="10">
        <f>IF(N884="HKD",7.8,IF(N884="CNY",7.30034,1))</f>
        <v>7.3003400000000003</v>
      </c>
      <c r="R884" s="10">
        <f>+ROUND(O884/Q884,4)</f>
        <v>0.50349999999999995</v>
      </c>
      <c r="S884" s="11">
        <f>ROUND(R884*L884,2)</f>
        <v>1017.07</v>
      </c>
      <c r="T884" s="10" t="s">
        <v>349</v>
      </c>
      <c r="U884" t="s">
        <v>78</v>
      </c>
    </row>
    <row r="885" spans="1:21">
      <c r="A885" t="s">
        <v>2553</v>
      </c>
      <c r="B885" s="20">
        <v>45736</v>
      </c>
      <c r="C885" s="20">
        <v>45716</v>
      </c>
      <c r="D885" t="s">
        <v>149</v>
      </c>
      <c r="E885" t="s">
        <v>150</v>
      </c>
      <c r="G885" t="s">
        <v>2994</v>
      </c>
      <c r="H885" t="s">
        <v>3171</v>
      </c>
      <c r="I885" t="s">
        <v>1180</v>
      </c>
      <c r="J885" s="8" t="str">
        <f>+LEFT(U885,4)</f>
        <v>GLID</v>
      </c>
      <c r="K885" t="s">
        <v>10</v>
      </c>
      <c r="L885" s="47">
        <v>1030</v>
      </c>
      <c r="M885" t="s">
        <v>1472</v>
      </c>
      <c r="N885" t="s">
        <v>11</v>
      </c>
      <c r="O885" s="50">
        <v>3.7364999999999999</v>
      </c>
      <c r="P885" s="9">
        <f>ROUND(O885*L885,2)</f>
        <v>3848.6</v>
      </c>
      <c r="Q885" s="10">
        <f>IF(N885="HKD",7.8,IF(N885="CNY",7.30034,1))</f>
        <v>7.3003400000000003</v>
      </c>
      <c r="R885" s="10">
        <f>+ROUND(O885/Q885,4)</f>
        <v>0.51180000000000003</v>
      </c>
      <c r="S885" s="11">
        <f>ROUND(R885*L885,2)</f>
        <v>527.15</v>
      </c>
      <c r="T885" s="10" t="s">
        <v>349</v>
      </c>
      <c r="U885" t="s">
        <v>78</v>
      </c>
    </row>
    <row r="886" spans="1:21">
      <c r="A886" t="s">
        <v>2645</v>
      </c>
      <c r="B886" s="20">
        <v>45736</v>
      </c>
      <c r="C886" s="20">
        <v>45721</v>
      </c>
      <c r="D886" t="s">
        <v>149</v>
      </c>
      <c r="E886" t="s">
        <v>150</v>
      </c>
      <c r="G886" t="s">
        <v>2994</v>
      </c>
      <c r="H886" t="s">
        <v>3211</v>
      </c>
      <c r="I886" t="s">
        <v>3418</v>
      </c>
      <c r="J886" s="8" t="str">
        <f>+LEFT(U886,4)</f>
        <v>GLID</v>
      </c>
      <c r="K886" t="s">
        <v>10</v>
      </c>
      <c r="L886" s="47">
        <v>1010</v>
      </c>
      <c r="M886" t="s">
        <v>1472</v>
      </c>
      <c r="N886" t="s">
        <v>11</v>
      </c>
      <c r="O886" s="50">
        <v>5.1798000000000002</v>
      </c>
      <c r="P886" s="9">
        <f>ROUND(O886*L886,2)</f>
        <v>5231.6000000000004</v>
      </c>
      <c r="Q886" s="10">
        <f>IF(N886="HKD",7.8,IF(N886="CNY",7.30034,1))</f>
        <v>7.3003400000000003</v>
      </c>
      <c r="R886" s="10">
        <f>+ROUND(O886/Q886,4)</f>
        <v>0.70950000000000002</v>
      </c>
      <c r="S886" s="11">
        <f>ROUND(R886*L886,2)</f>
        <v>716.6</v>
      </c>
      <c r="T886" s="10" t="s">
        <v>349</v>
      </c>
      <c r="U886" t="s">
        <v>78</v>
      </c>
    </row>
    <row r="887" spans="1:21">
      <c r="A887" t="s">
        <v>2539</v>
      </c>
      <c r="B887" s="20">
        <v>45736</v>
      </c>
      <c r="C887" s="20">
        <v>45714</v>
      </c>
      <c r="D887" t="s">
        <v>830</v>
      </c>
      <c r="E887" t="s">
        <v>831</v>
      </c>
      <c r="G887" t="s">
        <v>2985</v>
      </c>
      <c r="H887" t="s">
        <v>3166</v>
      </c>
      <c r="I887" t="s">
        <v>3376</v>
      </c>
      <c r="J887" s="8" t="str">
        <f>+LEFT(U887,4)</f>
        <v>LID-</v>
      </c>
      <c r="K887" t="s">
        <v>98</v>
      </c>
      <c r="L887" s="47">
        <v>1920</v>
      </c>
      <c r="M887" t="s">
        <v>1472</v>
      </c>
      <c r="N887" t="s">
        <v>11</v>
      </c>
      <c r="O887" s="50">
        <v>4.2</v>
      </c>
      <c r="P887" s="9">
        <f>ROUND(O887*L887,2)</f>
        <v>8064</v>
      </c>
      <c r="Q887" s="10">
        <f>IF(N887="HKD",7.8,IF(N887="CNY",7.30034,1))</f>
        <v>7.3003400000000003</v>
      </c>
      <c r="R887" s="10">
        <f>+ROUND(O887/Q887,4)</f>
        <v>0.57530000000000003</v>
      </c>
      <c r="S887" s="11">
        <f>ROUND(R887*L887,2)</f>
        <v>1104.58</v>
      </c>
      <c r="T887" s="10" t="s">
        <v>349</v>
      </c>
      <c r="U887" t="s">
        <v>368</v>
      </c>
    </row>
    <row r="888" spans="1:21">
      <c r="A888" t="s">
        <v>2536</v>
      </c>
      <c r="B888" s="20">
        <v>45736</v>
      </c>
      <c r="C888" s="20">
        <v>45714</v>
      </c>
      <c r="D888" t="s">
        <v>94</v>
      </c>
      <c r="E888" t="s">
        <v>95</v>
      </c>
      <c r="G888" t="s">
        <v>2974</v>
      </c>
      <c r="H888" t="s">
        <v>3165</v>
      </c>
      <c r="I888" t="s">
        <v>3375</v>
      </c>
      <c r="J888" s="8" t="str">
        <f>+LEFT(U888,4)</f>
        <v>LID-</v>
      </c>
      <c r="K888" t="s">
        <v>98</v>
      </c>
      <c r="L888" s="47">
        <v>1272</v>
      </c>
      <c r="M888" t="s">
        <v>1472</v>
      </c>
      <c r="N888" t="s">
        <v>11</v>
      </c>
      <c r="O888" s="50">
        <v>4.37</v>
      </c>
      <c r="P888" s="9">
        <f>ROUND(O888*L888,2)</f>
        <v>5558.64</v>
      </c>
      <c r="Q888" s="10">
        <f>IF(N888="HKD",7.8,IF(N888="CNY",7.30034,1))</f>
        <v>7.3003400000000003</v>
      </c>
      <c r="R888" s="10">
        <f>+ROUND(O888/Q888,4)</f>
        <v>0.59860000000000002</v>
      </c>
      <c r="S888" s="11">
        <f>ROUND(R888*L888,2)</f>
        <v>761.42</v>
      </c>
      <c r="T888" s="10" t="s">
        <v>349</v>
      </c>
      <c r="U888" t="s">
        <v>368</v>
      </c>
    </row>
    <row r="889" spans="1:21">
      <c r="A889" t="s">
        <v>2537</v>
      </c>
      <c r="B889" s="20">
        <v>45736</v>
      </c>
      <c r="C889" s="20">
        <v>45714</v>
      </c>
      <c r="D889" t="s">
        <v>94</v>
      </c>
      <c r="E889" t="s">
        <v>95</v>
      </c>
      <c r="G889" t="s">
        <v>2974</v>
      </c>
      <c r="H889" t="s">
        <v>3165</v>
      </c>
      <c r="I889" t="s">
        <v>3375</v>
      </c>
      <c r="J889" s="8" t="str">
        <f>+LEFT(U889,4)</f>
        <v>LID-</v>
      </c>
      <c r="K889" t="s">
        <v>98</v>
      </c>
      <c r="L889" s="47">
        <v>111</v>
      </c>
      <c r="M889" t="s">
        <v>1472</v>
      </c>
      <c r="N889" t="s">
        <v>11</v>
      </c>
      <c r="O889" s="50">
        <v>4.37</v>
      </c>
      <c r="P889" s="9">
        <f>ROUND(O889*L889,2)</f>
        <v>485.07</v>
      </c>
      <c r="Q889" s="10">
        <f>IF(N889="HKD",7.8,IF(N889="CNY",7.30034,1))</f>
        <v>7.3003400000000003</v>
      </c>
      <c r="R889" s="10">
        <f>+ROUND(O889/Q889,4)</f>
        <v>0.59860000000000002</v>
      </c>
      <c r="S889" s="11">
        <f>ROUND(R889*L889,2)</f>
        <v>66.44</v>
      </c>
      <c r="T889" s="10" t="s">
        <v>349</v>
      </c>
      <c r="U889" t="s">
        <v>368</v>
      </c>
    </row>
    <row r="890" spans="1:21">
      <c r="A890" t="s">
        <v>2433</v>
      </c>
      <c r="B890" s="20">
        <v>45736</v>
      </c>
      <c r="C890" s="20">
        <v>45702</v>
      </c>
      <c r="D890" t="s">
        <v>295</v>
      </c>
      <c r="E890" t="s">
        <v>296</v>
      </c>
      <c r="G890" t="s">
        <v>2934</v>
      </c>
      <c r="H890" t="s">
        <v>3122</v>
      </c>
      <c r="I890" t="s">
        <v>3332</v>
      </c>
      <c r="J890" s="8" t="str">
        <f>+LEFT(U890,4)</f>
        <v>SHDL</v>
      </c>
      <c r="K890" t="s">
        <v>10</v>
      </c>
      <c r="L890" s="47">
        <v>8200</v>
      </c>
      <c r="M890" t="s">
        <v>1472</v>
      </c>
      <c r="N890" t="s">
        <v>11</v>
      </c>
      <c r="O890" s="50">
        <v>1.7226999999999999</v>
      </c>
      <c r="P890" s="9">
        <f>ROUND(O890*L890,2)</f>
        <v>14126.14</v>
      </c>
      <c r="Q890" s="10">
        <f>IF(N890="HKD",7.8,IF(N890="CNY",7.30034,1))</f>
        <v>7.3003400000000003</v>
      </c>
      <c r="R890" s="10">
        <f>+ROUND(O890/Q890,4)</f>
        <v>0.23599999999999999</v>
      </c>
      <c r="S890" s="11">
        <f>ROUND(R890*L890,2)</f>
        <v>1935.2</v>
      </c>
      <c r="T890" s="10" t="s">
        <v>349</v>
      </c>
      <c r="U890" t="s">
        <v>722</v>
      </c>
    </row>
    <row r="891" spans="1:21">
      <c r="A891" t="s">
        <v>2796</v>
      </c>
      <c r="B891" s="20">
        <v>45736</v>
      </c>
      <c r="C891" s="20">
        <v>45735</v>
      </c>
      <c r="D891" t="s">
        <v>5</v>
      </c>
      <c r="E891" t="s">
        <v>6</v>
      </c>
      <c r="G891" t="s">
        <v>3052</v>
      </c>
      <c r="H891" t="s">
        <v>1660</v>
      </c>
      <c r="I891" t="s">
        <v>1661</v>
      </c>
      <c r="J891" s="8" t="str">
        <f>+LEFT(U891,4)</f>
        <v>SHTS</v>
      </c>
      <c r="K891" t="s">
        <v>10</v>
      </c>
      <c r="L891" s="47">
        <v>2010</v>
      </c>
      <c r="M891" t="s">
        <v>1472</v>
      </c>
      <c r="N891" t="s">
        <v>11</v>
      </c>
      <c r="O891" s="50">
        <v>2.0099999999999998</v>
      </c>
      <c r="P891" s="9">
        <f>ROUND(O891*L891,2)</f>
        <v>4040.1</v>
      </c>
      <c r="Q891" s="10">
        <f>IF(N891="HKD",7.8,IF(N891="CNY",7.30034,1))</f>
        <v>7.3003400000000003</v>
      </c>
      <c r="R891" s="10">
        <f>+ROUND(O891/Q891,4)</f>
        <v>0.27529999999999999</v>
      </c>
      <c r="S891" s="11">
        <f>ROUND(R891*L891,2)</f>
        <v>553.35</v>
      </c>
      <c r="T891" s="10" t="s">
        <v>349</v>
      </c>
      <c r="U891" t="s">
        <v>9</v>
      </c>
    </row>
    <row r="892" spans="1:21">
      <c r="A892" t="s">
        <v>2793</v>
      </c>
      <c r="B892" s="20">
        <v>45736</v>
      </c>
      <c r="C892" s="20">
        <v>45735</v>
      </c>
      <c r="D892" t="s">
        <v>5</v>
      </c>
      <c r="E892" t="s">
        <v>6</v>
      </c>
      <c r="G892" t="s">
        <v>3052</v>
      </c>
      <c r="H892" t="s">
        <v>509</v>
      </c>
      <c r="I892" t="s">
        <v>510</v>
      </c>
      <c r="J892" s="8" t="str">
        <f>+LEFT(U892,4)</f>
        <v>SHTS</v>
      </c>
      <c r="K892" t="s">
        <v>10</v>
      </c>
      <c r="L892" s="47">
        <v>1010</v>
      </c>
      <c r="M892" t="s">
        <v>1472</v>
      </c>
      <c r="N892" t="s">
        <v>11</v>
      </c>
      <c r="O892" s="50">
        <v>2.46</v>
      </c>
      <c r="P892" s="9">
        <f>ROUND(O892*L892,2)</f>
        <v>2484.6</v>
      </c>
      <c r="Q892" s="10">
        <f>IF(N892="HKD",7.8,IF(N892="CNY",7.30034,1))</f>
        <v>7.3003400000000003</v>
      </c>
      <c r="R892" s="10">
        <f>+ROUND(O892/Q892,4)</f>
        <v>0.33700000000000002</v>
      </c>
      <c r="S892" s="11">
        <f>ROUND(R892*L892,2)</f>
        <v>340.37</v>
      </c>
      <c r="T892" s="10" t="s">
        <v>349</v>
      </c>
      <c r="U892" t="s">
        <v>9</v>
      </c>
    </row>
    <row r="893" spans="1:21">
      <c r="A893" t="s">
        <v>2792</v>
      </c>
      <c r="B893" s="20">
        <v>45736</v>
      </c>
      <c r="C893" s="20">
        <v>45735</v>
      </c>
      <c r="D893" t="s">
        <v>5</v>
      </c>
      <c r="E893" t="s">
        <v>6</v>
      </c>
      <c r="G893" t="s">
        <v>3052</v>
      </c>
      <c r="H893" t="s">
        <v>512</v>
      </c>
      <c r="I893" t="s">
        <v>513</v>
      </c>
      <c r="J893" s="8" t="str">
        <f>+LEFT(U893,4)</f>
        <v>SHTS</v>
      </c>
      <c r="K893" t="s">
        <v>10</v>
      </c>
      <c r="L893" s="47">
        <v>1010</v>
      </c>
      <c r="M893" t="s">
        <v>1472</v>
      </c>
      <c r="N893" t="s">
        <v>11</v>
      </c>
      <c r="O893" s="50">
        <v>2.56</v>
      </c>
      <c r="P893" s="9">
        <f>ROUND(O893*L893,2)</f>
        <v>2585.6</v>
      </c>
      <c r="Q893" s="10">
        <f>IF(N893="HKD",7.8,IF(N893="CNY",7.30034,1))</f>
        <v>7.3003400000000003</v>
      </c>
      <c r="R893" s="10">
        <f>+ROUND(O893/Q893,4)</f>
        <v>0.35070000000000001</v>
      </c>
      <c r="S893" s="11">
        <f>ROUND(R893*L893,2)</f>
        <v>354.21</v>
      </c>
      <c r="T893" s="10" t="s">
        <v>349</v>
      </c>
      <c r="U893" t="s">
        <v>9</v>
      </c>
    </row>
    <row r="894" spans="1:21">
      <c r="A894" t="s">
        <v>2795</v>
      </c>
      <c r="B894" s="20">
        <v>45736</v>
      </c>
      <c r="C894" s="20">
        <v>45735</v>
      </c>
      <c r="D894" t="s">
        <v>5</v>
      </c>
      <c r="E894" t="s">
        <v>6</v>
      </c>
      <c r="G894" t="s">
        <v>3052</v>
      </c>
      <c r="H894" t="s">
        <v>503</v>
      </c>
      <c r="I894" t="s">
        <v>504</v>
      </c>
      <c r="J894" s="8" t="str">
        <f>+LEFT(U894,4)</f>
        <v>SHTS</v>
      </c>
      <c r="K894" t="s">
        <v>10</v>
      </c>
      <c r="L894" s="47">
        <v>1010</v>
      </c>
      <c r="M894" t="s">
        <v>1472</v>
      </c>
      <c r="N894" t="s">
        <v>11</v>
      </c>
      <c r="O894" s="50">
        <v>2.84</v>
      </c>
      <c r="P894" s="9">
        <f>ROUND(O894*L894,2)</f>
        <v>2868.4</v>
      </c>
      <c r="Q894" s="10">
        <f>IF(N894="HKD",7.8,IF(N894="CNY",7.30034,1))</f>
        <v>7.3003400000000003</v>
      </c>
      <c r="R894" s="10">
        <f>+ROUND(O894/Q894,4)</f>
        <v>0.38900000000000001</v>
      </c>
      <c r="S894" s="11">
        <f>ROUND(R894*L894,2)</f>
        <v>392.89</v>
      </c>
      <c r="T894" s="10" t="s">
        <v>349</v>
      </c>
      <c r="U894" t="s">
        <v>9</v>
      </c>
    </row>
    <row r="895" spans="1:21">
      <c r="A895" t="s">
        <v>2794</v>
      </c>
      <c r="B895" s="20">
        <v>45736</v>
      </c>
      <c r="C895" s="20">
        <v>45735</v>
      </c>
      <c r="D895" t="s">
        <v>5</v>
      </c>
      <c r="E895" t="s">
        <v>6</v>
      </c>
      <c r="G895" t="s">
        <v>3052</v>
      </c>
      <c r="H895" t="s">
        <v>506</v>
      </c>
      <c r="I895" t="s">
        <v>507</v>
      </c>
      <c r="J895" s="8" t="str">
        <f>+LEFT(U895,4)</f>
        <v>SHTS</v>
      </c>
      <c r="K895" t="s">
        <v>10</v>
      </c>
      <c r="L895" s="47">
        <v>1010</v>
      </c>
      <c r="M895" t="s">
        <v>1472</v>
      </c>
      <c r="N895" t="s">
        <v>11</v>
      </c>
      <c r="O895" s="50">
        <v>2.86</v>
      </c>
      <c r="P895" s="9">
        <f>ROUND(O895*L895,2)</f>
        <v>2888.6</v>
      </c>
      <c r="Q895" s="10">
        <f>IF(N895="HKD",7.8,IF(N895="CNY",7.30034,1))</f>
        <v>7.3003400000000003</v>
      </c>
      <c r="R895" s="10">
        <f>+ROUND(O895/Q895,4)</f>
        <v>0.39179999999999998</v>
      </c>
      <c r="S895" s="11">
        <f>ROUND(R895*L895,2)</f>
        <v>395.72</v>
      </c>
      <c r="T895" s="10" t="s">
        <v>349</v>
      </c>
      <c r="U895" t="s">
        <v>9</v>
      </c>
    </row>
    <row r="896" spans="1:21">
      <c r="A896" t="s">
        <v>2798</v>
      </c>
      <c r="B896" s="20">
        <v>45736</v>
      </c>
      <c r="C896" s="20">
        <v>45735</v>
      </c>
      <c r="D896" t="s">
        <v>5</v>
      </c>
      <c r="E896" t="s">
        <v>6</v>
      </c>
      <c r="G896" t="s">
        <v>3052</v>
      </c>
      <c r="H896" t="s">
        <v>3265</v>
      </c>
      <c r="I896" t="s">
        <v>3472</v>
      </c>
      <c r="J896" s="8" t="str">
        <f>+LEFT(U896,4)</f>
        <v>SHTS</v>
      </c>
      <c r="K896" t="s">
        <v>10</v>
      </c>
      <c r="L896" s="47">
        <v>1010</v>
      </c>
      <c r="M896" t="s">
        <v>1472</v>
      </c>
      <c r="N896" t="s">
        <v>11</v>
      </c>
      <c r="O896" s="50">
        <v>3.02</v>
      </c>
      <c r="P896" s="9">
        <f>ROUND(O896*L896,2)</f>
        <v>3050.2</v>
      </c>
      <c r="Q896" s="10">
        <f>IF(N896="HKD",7.8,IF(N896="CNY",7.30034,1))</f>
        <v>7.3003400000000003</v>
      </c>
      <c r="R896" s="10">
        <f>+ROUND(O896/Q896,4)</f>
        <v>0.41370000000000001</v>
      </c>
      <c r="S896" s="11">
        <f>ROUND(R896*L896,2)</f>
        <v>417.84</v>
      </c>
      <c r="T896" s="10" t="s">
        <v>349</v>
      </c>
      <c r="U896" t="s">
        <v>9</v>
      </c>
    </row>
    <row r="897" spans="1:21">
      <c r="A897" t="s">
        <v>2560</v>
      </c>
      <c r="B897" s="20">
        <v>45735</v>
      </c>
      <c r="C897" s="20">
        <v>45716</v>
      </c>
      <c r="D897" t="s">
        <v>696</v>
      </c>
      <c r="E897" t="s">
        <v>697</v>
      </c>
      <c r="G897" t="s">
        <v>2996</v>
      </c>
      <c r="H897" t="s">
        <v>3175</v>
      </c>
      <c r="I897" t="s">
        <v>3382</v>
      </c>
      <c r="J897" s="8" t="str">
        <f>+LEFT(U897,4)</f>
        <v>GLID</v>
      </c>
      <c r="K897" t="s">
        <v>10</v>
      </c>
      <c r="L897" s="47">
        <v>1010</v>
      </c>
      <c r="M897" t="s">
        <v>1472</v>
      </c>
      <c r="N897" t="s">
        <v>11</v>
      </c>
      <c r="O897" s="50">
        <v>7.12</v>
      </c>
      <c r="P897" s="9">
        <f>ROUND(O897*L897,2)</f>
        <v>7191.2</v>
      </c>
      <c r="Q897" s="10">
        <f>IF(N897="HKD",7.8,IF(N897="CNY",7.30034,1))</f>
        <v>7.3003400000000003</v>
      </c>
      <c r="R897" s="10">
        <f>+ROUND(O897/Q897,4)</f>
        <v>0.97529999999999994</v>
      </c>
      <c r="S897" s="11">
        <f>ROUND(R897*L897,2)</f>
        <v>985.05</v>
      </c>
      <c r="T897" s="10" t="s">
        <v>349</v>
      </c>
      <c r="U897" t="s">
        <v>78</v>
      </c>
    </row>
    <row r="898" spans="1:21">
      <c r="A898" t="s">
        <v>2561</v>
      </c>
      <c r="B898" s="20">
        <v>45735</v>
      </c>
      <c r="C898" s="20">
        <v>45716</v>
      </c>
      <c r="D898" t="s">
        <v>696</v>
      </c>
      <c r="E898" t="s">
        <v>697</v>
      </c>
      <c r="G898" t="s">
        <v>2996</v>
      </c>
      <c r="H898" t="s">
        <v>3176</v>
      </c>
      <c r="I898" t="s">
        <v>3383</v>
      </c>
      <c r="J898" s="8" t="str">
        <f>+LEFT(U898,4)</f>
        <v>GLID</v>
      </c>
      <c r="K898" t="s">
        <v>10</v>
      </c>
      <c r="L898" s="47">
        <v>1010</v>
      </c>
      <c r="M898" t="s">
        <v>1472</v>
      </c>
      <c r="N898" t="s">
        <v>11</v>
      </c>
      <c r="O898" s="50">
        <v>8.6300000000000008</v>
      </c>
      <c r="P898" s="9">
        <f>ROUND(O898*L898,2)</f>
        <v>8716.2999999999993</v>
      </c>
      <c r="Q898" s="10">
        <f>IF(N898="HKD",7.8,IF(N898="CNY",7.30034,1))</f>
        <v>7.3003400000000003</v>
      </c>
      <c r="R898" s="10">
        <f>+ROUND(O898/Q898,4)</f>
        <v>1.1820999999999999</v>
      </c>
      <c r="S898" s="11">
        <f>ROUND(R898*L898,2)</f>
        <v>1193.92</v>
      </c>
      <c r="T898" s="10" t="s">
        <v>349</v>
      </c>
      <c r="U898" t="s">
        <v>78</v>
      </c>
    </row>
    <row r="899" spans="1:21">
      <c r="A899" t="s">
        <v>2442</v>
      </c>
      <c r="B899" s="20">
        <v>45735</v>
      </c>
      <c r="C899" s="20">
        <v>45702</v>
      </c>
      <c r="D899" t="s">
        <v>2819</v>
      </c>
      <c r="E899" t="s">
        <v>2820</v>
      </c>
      <c r="G899" t="s">
        <v>2939</v>
      </c>
      <c r="H899" t="s">
        <v>3128</v>
      </c>
      <c r="I899" t="s">
        <v>3338</v>
      </c>
      <c r="J899" s="8" t="str">
        <f>+LEFT(U899,4)</f>
        <v>HDL-</v>
      </c>
      <c r="K899" t="s">
        <v>10</v>
      </c>
      <c r="L899" s="47">
        <v>1000</v>
      </c>
      <c r="M899" t="s">
        <v>1472</v>
      </c>
      <c r="N899" t="s">
        <v>11</v>
      </c>
      <c r="O899" s="50">
        <v>7.4500999999999999</v>
      </c>
      <c r="P899" s="9">
        <f>ROUND(O899*L899,2)</f>
        <v>7450.1</v>
      </c>
      <c r="Q899" s="10">
        <f>IF(N899="HKD",7.8,IF(N899="CNY",7.30034,1))</f>
        <v>7.3003400000000003</v>
      </c>
      <c r="R899" s="10">
        <f>+ROUND(O899/Q899,4)</f>
        <v>1.0205</v>
      </c>
      <c r="S899" s="11">
        <f>ROUND(R899*L899,2)</f>
        <v>1020.5</v>
      </c>
      <c r="T899" s="10" t="s">
        <v>349</v>
      </c>
      <c r="U899" t="s">
        <v>228</v>
      </c>
    </row>
    <row r="900" spans="1:21">
      <c r="A900" t="s">
        <v>2443</v>
      </c>
      <c r="B900" s="20">
        <v>45735</v>
      </c>
      <c r="C900" s="20">
        <v>45702</v>
      </c>
      <c r="D900" t="s">
        <v>2819</v>
      </c>
      <c r="E900" t="s">
        <v>2820</v>
      </c>
      <c r="G900" t="s">
        <v>2939</v>
      </c>
      <c r="H900" t="s">
        <v>3129</v>
      </c>
      <c r="I900" t="s">
        <v>3339</v>
      </c>
      <c r="J900" s="8" t="str">
        <f>+LEFT(U900,4)</f>
        <v>HDL-</v>
      </c>
      <c r="K900" t="s">
        <v>10</v>
      </c>
      <c r="L900" s="47">
        <v>1000</v>
      </c>
      <c r="M900" t="s">
        <v>1472</v>
      </c>
      <c r="N900" t="s">
        <v>11</v>
      </c>
      <c r="O900" s="50">
        <v>7.4500999999999999</v>
      </c>
      <c r="P900" s="9">
        <f>ROUND(O900*L900,2)</f>
        <v>7450.1</v>
      </c>
      <c r="Q900" s="10">
        <f>IF(N900="HKD",7.8,IF(N900="CNY",7.30034,1))</f>
        <v>7.3003400000000003</v>
      </c>
      <c r="R900" s="10">
        <f>+ROUND(O900/Q900,4)</f>
        <v>1.0205</v>
      </c>
      <c r="S900" s="11">
        <f>ROUND(R900*L900,2)</f>
        <v>1020.5</v>
      </c>
      <c r="T900" s="10" t="s">
        <v>349</v>
      </c>
      <c r="U900" t="s">
        <v>228</v>
      </c>
    </row>
    <row r="901" spans="1:21">
      <c r="A901" t="s">
        <v>2447</v>
      </c>
      <c r="B901" s="20">
        <v>45735</v>
      </c>
      <c r="C901" s="20">
        <v>45702</v>
      </c>
      <c r="D901" t="s">
        <v>2819</v>
      </c>
      <c r="E901" t="s">
        <v>2820</v>
      </c>
      <c r="G901" t="s">
        <v>2939</v>
      </c>
      <c r="H901" t="s">
        <v>3133</v>
      </c>
      <c r="I901" t="s">
        <v>3343</v>
      </c>
      <c r="J901" s="8" t="str">
        <f>+LEFT(U901,4)</f>
        <v>HDL-</v>
      </c>
      <c r="K901" t="s">
        <v>10</v>
      </c>
      <c r="L901" s="47">
        <v>1030</v>
      </c>
      <c r="M901" t="s">
        <v>1472</v>
      </c>
      <c r="N901" t="s">
        <v>11</v>
      </c>
      <c r="O901" s="50">
        <v>7.4577999999999998</v>
      </c>
      <c r="P901" s="9">
        <f>ROUND(O901*L901,2)</f>
        <v>7681.53</v>
      </c>
      <c r="Q901" s="10">
        <f>IF(N901="HKD",7.8,IF(N901="CNY",7.30034,1))</f>
        <v>7.3003400000000003</v>
      </c>
      <c r="R901" s="10">
        <f>+ROUND(O901/Q901,4)</f>
        <v>1.0216000000000001</v>
      </c>
      <c r="S901" s="11">
        <f>ROUND(R901*L901,2)</f>
        <v>1052.25</v>
      </c>
      <c r="T901" s="10" t="s">
        <v>349</v>
      </c>
      <c r="U901" t="s">
        <v>228</v>
      </c>
    </row>
    <row r="902" spans="1:21">
      <c r="A902" t="s">
        <v>2448</v>
      </c>
      <c r="B902" s="20">
        <v>45735</v>
      </c>
      <c r="C902" s="20">
        <v>45702</v>
      </c>
      <c r="D902" t="s">
        <v>2819</v>
      </c>
      <c r="E902" t="s">
        <v>2820</v>
      </c>
      <c r="G902" t="s">
        <v>2939</v>
      </c>
      <c r="H902" t="s">
        <v>3134</v>
      </c>
      <c r="I902" t="s">
        <v>3344</v>
      </c>
      <c r="J902" s="8" t="str">
        <f>+LEFT(U902,4)</f>
        <v>HDL-</v>
      </c>
      <c r="K902" t="s">
        <v>10</v>
      </c>
      <c r="L902" s="47">
        <v>1040</v>
      </c>
      <c r="M902" t="s">
        <v>1472</v>
      </c>
      <c r="N902" t="s">
        <v>11</v>
      </c>
      <c r="O902" s="50">
        <v>8.0116999999999994</v>
      </c>
      <c r="P902" s="9">
        <f>ROUND(O902*L902,2)</f>
        <v>8332.17</v>
      </c>
      <c r="Q902" s="10">
        <f>IF(N902="HKD",7.8,IF(N902="CNY",7.30034,1))</f>
        <v>7.3003400000000003</v>
      </c>
      <c r="R902" s="10">
        <f>+ROUND(O902/Q902,4)</f>
        <v>1.0973999999999999</v>
      </c>
      <c r="S902" s="11">
        <f>ROUND(R902*L902,2)</f>
        <v>1141.3</v>
      </c>
      <c r="T902" s="10" t="s">
        <v>349</v>
      </c>
      <c r="U902" t="s">
        <v>228</v>
      </c>
    </row>
    <row r="903" spans="1:21">
      <c r="A903" t="s">
        <v>2445</v>
      </c>
      <c r="B903" s="20">
        <v>45735</v>
      </c>
      <c r="C903" s="20">
        <v>45702</v>
      </c>
      <c r="D903" t="s">
        <v>2819</v>
      </c>
      <c r="E903" t="s">
        <v>2820</v>
      </c>
      <c r="G903" t="s">
        <v>2939</v>
      </c>
      <c r="H903" t="s">
        <v>3131</v>
      </c>
      <c r="I903" t="s">
        <v>3341</v>
      </c>
      <c r="J903" s="8" t="str">
        <f>+LEFT(U903,4)</f>
        <v>HDL-</v>
      </c>
      <c r="K903" t="s">
        <v>10</v>
      </c>
      <c r="L903" s="47">
        <v>950</v>
      </c>
      <c r="M903" t="s">
        <v>1472</v>
      </c>
      <c r="N903" t="s">
        <v>11</v>
      </c>
      <c r="O903" s="50">
        <v>8.0311000000000003</v>
      </c>
      <c r="P903" s="9">
        <f>ROUND(O903*L903,2)</f>
        <v>7629.55</v>
      </c>
      <c r="Q903" s="10">
        <f>IF(N903="HKD",7.8,IF(N903="CNY",7.30034,1))</f>
        <v>7.3003400000000003</v>
      </c>
      <c r="R903" s="10">
        <f>+ROUND(O903/Q903,4)</f>
        <v>1.1001000000000001</v>
      </c>
      <c r="S903" s="11">
        <f>ROUND(R903*L903,2)</f>
        <v>1045.0999999999999</v>
      </c>
      <c r="T903" s="10" t="s">
        <v>349</v>
      </c>
      <c r="U903" t="s">
        <v>228</v>
      </c>
    </row>
    <row r="904" spans="1:21">
      <c r="A904" t="s">
        <v>2444</v>
      </c>
      <c r="B904" s="20">
        <v>45735</v>
      </c>
      <c r="C904" s="20">
        <v>45702</v>
      </c>
      <c r="D904" t="s">
        <v>2819</v>
      </c>
      <c r="E904" t="s">
        <v>2820</v>
      </c>
      <c r="G904" t="s">
        <v>2939</v>
      </c>
      <c r="H904" t="s">
        <v>3130</v>
      </c>
      <c r="I904" t="s">
        <v>3340</v>
      </c>
      <c r="J904" s="8" t="str">
        <f>+LEFT(U904,4)</f>
        <v>HDL-</v>
      </c>
      <c r="K904" t="s">
        <v>10</v>
      </c>
      <c r="L904" s="47">
        <v>950</v>
      </c>
      <c r="M904" t="s">
        <v>1472</v>
      </c>
      <c r="N904" t="s">
        <v>11</v>
      </c>
      <c r="O904" s="50">
        <v>8.5591000000000008</v>
      </c>
      <c r="P904" s="9">
        <f>ROUND(O904*L904,2)</f>
        <v>8131.15</v>
      </c>
      <c r="Q904" s="10">
        <f>IF(N904="HKD",7.8,IF(N904="CNY",7.30034,1))</f>
        <v>7.3003400000000003</v>
      </c>
      <c r="R904" s="10">
        <f>+ROUND(O904/Q904,4)</f>
        <v>1.1724000000000001</v>
      </c>
      <c r="S904" s="11">
        <f>ROUND(R904*L904,2)</f>
        <v>1113.78</v>
      </c>
      <c r="T904" s="10" t="s">
        <v>349</v>
      </c>
      <c r="U904" t="s">
        <v>228</v>
      </c>
    </row>
    <row r="905" spans="1:21">
      <c r="A905" t="s">
        <v>2446</v>
      </c>
      <c r="B905" s="20">
        <v>45735</v>
      </c>
      <c r="C905" s="20">
        <v>45702</v>
      </c>
      <c r="D905" t="s">
        <v>2819</v>
      </c>
      <c r="E905" t="s">
        <v>2820</v>
      </c>
      <c r="G905" t="s">
        <v>2939</v>
      </c>
      <c r="H905" t="s">
        <v>3132</v>
      </c>
      <c r="I905" t="s">
        <v>3342</v>
      </c>
      <c r="J905" s="8" t="str">
        <f>+LEFT(U905,4)</f>
        <v>HDL-</v>
      </c>
      <c r="K905" t="s">
        <v>10</v>
      </c>
      <c r="L905" s="47">
        <v>950</v>
      </c>
      <c r="M905" t="s">
        <v>1472</v>
      </c>
      <c r="N905" t="s">
        <v>11</v>
      </c>
      <c r="O905" s="50">
        <v>8.5591000000000008</v>
      </c>
      <c r="P905" s="9">
        <f>ROUND(O905*L905,2)</f>
        <v>8131.15</v>
      </c>
      <c r="Q905" s="10">
        <f>IF(N905="HKD",7.8,IF(N905="CNY",7.30034,1))</f>
        <v>7.3003400000000003</v>
      </c>
      <c r="R905" s="10">
        <f>+ROUND(O905/Q905,4)</f>
        <v>1.1724000000000001</v>
      </c>
      <c r="S905" s="11">
        <f>ROUND(R905*L905,2)</f>
        <v>1113.78</v>
      </c>
      <c r="T905" s="10" t="s">
        <v>349</v>
      </c>
      <c r="U905" t="s">
        <v>228</v>
      </c>
    </row>
    <row r="906" spans="1:21">
      <c r="A906" t="s">
        <v>2536</v>
      </c>
      <c r="B906" s="20">
        <v>45735</v>
      </c>
      <c r="C906" s="20">
        <v>45714</v>
      </c>
      <c r="D906" t="s">
        <v>94</v>
      </c>
      <c r="E906" t="s">
        <v>95</v>
      </c>
      <c r="G906" t="s">
        <v>2975</v>
      </c>
      <c r="H906" t="s">
        <v>3165</v>
      </c>
      <c r="I906" t="s">
        <v>3375</v>
      </c>
      <c r="J906" s="8" t="str">
        <f>+LEFT(U906,4)</f>
        <v>LID-</v>
      </c>
      <c r="K906" t="s">
        <v>98</v>
      </c>
      <c r="L906" s="47">
        <v>693</v>
      </c>
      <c r="M906" t="s">
        <v>1472</v>
      </c>
      <c r="N906" t="s">
        <v>11</v>
      </c>
      <c r="O906" s="50">
        <v>4.37</v>
      </c>
      <c r="P906" s="9">
        <f>ROUND(O906*L906,2)</f>
        <v>3028.41</v>
      </c>
      <c r="Q906" s="10">
        <f>IF(N906="HKD",7.8,IF(N906="CNY",7.30034,1))</f>
        <v>7.3003400000000003</v>
      </c>
      <c r="R906" s="10">
        <f>+ROUND(O906/Q906,4)</f>
        <v>0.59860000000000002</v>
      </c>
      <c r="S906" s="11">
        <f>ROUND(R906*L906,2)</f>
        <v>414.83</v>
      </c>
      <c r="T906" s="10" t="s">
        <v>349</v>
      </c>
      <c r="U906" t="s">
        <v>368</v>
      </c>
    </row>
    <row r="907" spans="1:21">
      <c r="A907" t="s">
        <v>2351</v>
      </c>
      <c r="B907" s="20">
        <v>45735</v>
      </c>
      <c r="C907" s="20">
        <v>45680</v>
      </c>
      <c r="D907" t="s">
        <v>696</v>
      </c>
      <c r="E907" t="s">
        <v>697</v>
      </c>
      <c r="G907" t="s">
        <v>2901</v>
      </c>
      <c r="H907" t="s">
        <v>1537</v>
      </c>
      <c r="I907" t="s">
        <v>1538</v>
      </c>
      <c r="J907" s="8" t="s">
        <v>1536</v>
      </c>
      <c r="K907" t="s">
        <v>10</v>
      </c>
      <c r="L907" s="47">
        <v>1050</v>
      </c>
      <c r="M907" t="s">
        <v>1472</v>
      </c>
      <c r="N907" t="s">
        <v>11</v>
      </c>
      <c r="O907" s="50">
        <v>3.85</v>
      </c>
      <c r="P907" s="9">
        <f>ROUND(O907*L907,2)</f>
        <v>4042.5</v>
      </c>
      <c r="Q907" s="10">
        <f>IF(N907="HKD",7.8,IF(N907="CNY",7.30034,1))</f>
        <v>7.3003400000000003</v>
      </c>
      <c r="R907" s="10">
        <f>+ROUND(O907/Q907,4)</f>
        <v>0.52739999999999998</v>
      </c>
      <c r="S907" s="11">
        <f>ROUND(R907*L907,2)</f>
        <v>553.77</v>
      </c>
      <c r="T907" s="10" t="s">
        <v>349</v>
      </c>
      <c r="U907" t="s">
        <v>36</v>
      </c>
    </row>
    <row r="908" spans="1:21">
      <c r="A908" t="s">
        <v>2379</v>
      </c>
      <c r="B908" s="20">
        <v>45735</v>
      </c>
      <c r="C908" s="20">
        <v>45695</v>
      </c>
      <c r="D908" t="s">
        <v>696</v>
      </c>
      <c r="E908" t="s">
        <v>697</v>
      </c>
      <c r="G908" t="s">
        <v>2901</v>
      </c>
      <c r="H908" t="s">
        <v>1537</v>
      </c>
      <c r="I908" t="s">
        <v>1538</v>
      </c>
      <c r="J908" s="8" t="s">
        <v>1536</v>
      </c>
      <c r="K908" t="s">
        <v>10</v>
      </c>
      <c r="L908" s="47">
        <v>1900</v>
      </c>
      <c r="M908" t="s">
        <v>1472</v>
      </c>
      <c r="N908" t="s">
        <v>11</v>
      </c>
      <c r="O908" s="50">
        <v>3.85</v>
      </c>
      <c r="P908" s="9">
        <f>ROUND(O908*L908,2)</f>
        <v>7315</v>
      </c>
      <c r="Q908" s="10">
        <f>IF(N908="HKD",7.8,IF(N908="CNY",7.30034,1))</f>
        <v>7.3003400000000003</v>
      </c>
      <c r="R908" s="10">
        <f>+ROUND(O908/Q908,4)</f>
        <v>0.52739999999999998</v>
      </c>
      <c r="S908" s="11">
        <f>ROUND(R908*L908,2)</f>
        <v>1002.06</v>
      </c>
      <c r="T908" s="10" t="s">
        <v>349</v>
      </c>
      <c r="U908" t="s">
        <v>36</v>
      </c>
    </row>
    <row r="909" spans="1:21">
      <c r="A909" t="s">
        <v>2778</v>
      </c>
      <c r="B909" s="20">
        <v>45735</v>
      </c>
      <c r="C909" s="20">
        <v>45730</v>
      </c>
      <c r="D909" t="s">
        <v>696</v>
      </c>
      <c r="E909" t="s">
        <v>697</v>
      </c>
      <c r="G909" t="s">
        <v>2901</v>
      </c>
      <c r="H909" t="s">
        <v>1537</v>
      </c>
      <c r="I909" t="s">
        <v>1538</v>
      </c>
      <c r="J909" s="8" t="s">
        <v>1536</v>
      </c>
      <c r="K909" t="s">
        <v>10</v>
      </c>
      <c r="L909" s="47">
        <v>1000</v>
      </c>
      <c r="M909" t="s">
        <v>1472</v>
      </c>
      <c r="N909" t="s">
        <v>11</v>
      </c>
      <c r="O909" s="50">
        <v>3.85</v>
      </c>
      <c r="P909" s="9">
        <f>ROUND(O909*L909,2)</f>
        <v>3850</v>
      </c>
      <c r="Q909" s="10">
        <f>IF(N909="HKD",7.8,IF(N909="CNY",7.30034,1))</f>
        <v>7.3003400000000003</v>
      </c>
      <c r="R909" s="10">
        <f>+ROUND(O909/Q909,4)</f>
        <v>0.52739999999999998</v>
      </c>
      <c r="S909" s="11">
        <f>ROUND(R909*L909,2)</f>
        <v>527.4</v>
      </c>
      <c r="T909" s="10" t="s">
        <v>349</v>
      </c>
      <c r="U909" t="s">
        <v>36</v>
      </c>
    </row>
    <row r="910" spans="1:21">
      <c r="A910" t="s">
        <v>2352</v>
      </c>
      <c r="B910" s="20">
        <v>45735</v>
      </c>
      <c r="C910" s="20">
        <v>45680</v>
      </c>
      <c r="D910" t="s">
        <v>696</v>
      </c>
      <c r="E910" t="s">
        <v>697</v>
      </c>
      <c r="G910" t="s">
        <v>2901</v>
      </c>
      <c r="H910" t="s">
        <v>1541</v>
      </c>
      <c r="I910" t="s">
        <v>1542</v>
      </c>
      <c r="J910" s="8" t="s">
        <v>1536</v>
      </c>
      <c r="K910" t="s">
        <v>10</v>
      </c>
      <c r="L910" s="47">
        <v>1000</v>
      </c>
      <c r="M910" t="s">
        <v>1472</v>
      </c>
      <c r="N910" t="s">
        <v>11</v>
      </c>
      <c r="O910" s="50">
        <v>4.29</v>
      </c>
      <c r="P910" s="9">
        <f>ROUND(O910*L910,2)</f>
        <v>4290</v>
      </c>
      <c r="Q910" s="10">
        <f>IF(N910="HKD",7.8,IF(N910="CNY",7.30034,1))</f>
        <v>7.3003400000000003</v>
      </c>
      <c r="R910" s="10">
        <f>+ROUND(O910/Q910,4)</f>
        <v>0.58760000000000001</v>
      </c>
      <c r="S910" s="11">
        <f>ROUND(R910*L910,2)</f>
        <v>587.6</v>
      </c>
      <c r="T910" s="10" t="s">
        <v>349</v>
      </c>
      <c r="U910" t="s">
        <v>36</v>
      </c>
    </row>
    <row r="911" spans="1:21">
      <c r="A911" t="s">
        <v>2528</v>
      </c>
      <c r="B911" s="20">
        <v>45735</v>
      </c>
      <c r="C911" s="20">
        <v>45713</v>
      </c>
      <c r="D911" t="s">
        <v>696</v>
      </c>
      <c r="E911" t="s">
        <v>697</v>
      </c>
      <c r="G911" t="s">
        <v>2901</v>
      </c>
      <c r="H911" t="s">
        <v>1541</v>
      </c>
      <c r="I911" t="s">
        <v>1542</v>
      </c>
      <c r="J911" s="8" t="s">
        <v>1536</v>
      </c>
      <c r="K911" t="s">
        <v>10</v>
      </c>
      <c r="L911" s="47">
        <v>1000</v>
      </c>
      <c r="M911" t="s">
        <v>1472</v>
      </c>
      <c r="N911" t="s">
        <v>11</v>
      </c>
      <c r="O911" s="50">
        <v>4.29</v>
      </c>
      <c r="P911" s="9">
        <f>ROUND(O911*L911,2)</f>
        <v>4290</v>
      </c>
      <c r="Q911" s="10">
        <f>IF(N911="HKD",7.8,IF(N911="CNY",7.30034,1))</f>
        <v>7.3003400000000003</v>
      </c>
      <c r="R911" s="10">
        <f>+ROUND(O911/Q911,4)</f>
        <v>0.58760000000000001</v>
      </c>
      <c r="S911" s="11">
        <f>ROUND(R911*L911,2)</f>
        <v>587.6</v>
      </c>
      <c r="T911" s="10" t="s">
        <v>349</v>
      </c>
      <c r="U911" t="s">
        <v>36</v>
      </c>
    </row>
    <row r="912" spans="1:21">
      <c r="A912" t="s">
        <v>2353</v>
      </c>
      <c r="B912" s="20">
        <v>45735</v>
      </c>
      <c r="C912" s="20">
        <v>45680</v>
      </c>
      <c r="D912" t="s">
        <v>696</v>
      </c>
      <c r="E912" t="s">
        <v>697</v>
      </c>
      <c r="G912" t="s">
        <v>2901</v>
      </c>
      <c r="H912" t="s">
        <v>1543</v>
      </c>
      <c r="I912" t="s">
        <v>1544</v>
      </c>
      <c r="J912" s="8" t="s">
        <v>1536</v>
      </c>
      <c r="K912" t="s">
        <v>10</v>
      </c>
      <c r="L912" s="47">
        <v>1000</v>
      </c>
      <c r="M912" t="s">
        <v>1472</v>
      </c>
      <c r="N912" t="s">
        <v>11</v>
      </c>
      <c r="O912" s="50">
        <v>4.53</v>
      </c>
      <c r="P912" s="9">
        <f>ROUND(O912*L912,2)</f>
        <v>4530</v>
      </c>
      <c r="Q912" s="10">
        <f>IF(N912="HKD",7.8,IF(N912="CNY",7.30034,1))</f>
        <v>7.3003400000000003</v>
      </c>
      <c r="R912" s="10">
        <f>+ROUND(O912/Q912,4)</f>
        <v>0.62050000000000005</v>
      </c>
      <c r="S912" s="11">
        <f>ROUND(R912*L912,2)</f>
        <v>620.5</v>
      </c>
      <c r="T912" s="10" t="s">
        <v>349</v>
      </c>
      <c r="U912" t="s">
        <v>36</v>
      </c>
    </row>
    <row r="913" spans="1:21">
      <c r="A913" t="s">
        <v>2529</v>
      </c>
      <c r="B913" s="20">
        <v>45735</v>
      </c>
      <c r="C913" s="20">
        <v>45713</v>
      </c>
      <c r="D913" t="s">
        <v>696</v>
      </c>
      <c r="E913" t="s">
        <v>697</v>
      </c>
      <c r="G913" t="s">
        <v>2901</v>
      </c>
      <c r="H913" t="s">
        <v>1543</v>
      </c>
      <c r="I913" t="s">
        <v>1544</v>
      </c>
      <c r="J913" s="8" t="s">
        <v>1536</v>
      </c>
      <c r="K913" t="s">
        <v>10</v>
      </c>
      <c r="L913" s="47">
        <v>1000</v>
      </c>
      <c r="M913" t="s">
        <v>1472</v>
      </c>
      <c r="N913" t="s">
        <v>11</v>
      </c>
      <c r="O913" s="50">
        <v>4.53</v>
      </c>
      <c r="P913" s="9">
        <f>ROUND(O913*L913,2)</f>
        <v>4530</v>
      </c>
      <c r="Q913" s="10">
        <f>IF(N913="HKD",7.8,IF(N913="CNY",7.30034,1))</f>
        <v>7.3003400000000003</v>
      </c>
      <c r="R913" s="10">
        <f>+ROUND(O913/Q913,4)</f>
        <v>0.62050000000000005</v>
      </c>
      <c r="S913" s="11">
        <f>ROUND(R913*L913,2)</f>
        <v>620.5</v>
      </c>
      <c r="T913" s="10" t="s">
        <v>349</v>
      </c>
      <c r="U913" t="s">
        <v>36</v>
      </c>
    </row>
    <row r="914" spans="1:21">
      <c r="A914" t="s">
        <v>2354</v>
      </c>
      <c r="B914" s="20">
        <v>45735</v>
      </c>
      <c r="C914" s="20">
        <v>45680</v>
      </c>
      <c r="D914" t="s">
        <v>696</v>
      </c>
      <c r="E914" t="s">
        <v>697</v>
      </c>
      <c r="G914" t="s">
        <v>2902</v>
      </c>
      <c r="H914" t="s">
        <v>694</v>
      </c>
      <c r="I914" t="s">
        <v>695</v>
      </c>
      <c r="J914" s="8" t="s">
        <v>1536</v>
      </c>
      <c r="K914" t="s">
        <v>10</v>
      </c>
      <c r="L914" s="47">
        <v>1600</v>
      </c>
      <c r="M914" t="s">
        <v>1472</v>
      </c>
      <c r="N914" t="s">
        <v>11</v>
      </c>
      <c r="O914" s="50">
        <v>5.49</v>
      </c>
      <c r="P914" s="9">
        <f>ROUND(O914*L914,2)</f>
        <v>8784</v>
      </c>
      <c r="Q914" s="10">
        <f>IF(N914="HKD",7.8,IF(N914="CNY",7.30034,1))</f>
        <v>7.3003400000000003</v>
      </c>
      <c r="R914" s="10">
        <f>+ROUND(O914/Q914,4)</f>
        <v>0.752</v>
      </c>
      <c r="S914" s="11">
        <f>ROUND(R914*L914,2)</f>
        <v>1203.2</v>
      </c>
      <c r="T914" s="10" t="s">
        <v>349</v>
      </c>
      <c r="U914" t="s">
        <v>36</v>
      </c>
    </row>
    <row r="915" spans="1:21">
      <c r="A915" t="s">
        <v>2355</v>
      </c>
      <c r="B915" s="20">
        <v>45735</v>
      </c>
      <c r="C915" s="20">
        <v>45680</v>
      </c>
      <c r="D915" t="s">
        <v>696</v>
      </c>
      <c r="E915" t="s">
        <v>697</v>
      </c>
      <c r="G915" t="s">
        <v>2902</v>
      </c>
      <c r="H915" t="s">
        <v>700</v>
      </c>
      <c r="I915" t="s">
        <v>701</v>
      </c>
      <c r="J915" s="8" t="s">
        <v>1536</v>
      </c>
      <c r="K915" t="s">
        <v>10</v>
      </c>
      <c r="L915" s="47">
        <v>1900</v>
      </c>
      <c r="M915" t="s">
        <v>1472</v>
      </c>
      <c r="N915" t="s">
        <v>11</v>
      </c>
      <c r="O915" s="50">
        <v>6.01</v>
      </c>
      <c r="P915" s="9">
        <f>ROUND(O915*L915,2)</f>
        <v>11419</v>
      </c>
      <c r="Q915" s="10">
        <f>IF(N915="HKD",7.8,IF(N915="CNY",7.30034,1))</f>
        <v>7.3003400000000003</v>
      </c>
      <c r="R915" s="10">
        <f>+ROUND(O915/Q915,4)</f>
        <v>0.82320000000000004</v>
      </c>
      <c r="S915" s="11">
        <f>ROUND(R915*L915,2)</f>
        <v>1564.08</v>
      </c>
      <c r="T915" s="10" t="s">
        <v>349</v>
      </c>
      <c r="U915" t="s">
        <v>36</v>
      </c>
    </row>
    <row r="916" spans="1:21">
      <c r="A916" t="s">
        <v>2378</v>
      </c>
      <c r="B916" s="20">
        <v>45735</v>
      </c>
      <c r="C916" s="20">
        <v>45695</v>
      </c>
      <c r="D916" t="s">
        <v>696</v>
      </c>
      <c r="E916" t="s">
        <v>697</v>
      </c>
      <c r="G916" t="s">
        <v>2902</v>
      </c>
      <c r="H916" t="s">
        <v>700</v>
      </c>
      <c r="I916" t="s">
        <v>701</v>
      </c>
      <c r="J916" s="8" t="s">
        <v>1536</v>
      </c>
      <c r="K916" t="s">
        <v>10</v>
      </c>
      <c r="L916" s="47">
        <v>2100</v>
      </c>
      <c r="M916" t="s">
        <v>1472</v>
      </c>
      <c r="N916" t="s">
        <v>11</v>
      </c>
      <c r="O916" s="50">
        <v>6.01</v>
      </c>
      <c r="P916" s="9">
        <f>ROUND(O916*L916,2)</f>
        <v>12621</v>
      </c>
      <c r="Q916" s="10">
        <f>IF(N916="HKD",7.8,IF(N916="CNY",7.30034,1))</f>
        <v>7.3003400000000003</v>
      </c>
      <c r="R916" s="10">
        <f>+ROUND(O916/Q916,4)</f>
        <v>0.82320000000000004</v>
      </c>
      <c r="S916" s="11">
        <f>ROUND(R916*L916,2)</f>
        <v>1728.72</v>
      </c>
      <c r="T916" s="10" t="s">
        <v>349</v>
      </c>
      <c r="U916" t="s">
        <v>36</v>
      </c>
    </row>
    <row r="917" spans="1:21">
      <c r="A917" t="s">
        <v>2394</v>
      </c>
      <c r="B917" s="20">
        <v>45735</v>
      </c>
      <c r="C917" s="20">
        <v>45695</v>
      </c>
      <c r="D917" t="s">
        <v>169</v>
      </c>
      <c r="E917" t="s">
        <v>170</v>
      </c>
      <c r="G917" t="s">
        <v>2920</v>
      </c>
      <c r="H917" t="s">
        <v>3095</v>
      </c>
      <c r="I917" t="s">
        <v>3310</v>
      </c>
      <c r="J917" s="8" t="str">
        <f>+LEFT(U917,4)</f>
        <v>U&amp;C-</v>
      </c>
      <c r="K917" t="s">
        <v>10</v>
      </c>
      <c r="L917" s="47">
        <v>1010</v>
      </c>
      <c r="M917" t="s">
        <v>1472</v>
      </c>
      <c r="N917" t="s">
        <v>11</v>
      </c>
      <c r="O917" s="50">
        <v>1.1200000000000001</v>
      </c>
      <c r="P917" s="9">
        <f>ROUND(O917*L917,2)</f>
        <v>1131.2</v>
      </c>
      <c r="Q917" s="10">
        <f>IF(N917="HKD",7.8,IF(N917="CNY",7.30034,1))</f>
        <v>7.3003400000000003</v>
      </c>
      <c r="R917" s="10">
        <f>+ROUND(O917/Q917,4)</f>
        <v>0.15340000000000001</v>
      </c>
      <c r="S917" s="11">
        <f>ROUND(R917*L917,2)</f>
        <v>154.93</v>
      </c>
      <c r="T917" s="10" t="s">
        <v>349</v>
      </c>
      <c r="U917" t="s">
        <v>177</v>
      </c>
    </row>
    <row r="918" spans="1:21">
      <c r="A918" t="s">
        <v>2610</v>
      </c>
      <c r="B918" s="20">
        <v>45734</v>
      </c>
      <c r="C918" s="20">
        <v>45720</v>
      </c>
      <c r="D918" t="s">
        <v>311</v>
      </c>
      <c r="E918" t="s">
        <v>312</v>
      </c>
      <c r="G918" t="s">
        <v>3013</v>
      </c>
      <c r="H918" t="s">
        <v>3199</v>
      </c>
      <c r="I918" t="s">
        <v>3406</v>
      </c>
      <c r="J918" s="8" t="str">
        <f>+LEFT(U918,4)</f>
        <v>EXM-</v>
      </c>
      <c r="K918" t="s">
        <v>10</v>
      </c>
      <c r="L918" s="47">
        <v>25</v>
      </c>
      <c r="M918" t="s">
        <v>186</v>
      </c>
      <c r="N918" t="s">
        <v>11</v>
      </c>
      <c r="O918" s="50">
        <v>88.495599999999996</v>
      </c>
      <c r="P918" s="9">
        <f>ROUND(O918*L918,2)</f>
        <v>2212.39</v>
      </c>
      <c r="Q918" s="10">
        <f>IF(N918="HKD",7.8,IF(N918="CNY",7.30034,1))</f>
        <v>7.3003400000000003</v>
      </c>
      <c r="R918" s="10">
        <f>+ROUND(O918/Q918,4)</f>
        <v>12.1221</v>
      </c>
      <c r="S918" s="11">
        <f>ROUND(R918*L918,2)</f>
        <v>303.05</v>
      </c>
      <c r="T918" s="10" t="s">
        <v>349</v>
      </c>
      <c r="U918" t="s">
        <v>315</v>
      </c>
    </row>
    <row r="919" spans="1:21">
      <c r="A919" t="s">
        <v>2661</v>
      </c>
      <c r="B919" s="20">
        <v>45734</v>
      </c>
      <c r="C919" s="20">
        <v>45723</v>
      </c>
      <c r="D919" t="s">
        <v>121</v>
      </c>
      <c r="E919" t="s">
        <v>122</v>
      </c>
      <c r="G919" t="s">
        <v>2935</v>
      </c>
      <c r="H919" t="s">
        <v>3213</v>
      </c>
      <c r="I919" t="s">
        <v>3420</v>
      </c>
      <c r="J919" s="8" t="str">
        <f>+LEFT(U919,4)</f>
        <v>HDL-</v>
      </c>
      <c r="K919" t="s">
        <v>10</v>
      </c>
      <c r="L919" s="47">
        <v>1520</v>
      </c>
      <c r="M919" t="s">
        <v>1472</v>
      </c>
      <c r="N919" t="s">
        <v>11</v>
      </c>
      <c r="O919" s="50">
        <v>2.9203999999999999</v>
      </c>
      <c r="P919" s="9">
        <f>ROUND(O919*L919,2)</f>
        <v>4439.01</v>
      </c>
      <c r="Q919" s="10">
        <f>IF(N919="HKD",7.8,IF(N919="CNY",7.30034,1))</f>
        <v>7.3003400000000003</v>
      </c>
      <c r="R919" s="10">
        <f>+ROUND(O919/Q919,4)</f>
        <v>0.4</v>
      </c>
      <c r="S919" s="11">
        <f>ROUND(R919*L919,2)</f>
        <v>608</v>
      </c>
      <c r="T919" s="10" t="s">
        <v>349</v>
      </c>
      <c r="U919" t="s">
        <v>228</v>
      </c>
    </row>
    <row r="920" spans="1:21">
      <c r="A920" t="s">
        <v>2434</v>
      </c>
      <c r="B920" s="20">
        <v>45734</v>
      </c>
      <c r="C920" s="20">
        <v>45702</v>
      </c>
      <c r="D920" t="s">
        <v>121</v>
      </c>
      <c r="E920" t="s">
        <v>122</v>
      </c>
      <c r="G920" t="s">
        <v>2935</v>
      </c>
      <c r="H920" t="s">
        <v>3123</v>
      </c>
      <c r="I920" t="s">
        <v>3333</v>
      </c>
      <c r="J920" s="8" t="str">
        <f>+LEFT(U920,4)</f>
        <v>LHDL</v>
      </c>
      <c r="K920" t="s">
        <v>10</v>
      </c>
      <c r="L920" s="47">
        <v>900</v>
      </c>
      <c r="M920" t="s">
        <v>1472</v>
      </c>
      <c r="N920" t="s">
        <v>11</v>
      </c>
      <c r="O920" s="50">
        <v>2.9552</v>
      </c>
      <c r="P920" s="9">
        <f>ROUND(O920*L920,2)</f>
        <v>2659.68</v>
      </c>
      <c r="Q920" s="10">
        <f>IF(N920="HKD",7.8,IF(N920="CNY",7.30034,1))</f>
        <v>7.3003400000000003</v>
      </c>
      <c r="R920" s="10">
        <f>+ROUND(O920/Q920,4)</f>
        <v>0.40479999999999999</v>
      </c>
      <c r="S920" s="11">
        <f>ROUND(R920*L920,2)</f>
        <v>364.32</v>
      </c>
      <c r="T920" s="10" t="s">
        <v>349</v>
      </c>
      <c r="U920" t="s">
        <v>125</v>
      </c>
    </row>
    <row r="921" spans="1:21">
      <c r="A921" t="s">
        <v>2435</v>
      </c>
      <c r="B921" s="20">
        <v>45734</v>
      </c>
      <c r="C921" s="20">
        <v>45702</v>
      </c>
      <c r="D921" t="s">
        <v>121</v>
      </c>
      <c r="E921" t="s">
        <v>122</v>
      </c>
      <c r="G921" t="s">
        <v>2935</v>
      </c>
      <c r="H921" t="s">
        <v>3124</v>
      </c>
      <c r="I921" t="s">
        <v>3334</v>
      </c>
      <c r="J921" s="8" t="str">
        <f>+LEFT(U921,4)</f>
        <v>LHDL</v>
      </c>
      <c r="K921" t="s">
        <v>10</v>
      </c>
      <c r="L921" s="47">
        <v>950</v>
      </c>
      <c r="M921" t="s">
        <v>1472</v>
      </c>
      <c r="N921" t="s">
        <v>11</v>
      </c>
      <c r="O921" s="50">
        <v>2.9552</v>
      </c>
      <c r="P921" s="9">
        <f>ROUND(O921*L921,2)</f>
        <v>2807.44</v>
      </c>
      <c r="Q921" s="10">
        <f>IF(N921="HKD",7.8,IF(N921="CNY",7.30034,1))</f>
        <v>7.3003400000000003</v>
      </c>
      <c r="R921" s="10">
        <f>+ROUND(O921/Q921,4)</f>
        <v>0.40479999999999999</v>
      </c>
      <c r="S921" s="11">
        <f>ROUND(R921*L921,2)</f>
        <v>384.56</v>
      </c>
      <c r="T921" s="10" t="s">
        <v>349</v>
      </c>
      <c r="U921" t="s">
        <v>125</v>
      </c>
    </row>
    <row r="922" spans="1:21">
      <c r="A922" t="s">
        <v>2436</v>
      </c>
      <c r="B922" s="20">
        <v>45734</v>
      </c>
      <c r="C922" s="20">
        <v>45702</v>
      </c>
      <c r="D922" t="s">
        <v>121</v>
      </c>
      <c r="E922" t="s">
        <v>122</v>
      </c>
      <c r="G922" t="s">
        <v>2935</v>
      </c>
      <c r="H922" t="s">
        <v>3125</v>
      </c>
      <c r="I922" t="s">
        <v>3335</v>
      </c>
      <c r="J922" s="8" t="str">
        <f>+LEFT(U922,4)</f>
        <v>LHDL</v>
      </c>
      <c r="K922" t="s">
        <v>10</v>
      </c>
      <c r="L922" s="47">
        <v>1950</v>
      </c>
      <c r="M922" t="s">
        <v>1472</v>
      </c>
      <c r="N922" t="s">
        <v>11</v>
      </c>
      <c r="O922" s="50">
        <v>2.9552</v>
      </c>
      <c r="P922" s="9">
        <f>ROUND(O922*L922,2)</f>
        <v>5762.64</v>
      </c>
      <c r="Q922" s="10">
        <f>IF(N922="HKD",7.8,IF(N922="CNY",7.30034,1))</f>
        <v>7.3003400000000003</v>
      </c>
      <c r="R922" s="10">
        <f>+ROUND(O922/Q922,4)</f>
        <v>0.40479999999999999</v>
      </c>
      <c r="S922" s="11">
        <f>ROUND(R922*L922,2)</f>
        <v>789.36</v>
      </c>
      <c r="T922" s="10" t="s">
        <v>349</v>
      </c>
      <c r="U922" t="s">
        <v>125</v>
      </c>
    </row>
    <row r="923" spans="1:21">
      <c r="A923" t="s">
        <v>2536</v>
      </c>
      <c r="B923" s="20">
        <v>45734</v>
      </c>
      <c r="C923" s="20">
        <v>45714</v>
      </c>
      <c r="D923" t="s">
        <v>94</v>
      </c>
      <c r="E923" t="s">
        <v>95</v>
      </c>
      <c r="G923" t="s">
        <v>2976</v>
      </c>
      <c r="H923" t="s">
        <v>3165</v>
      </c>
      <c r="I923" t="s">
        <v>3375</v>
      </c>
      <c r="J923" s="8" t="str">
        <f>+LEFT(U923,4)</f>
        <v>LID-</v>
      </c>
      <c r="K923" t="s">
        <v>98</v>
      </c>
      <c r="L923" s="47">
        <v>740</v>
      </c>
      <c r="M923" t="s">
        <v>1472</v>
      </c>
      <c r="N923" t="s">
        <v>11</v>
      </c>
      <c r="O923" s="50">
        <v>4.37</v>
      </c>
      <c r="P923" s="9">
        <f>ROUND(O923*L923,2)</f>
        <v>3233.8</v>
      </c>
      <c r="Q923" s="10">
        <f>IF(N923="HKD",7.8,IF(N923="CNY",7.30034,1))</f>
        <v>7.3003400000000003</v>
      </c>
      <c r="R923" s="10">
        <f>+ROUND(O923/Q923,4)</f>
        <v>0.59860000000000002</v>
      </c>
      <c r="S923" s="11">
        <f>ROUND(R923*L923,2)</f>
        <v>442.96</v>
      </c>
      <c r="T923" s="10" t="s">
        <v>349</v>
      </c>
      <c r="U923" t="s">
        <v>368</v>
      </c>
    </row>
    <row r="924" spans="1:21">
      <c r="A924" t="s">
        <v>2457</v>
      </c>
      <c r="B924" s="20">
        <v>45734</v>
      </c>
      <c r="C924" s="20">
        <v>45706</v>
      </c>
      <c r="D924" t="s">
        <v>545</v>
      </c>
      <c r="E924" t="s">
        <v>546</v>
      </c>
      <c r="G924" t="s">
        <v>2944</v>
      </c>
      <c r="H924" t="s">
        <v>549</v>
      </c>
      <c r="I924" t="s">
        <v>550</v>
      </c>
      <c r="J924" s="8" t="str">
        <f>+LEFT(U924,4)</f>
        <v>MISC</v>
      </c>
      <c r="K924" t="s">
        <v>10</v>
      </c>
      <c r="L924" s="47">
        <v>5000</v>
      </c>
      <c r="M924" t="s">
        <v>1472</v>
      </c>
      <c r="N924" t="s">
        <v>11</v>
      </c>
      <c r="O924" s="50">
        <v>0.115</v>
      </c>
      <c r="P924" s="9">
        <f>ROUND(O924*L924,2)</f>
        <v>575</v>
      </c>
      <c r="Q924" s="10">
        <f>IF(N924="HKD",7.8,IF(N924="CNY",7.30034,1))</f>
        <v>7.3003400000000003</v>
      </c>
      <c r="R924" s="10">
        <f>+ROUND(O924/Q924,4)</f>
        <v>1.5800000000000002E-2</v>
      </c>
      <c r="S924" s="11">
        <f>ROUND(R924*L924,2)</f>
        <v>79</v>
      </c>
      <c r="T924" s="10" t="s">
        <v>349</v>
      </c>
      <c r="U924" t="s">
        <v>25</v>
      </c>
    </row>
    <row r="925" spans="1:21">
      <c r="A925" t="s">
        <v>2459</v>
      </c>
      <c r="B925" s="20">
        <v>45734</v>
      </c>
      <c r="C925" s="20">
        <v>45706</v>
      </c>
      <c r="D925" t="s">
        <v>545</v>
      </c>
      <c r="E925" t="s">
        <v>546</v>
      </c>
      <c r="G925" t="s">
        <v>2944</v>
      </c>
      <c r="H925" t="s">
        <v>549</v>
      </c>
      <c r="I925" t="s">
        <v>550</v>
      </c>
      <c r="J925" s="8" t="str">
        <f>+LEFT(U925,4)</f>
        <v>MISC</v>
      </c>
      <c r="K925" t="s">
        <v>10</v>
      </c>
      <c r="L925" s="47">
        <v>6500</v>
      </c>
      <c r="M925" t="s">
        <v>1472</v>
      </c>
      <c r="N925" t="s">
        <v>11</v>
      </c>
      <c r="O925" s="50">
        <v>0.115</v>
      </c>
      <c r="P925" s="9">
        <f>ROUND(O925*L925,2)</f>
        <v>747.5</v>
      </c>
      <c r="Q925" s="10">
        <f>IF(N925="HKD",7.8,IF(N925="CNY",7.30034,1))</f>
        <v>7.3003400000000003</v>
      </c>
      <c r="R925" s="10">
        <f>+ROUND(O925/Q925,4)</f>
        <v>1.5800000000000002E-2</v>
      </c>
      <c r="S925" s="11">
        <f>ROUND(R925*L925,2)</f>
        <v>102.7</v>
      </c>
      <c r="T925" s="10" t="s">
        <v>349</v>
      </c>
      <c r="U925" t="s">
        <v>25</v>
      </c>
    </row>
    <row r="926" spans="1:21">
      <c r="A926" t="s">
        <v>2747</v>
      </c>
      <c r="B926" s="20">
        <v>45734</v>
      </c>
      <c r="C926" s="20">
        <v>45729</v>
      </c>
      <c r="D926" t="s">
        <v>545</v>
      </c>
      <c r="E926" t="s">
        <v>546</v>
      </c>
      <c r="G926" t="s">
        <v>2944</v>
      </c>
      <c r="H926" t="s">
        <v>549</v>
      </c>
      <c r="I926" t="s">
        <v>550</v>
      </c>
      <c r="J926" s="8" t="str">
        <f>+LEFT(U926,4)</f>
        <v>MISC</v>
      </c>
      <c r="K926" t="s">
        <v>10</v>
      </c>
      <c r="L926" s="47">
        <v>1150</v>
      </c>
      <c r="M926" t="s">
        <v>1472</v>
      </c>
      <c r="N926" t="s">
        <v>11</v>
      </c>
      <c r="O926" s="50">
        <v>0.115</v>
      </c>
      <c r="P926" s="9">
        <f>ROUND(O926*L926,2)</f>
        <v>132.25</v>
      </c>
      <c r="Q926" s="10">
        <f>IF(N926="HKD",7.8,IF(N926="CNY",7.30034,1))</f>
        <v>7.3003400000000003</v>
      </c>
      <c r="R926" s="10">
        <f>+ROUND(O926/Q926,4)</f>
        <v>1.5800000000000002E-2</v>
      </c>
      <c r="S926" s="11">
        <f>ROUND(R926*L926,2)</f>
        <v>18.170000000000002</v>
      </c>
      <c r="T926" s="10" t="s">
        <v>349</v>
      </c>
      <c r="U926" t="s">
        <v>25</v>
      </c>
    </row>
    <row r="927" spans="1:21">
      <c r="A927" t="s">
        <v>2695</v>
      </c>
      <c r="B927" s="20">
        <v>45734</v>
      </c>
      <c r="C927" s="20">
        <v>45728</v>
      </c>
      <c r="D927" t="s">
        <v>2259</v>
      </c>
      <c r="E927" t="s">
        <v>2260</v>
      </c>
      <c r="G927" t="s">
        <v>3034</v>
      </c>
      <c r="H927" t="s">
        <v>1810</v>
      </c>
      <c r="I927" t="s">
        <v>1811</v>
      </c>
      <c r="J927" s="8" t="str">
        <f>+LEFT(U927,4)</f>
        <v>SSM-</v>
      </c>
      <c r="K927" t="s">
        <v>10</v>
      </c>
      <c r="L927" s="47">
        <v>33398</v>
      </c>
      <c r="M927" t="s">
        <v>186</v>
      </c>
      <c r="N927" t="s">
        <v>11</v>
      </c>
      <c r="O927" s="50">
        <v>12.3009</v>
      </c>
      <c r="P927" s="9">
        <f>ROUND(O927*L927,2)</f>
        <v>410825.46</v>
      </c>
      <c r="Q927" s="10">
        <f>IF(N927="HKD",7.8,IF(N927="CNY",7.30034,1))</f>
        <v>7.3003400000000003</v>
      </c>
      <c r="R927" s="10">
        <f>+ROUND(O927/Q927,4)</f>
        <v>1.6850000000000001</v>
      </c>
      <c r="S927" s="11">
        <f>ROUND(R927*L927,2)</f>
        <v>56275.63</v>
      </c>
      <c r="T927" s="10" t="s">
        <v>349</v>
      </c>
      <c r="U927" t="s">
        <v>33</v>
      </c>
    </row>
    <row r="928" spans="1:21">
      <c r="A928" t="s">
        <v>2564</v>
      </c>
      <c r="B928" s="20">
        <v>45734</v>
      </c>
      <c r="C928" s="20">
        <v>45716</v>
      </c>
      <c r="D928" t="s">
        <v>545</v>
      </c>
      <c r="E928" t="s">
        <v>546</v>
      </c>
      <c r="G928" t="s">
        <v>2944</v>
      </c>
      <c r="H928" t="s">
        <v>557</v>
      </c>
      <c r="I928" t="s">
        <v>558</v>
      </c>
      <c r="J928" s="8" t="str">
        <f>+LEFT(U928,4)</f>
        <v>WHR-</v>
      </c>
      <c r="K928" t="s">
        <v>10</v>
      </c>
      <c r="L928" s="47">
        <v>1000</v>
      </c>
      <c r="M928" t="s">
        <v>1472</v>
      </c>
      <c r="N928" t="s">
        <v>11</v>
      </c>
      <c r="O928" s="50">
        <v>3.9800000000000002E-2</v>
      </c>
      <c r="P928" s="9">
        <f>ROUND(O928*L928,2)</f>
        <v>39.799999999999997</v>
      </c>
      <c r="Q928" s="10">
        <f>IF(N928="HKD",7.8,IF(N928="CNY",7.30034,1))</f>
        <v>7.3003400000000003</v>
      </c>
      <c r="R928" s="10">
        <f>+ROUND(O928/Q928,4)</f>
        <v>5.4999999999999997E-3</v>
      </c>
      <c r="S928" s="11">
        <f>ROUND(R928*L928,2)</f>
        <v>5.5</v>
      </c>
      <c r="T928" s="10" t="s">
        <v>349</v>
      </c>
      <c r="U928" t="s">
        <v>248</v>
      </c>
    </row>
    <row r="929" spans="1:21">
      <c r="A929" t="s">
        <v>2458</v>
      </c>
      <c r="B929" s="20">
        <v>45734</v>
      </c>
      <c r="C929" s="20">
        <v>45706</v>
      </c>
      <c r="D929" t="s">
        <v>545</v>
      </c>
      <c r="E929" t="s">
        <v>546</v>
      </c>
      <c r="G929" t="s">
        <v>2944</v>
      </c>
      <c r="H929" t="s">
        <v>563</v>
      </c>
      <c r="I929" t="s">
        <v>564</v>
      </c>
      <c r="J929" s="8" t="str">
        <f>+LEFT(U929,4)</f>
        <v>WHR-</v>
      </c>
      <c r="K929" t="s">
        <v>10</v>
      </c>
      <c r="L929" s="47">
        <v>5000</v>
      </c>
      <c r="M929" t="s">
        <v>1472</v>
      </c>
      <c r="N929" t="s">
        <v>11</v>
      </c>
      <c r="O929" s="50">
        <v>4.1000000000000002E-2</v>
      </c>
      <c r="P929" s="9">
        <f>ROUND(O929*L929,2)</f>
        <v>205</v>
      </c>
      <c r="Q929" s="10">
        <f>IF(N929="HKD",7.8,IF(N929="CNY",7.30034,1))</f>
        <v>7.3003400000000003</v>
      </c>
      <c r="R929" s="10">
        <f>+ROUND(O929/Q929,4)</f>
        <v>5.5999999999999999E-3</v>
      </c>
      <c r="S929" s="11">
        <f>ROUND(R929*L929,2)</f>
        <v>28</v>
      </c>
      <c r="T929" s="10" t="s">
        <v>349</v>
      </c>
      <c r="U929" t="s">
        <v>248</v>
      </c>
    </row>
    <row r="930" spans="1:21">
      <c r="A930" t="s">
        <v>2460</v>
      </c>
      <c r="B930" s="20">
        <v>45734</v>
      </c>
      <c r="C930" s="20">
        <v>45706</v>
      </c>
      <c r="D930" t="s">
        <v>545</v>
      </c>
      <c r="E930" t="s">
        <v>546</v>
      </c>
      <c r="G930" t="s">
        <v>2944</v>
      </c>
      <c r="H930" t="s">
        <v>563</v>
      </c>
      <c r="I930" t="s">
        <v>564</v>
      </c>
      <c r="J930" s="8" t="str">
        <f>+LEFT(U930,4)</f>
        <v>WHR-</v>
      </c>
      <c r="K930" t="s">
        <v>10</v>
      </c>
      <c r="L930" s="47">
        <v>6500</v>
      </c>
      <c r="M930" t="s">
        <v>1472</v>
      </c>
      <c r="N930" t="s">
        <v>11</v>
      </c>
      <c r="O930" s="50">
        <v>4.1000000000000002E-2</v>
      </c>
      <c r="P930" s="9">
        <f>ROUND(O930*L930,2)</f>
        <v>266.5</v>
      </c>
      <c r="Q930" s="10">
        <f>IF(N930="HKD",7.8,IF(N930="CNY",7.30034,1))</f>
        <v>7.3003400000000003</v>
      </c>
      <c r="R930" s="10">
        <f>+ROUND(O930/Q930,4)</f>
        <v>5.5999999999999999E-3</v>
      </c>
      <c r="S930" s="11">
        <f>ROUND(R930*L930,2)</f>
        <v>36.4</v>
      </c>
      <c r="T930" s="10" t="s">
        <v>349</v>
      </c>
      <c r="U930" t="s">
        <v>248</v>
      </c>
    </row>
    <row r="931" spans="1:21">
      <c r="A931" t="s">
        <v>2746</v>
      </c>
      <c r="B931" s="20">
        <v>45734</v>
      </c>
      <c r="C931" s="20">
        <v>45729</v>
      </c>
      <c r="D931" t="s">
        <v>545</v>
      </c>
      <c r="E931" t="s">
        <v>546</v>
      </c>
      <c r="G931" t="s">
        <v>2944</v>
      </c>
      <c r="H931" t="s">
        <v>563</v>
      </c>
      <c r="I931" t="s">
        <v>564</v>
      </c>
      <c r="J931" s="8" t="str">
        <f>+LEFT(U931,4)</f>
        <v>WHR-</v>
      </c>
      <c r="K931" t="s">
        <v>10</v>
      </c>
      <c r="L931" s="47">
        <v>1150</v>
      </c>
      <c r="M931" t="s">
        <v>1472</v>
      </c>
      <c r="N931" t="s">
        <v>11</v>
      </c>
      <c r="O931" s="50">
        <v>4.1000000000000002E-2</v>
      </c>
      <c r="P931" s="9">
        <f>ROUND(O931*L931,2)</f>
        <v>47.15</v>
      </c>
      <c r="Q931" s="10">
        <f>IF(N931="HKD",7.8,IF(N931="CNY",7.30034,1))</f>
        <v>7.3003400000000003</v>
      </c>
      <c r="R931" s="10">
        <f>+ROUND(O931/Q931,4)</f>
        <v>5.5999999999999999E-3</v>
      </c>
      <c r="S931" s="11">
        <f>ROUND(R931*L931,2)</f>
        <v>6.44</v>
      </c>
      <c r="T931" s="10" t="s">
        <v>349</v>
      </c>
      <c r="U931" t="s">
        <v>248</v>
      </c>
    </row>
    <row r="932" spans="1:21">
      <c r="A932" t="s">
        <v>2788</v>
      </c>
      <c r="B932" s="20">
        <v>45734</v>
      </c>
      <c r="C932" s="20">
        <v>45734</v>
      </c>
      <c r="D932" t="s">
        <v>545</v>
      </c>
      <c r="E932" t="s">
        <v>546</v>
      </c>
      <c r="G932" t="s">
        <v>2944</v>
      </c>
      <c r="H932" t="s">
        <v>553</v>
      </c>
      <c r="I932" t="s">
        <v>554</v>
      </c>
      <c r="J932" s="8" t="str">
        <f>+LEFT(U932,4)</f>
        <v>WHR-</v>
      </c>
      <c r="K932" t="s">
        <v>10</v>
      </c>
      <c r="L932" s="47">
        <v>4000</v>
      </c>
      <c r="M932" t="s">
        <v>1472</v>
      </c>
      <c r="N932" t="s">
        <v>11</v>
      </c>
      <c r="O932" s="50">
        <v>8.5000000000000006E-2</v>
      </c>
      <c r="P932" s="9">
        <f>ROUND(O932*L932,2)</f>
        <v>340</v>
      </c>
      <c r="Q932" s="10">
        <f>IF(N932="HKD",7.8,IF(N932="CNY",7.30034,1))</f>
        <v>7.3003400000000003</v>
      </c>
      <c r="R932" s="10">
        <f>+ROUND(O932/Q932,4)</f>
        <v>1.1599999999999999E-2</v>
      </c>
      <c r="S932" s="11">
        <f>ROUND(R932*L932,2)</f>
        <v>46.4</v>
      </c>
      <c r="T932" s="10" t="s">
        <v>349</v>
      </c>
      <c r="U932" t="s">
        <v>248</v>
      </c>
    </row>
    <row r="933" spans="1:21">
      <c r="A933" t="s">
        <v>2657</v>
      </c>
      <c r="B933" s="20">
        <v>45733</v>
      </c>
      <c r="C933" s="20">
        <v>45723</v>
      </c>
      <c r="D933" t="s">
        <v>806</v>
      </c>
      <c r="E933" t="s">
        <v>807</v>
      </c>
      <c r="G933" t="s">
        <v>3025</v>
      </c>
      <c r="H933" t="s">
        <v>1585</v>
      </c>
      <c r="I933" t="s">
        <v>1586</v>
      </c>
      <c r="J933" s="8" t="str">
        <f>+LEFT(U933,4)</f>
        <v>BAG-</v>
      </c>
      <c r="K933" t="s">
        <v>10</v>
      </c>
      <c r="L933" s="47">
        <v>4700</v>
      </c>
      <c r="M933" t="s">
        <v>1472</v>
      </c>
      <c r="N933" t="s">
        <v>11</v>
      </c>
      <c r="O933" s="50">
        <v>0.09</v>
      </c>
      <c r="P933" s="9">
        <f>ROUND(O933*L933,2)</f>
        <v>423</v>
      </c>
      <c r="Q933" s="10">
        <f>IF(N933="HKD",7.8,IF(N933="CNY",7.30034,1))</f>
        <v>7.3003400000000003</v>
      </c>
      <c r="R933" s="10">
        <f>+ROUND(O933/Q933,4)</f>
        <v>1.23E-2</v>
      </c>
      <c r="S933" s="11">
        <f>ROUND(R933*L933,2)</f>
        <v>57.81</v>
      </c>
      <c r="T933" s="10" t="s">
        <v>349</v>
      </c>
      <c r="U933" t="s">
        <v>810</v>
      </c>
    </row>
    <row r="934" spans="1:21">
      <c r="A934" t="s">
        <v>2658</v>
      </c>
      <c r="B934" s="20">
        <v>45733</v>
      </c>
      <c r="C934" s="20">
        <v>45723</v>
      </c>
      <c r="D934" t="s">
        <v>806</v>
      </c>
      <c r="E934" t="s">
        <v>807</v>
      </c>
      <c r="G934" t="s">
        <v>3025</v>
      </c>
      <c r="H934" t="s">
        <v>1599</v>
      </c>
      <c r="I934" t="s">
        <v>1600</v>
      </c>
      <c r="J934" s="8" t="str">
        <f>+LEFT(U934,4)</f>
        <v>BAG-</v>
      </c>
      <c r="K934" t="s">
        <v>10</v>
      </c>
      <c r="L934" s="47">
        <v>5000</v>
      </c>
      <c r="M934" t="s">
        <v>1472</v>
      </c>
      <c r="N934" t="s">
        <v>11</v>
      </c>
      <c r="O934" s="50">
        <v>0.12</v>
      </c>
      <c r="P934" s="9">
        <f>ROUND(O934*L934,2)</f>
        <v>600</v>
      </c>
      <c r="Q934" s="10">
        <f>IF(N934="HKD",7.8,IF(N934="CNY",7.30034,1))</f>
        <v>7.3003400000000003</v>
      </c>
      <c r="R934" s="10">
        <f>+ROUND(O934/Q934,4)</f>
        <v>1.6400000000000001E-2</v>
      </c>
      <c r="S934" s="11">
        <f>ROUND(R934*L934,2)</f>
        <v>82</v>
      </c>
      <c r="T934" s="10" t="s">
        <v>349</v>
      </c>
      <c r="U934" t="s">
        <v>810</v>
      </c>
    </row>
    <row r="935" spans="1:21">
      <c r="A935" t="s">
        <v>2659</v>
      </c>
      <c r="B935" s="20">
        <v>45733</v>
      </c>
      <c r="C935" s="20">
        <v>45723</v>
      </c>
      <c r="D935" t="s">
        <v>806</v>
      </c>
      <c r="E935" t="s">
        <v>807</v>
      </c>
      <c r="G935" t="s">
        <v>3025</v>
      </c>
      <c r="H935" t="s">
        <v>1601</v>
      </c>
      <c r="I935" t="s">
        <v>1602</v>
      </c>
      <c r="J935" s="8" t="str">
        <f>+LEFT(U935,4)</f>
        <v>BAG-</v>
      </c>
      <c r="K935" t="s">
        <v>10</v>
      </c>
      <c r="L935" s="47">
        <v>5000</v>
      </c>
      <c r="M935" t="s">
        <v>1472</v>
      </c>
      <c r="N935" t="s">
        <v>11</v>
      </c>
      <c r="O935" s="50">
        <v>0.128</v>
      </c>
      <c r="P935" s="9">
        <f>ROUND(O935*L935,2)</f>
        <v>640</v>
      </c>
      <c r="Q935" s="10">
        <f>IF(N935="HKD",7.8,IF(N935="CNY",7.30034,1))</f>
        <v>7.3003400000000003</v>
      </c>
      <c r="R935" s="10">
        <f>+ROUND(O935/Q935,4)</f>
        <v>1.7500000000000002E-2</v>
      </c>
      <c r="S935" s="11">
        <f>ROUND(R935*L935,2)</f>
        <v>87.5</v>
      </c>
      <c r="T935" s="10" t="s">
        <v>349</v>
      </c>
      <c r="U935" t="s">
        <v>810</v>
      </c>
    </row>
    <row r="936" spans="1:21">
      <c r="A936" t="s">
        <v>2660</v>
      </c>
      <c r="B936" s="20">
        <v>45733</v>
      </c>
      <c r="C936" s="20">
        <v>45723</v>
      </c>
      <c r="D936" t="s">
        <v>806</v>
      </c>
      <c r="E936" t="s">
        <v>807</v>
      </c>
      <c r="G936" t="s">
        <v>3025</v>
      </c>
      <c r="H936" t="s">
        <v>1605</v>
      </c>
      <c r="I936" t="s">
        <v>1606</v>
      </c>
      <c r="J936" s="8" t="str">
        <f>+LEFT(U936,4)</f>
        <v>BAG-</v>
      </c>
      <c r="K936" t="s">
        <v>10</v>
      </c>
      <c r="L936" s="47">
        <v>5000</v>
      </c>
      <c r="M936" t="s">
        <v>1472</v>
      </c>
      <c r="N936" t="s">
        <v>11</v>
      </c>
      <c r="O936" s="50">
        <v>0.17</v>
      </c>
      <c r="P936" s="9">
        <f>ROUND(O936*L936,2)</f>
        <v>850</v>
      </c>
      <c r="Q936" s="10">
        <f>IF(N936="HKD",7.8,IF(N936="CNY",7.30034,1))</f>
        <v>7.3003400000000003</v>
      </c>
      <c r="R936" s="10">
        <f>+ROUND(O936/Q936,4)</f>
        <v>2.3300000000000001E-2</v>
      </c>
      <c r="S936" s="11">
        <f>ROUND(R936*L936,2)</f>
        <v>116.5</v>
      </c>
      <c r="T936" s="10" t="s">
        <v>349</v>
      </c>
      <c r="U936" t="s">
        <v>810</v>
      </c>
    </row>
    <row r="937" spans="1:21">
      <c r="A937" t="s">
        <v>2744</v>
      </c>
      <c r="B937" s="20">
        <v>45733</v>
      </c>
      <c r="C937" s="20">
        <v>45729</v>
      </c>
      <c r="D937" t="s">
        <v>5</v>
      </c>
      <c r="E937" t="s">
        <v>6</v>
      </c>
      <c r="G937" t="s">
        <v>3044</v>
      </c>
      <c r="H937" t="s">
        <v>380</v>
      </c>
      <c r="I937" t="s">
        <v>381</v>
      </c>
      <c r="J937" s="8" t="str">
        <f>+LEFT(U937,4)</f>
        <v>BOX-</v>
      </c>
      <c r="K937" t="s">
        <v>10</v>
      </c>
      <c r="L937" s="47">
        <v>1210</v>
      </c>
      <c r="M937" t="s">
        <v>1472</v>
      </c>
      <c r="N937" t="s">
        <v>11</v>
      </c>
      <c r="O937" s="50">
        <v>2.52</v>
      </c>
      <c r="P937" s="9">
        <f>ROUND(O937*L937,2)</f>
        <v>3049.2</v>
      </c>
      <c r="Q937" s="10">
        <f>IF(N937="HKD",7.8,IF(N937="CNY",7.30034,1))</f>
        <v>7.3003400000000003</v>
      </c>
      <c r="R937" s="10">
        <f>+ROUND(O937/Q937,4)</f>
        <v>0.34520000000000001</v>
      </c>
      <c r="S937" s="11">
        <f>ROUND(R937*L937,2)</f>
        <v>417.69</v>
      </c>
      <c r="T937" s="10" t="s">
        <v>349</v>
      </c>
      <c r="U937" t="s">
        <v>1</v>
      </c>
    </row>
    <row r="938" spans="1:21">
      <c r="A938" t="s">
        <v>2745</v>
      </c>
      <c r="B938" s="20">
        <v>45733</v>
      </c>
      <c r="C938" s="20">
        <v>45729</v>
      </c>
      <c r="D938" t="s">
        <v>5</v>
      </c>
      <c r="E938" t="s">
        <v>6</v>
      </c>
      <c r="G938" t="s">
        <v>3044</v>
      </c>
      <c r="H938" t="s">
        <v>380</v>
      </c>
      <c r="I938" t="s">
        <v>381</v>
      </c>
      <c r="J938" s="8" t="str">
        <f>+LEFT(U938,4)</f>
        <v>BOX-</v>
      </c>
      <c r="K938" t="s">
        <v>10</v>
      </c>
      <c r="L938" s="47">
        <v>100</v>
      </c>
      <c r="M938" t="s">
        <v>1472</v>
      </c>
      <c r="N938" t="s">
        <v>11</v>
      </c>
      <c r="O938" s="50">
        <v>2.52</v>
      </c>
      <c r="P938" s="9">
        <f>ROUND(O938*L938,2)</f>
        <v>252</v>
      </c>
      <c r="Q938" s="10">
        <f>IF(N938="HKD",7.8,IF(N938="CNY",7.30034,1))</f>
        <v>7.3003400000000003</v>
      </c>
      <c r="R938" s="10">
        <f>+ROUND(O938/Q938,4)</f>
        <v>0.34520000000000001</v>
      </c>
      <c r="S938" s="11">
        <f>ROUND(R938*L938,2)</f>
        <v>34.520000000000003</v>
      </c>
      <c r="T938" s="10" t="s">
        <v>349</v>
      </c>
      <c r="U938" t="s">
        <v>1</v>
      </c>
    </row>
    <row r="939" spans="1:21">
      <c r="A939" t="s">
        <v>2688</v>
      </c>
      <c r="B939" s="20">
        <v>45733</v>
      </c>
      <c r="C939" s="20">
        <v>45727</v>
      </c>
      <c r="D939" t="s">
        <v>5</v>
      </c>
      <c r="E939" t="s">
        <v>6</v>
      </c>
      <c r="G939" t="s">
        <v>3031</v>
      </c>
      <c r="H939" t="s">
        <v>403</v>
      </c>
      <c r="I939" t="s">
        <v>404</v>
      </c>
      <c r="J939" s="8" t="str">
        <f>+LEFT(U939,4)</f>
        <v>BOX-</v>
      </c>
      <c r="K939" t="s">
        <v>10</v>
      </c>
      <c r="L939" s="47">
        <v>1010</v>
      </c>
      <c r="M939" t="s">
        <v>1472</v>
      </c>
      <c r="N939" t="s">
        <v>11</v>
      </c>
      <c r="O939" s="50">
        <v>3.23</v>
      </c>
      <c r="P939" s="9">
        <f>ROUND(O939*L939,2)</f>
        <v>3262.3</v>
      </c>
      <c r="Q939" s="10">
        <f>IF(N939="HKD",7.8,IF(N939="CNY",7.30034,1))</f>
        <v>7.3003400000000003</v>
      </c>
      <c r="R939" s="10">
        <f>+ROUND(O939/Q939,4)</f>
        <v>0.44240000000000002</v>
      </c>
      <c r="S939" s="11">
        <f>ROUND(R939*L939,2)</f>
        <v>446.82</v>
      </c>
      <c r="T939" s="10" t="s">
        <v>349</v>
      </c>
      <c r="U939" t="s">
        <v>1</v>
      </c>
    </row>
    <row r="940" spans="1:21">
      <c r="A940" t="s">
        <v>2741</v>
      </c>
      <c r="B940" s="20">
        <v>45733</v>
      </c>
      <c r="C940" s="20">
        <v>45729</v>
      </c>
      <c r="D940" t="s">
        <v>5</v>
      </c>
      <c r="E940" t="s">
        <v>6</v>
      </c>
      <c r="G940" t="s">
        <v>3042</v>
      </c>
      <c r="H940" t="s">
        <v>3245</v>
      </c>
      <c r="I940" t="s">
        <v>3452</v>
      </c>
      <c r="J940" s="8" t="str">
        <f>+LEFT(U940,4)</f>
        <v>BOX-</v>
      </c>
      <c r="K940" t="s">
        <v>10</v>
      </c>
      <c r="L940" s="47">
        <v>505</v>
      </c>
      <c r="M940" t="s">
        <v>1472</v>
      </c>
      <c r="N940" t="s">
        <v>11</v>
      </c>
      <c r="O940" s="50">
        <v>4.75</v>
      </c>
      <c r="P940" s="9">
        <f>ROUND(O940*L940,2)</f>
        <v>2398.75</v>
      </c>
      <c r="Q940" s="10">
        <f>IF(N940="HKD",7.8,IF(N940="CNY",7.30034,1))</f>
        <v>7.3003400000000003</v>
      </c>
      <c r="R940" s="10">
        <f>+ROUND(O940/Q940,4)</f>
        <v>0.65069999999999995</v>
      </c>
      <c r="S940" s="11">
        <f>ROUND(R940*L940,2)</f>
        <v>328.6</v>
      </c>
      <c r="T940" s="10" t="s">
        <v>349</v>
      </c>
      <c r="U940" t="s">
        <v>1</v>
      </c>
    </row>
    <row r="941" spans="1:21">
      <c r="A941" t="s">
        <v>2689</v>
      </c>
      <c r="B941" s="20">
        <v>45733</v>
      </c>
      <c r="C941" s="20">
        <v>45727</v>
      </c>
      <c r="D941" t="s">
        <v>5</v>
      </c>
      <c r="E941" t="s">
        <v>6</v>
      </c>
      <c r="G941" t="s">
        <v>3031</v>
      </c>
      <c r="H941" t="s">
        <v>394</v>
      </c>
      <c r="I941" t="s">
        <v>395</v>
      </c>
      <c r="J941" s="8" t="str">
        <f>+LEFT(U941,4)</f>
        <v>BOX-</v>
      </c>
      <c r="K941" t="s">
        <v>10</v>
      </c>
      <c r="L941" s="47">
        <v>1010</v>
      </c>
      <c r="M941" t="s">
        <v>1472</v>
      </c>
      <c r="N941" t="s">
        <v>11</v>
      </c>
      <c r="O941" s="50">
        <v>5.64</v>
      </c>
      <c r="P941" s="9">
        <f>ROUND(O941*L941,2)</f>
        <v>5696.4</v>
      </c>
      <c r="Q941" s="10">
        <f>IF(N941="HKD",7.8,IF(N941="CNY",7.30034,1))</f>
        <v>7.3003400000000003</v>
      </c>
      <c r="R941" s="10">
        <f>+ROUND(O941/Q941,4)</f>
        <v>0.77259999999999995</v>
      </c>
      <c r="S941" s="11">
        <f>ROUND(R941*L941,2)</f>
        <v>780.33</v>
      </c>
      <c r="T941" s="10" t="s">
        <v>349</v>
      </c>
      <c r="U941" t="s">
        <v>1</v>
      </c>
    </row>
    <row r="942" spans="1:21">
      <c r="A942" t="s">
        <v>2743</v>
      </c>
      <c r="B942" s="20">
        <v>45733</v>
      </c>
      <c r="C942" s="20">
        <v>45729</v>
      </c>
      <c r="D942" t="s">
        <v>5</v>
      </c>
      <c r="E942" t="s">
        <v>6</v>
      </c>
      <c r="G942" t="s">
        <v>3044</v>
      </c>
      <c r="H942" t="s">
        <v>3247</v>
      </c>
      <c r="I942" t="s">
        <v>3454</v>
      </c>
      <c r="J942" s="8" t="str">
        <f>+LEFT(U942,4)</f>
        <v>BOX-</v>
      </c>
      <c r="K942" t="s">
        <v>10</v>
      </c>
      <c r="L942" s="47">
        <v>505</v>
      </c>
      <c r="M942" t="s">
        <v>1472</v>
      </c>
      <c r="N942" t="s">
        <v>11</v>
      </c>
      <c r="O942" s="50">
        <v>5.75</v>
      </c>
      <c r="P942" s="9">
        <f>ROUND(O942*L942,2)</f>
        <v>2903.75</v>
      </c>
      <c r="Q942" s="10">
        <f>IF(N942="HKD",7.8,IF(N942="CNY",7.30034,1))</f>
        <v>7.3003400000000003</v>
      </c>
      <c r="R942" s="10">
        <f>+ROUND(O942/Q942,4)</f>
        <v>0.78759999999999997</v>
      </c>
      <c r="S942" s="11">
        <f>ROUND(R942*L942,2)</f>
        <v>397.74</v>
      </c>
      <c r="T942" s="10" t="s">
        <v>349</v>
      </c>
      <c r="U942" t="s">
        <v>1</v>
      </c>
    </row>
    <row r="943" spans="1:21">
      <c r="A943" t="s">
        <v>2739</v>
      </c>
      <c r="B943" s="20">
        <v>45733</v>
      </c>
      <c r="C943" s="20">
        <v>45729</v>
      </c>
      <c r="D943" t="s">
        <v>5</v>
      </c>
      <c r="E943" t="s">
        <v>6</v>
      </c>
      <c r="G943" t="s">
        <v>3043</v>
      </c>
      <c r="H943" t="s">
        <v>3243</v>
      </c>
      <c r="I943" t="s">
        <v>3450</v>
      </c>
      <c r="J943" s="8" t="str">
        <f>+LEFT(U943,4)</f>
        <v>BOX-</v>
      </c>
      <c r="K943" t="s">
        <v>10</v>
      </c>
      <c r="L943" s="47">
        <v>505</v>
      </c>
      <c r="M943" t="s">
        <v>1472</v>
      </c>
      <c r="N943" t="s">
        <v>11</v>
      </c>
      <c r="O943" s="50">
        <v>8.39</v>
      </c>
      <c r="P943" s="9">
        <f>ROUND(O943*L943,2)</f>
        <v>4236.95</v>
      </c>
      <c r="Q943" s="10">
        <f>IF(N943="HKD",7.8,IF(N943="CNY",7.30034,1))</f>
        <v>7.3003400000000003</v>
      </c>
      <c r="R943" s="10">
        <f>+ROUND(O943/Q943,4)</f>
        <v>1.1493</v>
      </c>
      <c r="S943" s="11">
        <f>ROUND(R943*L943,2)</f>
        <v>580.4</v>
      </c>
      <c r="T943" s="10" t="s">
        <v>349</v>
      </c>
      <c r="U943" t="s">
        <v>1</v>
      </c>
    </row>
    <row r="944" spans="1:21">
      <c r="A944" t="s">
        <v>2738</v>
      </c>
      <c r="B944" s="20">
        <v>45733</v>
      </c>
      <c r="C944" s="20">
        <v>45729</v>
      </c>
      <c r="D944" t="s">
        <v>5</v>
      </c>
      <c r="E944" t="s">
        <v>6</v>
      </c>
      <c r="G944" t="s">
        <v>3043</v>
      </c>
      <c r="H944" t="s">
        <v>3242</v>
      </c>
      <c r="I944" t="s">
        <v>3449</v>
      </c>
      <c r="J944" s="8" t="str">
        <f>+LEFT(U944,4)</f>
        <v>BOX-</v>
      </c>
      <c r="K944" t="s">
        <v>10</v>
      </c>
      <c r="L944" s="47">
        <v>605</v>
      </c>
      <c r="M944" t="s">
        <v>1472</v>
      </c>
      <c r="N944" t="s">
        <v>11</v>
      </c>
      <c r="O944" s="50">
        <v>10.32</v>
      </c>
      <c r="P944" s="9">
        <f>ROUND(O944*L944,2)</f>
        <v>6243.6</v>
      </c>
      <c r="Q944" s="10">
        <f>IF(N944="HKD",7.8,IF(N944="CNY",7.30034,1))</f>
        <v>7.3003400000000003</v>
      </c>
      <c r="R944" s="10">
        <f>+ROUND(O944/Q944,4)</f>
        <v>1.4136</v>
      </c>
      <c r="S944" s="11">
        <f>ROUND(R944*L944,2)</f>
        <v>855.23</v>
      </c>
      <c r="T944" s="10" t="s">
        <v>349</v>
      </c>
      <c r="U944" t="s">
        <v>1</v>
      </c>
    </row>
    <row r="945" spans="1:21">
      <c r="A945" t="s">
        <v>2736</v>
      </c>
      <c r="B945" s="20">
        <v>45733</v>
      </c>
      <c r="C945" s="20">
        <v>45729</v>
      </c>
      <c r="D945" t="s">
        <v>5</v>
      </c>
      <c r="E945" t="s">
        <v>6</v>
      </c>
      <c r="G945" t="s">
        <v>3043</v>
      </c>
      <c r="H945" t="s">
        <v>1804</v>
      </c>
      <c r="I945" t="s">
        <v>1805</v>
      </c>
      <c r="J945" s="8" t="str">
        <f>+LEFT(U945,4)</f>
        <v>BOX-</v>
      </c>
      <c r="K945" t="s">
        <v>10</v>
      </c>
      <c r="L945" s="47">
        <v>1010</v>
      </c>
      <c r="M945" t="s">
        <v>1472</v>
      </c>
      <c r="N945" t="s">
        <v>11</v>
      </c>
      <c r="O945" s="50">
        <v>10.4</v>
      </c>
      <c r="P945" s="9">
        <f>ROUND(O945*L945,2)</f>
        <v>10504</v>
      </c>
      <c r="Q945" s="10">
        <f>IF(N945="HKD",7.8,IF(N945="CNY",7.30034,1))</f>
        <v>7.3003400000000003</v>
      </c>
      <c r="R945" s="10">
        <f>+ROUND(O945/Q945,4)</f>
        <v>1.4246000000000001</v>
      </c>
      <c r="S945" s="11">
        <f>ROUND(R945*L945,2)</f>
        <v>1438.85</v>
      </c>
      <c r="T945" s="10" t="s">
        <v>349</v>
      </c>
      <c r="U945" t="s">
        <v>1</v>
      </c>
    </row>
    <row r="946" spans="1:21">
      <c r="A946" t="s">
        <v>2737</v>
      </c>
      <c r="B946" s="20">
        <v>45733</v>
      </c>
      <c r="C946" s="20">
        <v>45729</v>
      </c>
      <c r="D946" t="s">
        <v>5</v>
      </c>
      <c r="E946" t="s">
        <v>6</v>
      </c>
      <c r="G946" t="s">
        <v>3043</v>
      </c>
      <c r="H946" t="s">
        <v>1804</v>
      </c>
      <c r="I946" t="s">
        <v>1805</v>
      </c>
      <c r="J946" s="8" t="str">
        <f>+LEFT(U946,4)</f>
        <v>BOX-</v>
      </c>
      <c r="K946" t="s">
        <v>10</v>
      </c>
      <c r="L946" s="47">
        <v>1010</v>
      </c>
      <c r="M946" t="s">
        <v>1472</v>
      </c>
      <c r="N946" t="s">
        <v>11</v>
      </c>
      <c r="O946" s="50">
        <v>10.4</v>
      </c>
      <c r="P946" s="9">
        <f>ROUND(O946*L946,2)</f>
        <v>10504</v>
      </c>
      <c r="Q946" s="10">
        <f>IF(N946="HKD",7.8,IF(N946="CNY",7.30034,1))</f>
        <v>7.3003400000000003</v>
      </c>
      <c r="R946" s="10">
        <f>+ROUND(O946/Q946,4)</f>
        <v>1.4246000000000001</v>
      </c>
      <c r="S946" s="11">
        <f>ROUND(R946*L946,2)</f>
        <v>1438.85</v>
      </c>
      <c r="T946" s="10" t="s">
        <v>349</v>
      </c>
      <c r="U946" t="s">
        <v>1</v>
      </c>
    </row>
    <row r="947" spans="1:21">
      <c r="A947" t="s">
        <v>2740</v>
      </c>
      <c r="B947" s="20">
        <v>45733</v>
      </c>
      <c r="C947" s="20">
        <v>45729</v>
      </c>
      <c r="D947" t="s">
        <v>5</v>
      </c>
      <c r="E947" t="s">
        <v>6</v>
      </c>
      <c r="G947" t="s">
        <v>3043</v>
      </c>
      <c r="H947" t="s">
        <v>3244</v>
      </c>
      <c r="I947" t="s">
        <v>3451</v>
      </c>
      <c r="J947" s="8" t="str">
        <f>+LEFT(U947,4)</f>
        <v>BOX-</v>
      </c>
      <c r="K947" t="s">
        <v>10</v>
      </c>
      <c r="L947" s="47">
        <v>505</v>
      </c>
      <c r="M947" t="s">
        <v>1472</v>
      </c>
      <c r="N947" t="s">
        <v>11</v>
      </c>
      <c r="O947" s="50">
        <v>10.73</v>
      </c>
      <c r="P947" s="9">
        <f>ROUND(O947*L947,2)</f>
        <v>5418.65</v>
      </c>
      <c r="Q947" s="10">
        <f>IF(N947="HKD",7.8,IF(N947="CNY",7.30034,1))</f>
        <v>7.3003400000000003</v>
      </c>
      <c r="R947" s="10">
        <f>+ROUND(O947/Q947,4)</f>
        <v>1.4698</v>
      </c>
      <c r="S947" s="11">
        <f>ROUND(R947*L947,2)</f>
        <v>742.25</v>
      </c>
      <c r="T947" s="10" t="s">
        <v>349</v>
      </c>
      <c r="U947" t="s">
        <v>1</v>
      </c>
    </row>
    <row r="948" spans="1:21">
      <c r="A948" t="s">
        <v>2613</v>
      </c>
      <c r="B948" s="20">
        <v>45733</v>
      </c>
      <c r="C948" s="20">
        <v>45720</v>
      </c>
      <c r="D948" t="s">
        <v>28</v>
      </c>
      <c r="E948" t="s">
        <v>29</v>
      </c>
      <c r="G948" t="s">
        <v>2936</v>
      </c>
      <c r="H948" t="s">
        <v>3201</v>
      </c>
      <c r="I948" t="s">
        <v>3408</v>
      </c>
      <c r="J948" s="8" t="str">
        <f>+LEFT(U948,4)</f>
        <v>BRKT</v>
      </c>
      <c r="K948" t="s">
        <v>10</v>
      </c>
      <c r="L948" s="47">
        <v>1030</v>
      </c>
      <c r="M948" t="s">
        <v>1472</v>
      </c>
      <c r="N948" t="s">
        <v>11</v>
      </c>
      <c r="O948" s="50">
        <v>0.71870000000000001</v>
      </c>
      <c r="P948" s="9">
        <f>ROUND(O948*L948,2)</f>
        <v>740.26</v>
      </c>
      <c r="Q948" s="10">
        <f>IF(N948="HKD",7.8,IF(N948="CNY",7.30034,1))</f>
        <v>7.3003400000000003</v>
      </c>
      <c r="R948" s="10">
        <f>+ROUND(O948/Q948,4)</f>
        <v>9.8400000000000001E-2</v>
      </c>
      <c r="S948" s="11">
        <f>ROUND(R948*L948,2)</f>
        <v>101.35</v>
      </c>
      <c r="T948" s="10" t="s">
        <v>349</v>
      </c>
      <c r="U948" t="s">
        <v>442</v>
      </c>
    </row>
    <row r="949" spans="1:21">
      <c r="A949" t="s">
        <v>2662</v>
      </c>
      <c r="B949" s="20">
        <v>45733</v>
      </c>
      <c r="C949" s="20">
        <v>45723</v>
      </c>
      <c r="D949" t="s">
        <v>28</v>
      </c>
      <c r="E949" t="s">
        <v>29</v>
      </c>
      <c r="G949" t="s">
        <v>2936</v>
      </c>
      <c r="H949" t="s">
        <v>3201</v>
      </c>
      <c r="I949" t="s">
        <v>3408</v>
      </c>
      <c r="J949" s="8" t="str">
        <f>+LEFT(U949,4)</f>
        <v>BRKT</v>
      </c>
      <c r="K949" t="s">
        <v>10</v>
      </c>
      <c r="L949" s="47">
        <v>610</v>
      </c>
      <c r="M949" t="s">
        <v>1472</v>
      </c>
      <c r="N949" t="s">
        <v>11</v>
      </c>
      <c r="O949" s="50">
        <v>0.71870000000000001</v>
      </c>
      <c r="P949" s="9">
        <f>ROUND(O949*L949,2)</f>
        <v>438.41</v>
      </c>
      <c r="Q949" s="10">
        <f>IF(N949="HKD",7.8,IF(N949="CNY",7.30034,1))</f>
        <v>7.3003400000000003</v>
      </c>
      <c r="R949" s="10">
        <f>+ROUND(O949/Q949,4)</f>
        <v>9.8400000000000001E-2</v>
      </c>
      <c r="S949" s="11">
        <f>ROUND(R949*L949,2)</f>
        <v>60.02</v>
      </c>
      <c r="T949" s="10" t="s">
        <v>349</v>
      </c>
      <c r="U949" t="s">
        <v>442</v>
      </c>
    </row>
    <row r="950" spans="1:21">
      <c r="A950" t="s">
        <v>2680</v>
      </c>
      <c r="B950" s="20">
        <v>45733</v>
      </c>
      <c r="C950" s="20">
        <v>45726</v>
      </c>
      <c r="D950" t="s">
        <v>2832</v>
      </c>
      <c r="E950" t="s">
        <v>2833</v>
      </c>
      <c r="G950" t="s">
        <v>3029</v>
      </c>
      <c r="H950" t="s">
        <v>3222</v>
      </c>
      <c r="I950" t="s">
        <v>3429</v>
      </c>
      <c r="J950" s="8" t="str">
        <f>+LEFT(U950,4)</f>
        <v>EXM-</v>
      </c>
      <c r="K950" t="s">
        <v>10</v>
      </c>
      <c r="L950" s="47">
        <v>20</v>
      </c>
      <c r="M950" t="s">
        <v>186</v>
      </c>
      <c r="N950" t="s">
        <v>11</v>
      </c>
      <c r="O950" s="50">
        <v>123.8938</v>
      </c>
      <c r="P950" s="9">
        <f>ROUND(O950*L950,2)</f>
        <v>2477.88</v>
      </c>
      <c r="Q950" s="10">
        <f>IF(N950="HKD",7.8,IF(N950="CNY",7.30034,1))</f>
        <v>7.3003400000000003</v>
      </c>
      <c r="R950" s="10">
        <f>+ROUND(O950/Q950,4)</f>
        <v>16.971</v>
      </c>
      <c r="S950" s="11">
        <f>ROUND(R950*L950,2)</f>
        <v>339.42</v>
      </c>
      <c r="T950" s="10" t="s">
        <v>349</v>
      </c>
      <c r="U950" t="s">
        <v>315</v>
      </c>
    </row>
    <row r="951" spans="1:21">
      <c r="A951" t="s">
        <v>2413</v>
      </c>
      <c r="B951" s="20">
        <v>45733</v>
      </c>
      <c r="C951" s="20">
        <v>45702</v>
      </c>
      <c r="D951" t="s">
        <v>372</v>
      </c>
      <c r="E951" t="s">
        <v>373</v>
      </c>
      <c r="G951" t="s">
        <v>2928</v>
      </c>
      <c r="H951" t="s">
        <v>3104</v>
      </c>
      <c r="I951" t="s">
        <v>3319</v>
      </c>
      <c r="J951" s="8" t="str">
        <f>+LEFT(U951,4)</f>
        <v>FG--</v>
      </c>
      <c r="K951" t="s">
        <v>98</v>
      </c>
      <c r="L951" s="47">
        <v>1030</v>
      </c>
      <c r="M951" t="s">
        <v>1472</v>
      </c>
      <c r="N951" t="s">
        <v>11</v>
      </c>
      <c r="O951" s="50">
        <v>0.99399999999999999</v>
      </c>
      <c r="P951" s="9">
        <f>ROUND(O951*L951,2)</f>
        <v>1023.82</v>
      </c>
      <c r="Q951" s="10">
        <f>IF(N951="HKD",7.8,IF(N951="CNY",7.30034,1))</f>
        <v>7.3003400000000003</v>
      </c>
      <c r="R951" s="10">
        <f>+ROUND(O951/Q951,4)</f>
        <v>0.13619999999999999</v>
      </c>
      <c r="S951" s="11">
        <f>ROUND(R951*L951,2)</f>
        <v>140.29</v>
      </c>
      <c r="T951" s="10" t="s">
        <v>349</v>
      </c>
      <c r="U951" t="s">
        <v>64</v>
      </c>
    </row>
    <row r="952" spans="1:21">
      <c r="A952" t="s">
        <v>2374</v>
      </c>
      <c r="B952" s="20">
        <v>45733</v>
      </c>
      <c r="C952" s="20">
        <v>45695</v>
      </c>
      <c r="D952" t="s">
        <v>128</v>
      </c>
      <c r="E952" t="s">
        <v>129</v>
      </c>
      <c r="G952" t="s">
        <v>2910</v>
      </c>
      <c r="H952" t="s">
        <v>443</v>
      </c>
      <c r="I952" t="s">
        <v>444</v>
      </c>
      <c r="J952" s="8" t="str">
        <f>+LEFT(U952,4)</f>
        <v>FG--</v>
      </c>
      <c r="K952" t="s">
        <v>10</v>
      </c>
      <c r="L952" s="47">
        <v>3000</v>
      </c>
      <c r="M952" t="s">
        <v>1472</v>
      </c>
      <c r="N952" t="s">
        <v>11</v>
      </c>
      <c r="O952" s="50">
        <v>1.0021</v>
      </c>
      <c r="P952" s="9">
        <f>ROUND(O952*L952,2)</f>
        <v>3006.3</v>
      </c>
      <c r="Q952" s="10">
        <f>IF(N952="HKD",7.8,IF(N952="CNY",7.30034,1))</f>
        <v>7.3003400000000003</v>
      </c>
      <c r="R952" s="10">
        <f>+ROUND(O952/Q952,4)</f>
        <v>0.13730000000000001</v>
      </c>
      <c r="S952" s="11">
        <f>ROUND(R952*L952,2)</f>
        <v>411.9</v>
      </c>
      <c r="T952" s="10" t="s">
        <v>349</v>
      </c>
      <c r="U952" t="s">
        <v>64</v>
      </c>
    </row>
    <row r="953" spans="1:21">
      <c r="A953" t="s">
        <v>2611</v>
      </c>
      <c r="B953" s="20">
        <v>45733</v>
      </c>
      <c r="C953" s="20">
        <v>45720</v>
      </c>
      <c r="D953" t="s">
        <v>287</v>
      </c>
      <c r="E953" t="s">
        <v>288</v>
      </c>
      <c r="G953" t="s">
        <v>2946</v>
      </c>
      <c r="H953" t="s">
        <v>71</v>
      </c>
      <c r="I953" t="s">
        <v>72</v>
      </c>
      <c r="J953" s="8" t="s">
        <v>1478</v>
      </c>
      <c r="K953" t="s">
        <v>10</v>
      </c>
      <c r="L953" s="47">
        <v>1000</v>
      </c>
      <c r="M953" t="s">
        <v>1472</v>
      </c>
      <c r="N953" t="s">
        <v>11</v>
      </c>
      <c r="O953" s="50">
        <v>8.15</v>
      </c>
      <c r="P953" s="9">
        <f>ROUND(O953*L953,2)</f>
        <v>8150</v>
      </c>
      <c r="Q953" s="10">
        <f>IF(N953="HKD",7.8,IF(N953="CNY",7.30034,1))</f>
        <v>7.3003400000000003</v>
      </c>
      <c r="R953" s="10">
        <f>+ROUND(O953/Q953,4)</f>
        <v>1.1164000000000001</v>
      </c>
      <c r="S953" s="11">
        <f>ROUND(R953*L953,2)</f>
        <v>1116.4000000000001</v>
      </c>
      <c r="T953" s="10" t="s">
        <v>349</v>
      </c>
      <c r="U953" t="s">
        <v>36</v>
      </c>
    </row>
    <row r="954" spans="1:21">
      <c r="A954" t="s">
        <v>2470</v>
      </c>
      <c r="B954" s="20">
        <v>45733</v>
      </c>
      <c r="C954" s="20">
        <v>45707</v>
      </c>
      <c r="D954" t="s">
        <v>287</v>
      </c>
      <c r="E954" t="s">
        <v>288</v>
      </c>
      <c r="G954" t="s">
        <v>2946</v>
      </c>
      <c r="H954" t="s">
        <v>73</v>
      </c>
      <c r="I954" t="s">
        <v>74</v>
      </c>
      <c r="J954" s="8" t="s">
        <v>1478</v>
      </c>
      <c r="K954" t="s">
        <v>10</v>
      </c>
      <c r="L954" s="47">
        <v>1050</v>
      </c>
      <c r="M954" t="s">
        <v>1472</v>
      </c>
      <c r="N954" t="s">
        <v>11</v>
      </c>
      <c r="O954" s="50">
        <v>8.84</v>
      </c>
      <c r="P954" s="9">
        <f>ROUND(O954*L954,2)</f>
        <v>9282</v>
      </c>
      <c r="Q954" s="10">
        <f>IF(N954="HKD",7.8,IF(N954="CNY",7.30034,1))</f>
        <v>7.3003400000000003</v>
      </c>
      <c r="R954" s="10">
        <f>+ROUND(O954/Q954,4)</f>
        <v>1.2109000000000001</v>
      </c>
      <c r="S954" s="11">
        <f>ROUND(R954*L954,2)</f>
        <v>1271.45</v>
      </c>
      <c r="T954" s="10" t="s">
        <v>349</v>
      </c>
      <c r="U954" t="s">
        <v>36</v>
      </c>
    </row>
    <row r="955" spans="1:21">
      <c r="A955" t="s">
        <v>2476</v>
      </c>
      <c r="B955" s="20">
        <v>45733</v>
      </c>
      <c r="C955" s="20">
        <v>45709</v>
      </c>
      <c r="D955" t="s">
        <v>287</v>
      </c>
      <c r="E955" t="s">
        <v>288</v>
      </c>
      <c r="G955" t="s">
        <v>2946</v>
      </c>
      <c r="H955" t="s">
        <v>73</v>
      </c>
      <c r="I955" t="s">
        <v>74</v>
      </c>
      <c r="J955" s="8" t="s">
        <v>1478</v>
      </c>
      <c r="K955" t="s">
        <v>10</v>
      </c>
      <c r="L955" s="47">
        <v>900</v>
      </c>
      <c r="M955" t="s">
        <v>1472</v>
      </c>
      <c r="N955" t="s">
        <v>11</v>
      </c>
      <c r="O955" s="50">
        <v>8.84</v>
      </c>
      <c r="P955" s="9">
        <f>ROUND(O955*L955,2)</f>
        <v>7956</v>
      </c>
      <c r="Q955" s="10">
        <f>IF(N955="HKD",7.8,IF(N955="CNY",7.30034,1))</f>
        <v>7.3003400000000003</v>
      </c>
      <c r="R955" s="10">
        <f>+ROUND(O955/Q955,4)</f>
        <v>1.2109000000000001</v>
      </c>
      <c r="S955" s="11">
        <f>ROUND(R955*L955,2)</f>
        <v>1089.81</v>
      </c>
      <c r="T955" s="10" t="s">
        <v>349</v>
      </c>
      <c r="U955" t="s">
        <v>36</v>
      </c>
    </row>
    <row r="956" spans="1:21">
      <c r="A956" t="s">
        <v>2471</v>
      </c>
      <c r="B956" s="20">
        <v>45733</v>
      </c>
      <c r="C956" s="20">
        <v>45707</v>
      </c>
      <c r="D956" t="s">
        <v>287</v>
      </c>
      <c r="E956" t="s">
        <v>288</v>
      </c>
      <c r="G956" t="s">
        <v>2946</v>
      </c>
      <c r="H956" t="s">
        <v>75</v>
      </c>
      <c r="I956" t="s">
        <v>3280</v>
      </c>
      <c r="J956" s="8" t="s">
        <v>1478</v>
      </c>
      <c r="K956" t="s">
        <v>10</v>
      </c>
      <c r="L956" s="47">
        <v>1050</v>
      </c>
      <c r="M956" t="s">
        <v>1472</v>
      </c>
      <c r="N956" t="s">
        <v>11</v>
      </c>
      <c r="O956" s="50">
        <v>9.5</v>
      </c>
      <c r="P956" s="9">
        <f>ROUND(O956*L956,2)</f>
        <v>9975</v>
      </c>
      <c r="Q956" s="10">
        <f>IF(N956="HKD",7.8,IF(N956="CNY",7.30034,1))</f>
        <v>7.3003400000000003</v>
      </c>
      <c r="R956" s="10">
        <f>+ROUND(O956/Q956,4)</f>
        <v>1.3012999999999999</v>
      </c>
      <c r="S956" s="11">
        <f>ROUND(R956*L956,2)</f>
        <v>1366.37</v>
      </c>
      <c r="T956" s="10" t="s">
        <v>349</v>
      </c>
      <c r="U956" t="s">
        <v>36</v>
      </c>
    </row>
    <row r="957" spans="1:21">
      <c r="A957" t="s">
        <v>2477</v>
      </c>
      <c r="B957" s="20">
        <v>45733</v>
      </c>
      <c r="C957" s="20">
        <v>45709</v>
      </c>
      <c r="D957" t="s">
        <v>287</v>
      </c>
      <c r="E957" t="s">
        <v>288</v>
      </c>
      <c r="G957" t="s">
        <v>2946</v>
      </c>
      <c r="H957" t="s">
        <v>75</v>
      </c>
      <c r="I957" t="s">
        <v>3280</v>
      </c>
      <c r="J957" s="8" t="s">
        <v>1478</v>
      </c>
      <c r="K957" t="s">
        <v>10</v>
      </c>
      <c r="L957" s="47">
        <v>1000</v>
      </c>
      <c r="M957" t="s">
        <v>1472</v>
      </c>
      <c r="N957" t="s">
        <v>11</v>
      </c>
      <c r="O957" s="50">
        <v>9.5</v>
      </c>
      <c r="P957" s="9">
        <f>ROUND(O957*L957,2)</f>
        <v>9500</v>
      </c>
      <c r="Q957" s="10">
        <f>IF(N957="HKD",7.8,IF(N957="CNY",7.30034,1))</f>
        <v>7.3003400000000003</v>
      </c>
      <c r="R957" s="10">
        <f>+ROUND(O957/Q957,4)</f>
        <v>1.3012999999999999</v>
      </c>
      <c r="S957" s="11">
        <f>ROUND(R957*L957,2)</f>
        <v>1301.3</v>
      </c>
      <c r="T957" s="10" t="s">
        <v>349</v>
      </c>
      <c r="U957" t="s">
        <v>36</v>
      </c>
    </row>
    <row r="958" spans="1:21">
      <c r="A958" t="s">
        <v>2427</v>
      </c>
      <c r="B958" s="20">
        <v>45733</v>
      </c>
      <c r="C958" s="20">
        <v>45702</v>
      </c>
      <c r="D958" t="s">
        <v>651</v>
      </c>
      <c r="E958" t="s">
        <v>652</v>
      </c>
      <c r="G958" t="s">
        <v>2931</v>
      </c>
      <c r="H958" t="s">
        <v>3116</v>
      </c>
      <c r="I958" t="s">
        <v>3330</v>
      </c>
      <c r="J958" s="8" t="str">
        <f>+LEFT(U958,4)</f>
        <v>HDL-</v>
      </c>
      <c r="K958" t="s">
        <v>10</v>
      </c>
      <c r="L958" s="47">
        <v>4050</v>
      </c>
      <c r="M958" t="s">
        <v>1472</v>
      </c>
      <c r="N958" t="s">
        <v>11</v>
      </c>
      <c r="O958" s="50">
        <v>1.7248000000000001</v>
      </c>
      <c r="P958" s="9">
        <f>ROUND(O958*L958,2)</f>
        <v>6985.44</v>
      </c>
      <c r="Q958" s="10">
        <f>IF(N958="HKD",7.8,IF(N958="CNY",7.30034,1))</f>
        <v>7.3003400000000003</v>
      </c>
      <c r="R958" s="10">
        <f>+ROUND(O958/Q958,4)</f>
        <v>0.23630000000000001</v>
      </c>
      <c r="S958" s="11">
        <f>ROUND(R958*L958,2)</f>
        <v>957.02</v>
      </c>
      <c r="T958" s="10" t="s">
        <v>349</v>
      </c>
      <c r="U958" t="s">
        <v>228</v>
      </c>
    </row>
    <row r="959" spans="1:21">
      <c r="A959" t="s">
        <v>2449</v>
      </c>
      <c r="B959" s="20">
        <v>45733</v>
      </c>
      <c r="C959" s="20">
        <v>45702</v>
      </c>
      <c r="D959" t="s">
        <v>2247</v>
      </c>
      <c r="E959" t="s">
        <v>2248</v>
      </c>
      <c r="G959" t="s">
        <v>2940</v>
      </c>
      <c r="H959" t="s">
        <v>3135</v>
      </c>
      <c r="I959" t="s">
        <v>3345</v>
      </c>
      <c r="J959" s="8" t="str">
        <f>+LEFT(U959,4)</f>
        <v>HDL-</v>
      </c>
      <c r="K959" t="s">
        <v>10</v>
      </c>
      <c r="L959" s="47">
        <v>1010</v>
      </c>
      <c r="M959" t="s">
        <v>1472</v>
      </c>
      <c r="N959" t="s">
        <v>11</v>
      </c>
      <c r="O959" s="50">
        <v>4.3320999999999996</v>
      </c>
      <c r="P959" s="9">
        <f>ROUND(O959*L959,2)</f>
        <v>4375.42</v>
      </c>
      <c r="Q959" s="10">
        <f>IF(N959="HKD",7.8,IF(N959="CNY",7.30034,1))</f>
        <v>7.3003400000000003</v>
      </c>
      <c r="R959" s="10">
        <f>+ROUND(O959/Q959,4)</f>
        <v>0.59340000000000004</v>
      </c>
      <c r="S959" s="11">
        <f>ROUND(R959*L959,2)</f>
        <v>599.33000000000004</v>
      </c>
      <c r="T959" s="10" t="s">
        <v>349</v>
      </c>
      <c r="U959" t="s">
        <v>228</v>
      </c>
    </row>
    <row r="960" spans="1:21">
      <c r="A960" t="s">
        <v>2450</v>
      </c>
      <c r="B960" s="20">
        <v>45733</v>
      </c>
      <c r="C960" s="20">
        <v>45702</v>
      </c>
      <c r="D960" t="s">
        <v>2247</v>
      </c>
      <c r="E960" t="s">
        <v>2248</v>
      </c>
      <c r="G960" t="s">
        <v>2940</v>
      </c>
      <c r="H960" t="s">
        <v>3136</v>
      </c>
      <c r="I960" t="s">
        <v>3346</v>
      </c>
      <c r="J960" s="8" t="str">
        <f>+LEFT(U960,4)</f>
        <v>HDL-</v>
      </c>
      <c r="K960" t="s">
        <v>10</v>
      </c>
      <c r="L960" s="47">
        <v>1000</v>
      </c>
      <c r="M960" t="s">
        <v>1472</v>
      </c>
      <c r="N960" t="s">
        <v>11</v>
      </c>
      <c r="O960" s="50">
        <v>4.7900999999999998</v>
      </c>
      <c r="P960" s="9">
        <f>ROUND(O960*L960,2)</f>
        <v>4790.1000000000004</v>
      </c>
      <c r="Q960" s="10">
        <f>IF(N960="HKD",7.8,IF(N960="CNY",7.30034,1))</f>
        <v>7.3003400000000003</v>
      </c>
      <c r="R960" s="10">
        <f>+ROUND(O960/Q960,4)</f>
        <v>0.65610000000000002</v>
      </c>
      <c r="S960" s="11">
        <f>ROUND(R960*L960,2)</f>
        <v>656.1</v>
      </c>
      <c r="T960" s="10" t="s">
        <v>349</v>
      </c>
      <c r="U960" t="s">
        <v>228</v>
      </c>
    </row>
    <row r="961" spans="1:21">
      <c r="A961" t="s">
        <v>2451</v>
      </c>
      <c r="B961" s="20">
        <v>45733</v>
      </c>
      <c r="C961" s="20">
        <v>45702</v>
      </c>
      <c r="D961" t="s">
        <v>2247</v>
      </c>
      <c r="E961" t="s">
        <v>2248</v>
      </c>
      <c r="G961" t="s">
        <v>2940</v>
      </c>
      <c r="H961" t="s">
        <v>3137</v>
      </c>
      <c r="I961" t="s">
        <v>3347</v>
      </c>
      <c r="J961" s="8" t="str">
        <f>+LEFT(U961,4)</f>
        <v>HDL-</v>
      </c>
      <c r="K961" t="s">
        <v>10</v>
      </c>
      <c r="L961" s="47">
        <v>1020</v>
      </c>
      <c r="M961" t="s">
        <v>1472</v>
      </c>
      <c r="N961" t="s">
        <v>11</v>
      </c>
      <c r="O961" s="50">
        <v>4.7900999999999998</v>
      </c>
      <c r="P961" s="9">
        <f>ROUND(O961*L961,2)</f>
        <v>4885.8999999999996</v>
      </c>
      <c r="Q961" s="10">
        <f>IF(N961="HKD",7.8,IF(N961="CNY",7.30034,1))</f>
        <v>7.3003400000000003</v>
      </c>
      <c r="R961" s="10">
        <f>+ROUND(O961/Q961,4)</f>
        <v>0.65610000000000002</v>
      </c>
      <c r="S961" s="11">
        <f>ROUND(R961*L961,2)</f>
        <v>669.22</v>
      </c>
      <c r="T961" s="10" t="s">
        <v>349</v>
      </c>
      <c r="U961" t="s">
        <v>228</v>
      </c>
    </row>
    <row r="962" spans="1:21">
      <c r="A962" t="s">
        <v>2491</v>
      </c>
      <c r="B962" s="20">
        <v>45733</v>
      </c>
      <c r="C962" s="20">
        <v>45713</v>
      </c>
      <c r="D962" t="s">
        <v>2257</v>
      </c>
      <c r="E962" t="s">
        <v>2258</v>
      </c>
      <c r="G962" t="s">
        <v>2954</v>
      </c>
      <c r="H962" t="s">
        <v>1798</v>
      </c>
      <c r="I962" t="s">
        <v>1799</v>
      </c>
      <c r="J962" s="8" t="str">
        <f>+LEFT(U962,4)</f>
        <v>HDL-</v>
      </c>
      <c r="K962" t="s">
        <v>10</v>
      </c>
      <c r="L962" s="47">
        <v>4100</v>
      </c>
      <c r="M962" t="s">
        <v>1472</v>
      </c>
      <c r="N962" t="s">
        <v>11</v>
      </c>
      <c r="O962" s="50">
        <v>7.4931000000000001</v>
      </c>
      <c r="P962" s="9">
        <f>ROUND(O962*L962,2)</f>
        <v>30721.71</v>
      </c>
      <c r="Q962" s="10">
        <f>IF(N962="HKD",7.8,IF(N962="CNY",7.30034,1))</f>
        <v>7.3003400000000003</v>
      </c>
      <c r="R962" s="10">
        <f>+ROUND(O962/Q962,4)</f>
        <v>1.0264</v>
      </c>
      <c r="S962" s="11">
        <f>ROUND(R962*L962,2)</f>
        <v>4208.24</v>
      </c>
      <c r="T962" s="10" t="s">
        <v>349</v>
      </c>
      <c r="U962" t="s">
        <v>228</v>
      </c>
    </row>
    <row r="963" spans="1:21">
      <c r="A963" t="s">
        <v>2503</v>
      </c>
      <c r="B963" s="20">
        <v>45733</v>
      </c>
      <c r="C963" s="20">
        <v>45713</v>
      </c>
      <c r="D963" t="s">
        <v>2257</v>
      </c>
      <c r="E963" t="s">
        <v>2258</v>
      </c>
      <c r="G963" t="s">
        <v>2954</v>
      </c>
      <c r="H963" t="s">
        <v>3151</v>
      </c>
      <c r="I963" t="s">
        <v>3361</v>
      </c>
      <c r="J963" s="8" t="str">
        <f>+LEFT(U963,4)</f>
        <v>HDL-</v>
      </c>
      <c r="K963" t="s">
        <v>10</v>
      </c>
      <c r="L963" s="47">
        <v>4400</v>
      </c>
      <c r="M963" t="s">
        <v>1472</v>
      </c>
      <c r="N963" t="s">
        <v>11</v>
      </c>
      <c r="O963" s="50">
        <v>8.7460000000000004</v>
      </c>
      <c r="P963" s="9">
        <f>ROUND(O963*L963,2)</f>
        <v>38482.400000000001</v>
      </c>
      <c r="Q963" s="10">
        <f>IF(N963="HKD",7.8,IF(N963="CNY",7.30034,1))</f>
        <v>7.3003400000000003</v>
      </c>
      <c r="R963" s="10">
        <f>+ROUND(O963/Q963,4)</f>
        <v>1.198</v>
      </c>
      <c r="S963" s="11">
        <f>ROUND(R963*L963,2)</f>
        <v>5271.2</v>
      </c>
      <c r="T963" s="10" t="s">
        <v>349</v>
      </c>
      <c r="U963" t="s">
        <v>228</v>
      </c>
    </row>
    <row r="964" spans="1:21">
      <c r="A964" t="s">
        <v>2547</v>
      </c>
      <c r="B964" s="20">
        <v>45733</v>
      </c>
      <c r="C964" s="20">
        <v>45716</v>
      </c>
      <c r="D964" t="s">
        <v>311</v>
      </c>
      <c r="E964" t="s">
        <v>312</v>
      </c>
      <c r="G964" t="s">
        <v>2992</v>
      </c>
      <c r="H964" t="s">
        <v>341</v>
      </c>
      <c r="I964" t="s">
        <v>342</v>
      </c>
      <c r="J964" s="8" t="str">
        <f>+LEFT(U964,4)</f>
        <v>INM-</v>
      </c>
      <c r="K964" t="s">
        <v>10</v>
      </c>
      <c r="L964" s="47">
        <v>50</v>
      </c>
      <c r="M964" t="s">
        <v>186</v>
      </c>
      <c r="N964" t="s">
        <v>11</v>
      </c>
      <c r="O964" s="50">
        <v>63.008800000000001</v>
      </c>
      <c r="P964" s="9">
        <f>ROUND(O964*L964,2)</f>
        <v>3150.44</v>
      </c>
      <c r="Q964" s="10">
        <f>IF(N964="HKD",7.8,IF(N964="CNY",7.30034,1))</f>
        <v>7.3003400000000003</v>
      </c>
      <c r="R964" s="10">
        <f>+ROUND(O964/Q964,4)</f>
        <v>8.6309000000000005</v>
      </c>
      <c r="S964" s="11">
        <f>ROUND(R964*L964,2)</f>
        <v>431.55</v>
      </c>
      <c r="T964" s="10" t="s">
        <v>349</v>
      </c>
      <c r="U964" t="s">
        <v>327</v>
      </c>
    </row>
    <row r="965" spans="1:21">
      <c r="A965" t="s">
        <v>2584</v>
      </c>
      <c r="B965" s="20">
        <v>45733</v>
      </c>
      <c r="C965" s="20">
        <v>45716</v>
      </c>
      <c r="D965" t="s">
        <v>2827</v>
      </c>
      <c r="E965" t="s">
        <v>2828</v>
      </c>
      <c r="G965" t="s">
        <v>3004</v>
      </c>
      <c r="H965" t="s">
        <v>3187</v>
      </c>
      <c r="I965" t="s">
        <v>3394</v>
      </c>
      <c r="J965" s="8" t="str">
        <f>+LEFT(U965,4)</f>
        <v>INM-</v>
      </c>
      <c r="K965" t="s">
        <v>10</v>
      </c>
      <c r="L965" s="47">
        <v>150</v>
      </c>
      <c r="M965" t="s">
        <v>186</v>
      </c>
      <c r="N965" t="s">
        <v>11</v>
      </c>
      <c r="O965" s="50">
        <v>81</v>
      </c>
      <c r="P965" s="9">
        <f>ROUND(O965*L965,2)</f>
        <v>12150</v>
      </c>
      <c r="Q965" s="10">
        <f>IF(N965="HKD",7.8,IF(N965="CNY",7.30034,1))</f>
        <v>7.3003400000000003</v>
      </c>
      <c r="R965" s="10">
        <f>+ROUND(O965/Q965,4)</f>
        <v>11.0954</v>
      </c>
      <c r="S965" s="11">
        <f>ROUND(R965*L965,2)</f>
        <v>1664.31</v>
      </c>
      <c r="T965" s="10" t="s">
        <v>349</v>
      </c>
      <c r="U965" t="s">
        <v>327</v>
      </c>
    </row>
    <row r="966" spans="1:21">
      <c r="A966" t="s">
        <v>2548</v>
      </c>
      <c r="B966" s="20">
        <v>45733</v>
      </c>
      <c r="C966" s="20">
        <v>45716</v>
      </c>
      <c r="D966" t="s">
        <v>311</v>
      </c>
      <c r="E966" t="s">
        <v>312</v>
      </c>
      <c r="G966" t="s">
        <v>2992</v>
      </c>
      <c r="H966" t="s">
        <v>662</v>
      </c>
      <c r="I966" t="s">
        <v>663</v>
      </c>
      <c r="J966" s="8" t="str">
        <f>+LEFT(U966,4)</f>
        <v>INM-</v>
      </c>
      <c r="K966" t="s">
        <v>10</v>
      </c>
      <c r="L966" s="47">
        <v>75</v>
      </c>
      <c r="M966" t="s">
        <v>186</v>
      </c>
      <c r="N966" t="s">
        <v>11</v>
      </c>
      <c r="O966" s="50">
        <v>92.743399999999994</v>
      </c>
      <c r="P966" s="9">
        <f>ROUND(O966*L966,2)</f>
        <v>6955.76</v>
      </c>
      <c r="Q966" s="10">
        <f>IF(N966="HKD",7.8,IF(N966="CNY",7.30034,1))</f>
        <v>7.3003400000000003</v>
      </c>
      <c r="R966" s="10">
        <f>+ROUND(O966/Q966,4)</f>
        <v>12.704000000000001</v>
      </c>
      <c r="S966" s="11">
        <f>ROUND(R966*L966,2)</f>
        <v>952.8</v>
      </c>
      <c r="T966" s="10" t="s">
        <v>349</v>
      </c>
      <c r="U966" t="s">
        <v>327</v>
      </c>
    </row>
    <row r="967" spans="1:21">
      <c r="A967" t="s">
        <v>2582</v>
      </c>
      <c r="B967" s="20">
        <v>45733</v>
      </c>
      <c r="C967" s="20">
        <v>45716</v>
      </c>
      <c r="D967" t="s">
        <v>2827</v>
      </c>
      <c r="E967" t="s">
        <v>2828</v>
      </c>
      <c r="G967" t="s">
        <v>3004</v>
      </c>
      <c r="H967" t="s">
        <v>3185</v>
      </c>
      <c r="I967" t="s">
        <v>3392</v>
      </c>
      <c r="J967" s="8" t="str">
        <f>+LEFT(U967,4)</f>
        <v>INM-</v>
      </c>
      <c r="K967" t="s">
        <v>10</v>
      </c>
      <c r="L967" s="47">
        <v>150</v>
      </c>
      <c r="M967" t="s">
        <v>186</v>
      </c>
      <c r="N967" t="s">
        <v>11</v>
      </c>
      <c r="O967" s="50">
        <v>120.4248</v>
      </c>
      <c r="P967" s="9">
        <f>ROUND(O967*L967,2)</f>
        <v>18063.72</v>
      </c>
      <c r="Q967" s="10">
        <f>IF(N967="HKD",7.8,IF(N967="CNY",7.30034,1))</f>
        <v>7.3003400000000003</v>
      </c>
      <c r="R967" s="10">
        <f>+ROUND(O967/Q967,4)</f>
        <v>16.495799999999999</v>
      </c>
      <c r="S967" s="11">
        <f>ROUND(R967*L967,2)</f>
        <v>2474.37</v>
      </c>
      <c r="T967" s="10" t="s">
        <v>349</v>
      </c>
      <c r="U967" t="s">
        <v>327</v>
      </c>
    </row>
    <row r="968" spans="1:21">
      <c r="A968" t="s">
        <v>2582</v>
      </c>
      <c r="B968" s="20">
        <v>45733</v>
      </c>
      <c r="C968" s="20">
        <v>45716</v>
      </c>
      <c r="D968" t="s">
        <v>2827</v>
      </c>
      <c r="E968" t="s">
        <v>2828</v>
      </c>
      <c r="G968" t="s">
        <v>3005</v>
      </c>
      <c r="H968" t="s">
        <v>3185</v>
      </c>
      <c r="I968" t="s">
        <v>3392</v>
      </c>
      <c r="J968" s="8" t="str">
        <f>+LEFT(U968,4)</f>
        <v>INM-</v>
      </c>
      <c r="K968" t="s">
        <v>10</v>
      </c>
      <c r="L968" s="47">
        <v>-150</v>
      </c>
      <c r="M968" t="s">
        <v>186</v>
      </c>
      <c r="N968" t="s">
        <v>11</v>
      </c>
      <c r="O968" s="50">
        <v>120.4248</v>
      </c>
      <c r="P968" s="9">
        <f>ROUND(O968*L968,2)</f>
        <v>-18063.72</v>
      </c>
      <c r="Q968" s="10">
        <f>IF(N968="HKD",7.8,IF(N968="CNY",7.30034,1))</f>
        <v>7.3003400000000003</v>
      </c>
      <c r="R968" s="10">
        <f>+ROUND(O968/Q968,4)</f>
        <v>16.495799999999999</v>
      </c>
      <c r="S968" s="11">
        <f>ROUND(R968*L968,2)</f>
        <v>-2474.37</v>
      </c>
      <c r="T968" s="10" t="s">
        <v>349</v>
      </c>
      <c r="U968" t="s">
        <v>327</v>
      </c>
    </row>
    <row r="969" spans="1:21">
      <c r="A969" t="s">
        <v>2582</v>
      </c>
      <c r="B969" s="20">
        <v>45733</v>
      </c>
      <c r="C969" s="20">
        <v>45716</v>
      </c>
      <c r="D969" t="s">
        <v>2827</v>
      </c>
      <c r="E969" t="s">
        <v>2828</v>
      </c>
      <c r="G969" t="s">
        <v>3004</v>
      </c>
      <c r="H969" t="s">
        <v>3185</v>
      </c>
      <c r="I969" t="s">
        <v>3392</v>
      </c>
      <c r="J969" s="8" t="str">
        <f>+LEFT(U969,4)</f>
        <v>INM-</v>
      </c>
      <c r="K969" t="s">
        <v>10</v>
      </c>
      <c r="L969" s="47">
        <v>150</v>
      </c>
      <c r="M969" t="s">
        <v>186</v>
      </c>
      <c r="N969" t="s">
        <v>11</v>
      </c>
      <c r="O969" s="50">
        <v>120.4248</v>
      </c>
      <c r="P969" s="9">
        <f>ROUND(O969*L969,2)</f>
        <v>18063.72</v>
      </c>
      <c r="Q969" s="10">
        <f>IF(N969="HKD",7.8,IF(N969="CNY",7.30034,1))</f>
        <v>7.3003400000000003</v>
      </c>
      <c r="R969" s="10">
        <f>+ROUND(O969/Q969,4)</f>
        <v>16.495799999999999</v>
      </c>
      <c r="S969" s="11">
        <f>ROUND(R969*L969,2)</f>
        <v>2474.37</v>
      </c>
      <c r="T969" s="10" t="s">
        <v>349</v>
      </c>
      <c r="U969" t="s">
        <v>327</v>
      </c>
    </row>
    <row r="970" spans="1:21">
      <c r="A970" t="s">
        <v>2583</v>
      </c>
      <c r="B970" s="20">
        <v>45733</v>
      </c>
      <c r="C970" s="20">
        <v>45716</v>
      </c>
      <c r="D970" t="s">
        <v>2827</v>
      </c>
      <c r="E970" t="s">
        <v>2828</v>
      </c>
      <c r="G970" t="s">
        <v>3004</v>
      </c>
      <c r="H970" t="s">
        <v>3186</v>
      </c>
      <c r="I970" t="s">
        <v>3393</v>
      </c>
      <c r="J970" s="8" t="str">
        <f>+LEFT(U970,4)</f>
        <v>INM-</v>
      </c>
      <c r="K970" t="s">
        <v>10</v>
      </c>
      <c r="L970" s="47">
        <v>30</v>
      </c>
      <c r="M970" t="s">
        <v>186</v>
      </c>
      <c r="N970" t="s">
        <v>11</v>
      </c>
      <c r="O970" s="50">
        <v>129.82300000000001</v>
      </c>
      <c r="P970" s="9">
        <f>ROUND(O970*L970,2)</f>
        <v>3894.69</v>
      </c>
      <c r="Q970" s="10">
        <f>IF(N970="HKD",7.8,IF(N970="CNY",7.30034,1))</f>
        <v>7.3003400000000003</v>
      </c>
      <c r="R970" s="10">
        <f>+ROUND(O970/Q970,4)</f>
        <v>17.783100000000001</v>
      </c>
      <c r="S970" s="11">
        <f>ROUND(R970*L970,2)</f>
        <v>533.49</v>
      </c>
      <c r="T970" s="10" t="s">
        <v>349</v>
      </c>
      <c r="U970" t="s">
        <v>327</v>
      </c>
    </row>
    <row r="971" spans="1:21">
      <c r="A971" t="s">
        <v>2542</v>
      </c>
      <c r="B971" s="20">
        <v>45733</v>
      </c>
      <c r="C971" s="20">
        <v>45714</v>
      </c>
      <c r="D971" t="s">
        <v>651</v>
      </c>
      <c r="E971" t="s">
        <v>652</v>
      </c>
      <c r="G971" t="s">
        <v>2931</v>
      </c>
      <c r="H971" t="s">
        <v>716</v>
      </c>
      <c r="I971" t="s">
        <v>717</v>
      </c>
      <c r="J971" s="8" t="str">
        <f>+LEFT(U971,4)</f>
        <v>KNOB</v>
      </c>
      <c r="K971" t="s">
        <v>10</v>
      </c>
      <c r="L971" s="47">
        <v>1030</v>
      </c>
      <c r="M971" t="s">
        <v>1472</v>
      </c>
      <c r="N971" t="s">
        <v>11</v>
      </c>
      <c r="O971" s="50">
        <v>0.7</v>
      </c>
      <c r="P971" s="9">
        <f>ROUND(O971*L971,2)</f>
        <v>721</v>
      </c>
      <c r="Q971" s="10">
        <f>IF(N971="HKD",7.8,IF(N971="CNY",7.30034,1))</f>
        <v>7.3003400000000003</v>
      </c>
      <c r="R971" s="10">
        <f>+ROUND(O971/Q971,4)</f>
        <v>9.5899999999999999E-2</v>
      </c>
      <c r="S971" s="11">
        <f>ROUND(R971*L971,2)</f>
        <v>98.78</v>
      </c>
      <c r="T971" s="10" t="s">
        <v>349</v>
      </c>
      <c r="U971" t="s">
        <v>32</v>
      </c>
    </row>
    <row r="972" spans="1:21">
      <c r="A972" t="s">
        <v>2437</v>
      </c>
      <c r="B972" s="20">
        <v>45733</v>
      </c>
      <c r="C972" s="20">
        <v>45702</v>
      </c>
      <c r="D972" t="s">
        <v>28</v>
      </c>
      <c r="E972" t="s">
        <v>29</v>
      </c>
      <c r="G972" t="s">
        <v>2936</v>
      </c>
      <c r="H972" t="s">
        <v>3126</v>
      </c>
      <c r="I972" t="s">
        <v>3336</v>
      </c>
      <c r="J972" s="8" t="str">
        <f>+LEFT(U972,4)</f>
        <v>LHDL</v>
      </c>
      <c r="K972" t="s">
        <v>10</v>
      </c>
      <c r="L972" s="47">
        <v>530</v>
      </c>
      <c r="M972" t="s">
        <v>1472</v>
      </c>
      <c r="N972" t="s">
        <v>11</v>
      </c>
      <c r="O972" s="50">
        <v>2.1898</v>
      </c>
      <c r="P972" s="9">
        <f>ROUND(O972*L972,2)</f>
        <v>1160.5899999999999</v>
      </c>
      <c r="Q972" s="10">
        <f>IF(N972="HKD",7.8,IF(N972="CNY",7.30034,1))</f>
        <v>7.3003400000000003</v>
      </c>
      <c r="R972" s="10">
        <f>+ROUND(O972/Q972,4)</f>
        <v>0.3</v>
      </c>
      <c r="S972" s="11">
        <f>ROUND(R972*L972,2)</f>
        <v>159</v>
      </c>
      <c r="T972" s="10" t="s">
        <v>349</v>
      </c>
      <c r="U972" t="s">
        <v>125</v>
      </c>
    </row>
    <row r="973" spans="1:21">
      <c r="A973" t="s">
        <v>2538</v>
      </c>
      <c r="B973" s="20">
        <v>45733</v>
      </c>
      <c r="C973" s="20">
        <v>45714</v>
      </c>
      <c r="D973" t="s">
        <v>830</v>
      </c>
      <c r="E973" t="s">
        <v>831</v>
      </c>
      <c r="G973" t="s">
        <v>2980</v>
      </c>
      <c r="H973" t="s">
        <v>3166</v>
      </c>
      <c r="I973" t="s">
        <v>3376</v>
      </c>
      <c r="J973" s="8" t="str">
        <f>+LEFT(U973,4)</f>
        <v>LID-</v>
      </c>
      <c r="K973" t="s">
        <v>98</v>
      </c>
      <c r="L973" s="47">
        <v>3168</v>
      </c>
      <c r="M973" t="s">
        <v>1472</v>
      </c>
      <c r="N973" t="s">
        <v>11</v>
      </c>
      <c r="O973" s="50">
        <v>4.2</v>
      </c>
      <c r="P973" s="9">
        <f>ROUND(O973*L973,2)</f>
        <v>13305.6</v>
      </c>
      <c r="Q973" s="10">
        <f>IF(N973="HKD",7.8,IF(N973="CNY",7.30034,1))</f>
        <v>7.3003400000000003</v>
      </c>
      <c r="R973" s="10">
        <f>+ROUND(O973/Q973,4)</f>
        <v>0.57530000000000003</v>
      </c>
      <c r="S973" s="11">
        <f>ROUND(R973*L973,2)</f>
        <v>1822.55</v>
      </c>
      <c r="T973" s="10" t="s">
        <v>349</v>
      </c>
      <c r="U973" t="s">
        <v>368</v>
      </c>
    </row>
    <row r="974" spans="1:21">
      <c r="A974" t="s">
        <v>2536</v>
      </c>
      <c r="B974" s="20">
        <v>45733</v>
      </c>
      <c r="C974" s="20">
        <v>45714</v>
      </c>
      <c r="D974" t="s">
        <v>94</v>
      </c>
      <c r="E974" t="s">
        <v>95</v>
      </c>
      <c r="G974" t="s">
        <v>2977</v>
      </c>
      <c r="H974" t="s">
        <v>3165</v>
      </c>
      <c r="I974" t="s">
        <v>3375</v>
      </c>
      <c r="J974" s="8" t="str">
        <f>+LEFT(U974,4)</f>
        <v>LID-</v>
      </c>
      <c r="K974" t="s">
        <v>98</v>
      </c>
      <c r="L974" s="47">
        <v>1265</v>
      </c>
      <c r="M974" t="s">
        <v>1472</v>
      </c>
      <c r="N974" t="s">
        <v>11</v>
      </c>
      <c r="O974" s="50">
        <v>4.37</v>
      </c>
      <c r="P974" s="9">
        <f>ROUND(O974*L974,2)</f>
        <v>5528.05</v>
      </c>
      <c r="Q974" s="10">
        <f>IF(N974="HKD",7.8,IF(N974="CNY",7.30034,1))</f>
        <v>7.3003400000000003</v>
      </c>
      <c r="R974" s="10">
        <f>+ROUND(O974/Q974,4)</f>
        <v>0.59860000000000002</v>
      </c>
      <c r="S974" s="11">
        <f>ROUND(R974*L974,2)</f>
        <v>757.23</v>
      </c>
      <c r="T974" s="10" t="s">
        <v>349</v>
      </c>
      <c r="U974" t="s">
        <v>368</v>
      </c>
    </row>
    <row r="975" spans="1:21">
      <c r="A975" t="s">
        <v>2439</v>
      </c>
      <c r="B975" s="20">
        <v>45733</v>
      </c>
      <c r="C975" s="20">
        <v>45702</v>
      </c>
      <c r="D975" t="s">
        <v>28</v>
      </c>
      <c r="E975" t="s">
        <v>29</v>
      </c>
      <c r="G975" t="s">
        <v>2936</v>
      </c>
      <c r="H975" t="s">
        <v>1175</v>
      </c>
      <c r="I975" t="s">
        <v>1176</v>
      </c>
      <c r="J975" s="8" t="str">
        <f>+LEFT(U975,4)</f>
        <v>MISC</v>
      </c>
      <c r="K975" t="s">
        <v>10</v>
      </c>
      <c r="L975" s="47">
        <v>4320</v>
      </c>
      <c r="M975" t="s">
        <v>1472</v>
      </c>
      <c r="N975" t="s">
        <v>11</v>
      </c>
      <c r="O975" s="50">
        <v>0.18160000000000001</v>
      </c>
      <c r="P975" s="9">
        <f>ROUND(O975*L975,2)</f>
        <v>784.51</v>
      </c>
      <c r="Q975" s="10">
        <f>IF(N975="HKD",7.8,IF(N975="CNY",7.30034,1))</f>
        <v>7.3003400000000003</v>
      </c>
      <c r="R975" s="10">
        <f>+ROUND(O975/Q975,4)</f>
        <v>2.4899999999999999E-2</v>
      </c>
      <c r="S975" s="11">
        <f>ROUND(R975*L975,2)</f>
        <v>107.57</v>
      </c>
      <c r="T975" s="10" t="s">
        <v>349</v>
      </c>
      <c r="U975" t="s">
        <v>25</v>
      </c>
    </row>
    <row r="976" spans="1:21">
      <c r="A976" t="s">
        <v>2473</v>
      </c>
      <c r="B976" s="20">
        <v>45733</v>
      </c>
      <c r="C976" s="20">
        <v>45708</v>
      </c>
      <c r="D976" t="s">
        <v>2823</v>
      </c>
      <c r="E976" t="s">
        <v>2824</v>
      </c>
      <c r="G976" t="s">
        <v>2947</v>
      </c>
      <c r="H976" t="s">
        <v>3143</v>
      </c>
      <c r="I976" t="s">
        <v>3353</v>
      </c>
      <c r="J976" s="8" t="str">
        <f>+LEFT(U976,4)</f>
        <v>MISC</v>
      </c>
      <c r="K976" t="s">
        <v>10</v>
      </c>
      <c r="L976" s="47">
        <v>100</v>
      </c>
      <c r="M976" t="s">
        <v>1472</v>
      </c>
      <c r="N976" t="s">
        <v>11</v>
      </c>
      <c r="O976" s="50">
        <v>52</v>
      </c>
      <c r="P976" s="9">
        <f>ROUND(O976*L976,2)</f>
        <v>5200</v>
      </c>
      <c r="Q976" s="10">
        <f>IF(N976="HKD",7.8,IF(N976="CNY",7.30034,1))</f>
        <v>7.3003400000000003</v>
      </c>
      <c r="R976" s="10">
        <f>+ROUND(O976/Q976,4)</f>
        <v>7.1230000000000002</v>
      </c>
      <c r="S976" s="11">
        <f>ROUND(R976*L976,2)</f>
        <v>712.3</v>
      </c>
      <c r="T976" s="10" t="s">
        <v>349</v>
      </c>
      <c r="U976" t="s">
        <v>25</v>
      </c>
    </row>
    <row r="977" spans="1:21">
      <c r="A977" t="s">
        <v>2472</v>
      </c>
      <c r="B977" s="20">
        <v>45733</v>
      </c>
      <c r="C977" s="20">
        <v>45708</v>
      </c>
      <c r="D977" t="s">
        <v>2823</v>
      </c>
      <c r="E977" t="s">
        <v>2824</v>
      </c>
      <c r="G977" t="s">
        <v>2947</v>
      </c>
      <c r="H977" t="s">
        <v>3142</v>
      </c>
      <c r="I977" t="s">
        <v>3352</v>
      </c>
      <c r="J977" s="8" t="str">
        <f>+LEFT(U977,4)</f>
        <v>MISC</v>
      </c>
      <c r="K977" t="s">
        <v>10</v>
      </c>
      <c r="L977" s="47">
        <v>200</v>
      </c>
      <c r="M977" t="s">
        <v>1472</v>
      </c>
      <c r="N977" t="s">
        <v>11</v>
      </c>
      <c r="O977" s="50">
        <v>64</v>
      </c>
      <c r="P977" s="9">
        <f>ROUND(O977*L977,2)</f>
        <v>12800</v>
      </c>
      <c r="Q977" s="10">
        <f>IF(N977="HKD",7.8,IF(N977="CNY",7.30034,1))</f>
        <v>7.3003400000000003</v>
      </c>
      <c r="R977" s="10">
        <f>+ROUND(O977/Q977,4)</f>
        <v>8.7667000000000002</v>
      </c>
      <c r="S977" s="11">
        <f>ROUND(R977*L977,2)</f>
        <v>1753.34</v>
      </c>
      <c r="T977" s="10" t="s">
        <v>349</v>
      </c>
      <c r="U977" t="s">
        <v>25</v>
      </c>
    </row>
    <row r="978" spans="1:21">
      <c r="A978" t="s">
        <v>2474</v>
      </c>
      <c r="B978" s="20">
        <v>45733</v>
      </c>
      <c r="C978" s="20">
        <v>45708</v>
      </c>
      <c r="D978" t="s">
        <v>2823</v>
      </c>
      <c r="E978" t="s">
        <v>2824</v>
      </c>
      <c r="G978" t="s">
        <v>2947</v>
      </c>
      <c r="H978" t="s">
        <v>3144</v>
      </c>
      <c r="I978" t="s">
        <v>3354</v>
      </c>
      <c r="J978" s="8" t="str">
        <f>+LEFT(U978,4)</f>
        <v>MISC</v>
      </c>
      <c r="K978" t="s">
        <v>10</v>
      </c>
      <c r="L978" s="47">
        <v>50</v>
      </c>
      <c r="M978" t="s">
        <v>1472</v>
      </c>
      <c r="N978" t="s">
        <v>11</v>
      </c>
      <c r="O978" s="50">
        <v>276.60000000000002</v>
      </c>
      <c r="P978" s="9">
        <f>ROUND(O978*L978,2)</f>
        <v>13830</v>
      </c>
      <c r="Q978" s="10">
        <f>IF(N978="HKD",7.8,IF(N978="CNY",7.30034,1))</f>
        <v>7.3003400000000003</v>
      </c>
      <c r="R978" s="10">
        <f>+ROUND(O978/Q978,4)</f>
        <v>37.888599999999997</v>
      </c>
      <c r="S978" s="11">
        <f>ROUND(R978*L978,2)</f>
        <v>1894.43</v>
      </c>
      <c r="T978" s="10" t="s">
        <v>349</v>
      </c>
      <c r="U978" t="s">
        <v>25</v>
      </c>
    </row>
    <row r="979" spans="1:21">
      <c r="A979" t="s">
        <v>2626</v>
      </c>
      <c r="B979" s="20">
        <v>45733</v>
      </c>
      <c r="C979" s="20">
        <v>45721</v>
      </c>
      <c r="D979" t="s">
        <v>169</v>
      </c>
      <c r="E979" t="s">
        <v>170</v>
      </c>
      <c r="G979" t="s">
        <v>3018</v>
      </c>
      <c r="H979" t="s">
        <v>3208</v>
      </c>
      <c r="I979" t="s">
        <v>3415</v>
      </c>
      <c r="J979" s="8" t="str">
        <f>+LEFT(U979,4)</f>
        <v>PAP-</v>
      </c>
      <c r="K979" t="s">
        <v>10</v>
      </c>
      <c r="L979" s="47">
        <v>3000</v>
      </c>
      <c r="M979" t="s">
        <v>1472</v>
      </c>
      <c r="N979" t="s">
        <v>11</v>
      </c>
      <c r="O979" s="50">
        <v>0.36</v>
      </c>
      <c r="P979" s="9">
        <f>ROUND(O979*L979,2)</f>
        <v>1080</v>
      </c>
      <c r="Q979" s="10">
        <f>IF(N979="HKD",7.8,IF(N979="CNY",7.30034,1))</f>
        <v>7.3003400000000003</v>
      </c>
      <c r="R979" s="10">
        <f>+ROUND(O979/Q979,4)</f>
        <v>4.9299999999999997E-2</v>
      </c>
      <c r="S979" s="11">
        <f>ROUND(R979*L979,2)</f>
        <v>147.9</v>
      </c>
      <c r="T979" s="10" t="s">
        <v>349</v>
      </c>
      <c r="U979" t="s">
        <v>1094</v>
      </c>
    </row>
    <row r="980" spans="1:21">
      <c r="A980" t="s">
        <v>2627</v>
      </c>
      <c r="B980" s="20">
        <v>45733</v>
      </c>
      <c r="C980" s="20">
        <v>45721</v>
      </c>
      <c r="D980" t="s">
        <v>169</v>
      </c>
      <c r="E980" t="s">
        <v>170</v>
      </c>
      <c r="G980" t="s">
        <v>3018</v>
      </c>
      <c r="H980" t="s">
        <v>3209</v>
      </c>
      <c r="I980" t="s">
        <v>3416</v>
      </c>
      <c r="J980" s="8" t="str">
        <f>+LEFT(U980,4)</f>
        <v>PAP-</v>
      </c>
      <c r="K980" t="s">
        <v>10</v>
      </c>
      <c r="L980" s="47">
        <v>7000</v>
      </c>
      <c r="M980" t="s">
        <v>1472</v>
      </c>
      <c r="N980" t="s">
        <v>11</v>
      </c>
      <c r="O980" s="50">
        <v>0.42</v>
      </c>
      <c r="P980" s="9">
        <f>ROUND(O980*L980,2)</f>
        <v>2940</v>
      </c>
      <c r="Q980" s="10">
        <f>IF(N980="HKD",7.8,IF(N980="CNY",7.30034,1))</f>
        <v>7.3003400000000003</v>
      </c>
      <c r="R980" s="10">
        <f>+ROUND(O980/Q980,4)</f>
        <v>5.7500000000000002E-2</v>
      </c>
      <c r="S980" s="11">
        <f>ROUND(R980*L980,2)</f>
        <v>402.5</v>
      </c>
      <c r="T980" s="10" t="s">
        <v>349</v>
      </c>
      <c r="U980" t="s">
        <v>1094</v>
      </c>
    </row>
    <row r="981" spans="1:21">
      <c r="A981" t="s">
        <v>2637</v>
      </c>
      <c r="B981" s="20">
        <v>45733</v>
      </c>
      <c r="C981" s="20">
        <v>45721</v>
      </c>
      <c r="D981" t="s">
        <v>128</v>
      </c>
      <c r="E981" t="s">
        <v>129</v>
      </c>
      <c r="G981" t="s">
        <v>2910</v>
      </c>
      <c r="H981" t="s">
        <v>3090</v>
      </c>
      <c r="I981" t="s">
        <v>3306</v>
      </c>
      <c r="J981" s="8" t="str">
        <f>+LEFT(U981,4)</f>
        <v>RIV-</v>
      </c>
      <c r="K981" t="s">
        <v>10</v>
      </c>
      <c r="L981" s="47">
        <v>16500</v>
      </c>
      <c r="M981" t="s">
        <v>1472</v>
      </c>
      <c r="N981" t="s">
        <v>11</v>
      </c>
      <c r="O981" s="50">
        <v>6.2199999999999998E-2</v>
      </c>
      <c r="P981" s="9">
        <f>ROUND(O981*L981,2)</f>
        <v>1026.3</v>
      </c>
      <c r="Q981" s="10">
        <f>IF(N981="HKD",7.8,IF(N981="CNY",7.30034,1))</f>
        <v>7.3003400000000003</v>
      </c>
      <c r="R981" s="10">
        <f>+ROUND(O981/Q981,4)</f>
        <v>8.5000000000000006E-3</v>
      </c>
      <c r="S981" s="11">
        <f>ROUND(R981*L981,2)</f>
        <v>140.25</v>
      </c>
      <c r="T981" s="10" t="s">
        <v>349</v>
      </c>
      <c r="U981" t="s">
        <v>132</v>
      </c>
    </row>
    <row r="982" spans="1:21">
      <c r="A982" t="s">
        <v>2545</v>
      </c>
      <c r="B982" s="20">
        <v>45733</v>
      </c>
      <c r="C982" s="20">
        <v>45714</v>
      </c>
      <c r="D982" t="s">
        <v>235</v>
      </c>
      <c r="E982" t="s">
        <v>236</v>
      </c>
      <c r="G982" t="s">
        <v>2990</v>
      </c>
      <c r="H982" t="s">
        <v>1352</v>
      </c>
      <c r="I982" t="s">
        <v>1353</v>
      </c>
      <c r="J982" s="8" t="str">
        <f>+LEFT(U982,4)</f>
        <v>RIV-</v>
      </c>
      <c r="K982" t="s">
        <v>10</v>
      </c>
      <c r="L982" s="47">
        <v>80000</v>
      </c>
      <c r="M982" t="s">
        <v>1472</v>
      </c>
      <c r="N982" t="s">
        <v>11</v>
      </c>
      <c r="O982" s="50">
        <v>0.13150000000000001</v>
      </c>
      <c r="P982" s="9">
        <f>ROUND(O982*L982,2)</f>
        <v>10520</v>
      </c>
      <c r="Q982" s="10">
        <f>IF(N982="HKD",7.8,IF(N982="CNY",7.30034,1))</f>
        <v>7.3003400000000003</v>
      </c>
      <c r="R982" s="10">
        <f>+ROUND(O982/Q982,4)</f>
        <v>1.7999999999999999E-2</v>
      </c>
      <c r="S982" s="11">
        <f>ROUND(R982*L982,2)</f>
        <v>1440</v>
      </c>
      <c r="T982" s="10" t="s">
        <v>349</v>
      </c>
      <c r="U982" t="s">
        <v>132</v>
      </c>
    </row>
    <row r="983" spans="1:21">
      <c r="A983" t="s">
        <v>2616</v>
      </c>
      <c r="B983" s="20">
        <v>45733</v>
      </c>
      <c r="C983" s="20">
        <v>45720</v>
      </c>
      <c r="D983" t="s">
        <v>235</v>
      </c>
      <c r="E983" t="s">
        <v>236</v>
      </c>
      <c r="G983" t="s">
        <v>2990</v>
      </c>
      <c r="H983" t="s">
        <v>1348</v>
      </c>
      <c r="I983" t="s">
        <v>1349</v>
      </c>
      <c r="J983" s="8" t="str">
        <f>+LEFT(U983,4)</f>
        <v>SCR-</v>
      </c>
      <c r="K983" t="s">
        <v>10</v>
      </c>
      <c r="L983" s="47">
        <v>2000</v>
      </c>
      <c r="M983" t="s">
        <v>1472</v>
      </c>
      <c r="N983" t="s">
        <v>11</v>
      </c>
      <c r="O983" s="50">
        <v>0.67030000000000001</v>
      </c>
      <c r="P983" s="9">
        <f>ROUND(O983*L983,2)</f>
        <v>1340.6</v>
      </c>
      <c r="Q983" s="10">
        <f>IF(N983="HKD",7.8,IF(N983="CNY",7.30034,1))</f>
        <v>7.3003400000000003</v>
      </c>
      <c r="R983" s="10">
        <f>+ROUND(O983/Q983,4)</f>
        <v>9.1800000000000007E-2</v>
      </c>
      <c r="S983" s="11">
        <f>ROUND(R983*L983,2)</f>
        <v>183.6</v>
      </c>
      <c r="T983" s="10" t="s">
        <v>349</v>
      </c>
      <c r="U983" t="s">
        <v>166</v>
      </c>
    </row>
    <row r="984" spans="1:21">
      <c r="A984" t="s">
        <v>2438</v>
      </c>
      <c r="B984" s="20">
        <v>45733</v>
      </c>
      <c r="C984" s="20">
        <v>45702</v>
      </c>
      <c r="D984" t="s">
        <v>28</v>
      </c>
      <c r="E984" t="s">
        <v>29</v>
      </c>
      <c r="G984" t="s">
        <v>2936</v>
      </c>
      <c r="H984" t="s">
        <v>3127</v>
      </c>
      <c r="I984" t="s">
        <v>3337</v>
      </c>
      <c r="J984" s="8" t="str">
        <f>+LEFT(U984,4)</f>
        <v>SHDL</v>
      </c>
      <c r="K984" t="s">
        <v>10</v>
      </c>
      <c r="L984" s="47">
        <v>1040</v>
      </c>
      <c r="M984" t="s">
        <v>1472</v>
      </c>
      <c r="N984" t="s">
        <v>11</v>
      </c>
      <c r="O984" s="50">
        <v>2.4588000000000001</v>
      </c>
      <c r="P984" s="9">
        <f>ROUND(O984*L984,2)</f>
        <v>2557.15</v>
      </c>
      <c r="Q984" s="10">
        <f>IF(N984="HKD",7.8,IF(N984="CNY",7.30034,1))</f>
        <v>7.3003400000000003</v>
      </c>
      <c r="R984" s="10">
        <f>+ROUND(O984/Q984,4)</f>
        <v>0.33679999999999999</v>
      </c>
      <c r="S984" s="11">
        <f>ROUND(R984*L984,2)</f>
        <v>350.27</v>
      </c>
      <c r="T984" s="10" t="s">
        <v>349</v>
      </c>
      <c r="U984" t="s">
        <v>722</v>
      </c>
    </row>
    <row r="985" spans="1:21">
      <c r="A985" t="s">
        <v>2734</v>
      </c>
      <c r="B985" s="20">
        <v>45733</v>
      </c>
      <c r="C985" s="20">
        <v>45729</v>
      </c>
      <c r="D985" t="s">
        <v>5</v>
      </c>
      <c r="E985" t="s">
        <v>6</v>
      </c>
      <c r="G985" t="s">
        <v>3042</v>
      </c>
      <c r="H985" t="s">
        <v>489</v>
      </c>
      <c r="I985" t="s">
        <v>490</v>
      </c>
      <c r="J985" s="8" t="str">
        <f>+LEFT(U985,4)</f>
        <v>SHTS</v>
      </c>
      <c r="K985" t="s">
        <v>10</v>
      </c>
      <c r="L985" s="47">
        <v>4020</v>
      </c>
      <c r="M985" t="s">
        <v>1472</v>
      </c>
      <c r="N985" t="s">
        <v>11</v>
      </c>
      <c r="O985" s="50">
        <v>1.6</v>
      </c>
      <c r="P985" s="9">
        <f>ROUND(O985*L985,2)</f>
        <v>6432</v>
      </c>
      <c r="Q985" s="10">
        <f>IF(N985="HKD",7.8,IF(N985="CNY",7.30034,1))</f>
        <v>7.3003400000000003</v>
      </c>
      <c r="R985" s="10">
        <f>+ROUND(O985/Q985,4)</f>
        <v>0.21920000000000001</v>
      </c>
      <c r="S985" s="11">
        <f>ROUND(R985*L985,2)</f>
        <v>881.18</v>
      </c>
      <c r="T985" s="10" t="s">
        <v>349</v>
      </c>
      <c r="U985" t="s">
        <v>9</v>
      </c>
    </row>
    <row r="986" spans="1:21">
      <c r="A986" t="s">
        <v>2735</v>
      </c>
      <c r="B986" s="20">
        <v>45733</v>
      </c>
      <c r="C986" s="20">
        <v>45729</v>
      </c>
      <c r="D986" t="s">
        <v>5</v>
      </c>
      <c r="E986" t="s">
        <v>6</v>
      </c>
      <c r="G986" t="s">
        <v>3042</v>
      </c>
      <c r="H986" t="s">
        <v>489</v>
      </c>
      <c r="I986" t="s">
        <v>490</v>
      </c>
      <c r="J986" s="8" t="str">
        <f>+LEFT(U986,4)</f>
        <v>SHTS</v>
      </c>
      <c r="K986" t="s">
        <v>10</v>
      </c>
      <c r="L986" s="47">
        <v>2010</v>
      </c>
      <c r="M986" t="s">
        <v>1472</v>
      </c>
      <c r="N986" t="s">
        <v>11</v>
      </c>
      <c r="O986" s="50">
        <v>1.6</v>
      </c>
      <c r="P986" s="9">
        <f>ROUND(O986*L986,2)</f>
        <v>3216</v>
      </c>
      <c r="Q986" s="10">
        <f>IF(N986="HKD",7.8,IF(N986="CNY",7.30034,1))</f>
        <v>7.3003400000000003</v>
      </c>
      <c r="R986" s="10">
        <f>+ROUND(O986/Q986,4)</f>
        <v>0.21920000000000001</v>
      </c>
      <c r="S986" s="11">
        <f>ROUND(R986*L986,2)</f>
        <v>440.59</v>
      </c>
      <c r="T986" s="10" t="s">
        <v>349</v>
      </c>
      <c r="U986" t="s">
        <v>9</v>
      </c>
    </row>
    <row r="987" spans="1:21">
      <c r="A987" t="s">
        <v>2733</v>
      </c>
      <c r="B987" s="20">
        <v>45733</v>
      </c>
      <c r="C987" s="20">
        <v>45729</v>
      </c>
      <c r="D987" t="s">
        <v>5</v>
      </c>
      <c r="E987" t="s">
        <v>6</v>
      </c>
      <c r="G987" t="s">
        <v>3042</v>
      </c>
      <c r="H987" t="s">
        <v>496</v>
      </c>
      <c r="I987" t="s">
        <v>497</v>
      </c>
      <c r="J987" s="8" t="str">
        <f>+LEFT(U987,4)</f>
        <v>SHTS</v>
      </c>
      <c r="K987" t="s">
        <v>10</v>
      </c>
      <c r="L987" s="47">
        <v>1015</v>
      </c>
      <c r="M987" t="s">
        <v>1472</v>
      </c>
      <c r="N987" t="s">
        <v>11</v>
      </c>
      <c r="O987" s="50">
        <v>2.15</v>
      </c>
      <c r="P987" s="9">
        <f>ROUND(O987*L987,2)</f>
        <v>2182.25</v>
      </c>
      <c r="Q987" s="10">
        <f>IF(N987="HKD",7.8,IF(N987="CNY",7.30034,1))</f>
        <v>7.3003400000000003</v>
      </c>
      <c r="R987" s="10">
        <f>+ROUND(O987/Q987,4)</f>
        <v>0.29449999999999998</v>
      </c>
      <c r="S987" s="11">
        <f>ROUND(R987*L987,2)</f>
        <v>298.92</v>
      </c>
      <c r="T987" s="10" t="s">
        <v>349</v>
      </c>
      <c r="U987" t="s">
        <v>9</v>
      </c>
    </row>
    <row r="988" spans="1:21">
      <c r="A988" t="s">
        <v>2732</v>
      </c>
      <c r="B988" s="20">
        <v>45733</v>
      </c>
      <c r="C988" s="20">
        <v>45729</v>
      </c>
      <c r="D988" t="s">
        <v>5</v>
      </c>
      <c r="E988" t="s">
        <v>6</v>
      </c>
      <c r="G988" t="s">
        <v>3042</v>
      </c>
      <c r="H988" t="s">
        <v>3241</v>
      </c>
      <c r="I988" t="s">
        <v>3448</v>
      </c>
      <c r="J988" s="8" t="str">
        <f>+LEFT(U988,4)</f>
        <v>SHTS</v>
      </c>
      <c r="K988" t="s">
        <v>10</v>
      </c>
      <c r="L988" s="47">
        <v>1010</v>
      </c>
      <c r="M988" t="s">
        <v>1472</v>
      </c>
      <c r="N988" t="s">
        <v>11</v>
      </c>
      <c r="O988" s="50">
        <v>3.22</v>
      </c>
      <c r="P988" s="9">
        <f>ROUND(O988*L988,2)</f>
        <v>3252.2</v>
      </c>
      <c r="Q988" s="10">
        <f>IF(N988="HKD",7.8,IF(N988="CNY",7.30034,1))</f>
        <v>7.3003400000000003</v>
      </c>
      <c r="R988" s="10">
        <f>+ROUND(O988/Q988,4)</f>
        <v>0.44109999999999999</v>
      </c>
      <c r="S988" s="11">
        <f>ROUND(R988*L988,2)</f>
        <v>445.51</v>
      </c>
      <c r="T988" s="10" t="s">
        <v>349</v>
      </c>
      <c r="U988" t="s">
        <v>9</v>
      </c>
    </row>
    <row r="989" spans="1:21">
      <c r="A989" t="s">
        <v>2742</v>
      </c>
      <c r="B989" s="20">
        <v>45733</v>
      </c>
      <c r="C989" s="20">
        <v>45729</v>
      </c>
      <c r="D989" t="s">
        <v>5</v>
      </c>
      <c r="E989" t="s">
        <v>6</v>
      </c>
      <c r="G989" t="s">
        <v>3042</v>
      </c>
      <c r="H989" t="s">
        <v>3246</v>
      </c>
      <c r="I989" t="s">
        <v>3453</v>
      </c>
      <c r="J989" s="8" t="str">
        <f>+LEFT(U989,4)</f>
        <v>SHTS</v>
      </c>
      <c r="K989" t="s">
        <v>10</v>
      </c>
      <c r="L989" s="47">
        <v>505</v>
      </c>
      <c r="M989" t="s">
        <v>1472</v>
      </c>
      <c r="N989" t="s">
        <v>11</v>
      </c>
      <c r="O989" s="50">
        <v>4.95</v>
      </c>
      <c r="P989" s="9">
        <f>ROUND(O989*L989,2)</f>
        <v>2499.75</v>
      </c>
      <c r="Q989" s="10">
        <f>IF(N989="HKD",7.8,IF(N989="CNY",7.30034,1))</f>
        <v>7.3003400000000003</v>
      </c>
      <c r="R989" s="10">
        <f>+ROUND(O989/Q989,4)</f>
        <v>0.67810000000000004</v>
      </c>
      <c r="S989" s="11">
        <f>ROUND(R989*L989,2)</f>
        <v>342.44</v>
      </c>
      <c r="T989" s="10" t="s">
        <v>349</v>
      </c>
      <c r="U989" t="s">
        <v>9</v>
      </c>
    </row>
    <row r="990" spans="1:21">
      <c r="A990" t="s">
        <v>2289</v>
      </c>
      <c r="B990" s="20">
        <v>45733</v>
      </c>
      <c r="C990" s="20">
        <v>45630</v>
      </c>
      <c r="D990" t="s">
        <v>94</v>
      </c>
      <c r="E990" t="s">
        <v>95</v>
      </c>
      <c r="G990" t="s">
        <v>2852</v>
      </c>
      <c r="H990" t="s">
        <v>360</v>
      </c>
      <c r="I990" t="s">
        <v>361</v>
      </c>
      <c r="J990" s="8" t="str">
        <f>+LEFT(U990,4)</f>
        <v>SKU-</v>
      </c>
      <c r="K990" t="s">
        <v>98</v>
      </c>
      <c r="L990" s="47">
        <v>2380</v>
      </c>
      <c r="M990" t="s">
        <v>1472</v>
      </c>
      <c r="N990" t="s">
        <v>11</v>
      </c>
      <c r="O990" s="50">
        <v>5.8230000000000004</v>
      </c>
      <c r="P990" s="9">
        <f>ROUND(O990*L990,2)</f>
        <v>13858.74</v>
      </c>
      <c r="Q990" s="10">
        <f>IF(N990="HKD",7.8,IF(N990="CNY",7.30034,1))</f>
        <v>7.3003400000000003</v>
      </c>
      <c r="R990" s="10">
        <f>+ROUND(O990/Q990,4)</f>
        <v>0.79759999999999998</v>
      </c>
      <c r="S990" s="11">
        <f>ROUND(R990*L990,2)</f>
        <v>1898.29</v>
      </c>
      <c r="T990" s="10" t="s">
        <v>349</v>
      </c>
      <c r="U990" t="s">
        <v>2</v>
      </c>
    </row>
    <row r="991" spans="1:21">
      <c r="A991" t="s">
        <v>2295</v>
      </c>
      <c r="B991" s="20">
        <v>45733</v>
      </c>
      <c r="C991" s="20">
        <v>45646</v>
      </c>
      <c r="D991" t="s">
        <v>94</v>
      </c>
      <c r="E991" t="s">
        <v>95</v>
      </c>
      <c r="G991" t="s">
        <v>2852</v>
      </c>
      <c r="H991" t="s">
        <v>360</v>
      </c>
      <c r="I991" t="s">
        <v>361</v>
      </c>
      <c r="J991" s="8" t="str">
        <f>+LEFT(U991,4)</f>
        <v>SKU-</v>
      </c>
      <c r="K991" t="s">
        <v>98</v>
      </c>
      <c r="L991" s="47">
        <v>6000</v>
      </c>
      <c r="M991" t="s">
        <v>1472</v>
      </c>
      <c r="N991" t="s">
        <v>11</v>
      </c>
      <c r="O991" s="50">
        <v>5.8230000000000004</v>
      </c>
      <c r="P991" s="9">
        <f>ROUND(O991*L991,2)</f>
        <v>34938</v>
      </c>
      <c r="Q991" s="10">
        <f>IF(N991="HKD",7.8,IF(N991="CNY",7.30034,1))</f>
        <v>7.3003400000000003</v>
      </c>
      <c r="R991" s="10">
        <f>+ROUND(O991/Q991,4)</f>
        <v>0.79759999999999998</v>
      </c>
      <c r="S991" s="11">
        <f>ROUND(R991*L991,2)</f>
        <v>4785.6000000000004</v>
      </c>
      <c r="T991" s="10" t="s">
        <v>349</v>
      </c>
      <c r="U991" t="s">
        <v>2</v>
      </c>
    </row>
    <row r="992" spans="1:21">
      <c r="A992" t="s">
        <v>2527</v>
      </c>
      <c r="B992" s="20">
        <v>45733</v>
      </c>
      <c r="C992" s="20">
        <v>45713</v>
      </c>
      <c r="D992" t="s">
        <v>101</v>
      </c>
      <c r="E992" t="s">
        <v>102</v>
      </c>
      <c r="G992" t="s">
        <v>2964</v>
      </c>
      <c r="H992" t="s">
        <v>3162</v>
      </c>
      <c r="I992" t="s">
        <v>3372</v>
      </c>
      <c r="J992" s="8" t="str">
        <f>+LEFT(U992,4)</f>
        <v>STKR</v>
      </c>
      <c r="K992" t="s">
        <v>10</v>
      </c>
      <c r="L992" s="47">
        <v>1010</v>
      </c>
      <c r="M992" t="s">
        <v>1472</v>
      </c>
      <c r="N992" t="s">
        <v>11</v>
      </c>
      <c r="O992" s="50">
        <v>0.05</v>
      </c>
      <c r="P992" s="9">
        <f>ROUND(O992*L992,2)</f>
        <v>50.5</v>
      </c>
      <c r="Q992" s="10">
        <f>IF(N992="HKD",7.8,IF(N992="CNY",7.30034,1))</f>
        <v>7.3003400000000003</v>
      </c>
      <c r="R992" s="10">
        <f>+ROUND(O992/Q992,4)</f>
        <v>6.7999999999999996E-3</v>
      </c>
      <c r="S992" s="11">
        <f>ROUND(R992*L992,2)</f>
        <v>6.87</v>
      </c>
      <c r="T992" s="10" t="s">
        <v>349</v>
      </c>
      <c r="U992" t="s">
        <v>18</v>
      </c>
    </row>
    <row r="993" spans="1:21">
      <c r="A993" t="s">
        <v>2512</v>
      </c>
      <c r="B993" s="20">
        <v>45733</v>
      </c>
      <c r="C993" s="20">
        <v>45713</v>
      </c>
      <c r="D993" t="s">
        <v>169</v>
      </c>
      <c r="E993" t="s">
        <v>170</v>
      </c>
      <c r="G993" t="s">
        <v>2960</v>
      </c>
      <c r="H993" t="s">
        <v>3155</v>
      </c>
      <c r="I993" t="s">
        <v>3365</v>
      </c>
      <c r="J993" s="8" t="str">
        <f>+LEFT(U993,4)</f>
        <v>STKR</v>
      </c>
      <c r="K993" t="s">
        <v>10</v>
      </c>
      <c r="L993" s="47">
        <v>1010</v>
      </c>
      <c r="M993" t="s">
        <v>1472</v>
      </c>
      <c r="N993" t="s">
        <v>11</v>
      </c>
      <c r="O993" s="50">
        <v>0.08</v>
      </c>
      <c r="P993" s="9">
        <f>ROUND(O993*L993,2)</f>
        <v>80.8</v>
      </c>
      <c r="Q993" s="10">
        <f>IF(N993="HKD",7.8,IF(N993="CNY",7.30034,1))</f>
        <v>7.3003400000000003</v>
      </c>
      <c r="R993" s="10">
        <f>+ROUND(O993/Q993,4)</f>
        <v>1.0999999999999999E-2</v>
      </c>
      <c r="S993" s="11">
        <f>ROUND(R993*L993,2)</f>
        <v>11.11</v>
      </c>
      <c r="T993" s="10" t="s">
        <v>349</v>
      </c>
      <c r="U993" t="s">
        <v>18</v>
      </c>
    </row>
    <row r="994" spans="1:21">
      <c r="A994" t="s">
        <v>2618</v>
      </c>
      <c r="B994" s="20">
        <v>45733</v>
      </c>
      <c r="C994" s="20">
        <v>45721</v>
      </c>
      <c r="D994" t="s">
        <v>169</v>
      </c>
      <c r="E994" t="s">
        <v>170</v>
      </c>
      <c r="G994" t="s">
        <v>2960</v>
      </c>
      <c r="H994" t="s">
        <v>1330</v>
      </c>
      <c r="I994" t="s">
        <v>1331</v>
      </c>
      <c r="J994" s="8" t="str">
        <f>+LEFT(U994,4)</f>
        <v>STKR</v>
      </c>
      <c r="K994" t="s">
        <v>10</v>
      </c>
      <c r="L994" s="47">
        <v>1010</v>
      </c>
      <c r="M994" t="s">
        <v>1472</v>
      </c>
      <c r="N994" t="s">
        <v>11</v>
      </c>
      <c r="O994" s="50">
        <v>0.08</v>
      </c>
      <c r="P994" s="9">
        <f>ROUND(O994*L994,2)</f>
        <v>80.8</v>
      </c>
      <c r="Q994" s="10">
        <f>IF(N994="HKD",7.8,IF(N994="CNY",7.30034,1))</f>
        <v>7.3003400000000003</v>
      </c>
      <c r="R994" s="10">
        <f>+ROUND(O994/Q994,4)</f>
        <v>1.0999999999999999E-2</v>
      </c>
      <c r="S994" s="11">
        <f>ROUND(R994*L994,2)</f>
        <v>11.11</v>
      </c>
      <c r="T994" s="10" t="s">
        <v>349</v>
      </c>
      <c r="U994" t="s">
        <v>18</v>
      </c>
    </row>
    <row r="995" spans="1:21">
      <c r="A995" t="s">
        <v>2731</v>
      </c>
      <c r="B995" s="20">
        <v>45733</v>
      </c>
      <c r="C995" s="20">
        <v>45729</v>
      </c>
      <c r="D995" t="s">
        <v>169</v>
      </c>
      <c r="E995" t="s">
        <v>170</v>
      </c>
      <c r="G995" t="s">
        <v>3041</v>
      </c>
      <c r="H995" t="s">
        <v>3155</v>
      </c>
      <c r="I995" t="s">
        <v>3365</v>
      </c>
      <c r="J995" s="8" t="str">
        <f>+LEFT(U995,4)</f>
        <v>STKR</v>
      </c>
      <c r="K995" t="s">
        <v>10</v>
      </c>
      <c r="L995" s="47">
        <v>30</v>
      </c>
      <c r="M995" t="s">
        <v>1472</v>
      </c>
      <c r="N995" t="s">
        <v>11</v>
      </c>
      <c r="O995" s="50">
        <v>0.08</v>
      </c>
      <c r="P995" s="9">
        <f>ROUND(O995*L995,2)</f>
        <v>2.4</v>
      </c>
      <c r="Q995" s="10">
        <f>IF(N995="HKD",7.8,IF(N995="CNY",7.30034,1))</f>
        <v>7.3003400000000003</v>
      </c>
      <c r="R995" s="10">
        <f>+ROUND(O995/Q995,4)</f>
        <v>1.0999999999999999E-2</v>
      </c>
      <c r="S995" s="11">
        <f>ROUND(R995*L995,2)</f>
        <v>0.33</v>
      </c>
      <c r="T995" s="10" t="s">
        <v>349</v>
      </c>
      <c r="U995" t="s">
        <v>18</v>
      </c>
    </row>
    <row r="996" spans="1:21">
      <c r="A996" t="s">
        <v>2524</v>
      </c>
      <c r="B996" s="20">
        <v>45733</v>
      </c>
      <c r="C996" s="20">
        <v>45713</v>
      </c>
      <c r="D996" t="s">
        <v>101</v>
      </c>
      <c r="E996" t="s">
        <v>102</v>
      </c>
      <c r="G996" t="s">
        <v>2964</v>
      </c>
      <c r="H996" t="s">
        <v>99</v>
      </c>
      <c r="I996" t="s">
        <v>100</v>
      </c>
      <c r="J996" s="8" t="str">
        <f>+LEFT(U996,4)</f>
        <v>STKR</v>
      </c>
      <c r="K996" t="s">
        <v>10</v>
      </c>
      <c r="L996" s="47">
        <v>1010</v>
      </c>
      <c r="M996" t="s">
        <v>1472</v>
      </c>
      <c r="N996" t="s">
        <v>11</v>
      </c>
      <c r="O996" s="50">
        <v>0.11</v>
      </c>
      <c r="P996" s="9">
        <f>ROUND(O996*L996,2)</f>
        <v>111.1</v>
      </c>
      <c r="Q996" s="10">
        <f>IF(N996="HKD",7.8,IF(N996="CNY",7.30034,1))</f>
        <v>7.3003400000000003</v>
      </c>
      <c r="R996" s="10">
        <f>+ROUND(O996/Q996,4)</f>
        <v>1.5100000000000001E-2</v>
      </c>
      <c r="S996" s="11">
        <f>ROUND(R996*L996,2)</f>
        <v>15.25</v>
      </c>
      <c r="T996" s="10" t="s">
        <v>349</v>
      </c>
      <c r="U996" t="s">
        <v>18</v>
      </c>
    </row>
    <row r="997" spans="1:21">
      <c r="A997" t="s">
        <v>2525</v>
      </c>
      <c r="B997" s="20">
        <v>45733</v>
      </c>
      <c r="C997" s="20">
        <v>45713</v>
      </c>
      <c r="D997" t="s">
        <v>101</v>
      </c>
      <c r="E997" t="s">
        <v>102</v>
      </c>
      <c r="G997" t="s">
        <v>2964</v>
      </c>
      <c r="H997" t="s">
        <v>99</v>
      </c>
      <c r="I997" t="s">
        <v>100</v>
      </c>
      <c r="J997" s="8" t="str">
        <f>+LEFT(U997,4)</f>
        <v>STKR</v>
      </c>
      <c r="K997" t="s">
        <v>10</v>
      </c>
      <c r="L997" s="47">
        <v>1010</v>
      </c>
      <c r="M997" t="s">
        <v>1472</v>
      </c>
      <c r="N997" t="s">
        <v>11</v>
      </c>
      <c r="O997" s="50">
        <v>0.11</v>
      </c>
      <c r="P997" s="9">
        <f>ROUND(O997*L997,2)</f>
        <v>111.1</v>
      </c>
      <c r="Q997" s="10">
        <f>IF(N997="HKD",7.8,IF(N997="CNY",7.30034,1))</f>
        <v>7.3003400000000003</v>
      </c>
      <c r="R997" s="10">
        <f>+ROUND(O997/Q997,4)</f>
        <v>1.5100000000000001E-2</v>
      </c>
      <c r="S997" s="11">
        <f>ROUND(R997*L997,2)</f>
        <v>15.25</v>
      </c>
      <c r="T997" s="10" t="s">
        <v>349</v>
      </c>
      <c r="U997" t="s">
        <v>18</v>
      </c>
    </row>
    <row r="998" spans="1:21">
      <c r="A998" t="s">
        <v>2526</v>
      </c>
      <c r="B998" s="20">
        <v>45733</v>
      </c>
      <c r="C998" s="20">
        <v>45713</v>
      </c>
      <c r="D998" t="s">
        <v>101</v>
      </c>
      <c r="E998" t="s">
        <v>102</v>
      </c>
      <c r="G998" t="s">
        <v>2964</v>
      </c>
      <c r="H998" t="s">
        <v>99</v>
      </c>
      <c r="I998" t="s">
        <v>100</v>
      </c>
      <c r="J998" s="8" t="str">
        <f>+LEFT(U998,4)</f>
        <v>STKR</v>
      </c>
      <c r="K998" t="s">
        <v>10</v>
      </c>
      <c r="L998" s="47">
        <v>1010</v>
      </c>
      <c r="M998" t="s">
        <v>1472</v>
      </c>
      <c r="N998" t="s">
        <v>11</v>
      </c>
      <c r="O998" s="50">
        <v>0.11</v>
      </c>
      <c r="P998" s="9">
        <f>ROUND(O998*L998,2)</f>
        <v>111.1</v>
      </c>
      <c r="Q998" s="10">
        <f>IF(N998="HKD",7.8,IF(N998="CNY",7.30034,1))</f>
        <v>7.3003400000000003</v>
      </c>
      <c r="R998" s="10">
        <f>+ROUND(O998/Q998,4)</f>
        <v>1.5100000000000001E-2</v>
      </c>
      <c r="S998" s="11">
        <f>ROUND(R998*L998,2)</f>
        <v>15.25</v>
      </c>
      <c r="T998" s="10" t="s">
        <v>349</v>
      </c>
      <c r="U998" t="s">
        <v>18</v>
      </c>
    </row>
    <row r="999" spans="1:21">
      <c r="A999" t="s">
        <v>2519</v>
      </c>
      <c r="B999" s="20">
        <v>45733</v>
      </c>
      <c r="C999" s="20">
        <v>45713</v>
      </c>
      <c r="D999" t="s">
        <v>169</v>
      </c>
      <c r="E999" t="s">
        <v>170</v>
      </c>
      <c r="G999" t="s">
        <v>2948</v>
      </c>
      <c r="H999" t="s">
        <v>174</v>
      </c>
      <c r="I999" t="s">
        <v>175</v>
      </c>
      <c r="J999" s="8" t="str">
        <f>+LEFT(U999,4)</f>
        <v>U&amp;C-</v>
      </c>
      <c r="K999" t="s">
        <v>10</v>
      </c>
      <c r="L999" s="47">
        <v>2000</v>
      </c>
      <c r="M999" t="s">
        <v>1472</v>
      </c>
      <c r="N999" t="s">
        <v>11</v>
      </c>
      <c r="O999" s="50">
        <v>0.28000000000000003</v>
      </c>
      <c r="P999" s="9">
        <f>ROUND(O999*L999,2)</f>
        <v>560</v>
      </c>
      <c r="Q999" s="10">
        <f>IF(N999="HKD",7.8,IF(N999="CNY",7.30034,1))</f>
        <v>7.3003400000000003</v>
      </c>
      <c r="R999" s="10">
        <f>+ROUND(O999/Q999,4)</f>
        <v>3.8399999999999997E-2</v>
      </c>
      <c r="S999" s="11">
        <f>ROUND(R999*L999,2)</f>
        <v>76.8</v>
      </c>
      <c r="T999" s="10" t="s">
        <v>349</v>
      </c>
      <c r="U999" t="s">
        <v>177</v>
      </c>
    </row>
    <row r="1000" spans="1:21">
      <c r="A1000" t="s">
        <v>2479</v>
      </c>
      <c r="B1000" s="20">
        <v>45733</v>
      </c>
      <c r="C1000" s="20">
        <v>45709</v>
      </c>
      <c r="D1000" t="s">
        <v>169</v>
      </c>
      <c r="E1000" t="s">
        <v>170</v>
      </c>
      <c r="G1000" t="s">
        <v>2948</v>
      </c>
      <c r="H1000" t="s">
        <v>1104</v>
      </c>
      <c r="I1000" t="s">
        <v>1105</v>
      </c>
      <c r="J1000" s="8" t="str">
        <f>+LEFT(U1000,4)</f>
        <v>WACD</v>
      </c>
      <c r="K1000" t="s">
        <v>10</v>
      </c>
      <c r="L1000" s="47">
        <v>1000</v>
      </c>
      <c r="M1000" t="s">
        <v>1472</v>
      </c>
      <c r="N1000" t="s">
        <v>11</v>
      </c>
      <c r="O1000" s="50">
        <v>0.26800000000000002</v>
      </c>
      <c r="P1000" s="9">
        <f>ROUND(O1000*L1000,2)</f>
        <v>268</v>
      </c>
      <c r="Q1000" s="10">
        <f>IF(N1000="HKD",7.8,IF(N1000="CNY",7.30034,1))</f>
        <v>7.3003400000000003</v>
      </c>
      <c r="R1000" s="10">
        <f>+ROUND(O1000/Q1000,4)</f>
        <v>3.6700000000000003E-2</v>
      </c>
      <c r="S1000" s="11">
        <f>ROUND(R1000*L1000,2)</f>
        <v>36.700000000000003</v>
      </c>
      <c r="T1000" s="10" t="s">
        <v>349</v>
      </c>
      <c r="U1000" t="s">
        <v>635</v>
      </c>
    </row>
    <row r="1001" spans="1:21">
      <c r="A1001" t="s">
        <v>2546</v>
      </c>
      <c r="B1001" s="20">
        <v>45730</v>
      </c>
      <c r="C1001" s="20">
        <v>45716</v>
      </c>
      <c r="D1001" t="s">
        <v>2825</v>
      </c>
      <c r="E1001" t="s">
        <v>2826</v>
      </c>
      <c r="G1001" t="s">
        <v>2991</v>
      </c>
      <c r="H1001" t="s">
        <v>3168</v>
      </c>
      <c r="I1001" t="s">
        <v>3378</v>
      </c>
      <c r="J1001" s="8" t="str">
        <f>+LEFT(U1001,4)</f>
        <v>CDM-</v>
      </c>
      <c r="K1001" t="s">
        <v>10</v>
      </c>
      <c r="L1001" s="47">
        <v>550</v>
      </c>
      <c r="M1001" t="s">
        <v>1472</v>
      </c>
      <c r="N1001" t="s">
        <v>11</v>
      </c>
      <c r="O1001" s="50">
        <v>43.610599999999998</v>
      </c>
      <c r="P1001" s="9">
        <f>ROUND(O1001*L1001,2)</f>
        <v>23985.83</v>
      </c>
      <c r="Q1001" s="10">
        <f>IF(N1001="HKD",7.8,IF(N1001="CNY",7.30034,1))</f>
        <v>7.3003400000000003</v>
      </c>
      <c r="R1001" s="10">
        <f>+ROUND(O1001/Q1001,4)</f>
        <v>5.9737999999999998</v>
      </c>
      <c r="S1001" s="11">
        <f>ROUND(R1001*L1001,2)</f>
        <v>3285.59</v>
      </c>
      <c r="T1001" s="10" t="s">
        <v>349</v>
      </c>
      <c r="U1001" t="s">
        <v>3484</v>
      </c>
    </row>
    <row r="1002" spans="1:21">
      <c r="A1002" t="s">
        <v>1912</v>
      </c>
      <c r="B1002" s="20">
        <v>45730</v>
      </c>
      <c r="C1002" s="20">
        <v>45671</v>
      </c>
      <c r="D1002" t="s">
        <v>128</v>
      </c>
      <c r="E1002" t="s">
        <v>129</v>
      </c>
      <c r="G1002" t="s">
        <v>2842</v>
      </c>
      <c r="H1002" t="s">
        <v>443</v>
      </c>
      <c r="I1002" t="s">
        <v>444</v>
      </c>
      <c r="J1002" s="8" t="str">
        <f>+LEFT(U1002,4)</f>
        <v>FG--</v>
      </c>
      <c r="K1002" t="s">
        <v>10</v>
      </c>
      <c r="L1002" s="47">
        <v>5000</v>
      </c>
      <c r="M1002" t="s">
        <v>1472</v>
      </c>
      <c r="N1002" t="s">
        <v>11</v>
      </c>
      <c r="O1002" s="50">
        <v>1.0021</v>
      </c>
      <c r="P1002" s="9">
        <f>ROUND(O1002*L1002,2)</f>
        <v>5010.5</v>
      </c>
      <c r="Q1002" s="10">
        <f>IF(N1002="HKD",7.8,IF(N1002="CNY",7.30034,1))</f>
        <v>7.3003400000000003</v>
      </c>
      <c r="R1002" s="10">
        <f>+ROUND(O1002/Q1002,4)</f>
        <v>0.13730000000000001</v>
      </c>
      <c r="S1002" s="11">
        <f>ROUND(R1002*L1002,2)</f>
        <v>686.5</v>
      </c>
      <c r="T1002" s="10" t="s">
        <v>349</v>
      </c>
      <c r="U1002" t="s">
        <v>64</v>
      </c>
    </row>
    <row r="1003" spans="1:21">
      <c r="A1003" t="s">
        <v>2374</v>
      </c>
      <c r="B1003" s="20">
        <v>45730</v>
      </c>
      <c r="C1003" s="20">
        <v>45695</v>
      </c>
      <c r="D1003" t="s">
        <v>128</v>
      </c>
      <c r="E1003" t="s">
        <v>129</v>
      </c>
      <c r="G1003" t="s">
        <v>2842</v>
      </c>
      <c r="H1003" t="s">
        <v>443</v>
      </c>
      <c r="I1003" t="s">
        <v>444</v>
      </c>
      <c r="J1003" s="8" t="str">
        <f>+LEFT(U1003,4)</f>
        <v>FG--</v>
      </c>
      <c r="K1003" t="s">
        <v>10</v>
      </c>
      <c r="L1003" s="47">
        <v>1000</v>
      </c>
      <c r="M1003" t="s">
        <v>1472</v>
      </c>
      <c r="N1003" t="s">
        <v>11</v>
      </c>
      <c r="O1003" s="50">
        <v>1.0021</v>
      </c>
      <c r="P1003" s="9">
        <f>ROUND(O1003*L1003,2)</f>
        <v>1002.1</v>
      </c>
      <c r="Q1003" s="10">
        <f>IF(N1003="HKD",7.8,IF(N1003="CNY",7.30034,1))</f>
        <v>7.3003400000000003</v>
      </c>
      <c r="R1003" s="10">
        <f>+ROUND(O1003/Q1003,4)</f>
        <v>0.13730000000000001</v>
      </c>
      <c r="S1003" s="11">
        <f>ROUND(R1003*L1003,2)</f>
        <v>137.30000000000001</v>
      </c>
      <c r="T1003" s="10" t="s">
        <v>349</v>
      </c>
      <c r="U1003" t="s">
        <v>64</v>
      </c>
    </row>
    <row r="1004" spans="1:21">
      <c r="A1004" t="s">
        <v>2391</v>
      </c>
      <c r="B1004" s="20">
        <v>45730</v>
      </c>
      <c r="C1004" s="20">
        <v>45695</v>
      </c>
      <c r="D1004" t="s">
        <v>287</v>
      </c>
      <c r="E1004" t="s">
        <v>288</v>
      </c>
      <c r="G1004" t="s">
        <v>2877</v>
      </c>
      <c r="H1004" t="s">
        <v>703</v>
      </c>
      <c r="I1004" t="s">
        <v>704</v>
      </c>
      <c r="J1004" s="8" t="s">
        <v>1478</v>
      </c>
      <c r="K1004" t="s">
        <v>10</v>
      </c>
      <c r="L1004" s="47">
        <v>1800</v>
      </c>
      <c r="M1004" t="s">
        <v>1472</v>
      </c>
      <c r="N1004" t="s">
        <v>11</v>
      </c>
      <c r="O1004" s="50">
        <v>7.5751999999999997</v>
      </c>
      <c r="P1004" s="9">
        <f>ROUND(O1004*L1004,2)</f>
        <v>13635.36</v>
      </c>
      <c r="Q1004" s="10">
        <f>IF(N1004="HKD",7.8,IF(N1004="CNY",7.30034,1))</f>
        <v>7.3003400000000003</v>
      </c>
      <c r="R1004" s="10">
        <f>+ROUND(O1004/Q1004,4)</f>
        <v>1.0377000000000001</v>
      </c>
      <c r="S1004" s="11">
        <f>ROUND(R1004*L1004,2)</f>
        <v>1867.86</v>
      </c>
      <c r="T1004" s="10" t="s">
        <v>349</v>
      </c>
      <c r="U1004" t="s">
        <v>36</v>
      </c>
    </row>
    <row r="1005" spans="1:21">
      <c r="A1005" t="s">
        <v>2317</v>
      </c>
      <c r="B1005" s="20">
        <v>45730</v>
      </c>
      <c r="C1005" s="20">
        <v>45664</v>
      </c>
      <c r="D1005" t="s">
        <v>287</v>
      </c>
      <c r="E1005" t="s">
        <v>288</v>
      </c>
      <c r="G1005" t="s">
        <v>2877</v>
      </c>
      <c r="H1005" t="s">
        <v>73</v>
      </c>
      <c r="I1005" t="s">
        <v>74</v>
      </c>
      <c r="J1005" s="8" t="s">
        <v>1478</v>
      </c>
      <c r="K1005" t="s">
        <v>10</v>
      </c>
      <c r="L1005" s="47">
        <v>1000</v>
      </c>
      <c r="M1005" t="s">
        <v>1472</v>
      </c>
      <c r="N1005" t="s">
        <v>11</v>
      </c>
      <c r="O1005" s="50">
        <v>8.84</v>
      </c>
      <c r="P1005" s="9">
        <f>ROUND(O1005*L1005,2)</f>
        <v>8840</v>
      </c>
      <c r="Q1005" s="10">
        <f>IF(N1005="HKD",7.8,IF(N1005="CNY",7.30034,1))</f>
        <v>7.3003400000000003</v>
      </c>
      <c r="R1005" s="10">
        <f>+ROUND(O1005/Q1005,4)</f>
        <v>1.2109000000000001</v>
      </c>
      <c r="S1005" s="11">
        <f>ROUND(R1005*L1005,2)</f>
        <v>1210.9000000000001</v>
      </c>
      <c r="T1005" s="10" t="s">
        <v>349</v>
      </c>
      <c r="U1005" t="s">
        <v>36</v>
      </c>
    </row>
    <row r="1006" spans="1:21">
      <c r="A1006" t="s">
        <v>2318</v>
      </c>
      <c r="B1006" s="20">
        <v>45730</v>
      </c>
      <c r="C1006" s="20">
        <v>45664</v>
      </c>
      <c r="D1006" t="s">
        <v>287</v>
      </c>
      <c r="E1006" t="s">
        <v>288</v>
      </c>
      <c r="G1006" t="s">
        <v>2877</v>
      </c>
      <c r="H1006" t="s">
        <v>75</v>
      </c>
      <c r="I1006" t="s">
        <v>3280</v>
      </c>
      <c r="J1006" s="8" t="s">
        <v>1478</v>
      </c>
      <c r="K1006" t="s">
        <v>10</v>
      </c>
      <c r="L1006" s="47">
        <v>1050</v>
      </c>
      <c r="M1006" t="s">
        <v>1472</v>
      </c>
      <c r="N1006" t="s">
        <v>11</v>
      </c>
      <c r="O1006" s="50">
        <v>9.5</v>
      </c>
      <c r="P1006" s="9">
        <f>ROUND(O1006*L1006,2)</f>
        <v>9975</v>
      </c>
      <c r="Q1006" s="10">
        <f>IF(N1006="HKD",7.8,IF(N1006="CNY",7.30034,1))</f>
        <v>7.3003400000000003</v>
      </c>
      <c r="R1006" s="10">
        <f>+ROUND(O1006/Q1006,4)</f>
        <v>1.3012999999999999</v>
      </c>
      <c r="S1006" s="11">
        <f>ROUND(R1006*L1006,2)</f>
        <v>1366.37</v>
      </c>
      <c r="T1006" s="10" t="s">
        <v>349</v>
      </c>
      <c r="U1006" t="s">
        <v>36</v>
      </c>
    </row>
    <row r="1007" spans="1:21">
      <c r="A1007" t="s">
        <v>2364</v>
      </c>
      <c r="B1007" s="20">
        <v>45730</v>
      </c>
      <c r="C1007" s="20">
        <v>45680</v>
      </c>
      <c r="D1007" t="s">
        <v>569</v>
      </c>
      <c r="E1007" t="s">
        <v>570</v>
      </c>
      <c r="G1007" t="s">
        <v>2903</v>
      </c>
      <c r="H1007" t="s">
        <v>1508</v>
      </c>
      <c r="I1007" t="s">
        <v>1509</v>
      </c>
      <c r="J1007" s="8" t="s">
        <v>1505</v>
      </c>
      <c r="K1007" t="s">
        <v>10</v>
      </c>
      <c r="L1007" s="47">
        <v>1500</v>
      </c>
      <c r="M1007" t="s">
        <v>1472</v>
      </c>
      <c r="N1007" t="s">
        <v>11</v>
      </c>
      <c r="O1007" s="50">
        <v>2.75</v>
      </c>
      <c r="P1007" s="9">
        <f>ROUND(O1007*L1007,2)</f>
        <v>4125</v>
      </c>
      <c r="Q1007" s="10">
        <f>IF(N1007="HKD",7.8,IF(N1007="CNY",7.30034,1))</f>
        <v>7.3003400000000003</v>
      </c>
      <c r="R1007" s="10">
        <f>+ROUND(O1007/Q1007,4)</f>
        <v>0.37669999999999998</v>
      </c>
      <c r="S1007" s="11">
        <f>ROUND(R1007*L1007,2)</f>
        <v>565.04999999999995</v>
      </c>
      <c r="T1007" s="10" t="s">
        <v>349</v>
      </c>
      <c r="U1007" t="s">
        <v>36</v>
      </c>
    </row>
    <row r="1008" spans="1:21">
      <c r="A1008" t="s">
        <v>2356</v>
      </c>
      <c r="B1008" s="20">
        <v>45730</v>
      </c>
      <c r="C1008" s="20">
        <v>45680</v>
      </c>
      <c r="D1008" t="s">
        <v>569</v>
      </c>
      <c r="E1008" t="s">
        <v>570</v>
      </c>
      <c r="G1008" t="s">
        <v>2903</v>
      </c>
      <c r="H1008" t="s">
        <v>1521</v>
      </c>
      <c r="I1008" t="s">
        <v>1522</v>
      </c>
      <c r="J1008" s="8" t="s">
        <v>1505</v>
      </c>
      <c r="K1008" t="s">
        <v>10</v>
      </c>
      <c r="L1008" s="47">
        <v>1600</v>
      </c>
      <c r="M1008" t="s">
        <v>1472</v>
      </c>
      <c r="N1008" t="s">
        <v>11</v>
      </c>
      <c r="O1008" s="50">
        <v>3.1</v>
      </c>
      <c r="P1008" s="9">
        <f>ROUND(O1008*L1008,2)</f>
        <v>4960</v>
      </c>
      <c r="Q1008" s="10">
        <f>IF(N1008="HKD",7.8,IF(N1008="CNY",7.30034,1))</f>
        <v>7.3003400000000003</v>
      </c>
      <c r="R1008" s="10">
        <f>+ROUND(O1008/Q1008,4)</f>
        <v>0.42459999999999998</v>
      </c>
      <c r="S1008" s="11">
        <f>ROUND(R1008*L1008,2)</f>
        <v>679.36</v>
      </c>
      <c r="T1008" s="10" t="s">
        <v>349</v>
      </c>
      <c r="U1008" t="s">
        <v>36</v>
      </c>
    </row>
    <row r="1009" spans="1:21">
      <c r="A1009" t="s">
        <v>2357</v>
      </c>
      <c r="B1009" s="20">
        <v>45730</v>
      </c>
      <c r="C1009" s="20">
        <v>45680</v>
      </c>
      <c r="D1009" t="s">
        <v>569</v>
      </c>
      <c r="E1009" t="s">
        <v>570</v>
      </c>
      <c r="G1009" t="s">
        <v>2903</v>
      </c>
      <c r="H1009" t="s">
        <v>567</v>
      </c>
      <c r="I1009" t="s">
        <v>568</v>
      </c>
      <c r="J1009" s="8" t="s">
        <v>1505</v>
      </c>
      <c r="K1009" t="s">
        <v>10</v>
      </c>
      <c r="L1009" s="47">
        <v>1200</v>
      </c>
      <c r="M1009" t="s">
        <v>1472</v>
      </c>
      <c r="N1009" t="s">
        <v>11</v>
      </c>
      <c r="O1009" s="50">
        <v>3.85</v>
      </c>
      <c r="P1009" s="9">
        <f>ROUND(O1009*L1009,2)</f>
        <v>4620</v>
      </c>
      <c r="Q1009" s="10">
        <f>IF(N1009="HKD",7.8,IF(N1009="CNY",7.30034,1))</f>
        <v>7.3003400000000003</v>
      </c>
      <c r="R1009" s="10">
        <f>+ROUND(O1009/Q1009,4)</f>
        <v>0.52739999999999998</v>
      </c>
      <c r="S1009" s="11">
        <f>ROUND(R1009*L1009,2)</f>
        <v>632.88</v>
      </c>
      <c r="T1009" s="10" t="s">
        <v>349</v>
      </c>
      <c r="U1009" t="s">
        <v>36</v>
      </c>
    </row>
    <row r="1010" spans="1:21">
      <c r="A1010" t="s">
        <v>2381</v>
      </c>
      <c r="B1010" s="20">
        <v>45730</v>
      </c>
      <c r="C1010" s="20">
        <v>45695</v>
      </c>
      <c r="D1010" t="s">
        <v>569</v>
      </c>
      <c r="E1010" t="s">
        <v>570</v>
      </c>
      <c r="G1010" t="s">
        <v>2914</v>
      </c>
      <c r="H1010" t="s">
        <v>1408</v>
      </c>
      <c r="I1010" t="s">
        <v>1409</v>
      </c>
      <c r="J1010" s="8" t="s">
        <v>1505</v>
      </c>
      <c r="K1010" t="s">
        <v>10</v>
      </c>
      <c r="L1010" s="47">
        <v>2050</v>
      </c>
      <c r="M1010" t="s">
        <v>1472</v>
      </c>
      <c r="N1010" t="s">
        <v>11</v>
      </c>
      <c r="O1010" s="50">
        <v>4.8019999999999996</v>
      </c>
      <c r="P1010" s="9">
        <f>ROUND(O1010*L1010,2)</f>
        <v>9844.1</v>
      </c>
      <c r="Q1010" s="10">
        <f>IF(N1010="HKD",7.8,IF(N1010="CNY",7.30034,1))</f>
        <v>7.3003400000000003</v>
      </c>
      <c r="R1010" s="10">
        <f>+ROUND(O1010/Q1010,4)</f>
        <v>0.65780000000000005</v>
      </c>
      <c r="S1010" s="11">
        <f>ROUND(R1010*L1010,2)</f>
        <v>1348.49</v>
      </c>
      <c r="T1010" s="10" t="s">
        <v>349</v>
      </c>
      <c r="U1010" t="s">
        <v>36</v>
      </c>
    </row>
    <row r="1011" spans="1:21">
      <c r="A1011" t="s">
        <v>2358</v>
      </c>
      <c r="B1011" s="20">
        <v>45730</v>
      </c>
      <c r="C1011" s="20">
        <v>45680</v>
      </c>
      <c r="D1011" t="s">
        <v>569</v>
      </c>
      <c r="E1011" t="s">
        <v>570</v>
      </c>
      <c r="G1011" t="s">
        <v>2903</v>
      </c>
      <c r="H1011" t="s">
        <v>763</v>
      </c>
      <c r="I1011" t="s">
        <v>764</v>
      </c>
      <c r="J1011" s="8" t="s">
        <v>1505</v>
      </c>
      <c r="K1011" t="s">
        <v>10</v>
      </c>
      <c r="L1011" s="47">
        <v>1800</v>
      </c>
      <c r="M1011" t="s">
        <v>1472</v>
      </c>
      <c r="N1011" t="s">
        <v>11</v>
      </c>
      <c r="O1011" s="50">
        <v>4.9000000000000004</v>
      </c>
      <c r="P1011" s="9">
        <f>ROUND(O1011*L1011,2)</f>
        <v>8820</v>
      </c>
      <c r="Q1011" s="10">
        <f>IF(N1011="HKD",7.8,IF(N1011="CNY",7.30034,1))</f>
        <v>7.3003400000000003</v>
      </c>
      <c r="R1011" s="10">
        <f>+ROUND(O1011/Q1011,4)</f>
        <v>0.67120000000000002</v>
      </c>
      <c r="S1011" s="11">
        <f>ROUND(R1011*L1011,2)</f>
        <v>1208.1600000000001</v>
      </c>
      <c r="T1011" s="10" t="s">
        <v>349</v>
      </c>
      <c r="U1011" t="s">
        <v>36</v>
      </c>
    </row>
    <row r="1012" spans="1:21">
      <c r="A1012" t="s">
        <v>2468</v>
      </c>
      <c r="B1012" s="20">
        <v>45730</v>
      </c>
      <c r="C1012" s="20">
        <v>45706</v>
      </c>
      <c r="D1012" t="s">
        <v>569</v>
      </c>
      <c r="E1012" t="s">
        <v>570</v>
      </c>
      <c r="G1012" t="s">
        <v>2914</v>
      </c>
      <c r="H1012" t="s">
        <v>1408</v>
      </c>
      <c r="I1012" t="s">
        <v>1409</v>
      </c>
      <c r="J1012" s="8" t="s">
        <v>1505</v>
      </c>
      <c r="K1012" t="s">
        <v>10</v>
      </c>
      <c r="L1012" s="47">
        <v>1700</v>
      </c>
      <c r="M1012" t="s">
        <v>1472</v>
      </c>
      <c r="N1012" t="s">
        <v>11</v>
      </c>
      <c r="O1012" s="50">
        <v>4.9000000000000004</v>
      </c>
      <c r="P1012" s="9">
        <f>ROUND(O1012*L1012,2)</f>
        <v>8330</v>
      </c>
      <c r="Q1012" s="10">
        <f>IF(N1012="HKD",7.8,IF(N1012="CNY",7.30034,1))</f>
        <v>7.3003400000000003</v>
      </c>
      <c r="R1012" s="10">
        <f>+ROUND(O1012/Q1012,4)</f>
        <v>0.67120000000000002</v>
      </c>
      <c r="S1012" s="11">
        <f>ROUND(R1012*L1012,2)</f>
        <v>1141.04</v>
      </c>
      <c r="T1012" s="10" t="s">
        <v>349</v>
      </c>
      <c r="U1012" t="s">
        <v>36</v>
      </c>
    </row>
    <row r="1013" spans="1:21">
      <c r="A1013" t="s">
        <v>2382</v>
      </c>
      <c r="B1013" s="20">
        <v>45730</v>
      </c>
      <c r="C1013" s="20">
        <v>45695</v>
      </c>
      <c r="D1013" t="s">
        <v>569</v>
      </c>
      <c r="E1013" t="s">
        <v>570</v>
      </c>
      <c r="G1013" t="s">
        <v>2914</v>
      </c>
      <c r="H1013" t="s">
        <v>766</v>
      </c>
      <c r="I1013" t="s">
        <v>767</v>
      </c>
      <c r="J1013" s="8" t="s">
        <v>1505</v>
      </c>
      <c r="K1013" t="s">
        <v>10</v>
      </c>
      <c r="L1013" s="47">
        <v>3000</v>
      </c>
      <c r="M1013" t="s">
        <v>1472</v>
      </c>
      <c r="N1013" t="s">
        <v>11</v>
      </c>
      <c r="O1013" s="50">
        <v>5.5860000000000003</v>
      </c>
      <c r="P1013" s="9">
        <f>ROUND(O1013*L1013,2)</f>
        <v>16758</v>
      </c>
      <c r="Q1013" s="10">
        <f>IF(N1013="HKD",7.8,IF(N1013="CNY",7.30034,1))</f>
        <v>7.3003400000000003</v>
      </c>
      <c r="R1013" s="10">
        <f>+ROUND(O1013/Q1013,4)</f>
        <v>0.76519999999999999</v>
      </c>
      <c r="S1013" s="11">
        <f>ROUND(R1013*L1013,2)</f>
        <v>2295.6</v>
      </c>
      <c r="T1013" s="10" t="s">
        <v>349</v>
      </c>
      <c r="U1013" t="s">
        <v>36</v>
      </c>
    </row>
    <row r="1014" spans="1:21">
      <c r="A1014" t="s">
        <v>2383</v>
      </c>
      <c r="B1014" s="20">
        <v>45730</v>
      </c>
      <c r="C1014" s="20">
        <v>45695</v>
      </c>
      <c r="D1014" t="s">
        <v>569</v>
      </c>
      <c r="E1014" t="s">
        <v>570</v>
      </c>
      <c r="G1014" t="s">
        <v>2914</v>
      </c>
      <c r="H1014" t="s">
        <v>1405</v>
      </c>
      <c r="I1014" t="s">
        <v>1406</v>
      </c>
      <c r="J1014" s="8" t="s">
        <v>1505</v>
      </c>
      <c r="K1014" t="s">
        <v>10</v>
      </c>
      <c r="L1014" s="47">
        <v>2000</v>
      </c>
      <c r="M1014" t="s">
        <v>1472</v>
      </c>
      <c r="N1014" t="s">
        <v>11</v>
      </c>
      <c r="O1014" s="50">
        <v>5.5860000000000003</v>
      </c>
      <c r="P1014" s="9">
        <f>ROUND(O1014*L1014,2)</f>
        <v>11172</v>
      </c>
      <c r="Q1014" s="10">
        <f>IF(N1014="HKD",7.8,IF(N1014="CNY",7.30034,1))</f>
        <v>7.3003400000000003</v>
      </c>
      <c r="R1014" s="10">
        <f>+ROUND(O1014/Q1014,4)</f>
        <v>0.76519999999999999</v>
      </c>
      <c r="S1014" s="11">
        <f>ROUND(R1014*L1014,2)</f>
        <v>1530.4</v>
      </c>
      <c r="T1014" s="10" t="s">
        <v>349</v>
      </c>
      <c r="U1014" t="s">
        <v>36</v>
      </c>
    </row>
    <row r="1015" spans="1:21">
      <c r="A1015" t="s">
        <v>2359</v>
      </c>
      <c r="B1015" s="20">
        <v>45730</v>
      </c>
      <c r="C1015" s="20">
        <v>45680</v>
      </c>
      <c r="D1015" t="s">
        <v>569</v>
      </c>
      <c r="E1015" t="s">
        <v>570</v>
      </c>
      <c r="G1015" t="s">
        <v>2903</v>
      </c>
      <c r="H1015" t="s">
        <v>1415</v>
      </c>
      <c r="I1015" t="s">
        <v>1416</v>
      </c>
      <c r="J1015" s="8" t="s">
        <v>1505</v>
      </c>
      <c r="K1015" t="s">
        <v>10</v>
      </c>
      <c r="L1015" s="47">
        <v>1500</v>
      </c>
      <c r="M1015" t="s">
        <v>1472</v>
      </c>
      <c r="N1015" t="s">
        <v>11</v>
      </c>
      <c r="O1015" s="50">
        <v>5.7</v>
      </c>
      <c r="P1015" s="9">
        <f>ROUND(O1015*L1015,2)</f>
        <v>8550</v>
      </c>
      <c r="Q1015" s="10">
        <f>IF(N1015="HKD",7.8,IF(N1015="CNY",7.30034,1))</f>
        <v>7.3003400000000003</v>
      </c>
      <c r="R1015" s="10">
        <f>+ROUND(O1015/Q1015,4)</f>
        <v>0.78080000000000005</v>
      </c>
      <c r="S1015" s="11">
        <f>ROUND(R1015*L1015,2)</f>
        <v>1171.2</v>
      </c>
      <c r="T1015" s="10" t="s">
        <v>349</v>
      </c>
      <c r="U1015" t="s">
        <v>36</v>
      </c>
    </row>
    <row r="1016" spans="1:21">
      <c r="A1016" t="s">
        <v>2053</v>
      </c>
      <c r="B1016" s="20">
        <v>45730</v>
      </c>
      <c r="C1016" s="20">
        <v>45350</v>
      </c>
      <c r="D1016" t="s">
        <v>128</v>
      </c>
      <c r="E1016" t="s">
        <v>129</v>
      </c>
      <c r="G1016" t="s">
        <v>2838</v>
      </c>
      <c r="H1016" t="s">
        <v>1762</v>
      </c>
      <c r="I1016" t="s">
        <v>1763</v>
      </c>
      <c r="J1016" s="8" t="str">
        <f>+LEFT(U1016,4)</f>
        <v>HDL-</v>
      </c>
      <c r="K1016" t="s">
        <v>10</v>
      </c>
      <c r="L1016" s="47">
        <v>1800</v>
      </c>
      <c r="M1016" t="s">
        <v>1472</v>
      </c>
      <c r="N1016" t="s">
        <v>11</v>
      </c>
      <c r="O1016" s="50">
        <v>4.5491999999999999</v>
      </c>
      <c r="P1016" s="9">
        <f>ROUND(O1016*L1016,2)</f>
        <v>8188.56</v>
      </c>
      <c r="Q1016" s="10">
        <f>IF(N1016="HKD",7.8,IF(N1016="CNY",7.30034,1))</f>
        <v>7.3003400000000003</v>
      </c>
      <c r="R1016" s="10">
        <f>+ROUND(O1016/Q1016,4)</f>
        <v>0.62309999999999999</v>
      </c>
      <c r="S1016" s="11">
        <f>ROUND(R1016*L1016,2)</f>
        <v>1121.58</v>
      </c>
      <c r="T1016" s="10" t="s">
        <v>349</v>
      </c>
      <c r="U1016" t="s">
        <v>228</v>
      </c>
    </row>
    <row r="1017" spans="1:21">
      <c r="A1017" t="s">
        <v>2054</v>
      </c>
      <c r="B1017" s="20">
        <v>45730</v>
      </c>
      <c r="C1017" s="20">
        <v>45656</v>
      </c>
      <c r="D1017" t="s">
        <v>128</v>
      </c>
      <c r="E1017" t="s">
        <v>129</v>
      </c>
      <c r="G1017" t="s">
        <v>2838</v>
      </c>
      <c r="H1017" t="s">
        <v>1762</v>
      </c>
      <c r="I1017" t="s">
        <v>1763</v>
      </c>
      <c r="J1017" s="8" t="str">
        <f>+LEFT(U1017,4)</f>
        <v>HDL-</v>
      </c>
      <c r="K1017" t="s">
        <v>10</v>
      </c>
      <c r="L1017" s="47">
        <v>3200</v>
      </c>
      <c r="M1017" t="s">
        <v>1472</v>
      </c>
      <c r="N1017" t="s">
        <v>11</v>
      </c>
      <c r="O1017" s="50">
        <v>4.5491999999999999</v>
      </c>
      <c r="P1017" s="9">
        <f>ROUND(O1017*L1017,2)</f>
        <v>14557.44</v>
      </c>
      <c r="Q1017" s="10">
        <f>IF(N1017="HKD",7.8,IF(N1017="CNY",7.30034,1))</f>
        <v>7.3003400000000003</v>
      </c>
      <c r="R1017" s="10">
        <f>+ROUND(O1017/Q1017,4)</f>
        <v>0.62309999999999999</v>
      </c>
      <c r="S1017" s="11">
        <f>ROUND(R1017*L1017,2)</f>
        <v>1993.92</v>
      </c>
      <c r="T1017" s="10" t="s">
        <v>349</v>
      </c>
      <c r="U1017" t="s">
        <v>228</v>
      </c>
    </row>
    <row r="1018" spans="1:21">
      <c r="A1018" t="s">
        <v>2340</v>
      </c>
      <c r="B1018" s="20">
        <v>45730</v>
      </c>
      <c r="C1018" s="20">
        <v>45674</v>
      </c>
      <c r="D1018" t="s">
        <v>128</v>
      </c>
      <c r="E1018" t="s">
        <v>129</v>
      </c>
      <c r="G1018" t="s">
        <v>2838</v>
      </c>
      <c r="H1018" t="s">
        <v>1762</v>
      </c>
      <c r="I1018" t="s">
        <v>1763</v>
      </c>
      <c r="J1018" s="8" t="str">
        <f>+LEFT(U1018,4)</f>
        <v>HDL-</v>
      </c>
      <c r="K1018" t="s">
        <v>10</v>
      </c>
      <c r="L1018" s="47">
        <v>200</v>
      </c>
      <c r="M1018" t="s">
        <v>1472</v>
      </c>
      <c r="N1018" t="s">
        <v>11</v>
      </c>
      <c r="O1018" s="50">
        <v>4.5491999999999999</v>
      </c>
      <c r="P1018" s="9">
        <f>ROUND(O1018*L1018,2)</f>
        <v>909.84</v>
      </c>
      <c r="Q1018" s="10">
        <f>IF(N1018="HKD",7.8,IF(N1018="CNY",7.30034,1))</f>
        <v>7.3003400000000003</v>
      </c>
      <c r="R1018" s="10">
        <f>+ROUND(O1018/Q1018,4)</f>
        <v>0.62309999999999999</v>
      </c>
      <c r="S1018" s="11">
        <f>ROUND(R1018*L1018,2)</f>
        <v>124.62</v>
      </c>
      <c r="T1018" s="10" t="s">
        <v>349</v>
      </c>
      <c r="U1018" t="s">
        <v>228</v>
      </c>
    </row>
    <row r="1019" spans="1:21">
      <c r="A1019" t="s">
        <v>2487</v>
      </c>
      <c r="B1019" s="20">
        <v>45730</v>
      </c>
      <c r="C1019" s="20">
        <v>45712</v>
      </c>
      <c r="D1019" t="s">
        <v>2257</v>
      </c>
      <c r="E1019" t="s">
        <v>2258</v>
      </c>
      <c r="G1019" t="s">
        <v>2951</v>
      </c>
      <c r="H1019" t="s">
        <v>3148</v>
      </c>
      <c r="I1019" t="s">
        <v>3358</v>
      </c>
      <c r="J1019" s="8" t="str">
        <f>+LEFT(U1019,4)</f>
        <v>HDL-</v>
      </c>
      <c r="K1019" t="s">
        <v>10</v>
      </c>
      <c r="L1019" s="47">
        <v>2500</v>
      </c>
      <c r="M1019" t="s">
        <v>1472</v>
      </c>
      <c r="N1019" t="s">
        <v>11</v>
      </c>
      <c r="O1019" s="50">
        <v>7.6459999999999999</v>
      </c>
      <c r="P1019" s="9">
        <f>ROUND(O1019*L1019,2)</f>
        <v>19115</v>
      </c>
      <c r="Q1019" s="10">
        <f>IF(N1019="HKD",7.8,IF(N1019="CNY",7.30034,1))</f>
        <v>7.3003400000000003</v>
      </c>
      <c r="R1019" s="10">
        <f>+ROUND(O1019/Q1019,4)</f>
        <v>1.0472999999999999</v>
      </c>
      <c r="S1019" s="11">
        <f>ROUND(R1019*L1019,2)</f>
        <v>2618.25</v>
      </c>
      <c r="T1019" s="10" t="s">
        <v>349</v>
      </c>
      <c r="U1019" t="s">
        <v>228</v>
      </c>
    </row>
    <row r="1020" spans="1:21">
      <c r="A1020" t="s">
        <v>2490</v>
      </c>
      <c r="B1020" s="20">
        <v>45730</v>
      </c>
      <c r="C1020" s="20">
        <v>45713</v>
      </c>
      <c r="D1020" t="s">
        <v>2257</v>
      </c>
      <c r="E1020" t="s">
        <v>2258</v>
      </c>
      <c r="G1020" t="s">
        <v>2951</v>
      </c>
      <c r="H1020" t="s">
        <v>3149</v>
      </c>
      <c r="I1020" t="s">
        <v>3359</v>
      </c>
      <c r="J1020" s="8" t="str">
        <f>+LEFT(U1020,4)</f>
        <v>HDL-</v>
      </c>
      <c r="K1020" t="s">
        <v>10</v>
      </c>
      <c r="L1020" s="47">
        <v>3400</v>
      </c>
      <c r="M1020" t="s">
        <v>1472</v>
      </c>
      <c r="N1020" t="s">
        <v>11</v>
      </c>
      <c r="O1020" s="50">
        <v>8.5710999999999995</v>
      </c>
      <c r="P1020" s="9">
        <f>ROUND(O1020*L1020,2)</f>
        <v>29141.74</v>
      </c>
      <c r="Q1020" s="10">
        <f>IF(N1020="HKD",7.8,IF(N1020="CNY",7.30034,1))</f>
        <v>7.3003400000000003</v>
      </c>
      <c r="R1020" s="10">
        <f>+ROUND(O1020/Q1020,4)</f>
        <v>1.1740999999999999</v>
      </c>
      <c r="S1020" s="11">
        <f>ROUND(R1020*L1020,2)</f>
        <v>3991.94</v>
      </c>
      <c r="T1020" s="10" t="s">
        <v>349</v>
      </c>
      <c r="U1020" t="s">
        <v>228</v>
      </c>
    </row>
    <row r="1021" spans="1:21">
      <c r="A1021" t="s">
        <v>2496</v>
      </c>
      <c r="B1021" s="20">
        <v>45730</v>
      </c>
      <c r="C1021" s="20">
        <v>45713</v>
      </c>
      <c r="D1021" t="s">
        <v>2257</v>
      </c>
      <c r="E1021" t="s">
        <v>2258</v>
      </c>
      <c r="G1021" t="s">
        <v>2951</v>
      </c>
      <c r="H1021" t="s">
        <v>3150</v>
      </c>
      <c r="I1021" t="s">
        <v>3360</v>
      </c>
      <c r="J1021" s="8" t="str">
        <f>+LEFT(U1021,4)</f>
        <v>HDL-</v>
      </c>
      <c r="K1021" t="s">
        <v>10</v>
      </c>
      <c r="L1021" s="47">
        <v>2700</v>
      </c>
      <c r="M1021" t="s">
        <v>1472</v>
      </c>
      <c r="N1021" t="s">
        <v>11</v>
      </c>
      <c r="O1021" s="50">
        <v>8.7460000000000004</v>
      </c>
      <c r="P1021" s="9">
        <f>ROUND(O1021*L1021,2)</f>
        <v>23614.2</v>
      </c>
      <c r="Q1021" s="10">
        <f>IF(N1021="HKD",7.8,IF(N1021="CNY",7.30034,1))</f>
        <v>7.3003400000000003</v>
      </c>
      <c r="R1021" s="10">
        <f>+ROUND(O1021/Q1021,4)</f>
        <v>1.198</v>
      </c>
      <c r="S1021" s="11">
        <f>ROUND(R1021*L1021,2)</f>
        <v>3234.6</v>
      </c>
      <c r="T1021" s="10" t="s">
        <v>349</v>
      </c>
      <c r="U1021" t="s">
        <v>228</v>
      </c>
    </row>
    <row r="1022" spans="1:21">
      <c r="A1022" t="s">
        <v>2502</v>
      </c>
      <c r="B1022" s="20">
        <v>45730</v>
      </c>
      <c r="C1022" s="20">
        <v>45713</v>
      </c>
      <c r="D1022" t="s">
        <v>2257</v>
      </c>
      <c r="E1022" t="s">
        <v>2258</v>
      </c>
      <c r="G1022" t="s">
        <v>2951</v>
      </c>
      <c r="H1022" t="s">
        <v>3151</v>
      </c>
      <c r="I1022" t="s">
        <v>3361</v>
      </c>
      <c r="J1022" s="8" t="str">
        <f>+LEFT(U1022,4)</f>
        <v>HDL-</v>
      </c>
      <c r="K1022" t="s">
        <v>10</v>
      </c>
      <c r="L1022" s="47">
        <v>600</v>
      </c>
      <c r="M1022" t="s">
        <v>1472</v>
      </c>
      <c r="N1022" t="s">
        <v>11</v>
      </c>
      <c r="O1022" s="50">
        <v>8.7460000000000004</v>
      </c>
      <c r="P1022" s="9">
        <f>ROUND(O1022*L1022,2)</f>
        <v>5247.6</v>
      </c>
      <c r="Q1022" s="10">
        <f>IF(N1022="HKD",7.8,IF(N1022="CNY",7.30034,1))</f>
        <v>7.3003400000000003</v>
      </c>
      <c r="R1022" s="10">
        <f>+ROUND(O1022/Q1022,4)</f>
        <v>1.198</v>
      </c>
      <c r="S1022" s="11">
        <f>ROUND(R1022*L1022,2)</f>
        <v>718.8</v>
      </c>
      <c r="T1022" s="10" t="s">
        <v>349</v>
      </c>
      <c r="U1022" t="s">
        <v>228</v>
      </c>
    </row>
    <row r="1023" spans="1:21">
      <c r="A1023" t="s">
        <v>2275</v>
      </c>
      <c r="B1023" s="20">
        <v>45730</v>
      </c>
      <c r="C1023" s="20">
        <v>45509</v>
      </c>
      <c r="D1023" t="s">
        <v>128</v>
      </c>
      <c r="E1023" t="s">
        <v>129</v>
      </c>
      <c r="G1023" t="s">
        <v>2842</v>
      </c>
      <c r="H1023" t="s">
        <v>26</v>
      </c>
      <c r="I1023" t="s">
        <v>27</v>
      </c>
      <c r="J1023" s="8" t="str">
        <f>+LEFT(U1023,4)</f>
        <v>KNOB</v>
      </c>
      <c r="K1023" t="s">
        <v>10</v>
      </c>
      <c r="L1023" s="47">
        <v>1209</v>
      </c>
      <c r="M1023" t="s">
        <v>1472</v>
      </c>
      <c r="N1023" t="s">
        <v>11</v>
      </c>
      <c r="O1023" s="50">
        <v>2.2957000000000001</v>
      </c>
      <c r="P1023" s="9">
        <f>ROUND(O1023*L1023,2)</f>
        <v>2775.5</v>
      </c>
      <c r="Q1023" s="10">
        <f>IF(N1023="HKD",7.8,IF(N1023="CNY",7.30034,1))</f>
        <v>7.3003400000000003</v>
      </c>
      <c r="R1023" s="10">
        <f>+ROUND(O1023/Q1023,4)</f>
        <v>0.3145</v>
      </c>
      <c r="S1023" s="11">
        <f>ROUND(R1023*L1023,2)</f>
        <v>380.23</v>
      </c>
      <c r="T1023" s="10" t="s">
        <v>349</v>
      </c>
      <c r="U1023" t="s">
        <v>32</v>
      </c>
    </row>
    <row r="1024" spans="1:21">
      <c r="A1024" t="s">
        <v>2341</v>
      </c>
      <c r="B1024" s="20">
        <v>45730</v>
      </c>
      <c r="C1024" s="20">
        <v>45674</v>
      </c>
      <c r="D1024" t="s">
        <v>128</v>
      </c>
      <c r="E1024" t="s">
        <v>129</v>
      </c>
      <c r="G1024" t="s">
        <v>2842</v>
      </c>
      <c r="H1024" t="s">
        <v>26</v>
      </c>
      <c r="I1024" t="s">
        <v>27</v>
      </c>
      <c r="J1024" s="8" t="str">
        <f>+LEFT(U1024,4)</f>
        <v>KNOB</v>
      </c>
      <c r="K1024" t="s">
        <v>10</v>
      </c>
      <c r="L1024" s="47">
        <v>1060</v>
      </c>
      <c r="M1024" t="s">
        <v>1472</v>
      </c>
      <c r="N1024" t="s">
        <v>11</v>
      </c>
      <c r="O1024" s="50">
        <v>2.3666999999999998</v>
      </c>
      <c r="P1024" s="9">
        <f>ROUND(O1024*L1024,2)</f>
        <v>2508.6999999999998</v>
      </c>
      <c r="Q1024" s="10">
        <f>IF(N1024="HKD",7.8,IF(N1024="CNY",7.30034,1))</f>
        <v>7.3003400000000003</v>
      </c>
      <c r="R1024" s="10">
        <f>+ROUND(O1024/Q1024,4)</f>
        <v>0.32419999999999999</v>
      </c>
      <c r="S1024" s="11">
        <f>ROUND(R1024*L1024,2)</f>
        <v>343.65</v>
      </c>
      <c r="T1024" s="10" t="s">
        <v>349</v>
      </c>
      <c r="U1024" t="s">
        <v>32</v>
      </c>
    </row>
    <row r="1025" spans="1:21">
      <c r="A1025" t="s">
        <v>2536</v>
      </c>
      <c r="B1025" s="20">
        <v>45730</v>
      </c>
      <c r="C1025" s="20">
        <v>45714</v>
      </c>
      <c r="D1025" t="s">
        <v>94</v>
      </c>
      <c r="E1025" t="s">
        <v>95</v>
      </c>
      <c r="G1025" t="s">
        <v>2978</v>
      </c>
      <c r="H1025" t="s">
        <v>3165</v>
      </c>
      <c r="I1025" t="s">
        <v>3375</v>
      </c>
      <c r="J1025" s="8" t="str">
        <f>+LEFT(U1025,4)</f>
        <v>LID-</v>
      </c>
      <c r="K1025" t="s">
        <v>98</v>
      </c>
      <c r="L1025" s="47">
        <v>1080</v>
      </c>
      <c r="M1025" t="s">
        <v>1472</v>
      </c>
      <c r="N1025" t="s">
        <v>11</v>
      </c>
      <c r="O1025" s="50">
        <v>4.37</v>
      </c>
      <c r="P1025" s="9">
        <f>ROUND(O1025*L1025,2)</f>
        <v>4719.6000000000004</v>
      </c>
      <c r="Q1025" s="10">
        <f>IF(N1025="HKD",7.8,IF(N1025="CNY",7.30034,1))</f>
        <v>7.3003400000000003</v>
      </c>
      <c r="R1025" s="10">
        <f>+ROUND(O1025/Q1025,4)</f>
        <v>0.59860000000000002</v>
      </c>
      <c r="S1025" s="11">
        <f>ROUND(R1025*L1025,2)</f>
        <v>646.49</v>
      </c>
      <c r="T1025" s="10" t="s">
        <v>349</v>
      </c>
      <c r="U1025" t="s">
        <v>368</v>
      </c>
    </row>
    <row r="1026" spans="1:21">
      <c r="A1026" t="s">
        <v>2405</v>
      </c>
      <c r="B1026" s="20">
        <v>45730</v>
      </c>
      <c r="C1026" s="20">
        <v>45698</v>
      </c>
      <c r="D1026" t="s">
        <v>128</v>
      </c>
      <c r="E1026" t="s">
        <v>129</v>
      </c>
      <c r="G1026" t="s">
        <v>2842</v>
      </c>
      <c r="H1026" t="s">
        <v>1587</v>
      </c>
      <c r="I1026" t="s">
        <v>1588</v>
      </c>
      <c r="J1026" s="8" t="str">
        <f>+LEFT(U1026,4)</f>
        <v>RIV-</v>
      </c>
      <c r="K1026" t="s">
        <v>10</v>
      </c>
      <c r="L1026" s="47">
        <v>3100</v>
      </c>
      <c r="M1026" t="s">
        <v>1472</v>
      </c>
      <c r="N1026" t="s">
        <v>11</v>
      </c>
      <c r="O1026" s="50">
        <v>9.6100000000000005E-2</v>
      </c>
      <c r="P1026" s="9">
        <f>ROUND(O1026*L1026,2)</f>
        <v>297.91000000000003</v>
      </c>
      <c r="Q1026" s="10">
        <f>IF(N1026="HKD",7.8,IF(N1026="CNY",7.30034,1))</f>
        <v>7.3003400000000003</v>
      </c>
      <c r="R1026" s="10">
        <f>+ROUND(O1026/Q1026,4)</f>
        <v>1.32E-2</v>
      </c>
      <c r="S1026" s="11">
        <f>ROUND(R1026*L1026,2)</f>
        <v>40.92</v>
      </c>
      <c r="T1026" s="10" t="s">
        <v>349</v>
      </c>
      <c r="U1026" t="s">
        <v>132</v>
      </c>
    </row>
    <row r="1027" spans="1:21">
      <c r="A1027" t="s">
        <v>2289</v>
      </c>
      <c r="B1027" s="20">
        <v>45730</v>
      </c>
      <c r="C1027" s="20">
        <v>45630</v>
      </c>
      <c r="D1027" t="s">
        <v>94</v>
      </c>
      <c r="E1027" t="s">
        <v>95</v>
      </c>
      <c r="G1027" t="s">
        <v>2853</v>
      </c>
      <c r="H1027" t="s">
        <v>360</v>
      </c>
      <c r="I1027" t="s">
        <v>361</v>
      </c>
      <c r="J1027" s="8" t="str">
        <f>+LEFT(U1027,4)</f>
        <v>SKU-</v>
      </c>
      <c r="K1027" t="s">
        <v>98</v>
      </c>
      <c r="L1027" s="47">
        <v>1320</v>
      </c>
      <c r="M1027" t="s">
        <v>1472</v>
      </c>
      <c r="N1027" t="s">
        <v>11</v>
      </c>
      <c r="O1027" s="50">
        <v>5.8230000000000004</v>
      </c>
      <c r="P1027" s="9">
        <f>ROUND(O1027*L1027,2)</f>
        <v>7686.36</v>
      </c>
      <c r="Q1027" s="10">
        <f>IF(N1027="HKD",7.8,IF(N1027="CNY",7.30034,1))</f>
        <v>7.3003400000000003</v>
      </c>
      <c r="R1027" s="10">
        <f>+ROUND(O1027/Q1027,4)</f>
        <v>0.79759999999999998</v>
      </c>
      <c r="S1027" s="11">
        <f>ROUND(R1027*L1027,2)</f>
        <v>1052.83</v>
      </c>
      <c r="T1027" s="10" t="s">
        <v>349</v>
      </c>
      <c r="U1027" t="s">
        <v>2</v>
      </c>
    </row>
    <row r="1028" spans="1:21">
      <c r="A1028" t="s">
        <v>2289</v>
      </c>
      <c r="B1028" s="20">
        <v>45730</v>
      </c>
      <c r="C1028" s="20">
        <v>45630</v>
      </c>
      <c r="D1028" t="s">
        <v>94</v>
      </c>
      <c r="E1028" t="s">
        <v>95</v>
      </c>
      <c r="G1028" t="s">
        <v>2854</v>
      </c>
      <c r="H1028" t="s">
        <v>360</v>
      </c>
      <c r="I1028" t="s">
        <v>361</v>
      </c>
      <c r="J1028" s="8" t="str">
        <f>+LEFT(U1028,4)</f>
        <v>SKU-</v>
      </c>
      <c r="K1028" t="s">
        <v>98</v>
      </c>
      <c r="L1028" s="47">
        <v>7600</v>
      </c>
      <c r="M1028" t="s">
        <v>1472</v>
      </c>
      <c r="N1028" t="s">
        <v>11</v>
      </c>
      <c r="O1028" s="50">
        <v>5.8230000000000004</v>
      </c>
      <c r="P1028" s="9">
        <f>ROUND(O1028*L1028,2)</f>
        <v>44254.8</v>
      </c>
      <c r="Q1028" s="10">
        <f>IF(N1028="HKD",7.8,IF(N1028="CNY",7.30034,1))</f>
        <v>7.3003400000000003</v>
      </c>
      <c r="R1028" s="10">
        <f>+ROUND(O1028/Q1028,4)</f>
        <v>0.79759999999999998</v>
      </c>
      <c r="S1028" s="11">
        <f>ROUND(R1028*L1028,2)</f>
        <v>6061.76</v>
      </c>
      <c r="T1028" s="10" t="s">
        <v>349</v>
      </c>
      <c r="U1028" t="s">
        <v>2</v>
      </c>
    </row>
    <row r="1029" spans="1:21">
      <c r="A1029" t="s">
        <v>2544</v>
      </c>
      <c r="B1029" s="20">
        <v>45730</v>
      </c>
      <c r="C1029" s="20">
        <v>45714</v>
      </c>
      <c r="D1029" t="s">
        <v>545</v>
      </c>
      <c r="E1029" t="s">
        <v>546</v>
      </c>
      <c r="G1029" t="s">
        <v>2989</v>
      </c>
      <c r="H1029" t="s">
        <v>553</v>
      </c>
      <c r="I1029" t="s">
        <v>554</v>
      </c>
      <c r="J1029" s="8" t="str">
        <f>+LEFT(U1029,4)</f>
        <v>WHR-</v>
      </c>
      <c r="K1029" t="s">
        <v>10</v>
      </c>
      <c r="L1029" s="47">
        <v>3500</v>
      </c>
      <c r="M1029" t="s">
        <v>1472</v>
      </c>
      <c r="N1029" t="s">
        <v>11</v>
      </c>
      <c r="O1029" s="50">
        <v>8.5000000000000006E-2</v>
      </c>
      <c r="P1029" s="9">
        <f>ROUND(O1029*L1029,2)</f>
        <v>297.5</v>
      </c>
      <c r="Q1029" s="10">
        <f>IF(N1029="HKD",7.8,IF(N1029="CNY",7.30034,1))</f>
        <v>7.3003400000000003</v>
      </c>
      <c r="R1029" s="10">
        <f>+ROUND(O1029/Q1029,4)</f>
        <v>1.1599999999999999E-2</v>
      </c>
      <c r="S1029" s="11">
        <f>ROUND(R1029*L1029,2)</f>
        <v>40.6</v>
      </c>
      <c r="T1029" s="10" t="s">
        <v>349</v>
      </c>
      <c r="U1029" t="s">
        <v>248</v>
      </c>
    </row>
    <row r="1030" spans="1:21">
      <c r="A1030" t="s">
        <v>1835</v>
      </c>
      <c r="B1030" s="20">
        <v>45729</v>
      </c>
      <c r="C1030" s="20">
        <v>45674</v>
      </c>
      <c r="D1030" t="s">
        <v>806</v>
      </c>
      <c r="E1030" t="s">
        <v>807</v>
      </c>
      <c r="G1030" t="s">
        <v>2895</v>
      </c>
      <c r="H1030" t="s">
        <v>1569</v>
      </c>
      <c r="I1030" t="s">
        <v>1570</v>
      </c>
      <c r="J1030" s="8" t="str">
        <f>+LEFT(U1030,4)</f>
        <v>BAG-</v>
      </c>
      <c r="K1030" t="s">
        <v>10</v>
      </c>
      <c r="L1030" s="47">
        <v>2840</v>
      </c>
      <c r="M1030" t="s">
        <v>1472</v>
      </c>
      <c r="N1030" t="s">
        <v>11</v>
      </c>
      <c r="O1030" s="50">
        <v>0.06</v>
      </c>
      <c r="P1030" s="9">
        <f>ROUND(O1030*L1030,2)</f>
        <v>170.4</v>
      </c>
      <c r="Q1030" s="10">
        <f>IF(N1030="HKD",7.8,IF(N1030="CNY",7.30034,1))</f>
        <v>7.3003400000000003</v>
      </c>
      <c r="R1030" s="10">
        <f>+ROUND(O1030/Q1030,4)</f>
        <v>8.2000000000000007E-3</v>
      </c>
      <c r="S1030" s="11">
        <f>ROUND(R1030*L1030,2)</f>
        <v>23.29</v>
      </c>
      <c r="T1030" s="10" t="s">
        <v>349</v>
      </c>
      <c r="U1030" t="s">
        <v>810</v>
      </c>
    </row>
    <row r="1031" spans="1:21">
      <c r="A1031" t="s">
        <v>2668</v>
      </c>
      <c r="B1031" s="20">
        <v>45729</v>
      </c>
      <c r="C1031" s="20">
        <v>45723</v>
      </c>
      <c r="D1031" t="s">
        <v>806</v>
      </c>
      <c r="E1031" t="s">
        <v>807</v>
      </c>
      <c r="G1031" t="s">
        <v>2895</v>
      </c>
      <c r="H1031" t="s">
        <v>3215</v>
      </c>
      <c r="I1031" t="s">
        <v>3422</v>
      </c>
      <c r="J1031" s="8" t="str">
        <f>+LEFT(U1031,4)</f>
        <v>BAG-</v>
      </c>
      <c r="K1031" t="s">
        <v>10</v>
      </c>
      <c r="L1031" s="47">
        <v>15000</v>
      </c>
      <c r="M1031" t="s">
        <v>1472</v>
      </c>
      <c r="N1031" t="s">
        <v>11</v>
      </c>
      <c r="O1031" s="50">
        <v>0.1</v>
      </c>
      <c r="P1031" s="9">
        <f>ROUND(O1031*L1031,2)</f>
        <v>1500</v>
      </c>
      <c r="Q1031" s="10">
        <f>IF(N1031="HKD",7.8,IF(N1031="CNY",7.30034,1))</f>
        <v>7.3003400000000003</v>
      </c>
      <c r="R1031" s="10">
        <f>+ROUND(O1031/Q1031,4)</f>
        <v>1.37E-2</v>
      </c>
      <c r="S1031" s="11">
        <f>ROUND(R1031*L1031,2)</f>
        <v>205.5</v>
      </c>
      <c r="T1031" s="10" t="s">
        <v>349</v>
      </c>
      <c r="U1031" t="s">
        <v>810</v>
      </c>
    </row>
    <row r="1032" spans="1:21">
      <c r="A1032" t="s">
        <v>2390</v>
      </c>
      <c r="B1032" s="20">
        <v>45729</v>
      </c>
      <c r="C1032" s="20">
        <v>45695</v>
      </c>
      <c r="D1032" t="s">
        <v>149</v>
      </c>
      <c r="E1032" t="s">
        <v>150</v>
      </c>
      <c r="G1032" t="s">
        <v>2916</v>
      </c>
      <c r="H1032" t="s">
        <v>3092</v>
      </c>
      <c r="I1032" t="s">
        <v>3308</v>
      </c>
      <c r="J1032" s="8" t="str">
        <f>+LEFT(U1032,4)</f>
        <v>GLID</v>
      </c>
      <c r="K1032" t="s">
        <v>10</v>
      </c>
      <c r="L1032" s="47">
        <v>1020</v>
      </c>
      <c r="M1032" t="s">
        <v>1472</v>
      </c>
      <c r="N1032" t="s">
        <v>11</v>
      </c>
      <c r="O1032" s="50">
        <v>5.4089</v>
      </c>
      <c r="P1032" s="9">
        <f>ROUND(O1032*L1032,2)</f>
        <v>5517.08</v>
      </c>
      <c r="Q1032" s="10">
        <f>IF(N1032="HKD",7.8,IF(N1032="CNY",7.30034,1))</f>
        <v>7.3003400000000003</v>
      </c>
      <c r="R1032" s="10">
        <f>+ROUND(O1032/Q1032,4)</f>
        <v>0.7409</v>
      </c>
      <c r="S1032" s="11">
        <f>ROUND(R1032*L1032,2)</f>
        <v>755.72</v>
      </c>
      <c r="T1032" s="10" t="s">
        <v>349</v>
      </c>
      <c r="U1032" t="s">
        <v>78</v>
      </c>
    </row>
    <row r="1033" spans="1:21">
      <c r="A1033" t="s">
        <v>2483</v>
      </c>
      <c r="B1033" s="20">
        <v>45729</v>
      </c>
      <c r="C1033" s="20">
        <v>45712</v>
      </c>
      <c r="D1033" t="s">
        <v>898</v>
      </c>
      <c r="E1033" t="s">
        <v>899</v>
      </c>
      <c r="G1033" t="s">
        <v>2949</v>
      </c>
      <c r="H1033" t="s">
        <v>896</v>
      </c>
      <c r="I1033" t="s">
        <v>897</v>
      </c>
      <c r="J1033" s="8" t="str">
        <f>+LEFT(U1033,4)</f>
        <v>GLID</v>
      </c>
      <c r="K1033" t="s">
        <v>10</v>
      </c>
      <c r="L1033" s="47">
        <v>2050</v>
      </c>
      <c r="M1033" t="s">
        <v>1472</v>
      </c>
      <c r="N1033" t="s">
        <v>11</v>
      </c>
      <c r="O1033" s="50">
        <v>16.5</v>
      </c>
      <c r="P1033" s="9">
        <f>ROUND(O1033*L1033,2)</f>
        <v>33825</v>
      </c>
      <c r="Q1033" s="10">
        <f>IF(N1033="HKD",7.8,IF(N1033="CNY",7.30034,1))</f>
        <v>7.3003400000000003</v>
      </c>
      <c r="R1033" s="10">
        <f>+ROUND(O1033/Q1033,4)</f>
        <v>2.2602000000000002</v>
      </c>
      <c r="S1033" s="11">
        <f>ROUND(R1033*L1033,2)</f>
        <v>4633.41</v>
      </c>
      <c r="T1033" s="10" t="s">
        <v>349</v>
      </c>
      <c r="U1033" t="s">
        <v>78</v>
      </c>
    </row>
    <row r="1034" spans="1:21">
      <c r="A1034" t="s">
        <v>2070</v>
      </c>
      <c r="B1034" s="20">
        <v>45729</v>
      </c>
      <c r="C1034" s="20">
        <v>45309</v>
      </c>
      <c r="D1034" t="s">
        <v>866</v>
      </c>
      <c r="E1034" t="s">
        <v>867</v>
      </c>
      <c r="G1034" t="s">
        <v>2837</v>
      </c>
      <c r="H1034" t="s">
        <v>1497</v>
      </c>
      <c r="I1034" t="s">
        <v>1498</v>
      </c>
      <c r="J1034" s="8" t="s">
        <v>1484</v>
      </c>
      <c r="K1034" t="s">
        <v>10</v>
      </c>
      <c r="L1034" s="47">
        <v>5000</v>
      </c>
      <c r="M1034" t="s">
        <v>1472</v>
      </c>
      <c r="N1034" t="s">
        <v>11</v>
      </c>
      <c r="O1034" s="50">
        <v>5.3574999999999999</v>
      </c>
      <c r="P1034" s="9">
        <f>ROUND(O1034*L1034,2)</f>
        <v>26787.5</v>
      </c>
      <c r="Q1034" s="10">
        <f>IF(N1034="HKD",7.8,IF(N1034="CNY",7.30034,1))</f>
        <v>7.3003400000000003</v>
      </c>
      <c r="R1034" s="10">
        <f>+ROUND(O1034/Q1034,4)</f>
        <v>0.7339</v>
      </c>
      <c r="S1034" s="11">
        <f>ROUND(R1034*L1034,2)</f>
        <v>3669.5</v>
      </c>
      <c r="T1034" s="10" t="s">
        <v>349</v>
      </c>
      <c r="U1034" t="s">
        <v>36</v>
      </c>
    </row>
    <row r="1035" spans="1:21">
      <c r="A1035" t="s">
        <v>910</v>
      </c>
      <c r="B1035" s="20">
        <v>45729</v>
      </c>
      <c r="C1035" s="20">
        <v>45287</v>
      </c>
      <c r="D1035" t="s">
        <v>866</v>
      </c>
      <c r="E1035" t="s">
        <v>867</v>
      </c>
      <c r="G1035" t="s">
        <v>2836</v>
      </c>
      <c r="H1035" t="s">
        <v>908</v>
      </c>
      <c r="I1035" t="s">
        <v>909</v>
      </c>
      <c r="J1035" s="8" t="s">
        <v>1484</v>
      </c>
      <c r="K1035" t="s">
        <v>10</v>
      </c>
      <c r="L1035" s="47">
        <v>8016</v>
      </c>
      <c r="M1035" t="s">
        <v>1472</v>
      </c>
      <c r="N1035" t="s">
        <v>11</v>
      </c>
      <c r="O1035" s="50">
        <v>5.3804999999999996</v>
      </c>
      <c r="P1035" s="9">
        <f>ROUND(O1035*L1035,2)</f>
        <v>43130.09</v>
      </c>
      <c r="Q1035" s="10">
        <f>IF(N1035="HKD",7.8,IF(N1035="CNY",7.30034,1))</f>
        <v>7.3003400000000003</v>
      </c>
      <c r="R1035" s="10">
        <f>+ROUND(O1035/Q1035,4)</f>
        <v>0.73699999999999999</v>
      </c>
      <c r="S1035" s="11">
        <f>ROUND(R1035*L1035,2)</f>
        <v>5907.79</v>
      </c>
      <c r="T1035" s="10" t="s">
        <v>349</v>
      </c>
      <c r="U1035" t="s">
        <v>36</v>
      </c>
    </row>
    <row r="1036" spans="1:21">
      <c r="A1036" t="s">
        <v>2274</v>
      </c>
      <c r="B1036" s="20">
        <v>45729</v>
      </c>
      <c r="C1036" s="20">
        <v>45498</v>
      </c>
      <c r="D1036" t="s">
        <v>866</v>
      </c>
      <c r="E1036" t="s">
        <v>867</v>
      </c>
      <c r="G1036" t="s">
        <v>2841</v>
      </c>
      <c r="H1036" t="s">
        <v>916</v>
      </c>
      <c r="I1036" t="s">
        <v>917</v>
      </c>
      <c r="J1036" s="8" t="s">
        <v>1484</v>
      </c>
      <c r="K1036" t="s">
        <v>10</v>
      </c>
      <c r="L1036" s="47">
        <v>-4992</v>
      </c>
      <c r="M1036" t="s">
        <v>1472</v>
      </c>
      <c r="N1036" t="s">
        <v>11</v>
      </c>
      <c r="O1036" s="50">
        <v>5.9381000000000004</v>
      </c>
      <c r="P1036" s="9">
        <f>ROUND(O1036*L1036,2)</f>
        <v>-29643</v>
      </c>
      <c r="Q1036" s="10">
        <f>IF(N1036="HKD",7.8,IF(N1036="CNY",7.30034,1))</f>
        <v>7.3003400000000003</v>
      </c>
      <c r="R1036" s="10">
        <f>+ROUND(O1036/Q1036,4)</f>
        <v>0.81340000000000001</v>
      </c>
      <c r="S1036" s="11">
        <f>ROUND(R1036*L1036,2)</f>
        <v>-4060.49</v>
      </c>
      <c r="T1036" s="10" t="s">
        <v>349</v>
      </c>
      <c r="U1036" t="s">
        <v>36</v>
      </c>
    </row>
    <row r="1037" spans="1:21">
      <c r="A1037" t="s">
        <v>868</v>
      </c>
      <c r="B1037" s="20">
        <v>45729</v>
      </c>
      <c r="C1037" s="20">
        <v>45309</v>
      </c>
      <c r="D1037" t="s">
        <v>866</v>
      </c>
      <c r="E1037" t="s">
        <v>867</v>
      </c>
      <c r="G1037" t="s">
        <v>2837</v>
      </c>
      <c r="H1037" t="s">
        <v>864</v>
      </c>
      <c r="I1037" t="s">
        <v>865</v>
      </c>
      <c r="J1037" s="8" t="s">
        <v>1484</v>
      </c>
      <c r="K1037" t="s">
        <v>10</v>
      </c>
      <c r="L1037" s="47">
        <v>3000</v>
      </c>
      <c r="M1037" t="s">
        <v>1472</v>
      </c>
      <c r="N1037" t="s">
        <v>11</v>
      </c>
      <c r="O1037" s="50">
        <v>6.0212000000000003</v>
      </c>
      <c r="P1037" s="9">
        <f>ROUND(O1037*L1037,2)</f>
        <v>18063.599999999999</v>
      </c>
      <c r="Q1037" s="10">
        <f>IF(N1037="HKD",7.8,IF(N1037="CNY",7.30034,1))</f>
        <v>7.3003400000000003</v>
      </c>
      <c r="R1037" s="10">
        <f>+ROUND(O1037/Q1037,4)</f>
        <v>0.82479999999999998</v>
      </c>
      <c r="S1037" s="11">
        <f>ROUND(R1037*L1037,2)</f>
        <v>2474.4</v>
      </c>
      <c r="T1037" s="10" t="s">
        <v>349</v>
      </c>
      <c r="U1037" t="s">
        <v>36</v>
      </c>
    </row>
    <row r="1038" spans="1:21">
      <c r="A1038" t="s">
        <v>876</v>
      </c>
      <c r="B1038" s="20">
        <v>45729</v>
      </c>
      <c r="C1038" s="20">
        <v>45287</v>
      </c>
      <c r="D1038" t="s">
        <v>866</v>
      </c>
      <c r="E1038" t="s">
        <v>867</v>
      </c>
      <c r="G1038" t="s">
        <v>2836</v>
      </c>
      <c r="H1038" t="s">
        <v>874</v>
      </c>
      <c r="I1038" t="s">
        <v>875</v>
      </c>
      <c r="J1038" s="8" t="s">
        <v>1484</v>
      </c>
      <c r="K1038" t="s">
        <v>10</v>
      </c>
      <c r="L1038" s="47">
        <v>6000</v>
      </c>
      <c r="M1038" t="s">
        <v>1472</v>
      </c>
      <c r="N1038" t="s">
        <v>11</v>
      </c>
      <c r="O1038" s="50">
        <v>6.6637000000000004</v>
      </c>
      <c r="P1038" s="9">
        <f>ROUND(O1038*L1038,2)</f>
        <v>39982.199999999997</v>
      </c>
      <c r="Q1038" s="10">
        <f>IF(N1038="HKD",7.8,IF(N1038="CNY",7.30034,1))</f>
        <v>7.3003400000000003</v>
      </c>
      <c r="R1038" s="10">
        <f>+ROUND(O1038/Q1038,4)</f>
        <v>0.91279999999999994</v>
      </c>
      <c r="S1038" s="11">
        <f>ROUND(R1038*L1038,2)</f>
        <v>5476.8</v>
      </c>
      <c r="T1038" s="10" t="s">
        <v>349</v>
      </c>
      <c r="U1038" t="s">
        <v>36</v>
      </c>
    </row>
    <row r="1039" spans="1:21">
      <c r="A1039" t="s">
        <v>882</v>
      </c>
      <c r="B1039" s="20">
        <v>45729</v>
      </c>
      <c r="C1039" s="20">
        <v>45287</v>
      </c>
      <c r="D1039" t="s">
        <v>866</v>
      </c>
      <c r="E1039" t="s">
        <v>867</v>
      </c>
      <c r="G1039" t="s">
        <v>2836</v>
      </c>
      <c r="H1039" t="s">
        <v>880</v>
      </c>
      <c r="I1039" t="s">
        <v>881</v>
      </c>
      <c r="J1039" s="8" t="s">
        <v>1484</v>
      </c>
      <c r="K1039" t="s">
        <v>10</v>
      </c>
      <c r="L1039" s="47">
        <v>6000</v>
      </c>
      <c r="M1039" t="s">
        <v>1472</v>
      </c>
      <c r="N1039" t="s">
        <v>11</v>
      </c>
      <c r="O1039" s="50">
        <v>8.1858000000000004</v>
      </c>
      <c r="P1039" s="9">
        <f>ROUND(O1039*L1039,2)</f>
        <v>49114.8</v>
      </c>
      <c r="Q1039" s="10">
        <f>IF(N1039="HKD",7.8,IF(N1039="CNY",7.30034,1))</f>
        <v>7.3003400000000003</v>
      </c>
      <c r="R1039" s="10">
        <f>+ROUND(O1039/Q1039,4)</f>
        <v>1.1213</v>
      </c>
      <c r="S1039" s="11">
        <f>ROUND(R1039*L1039,2)</f>
        <v>6727.8</v>
      </c>
      <c r="T1039" s="10" t="s">
        <v>349</v>
      </c>
      <c r="U1039" t="s">
        <v>36</v>
      </c>
    </row>
    <row r="1040" spans="1:21">
      <c r="A1040" t="s">
        <v>2272</v>
      </c>
      <c r="B1040" s="20">
        <v>45729</v>
      </c>
      <c r="C1040" s="20">
        <v>44813</v>
      </c>
      <c r="D1040" t="s">
        <v>866</v>
      </c>
      <c r="E1040" t="s">
        <v>867</v>
      </c>
      <c r="G1040" t="s">
        <v>2834</v>
      </c>
      <c r="H1040" t="s">
        <v>1551</v>
      </c>
      <c r="I1040" t="s">
        <v>1552</v>
      </c>
      <c r="J1040" s="8" t="s">
        <v>1484</v>
      </c>
      <c r="K1040" t="s">
        <v>10</v>
      </c>
      <c r="L1040" s="47">
        <v>1960</v>
      </c>
      <c r="M1040" t="s">
        <v>1472</v>
      </c>
      <c r="N1040" t="s">
        <v>11</v>
      </c>
      <c r="O1040" s="50">
        <v>8.2035</v>
      </c>
      <c r="P1040" s="9">
        <f>ROUND(O1040*L1040,2)</f>
        <v>16078.86</v>
      </c>
      <c r="Q1040" s="10">
        <f>IF(N1040="HKD",7.8,IF(N1040="CNY",7.30034,1))</f>
        <v>7.3003400000000003</v>
      </c>
      <c r="R1040" s="10">
        <f>+ROUND(O1040/Q1040,4)</f>
        <v>1.1236999999999999</v>
      </c>
      <c r="S1040" s="11">
        <f>ROUND(R1040*L1040,2)</f>
        <v>2202.4499999999998</v>
      </c>
      <c r="T1040" s="10" t="s">
        <v>349</v>
      </c>
      <c r="U1040" t="s">
        <v>36</v>
      </c>
    </row>
    <row r="1041" spans="1:21">
      <c r="A1041" t="s">
        <v>872</v>
      </c>
      <c r="B1041" s="20">
        <v>45729</v>
      </c>
      <c r="C1041" s="20">
        <v>45287</v>
      </c>
      <c r="D1041" t="s">
        <v>866</v>
      </c>
      <c r="E1041" t="s">
        <v>867</v>
      </c>
      <c r="G1041" t="s">
        <v>2836</v>
      </c>
      <c r="H1041" t="s">
        <v>870</v>
      </c>
      <c r="I1041" t="s">
        <v>871</v>
      </c>
      <c r="J1041" s="8" t="s">
        <v>1484</v>
      </c>
      <c r="K1041" t="s">
        <v>10</v>
      </c>
      <c r="L1041" s="47">
        <v>120</v>
      </c>
      <c r="M1041" t="s">
        <v>1472</v>
      </c>
      <c r="N1041" t="s">
        <v>11</v>
      </c>
      <c r="O1041" s="50">
        <v>8.8053000000000008</v>
      </c>
      <c r="P1041" s="9">
        <f>ROUND(O1041*L1041,2)</f>
        <v>1056.6400000000001</v>
      </c>
      <c r="Q1041" s="10">
        <f>IF(N1041="HKD",7.8,IF(N1041="CNY",7.30034,1))</f>
        <v>7.3003400000000003</v>
      </c>
      <c r="R1041" s="10">
        <f>+ROUND(O1041/Q1041,4)</f>
        <v>1.2060999999999999</v>
      </c>
      <c r="S1041" s="11">
        <f>ROUND(R1041*L1041,2)</f>
        <v>144.72999999999999</v>
      </c>
      <c r="T1041" s="10" t="s">
        <v>349</v>
      </c>
      <c r="U1041" t="s">
        <v>36</v>
      </c>
    </row>
    <row r="1042" spans="1:21">
      <c r="A1042" t="s">
        <v>2343</v>
      </c>
      <c r="B1042" s="20">
        <v>45729</v>
      </c>
      <c r="C1042" s="20">
        <v>45675</v>
      </c>
      <c r="D1042" t="s">
        <v>866</v>
      </c>
      <c r="E1042" t="s">
        <v>867</v>
      </c>
      <c r="G1042" t="s">
        <v>2898</v>
      </c>
      <c r="H1042" t="s">
        <v>870</v>
      </c>
      <c r="I1042" t="s">
        <v>871</v>
      </c>
      <c r="J1042" s="8" t="s">
        <v>1484</v>
      </c>
      <c r="K1042" t="s">
        <v>10</v>
      </c>
      <c r="L1042" s="47">
        <v>120</v>
      </c>
      <c r="M1042" t="s">
        <v>1472</v>
      </c>
      <c r="N1042" t="s">
        <v>11</v>
      </c>
      <c r="O1042" s="50">
        <v>8.8053000000000008</v>
      </c>
      <c r="P1042" s="9">
        <f>ROUND(O1042*L1042,2)</f>
        <v>1056.6400000000001</v>
      </c>
      <c r="Q1042" s="10">
        <f>IF(N1042="HKD",7.8,IF(N1042="CNY",7.30034,1))</f>
        <v>7.3003400000000003</v>
      </c>
      <c r="R1042" s="10">
        <f>+ROUND(O1042/Q1042,4)</f>
        <v>1.2060999999999999</v>
      </c>
      <c r="S1042" s="11">
        <f>ROUND(R1042*L1042,2)</f>
        <v>144.72999999999999</v>
      </c>
      <c r="T1042" s="10" t="s">
        <v>349</v>
      </c>
      <c r="U1042" t="s">
        <v>36</v>
      </c>
    </row>
    <row r="1043" spans="1:21">
      <c r="A1043" t="s">
        <v>889</v>
      </c>
      <c r="B1043" s="20">
        <v>45729</v>
      </c>
      <c r="C1043" s="20">
        <v>45526</v>
      </c>
      <c r="D1043" t="s">
        <v>866</v>
      </c>
      <c r="E1043" t="s">
        <v>867</v>
      </c>
      <c r="G1043" t="s">
        <v>2841</v>
      </c>
      <c r="H1043" t="s">
        <v>887</v>
      </c>
      <c r="I1043" t="s">
        <v>888</v>
      </c>
      <c r="J1043" s="8" t="s">
        <v>1484</v>
      </c>
      <c r="K1043" t="s">
        <v>10</v>
      </c>
      <c r="L1043" s="47">
        <v>-7680</v>
      </c>
      <c r="M1043" t="s">
        <v>1472</v>
      </c>
      <c r="N1043" t="s">
        <v>11</v>
      </c>
      <c r="O1043" s="50">
        <v>9.2124000000000006</v>
      </c>
      <c r="P1043" s="9">
        <f>ROUND(O1043*L1043,2)</f>
        <v>-70751.23</v>
      </c>
      <c r="Q1043" s="10">
        <f>IF(N1043="HKD",7.8,IF(N1043="CNY",7.30034,1))</f>
        <v>7.3003400000000003</v>
      </c>
      <c r="R1043" s="10">
        <f>+ROUND(O1043/Q1043,4)</f>
        <v>1.2619</v>
      </c>
      <c r="S1043" s="11">
        <f>ROUND(R1043*L1043,2)</f>
        <v>-9691.39</v>
      </c>
      <c r="T1043" s="10" t="s">
        <v>349</v>
      </c>
      <c r="U1043" t="s">
        <v>36</v>
      </c>
    </row>
    <row r="1044" spans="1:21">
      <c r="A1044" t="s">
        <v>879</v>
      </c>
      <c r="B1044" s="20">
        <v>45729</v>
      </c>
      <c r="C1044" s="20">
        <v>45287</v>
      </c>
      <c r="D1044" t="s">
        <v>866</v>
      </c>
      <c r="E1044" t="s">
        <v>867</v>
      </c>
      <c r="G1044" t="s">
        <v>2836</v>
      </c>
      <c r="H1044" t="s">
        <v>877</v>
      </c>
      <c r="I1044" t="s">
        <v>878</v>
      </c>
      <c r="J1044" s="8" t="s">
        <v>1484</v>
      </c>
      <c r="K1044" t="s">
        <v>10</v>
      </c>
      <c r="L1044" s="47">
        <v>2156</v>
      </c>
      <c r="M1044" t="s">
        <v>1472</v>
      </c>
      <c r="N1044" t="s">
        <v>11</v>
      </c>
      <c r="O1044" s="50">
        <v>11.672599999999999</v>
      </c>
      <c r="P1044" s="9">
        <f>ROUND(O1044*L1044,2)</f>
        <v>25166.13</v>
      </c>
      <c r="Q1044" s="10">
        <f>IF(N1044="HKD",7.8,IF(N1044="CNY",7.30034,1))</f>
        <v>7.3003400000000003</v>
      </c>
      <c r="R1044" s="10">
        <f>+ROUND(O1044/Q1044,4)</f>
        <v>1.5989</v>
      </c>
      <c r="S1044" s="11">
        <f>ROUND(R1044*L1044,2)</f>
        <v>3447.23</v>
      </c>
      <c r="T1044" s="10" t="s">
        <v>349</v>
      </c>
      <c r="U1044" t="s">
        <v>36</v>
      </c>
    </row>
    <row r="1045" spans="1:21">
      <c r="A1045" t="s">
        <v>2299</v>
      </c>
      <c r="B1045" s="20">
        <v>45729</v>
      </c>
      <c r="C1045" s="20">
        <v>45646</v>
      </c>
      <c r="D1045" t="s">
        <v>866</v>
      </c>
      <c r="E1045" t="s">
        <v>867</v>
      </c>
      <c r="G1045" t="s">
        <v>2865</v>
      </c>
      <c r="H1045" t="s">
        <v>877</v>
      </c>
      <c r="I1045" t="s">
        <v>878</v>
      </c>
      <c r="J1045" s="8" t="s">
        <v>1484</v>
      </c>
      <c r="K1045" t="s">
        <v>10</v>
      </c>
      <c r="L1045" s="47">
        <v>2260</v>
      </c>
      <c r="M1045" t="s">
        <v>1472</v>
      </c>
      <c r="N1045" t="s">
        <v>11</v>
      </c>
      <c r="O1045" s="50">
        <v>11.672599999999999</v>
      </c>
      <c r="P1045" s="9">
        <f>ROUND(O1045*L1045,2)</f>
        <v>26380.080000000002</v>
      </c>
      <c r="Q1045" s="10">
        <f>IF(N1045="HKD",7.8,IF(N1045="CNY",7.30034,1))</f>
        <v>7.3003400000000003</v>
      </c>
      <c r="R1045" s="10">
        <f>+ROUND(O1045/Q1045,4)</f>
        <v>1.5989</v>
      </c>
      <c r="S1045" s="11">
        <f>ROUND(R1045*L1045,2)</f>
        <v>3613.51</v>
      </c>
      <c r="T1045" s="10" t="s">
        <v>349</v>
      </c>
      <c r="U1045" t="s">
        <v>36</v>
      </c>
    </row>
    <row r="1046" spans="1:21">
      <c r="A1046" t="s">
        <v>2273</v>
      </c>
      <c r="B1046" s="20">
        <v>45729</v>
      </c>
      <c r="C1046" s="20">
        <v>45000</v>
      </c>
      <c r="D1046" t="s">
        <v>866</v>
      </c>
      <c r="E1046" t="s">
        <v>867</v>
      </c>
      <c r="G1046" t="s">
        <v>2835</v>
      </c>
      <c r="H1046" t="s">
        <v>1546</v>
      </c>
      <c r="I1046" t="s">
        <v>1818</v>
      </c>
      <c r="J1046" s="8" t="s">
        <v>1484</v>
      </c>
      <c r="K1046" t="s">
        <v>10</v>
      </c>
      <c r="L1046" s="47">
        <v>820</v>
      </c>
      <c r="M1046" t="s">
        <v>1472</v>
      </c>
      <c r="N1046" t="s">
        <v>11</v>
      </c>
      <c r="O1046" s="50">
        <v>17.805299999999999</v>
      </c>
      <c r="P1046" s="9">
        <f>ROUND(O1046*L1046,2)</f>
        <v>14600.35</v>
      </c>
      <c r="Q1046" s="10">
        <f>IF(N1046="HKD",7.8,IF(N1046="CNY",7.30034,1))</f>
        <v>7.3003400000000003</v>
      </c>
      <c r="R1046" s="10">
        <f>+ROUND(O1046/Q1046,4)</f>
        <v>2.4390000000000001</v>
      </c>
      <c r="S1046" s="11">
        <f>ROUND(R1046*L1046,2)</f>
        <v>1999.98</v>
      </c>
      <c r="T1046" s="10" t="s">
        <v>349</v>
      </c>
      <c r="U1046" t="s">
        <v>36</v>
      </c>
    </row>
    <row r="1047" spans="1:21">
      <c r="A1047" t="s">
        <v>2120</v>
      </c>
      <c r="B1047" s="20">
        <v>45729</v>
      </c>
      <c r="C1047" s="20">
        <v>45646</v>
      </c>
      <c r="D1047" t="s">
        <v>866</v>
      </c>
      <c r="E1047" t="s">
        <v>867</v>
      </c>
      <c r="G1047" t="s">
        <v>2865</v>
      </c>
      <c r="H1047" t="s">
        <v>1546</v>
      </c>
      <c r="I1047" t="s">
        <v>1818</v>
      </c>
      <c r="J1047" s="8" t="s">
        <v>1484</v>
      </c>
      <c r="K1047" t="s">
        <v>10</v>
      </c>
      <c r="L1047" s="47">
        <v>188</v>
      </c>
      <c r="M1047" t="s">
        <v>1472</v>
      </c>
      <c r="N1047" t="s">
        <v>11</v>
      </c>
      <c r="O1047" s="50">
        <v>17.805299999999999</v>
      </c>
      <c r="P1047" s="9">
        <f>ROUND(O1047*L1047,2)</f>
        <v>3347.4</v>
      </c>
      <c r="Q1047" s="10">
        <f>IF(N1047="HKD",7.8,IF(N1047="CNY",7.30034,1))</f>
        <v>7.3003400000000003</v>
      </c>
      <c r="R1047" s="10">
        <f>+ROUND(O1047/Q1047,4)</f>
        <v>2.4390000000000001</v>
      </c>
      <c r="S1047" s="11">
        <f>ROUND(R1047*L1047,2)</f>
        <v>458.53</v>
      </c>
      <c r="T1047" s="10" t="s">
        <v>349</v>
      </c>
      <c r="U1047" t="s">
        <v>36</v>
      </c>
    </row>
    <row r="1048" spans="1:21">
      <c r="A1048" t="s">
        <v>2411</v>
      </c>
      <c r="B1048" s="20">
        <v>45729</v>
      </c>
      <c r="C1048" s="20">
        <v>45702</v>
      </c>
      <c r="D1048" t="s">
        <v>372</v>
      </c>
      <c r="E1048" t="s">
        <v>373</v>
      </c>
      <c r="G1048" t="s">
        <v>2926</v>
      </c>
      <c r="H1048" t="s">
        <v>1033</v>
      </c>
      <c r="I1048" t="s">
        <v>1034</v>
      </c>
      <c r="J1048" s="8" t="str">
        <f>+LEFT(U1048,4)</f>
        <v>HDL-</v>
      </c>
      <c r="K1048" t="s">
        <v>98</v>
      </c>
      <c r="L1048" s="47">
        <v>950</v>
      </c>
      <c r="M1048" t="s">
        <v>1472</v>
      </c>
      <c r="N1048" t="s">
        <v>11</v>
      </c>
      <c r="O1048" s="50">
        <v>1.1168</v>
      </c>
      <c r="P1048" s="9">
        <f>ROUND(O1048*L1048,2)</f>
        <v>1060.96</v>
      </c>
      <c r="Q1048" s="10">
        <f>IF(N1048="HKD",7.8,IF(N1048="CNY",7.30034,1))</f>
        <v>7.3003400000000003</v>
      </c>
      <c r="R1048" s="10">
        <f>+ROUND(O1048/Q1048,4)</f>
        <v>0.153</v>
      </c>
      <c r="S1048" s="11">
        <f>ROUND(R1048*L1048,2)</f>
        <v>145.35</v>
      </c>
      <c r="T1048" s="10" t="s">
        <v>349</v>
      </c>
      <c r="U1048" t="s">
        <v>228</v>
      </c>
    </row>
    <row r="1049" spans="1:21">
      <c r="A1049" t="s">
        <v>2541</v>
      </c>
      <c r="B1049" s="20">
        <v>45729</v>
      </c>
      <c r="C1049" s="20">
        <v>45714</v>
      </c>
      <c r="D1049" t="s">
        <v>372</v>
      </c>
      <c r="E1049" t="s">
        <v>373</v>
      </c>
      <c r="G1049" t="s">
        <v>2926</v>
      </c>
      <c r="H1049" t="s">
        <v>1046</v>
      </c>
      <c r="I1049" t="s">
        <v>1047</v>
      </c>
      <c r="J1049" s="8" t="str">
        <f>+LEFT(U1049,4)</f>
        <v>KNOB</v>
      </c>
      <c r="K1049" t="s">
        <v>98</v>
      </c>
      <c r="L1049" s="47">
        <v>4000</v>
      </c>
      <c r="M1049" t="s">
        <v>1472</v>
      </c>
      <c r="N1049" t="s">
        <v>11</v>
      </c>
      <c r="O1049" s="50">
        <v>0.6411</v>
      </c>
      <c r="P1049" s="9">
        <f>ROUND(O1049*L1049,2)</f>
        <v>2564.4</v>
      </c>
      <c r="Q1049" s="10">
        <f>IF(N1049="HKD",7.8,IF(N1049="CNY",7.30034,1))</f>
        <v>7.3003400000000003</v>
      </c>
      <c r="R1049" s="10">
        <f>+ROUND(O1049/Q1049,4)</f>
        <v>8.7800000000000003E-2</v>
      </c>
      <c r="S1049" s="11">
        <f>ROUND(R1049*L1049,2)</f>
        <v>351.2</v>
      </c>
      <c r="T1049" s="10" t="s">
        <v>349</v>
      </c>
      <c r="U1049" t="s">
        <v>32</v>
      </c>
    </row>
    <row r="1050" spans="1:21">
      <c r="A1050" t="s">
        <v>2531</v>
      </c>
      <c r="B1050" s="20">
        <v>45729</v>
      </c>
      <c r="C1050" s="20">
        <v>45713</v>
      </c>
      <c r="D1050" t="s">
        <v>372</v>
      </c>
      <c r="E1050" t="s">
        <v>373</v>
      </c>
      <c r="G1050" t="s">
        <v>2926</v>
      </c>
      <c r="H1050" t="s">
        <v>1029</v>
      </c>
      <c r="I1050" t="s">
        <v>1030</v>
      </c>
      <c r="J1050" s="8" t="str">
        <f>+LEFT(U1050,4)</f>
        <v>LHDL</v>
      </c>
      <c r="K1050" t="s">
        <v>98</v>
      </c>
      <c r="L1050" s="47">
        <v>1800</v>
      </c>
      <c r="M1050" t="s">
        <v>1472</v>
      </c>
      <c r="N1050" t="s">
        <v>11</v>
      </c>
      <c r="O1050" s="50">
        <v>0.78120000000000001</v>
      </c>
      <c r="P1050" s="9">
        <f>ROUND(O1050*L1050,2)</f>
        <v>1406.16</v>
      </c>
      <c r="Q1050" s="10">
        <f>IF(N1050="HKD",7.8,IF(N1050="CNY",7.30034,1))</f>
        <v>7.3003400000000003</v>
      </c>
      <c r="R1050" s="10">
        <f>+ROUND(O1050/Q1050,4)</f>
        <v>0.107</v>
      </c>
      <c r="S1050" s="11">
        <f>ROUND(R1050*L1050,2)</f>
        <v>192.6</v>
      </c>
      <c r="T1050" s="10" t="s">
        <v>349</v>
      </c>
      <c r="U1050" t="s">
        <v>125</v>
      </c>
    </row>
    <row r="1051" spans="1:21">
      <c r="A1051" t="s">
        <v>2538</v>
      </c>
      <c r="B1051" s="20">
        <v>45729</v>
      </c>
      <c r="C1051" s="20">
        <v>45714</v>
      </c>
      <c r="D1051" t="s">
        <v>830</v>
      </c>
      <c r="E1051" t="s">
        <v>831</v>
      </c>
      <c r="G1051" t="s">
        <v>2981</v>
      </c>
      <c r="H1051" t="s">
        <v>3166</v>
      </c>
      <c r="I1051" t="s">
        <v>3376</v>
      </c>
      <c r="J1051" s="8" t="str">
        <f>+LEFT(U1051,4)</f>
        <v>LID-</v>
      </c>
      <c r="K1051" t="s">
        <v>98</v>
      </c>
      <c r="L1051" s="47">
        <v>1460</v>
      </c>
      <c r="M1051" t="s">
        <v>1472</v>
      </c>
      <c r="N1051" t="s">
        <v>11</v>
      </c>
      <c r="O1051" s="50">
        <v>4.2</v>
      </c>
      <c r="P1051" s="9">
        <f>ROUND(O1051*L1051,2)</f>
        <v>6132</v>
      </c>
      <c r="Q1051" s="10">
        <f>IF(N1051="HKD",7.8,IF(N1051="CNY",7.30034,1))</f>
        <v>7.3003400000000003</v>
      </c>
      <c r="R1051" s="10">
        <f>+ROUND(O1051/Q1051,4)</f>
        <v>0.57530000000000003</v>
      </c>
      <c r="S1051" s="11">
        <f>ROUND(R1051*L1051,2)</f>
        <v>839.94</v>
      </c>
      <c r="T1051" s="10" t="s">
        <v>349</v>
      </c>
      <c r="U1051" t="s">
        <v>368</v>
      </c>
    </row>
    <row r="1052" spans="1:21">
      <c r="A1052" t="s">
        <v>2667</v>
      </c>
      <c r="B1052" s="20">
        <v>45728</v>
      </c>
      <c r="C1052" s="20">
        <v>45723</v>
      </c>
      <c r="D1052" t="s">
        <v>806</v>
      </c>
      <c r="E1052" t="s">
        <v>807</v>
      </c>
      <c r="G1052" t="s">
        <v>2890</v>
      </c>
      <c r="H1052" t="s">
        <v>3214</v>
      </c>
      <c r="I1052" t="s">
        <v>3421</v>
      </c>
      <c r="J1052" s="8" t="str">
        <f>+LEFT(U1052,4)</f>
        <v>BAG-</v>
      </c>
      <c r="K1052" t="s">
        <v>10</v>
      </c>
      <c r="L1052" s="47">
        <v>10000</v>
      </c>
      <c r="M1052" t="s">
        <v>1472</v>
      </c>
      <c r="N1052" t="s">
        <v>11</v>
      </c>
      <c r="O1052" s="50">
        <v>8.7999999999999995E-2</v>
      </c>
      <c r="P1052" s="9">
        <f>ROUND(O1052*L1052,2)</f>
        <v>880</v>
      </c>
      <c r="Q1052" s="10">
        <f>IF(N1052="HKD",7.8,IF(N1052="CNY",7.30034,1))</f>
        <v>7.3003400000000003</v>
      </c>
      <c r="R1052" s="10">
        <f>+ROUND(O1052/Q1052,4)</f>
        <v>1.21E-2</v>
      </c>
      <c r="S1052" s="11">
        <f>ROUND(R1052*L1052,2)</f>
        <v>121</v>
      </c>
      <c r="T1052" s="10" t="s">
        <v>349</v>
      </c>
      <c r="U1052" t="s">
        <v>810</v>
      </c>
    </row>
    <row r="1053" spans="1:21">
      <c r="A1053" t="s">
        <v>2669</v>
      </c>
      <c r="B1053" s="20">
        <v>45728</v>
      </c>
      <c r="C1053" s="20">
        <v>45723</v>
      </c>
      <c r="D1053" t="s">
        <v>806</v>
      </c>
      <c r="E1053" t="s">
        <v>807</v>
      </c>
      <c r="G1053" t="s">
        <v>2890</v>
      </c>
      <c r="H1053" t="s">
        <v>3216</v>
      </c>
      <c r="I1053" t="s">
        <v>3423</v>
      </c>
      <c r="J1053" s="8" t="str">
        <f>+LEFT(U1053,4)</f>
        <v>BAG-</v>
      </c>
      <c r="K1053" t="s">
        <v>10</v>
      </c>
      <c r="L1053" s="47">
        <v>15000</v>
      </c>
      <c r="M1053" t="s">
        <v>1472</v>
      </c>
      <c r="N1053" t="s">
        <v>11</v>
      </c>
      <c r="O1053" s="50">
        <v>0.13</v>
      </c>
      <c r="P1053" s="9">
        <f>ROUND(O1053*L1053,2)</f>
        <v>1950</v>
      </c>
      <c r="Q1053" s="10">
        <f>IF(N1053="HKD",7.8,IF(N1053="CNY",7.30034,1))</f>
        <v>7.3003400000000003</v>
      </c>
      <c r="R1053" s="10">
        <f>+ROUND(O1053/Q1053,4)</f>
        <v>1.78E-2</v>
      </c>
      <c r="S1053" s="11">
        <f>ROUND(R1053*L1053,2)</f>
        <v>267</v>
      </c>
      <c r="T1053" s="10" t="s">
        <v>349</v>
      </c>
      <c r="U1053" t="s">
        <v>810</v>
      </c>
    </row>
    <row r="1054" spans="1:21">
      <c r="A1054" t="s">
        <v>2670</v>
      </c>
      <c r="B1054" s="20">
        <v>45728</v>
      </c>
      <c r="C1054" s="20">
        <v>45723</v>
      </c>
      <c r="D1054" t="s">
        <v>806</v>
      </c>
      <c r="E1054" t="s">
        <v>807</v>
      </c>
      <c r="G1054" t="s">
        <v>2890</v>
      </c>
      <c r="H1054" t="s">
        <v>3217</v>
      </c>
      <c r="I1054" t="s">
        <v>3424</v>
      </c>
      <c r="J1054" s="8" t="str">
        <f>+LEFT(U1054,4)</f>
        <v>BAG-</v>
      </c>
      <c r="K1054" t="s">
        <v>10</v>
      </c>
      <c r="L1054" s="47">
        <v>5000</v>
      </c>
      <c r="M1054" t="s">
        <v>1472</v>
      </c>
      <c r="N1054" t="s">
        <v>11</v>
      </c>
      <c r="O1054" s="50">
        <v>0.14000000000000001</v>
      </c>
      <c r="P1054" s="9">
        <f>ROUND(O1054*L1054,2)</f>
        <v>700</v>
      </c>
      <c r="Q1054" s="10">
        <f>IF(N1054="HKD",7.8,IF(N1054="CNY",7.30034,1))</f>
        <v>7.3003400000000003</v>
      </c>
      <c r="R1054" s="10">
        <f>+ROUND(O1054/Q1054,4)</f>
        <v>1.9199999999999998E-2</v>
      </c>
      <c r="S1054" s="11">
        <f>ROUND(R1054*L1054,2)</f>
        <v>96</v>
      </c>
      <c r="T1054" s="10" t="s">
        <v>349</v>
      </c>
      <c r="U1054" t="s">
        <v>810</v>
      </c>
    </row>
    <row r="1055" spans="1:21">
      <c r="A1055" t="s">
        <v>1866</v>
      </c>
      <c r="B1055" s="20">
        <v>45728</v>
      </c>
      <c r="C1055" s="20">
        <v>45672</v>
      </c>
      <c r="D1055" t="s">
        <v>806</v>
      </c>
      <c r="E1055" t="s">
        <v>807</v>
      </c>
      <c r="G1055" t="s">
        <v>2890</v>
      </c>
      <c r="H1055" t="s">
        <v>1603</v>
      </c>
      <c r="I1055" t="s">
        <v>1604</v>
      </c>
      <c r="J1055" s="8" t="str">
        <f>+LEFT(U1055,4)</f>
        <v>BAG-</v>
      </c>
      <c r="K1055" t="s">
        <v>10</v>
      </c>
      <c r="L1055" s="47">
        <v>10000</v>
      </c>
      <c r="M1055" t="s">
        <v>1472</v>
      </c>
      <c r="N1055" t="s">
        <v>11</v>
      </c>
      <c r="O1055" s="50">
        <v>0.158</v>
      </c>
      <c r="P1055" s="9">
        <f>ROUND(O1055*L1055,2)</f>
        <v>1580</v>
      </c>
      <c r="Q1055" s="10">
        <f>IF(N1055="HKD",7.8,IF(N1055="CNY",7.30034,1))</f>
        <v>7.3003400000000003</v>
      </c>
      <c r="R1055" s="10">
        <f>+ROUND(O1055/Q1055,4)</f>
        <v>2.1600000000000001E-2</v>
      </c>
      <c r="S1055" s="11">
        <f>ROUND(R1055*L1055,2)</f>
        <v>216</v>
      </c>
      <c r="T1055" s="10" t="s">
        <v>349</v>
      </c>
      <c r="U1055" t="s">
        <v>810</v>
      </c>
    </row>
    <row r="1056" spans="1:21">
      <c r="A1056" t="s">
        <v>2687</v>
      </c>
      <c r="B1056" s="20">
        <v>45728</v>
      </c>
      <c r="C1056" s="20">
        <v>45727</v>
      </c>
      <c r="D1056" t="s">
        <v>5</v>
      </c>
      <c r="E1056" t="s">
        <v>6</v>
      </c>
      <c r="G1056" t="s">
        <v>3030</v>
      </c>
      <c r="H1056" t="s">
        <v>418</v>
      </c>
      <c r="I1056" t="s">
        <v>419</v>
      </c>
      <c r="J1056" s="8" t="str">
        <f>+LEFT(U1056,4)</f>
        <v>BOX-</v>
      </c>
      <c r="K1056" t="s">
        <v>10</v>
      </c>
      <c r="L1056" s="47">
        <v>2020</v>
      </c>
      <c r="M1056" t="s">
        <v>1472</v>
      </c>
      <c r="N1056" t="s">
        <v>11</v>
      </c>
      <c r="O1056" s="50">
        <v>1.94</v>
      </c>
      <c r="P1056" s="9">
        <f>ROUND(O1056*L1056,2)</f>
        <v>3918.8</v>
      </c>
      <c r="Q1056" s="10">
        <f>IF(N1056="HKD",7.8,IF(N1056="CNY",7.30034,1))</f>
        <v>7.3003400000000003</v>
      </c>
      <c r="R1056" s="10">
        <f>+ROUND(O1056/Q1056,4)</f>
        <v>0.26569999999999999</v>
      </c>
      <c r="S1056" s="11">
        <f>ROUND(R1056*L1056,2)</f>
        <v>536.71</v>
      </c>
      <c r="T1056" s="10" t="s">
        <v>349</v>
      </c>
      <c r="U1056" t="s">
        <v>1</v>
      </c>
    </row>
    <row r="1057" spans="1:21">
      <c r="A1057" t="s">
        <v>2685</v>
      </c>
      <c r="B1057" s="20">
        <v>45728</v>
      </c>
      <c r="C1057" s="20">
        <v>45727</v>
      </c>
      <c r="D1057" t="s">
        <v>5</v>
      </c>
      <c r="E1057" t="s">
        <v>6</v>
      </c>
      <c r="G1057" t="s">
        <v>3030</v>
      </c>
      <c r="H1057" t="s">
        <v>3224</v>
      </c>
      <c r="I1057" t="s">
        <v>3431</v>
      </c>
      <c r="J1057" s="8" t="str">
        <f>+LEFT(U1057,4)</f>
        <v>BOX-</v>
      </c>
      <c r="K1057" t="s">
        <v>10</v>
      </c>
      <c r="L1057" s="47">
        <v>1000</v>
      </c>
      <c r="M1057" t="s">
        <v>1472</v>
      </c>
      <c r="N1057" t="s">
        <v>11</v>
      </c>
      <c r="O1057" s="50">
        <v>2.27</v>
      </c>
      <c r="P1057" s="9">
        <f>ROUND(O1057*L1057,2)</f>
        <v>2270</v>
      </c>
      <c r="Q1057" s="10">
        <f>IF(N1057="HKD",7.8,IF(N1057="CNY",7.30034,1))</f>
        <v>7.3003400000000003</v>
      </c>
      <c r="R1057" s="10">
        <f>+ROUND(O1057/Q1057,4)</f>
        <v>0.31090000000000001</v>
      </c>
      <c r="S1057" s="11">
        <f>ROUND(R1057*L1057,2)</f>
        <v>310.89999999999998</v>
      </c>
      <c r="T1057" s="10" t="s">
        <v>349</v>
      </c>
      <c r="U1057" t="s">
        <v>1</v>
      </c>
    </row>
    <row r="1058" spans="1:21">
      <c r="A1058" t="s">
        <v>2686</v>
      </c>
      <c r="B1058" s="20">
        <v>45728</v>
      </c>
      <c r="C1058" s="20">
        <v>45727</v>
      </c>
      <c r="D1058" t="s">
        <v>5</v>
      </c>
      <c r="E1058" t="s">
        <v>6</v>
      </c>
      <c r="G1058" t="s">
        <v>3030</v>
      </c>
      <c r="H1058" t="s">
        <v>3225</v>
      </c>
      <c r="I1058" t="s">
        <v>3432</v>
      </c>
      <c r="J1058" s="8" t="str">
        <f>+LEFT(U1058,4)</f>
        <v>BOX-</v>
      </c>
      <c r="K1058" t="s">
        <v>10</v>
      </c>
      <c r="L1058" s="47">
        <v>1000</v>
      </c>
      <c r="M1058" t="s">
        <v>1472</v>
      </c>
      <c r="N1058" t="s">
        <v>11</v>
      </c>
      <c r="O1058" s="50">
        <v>2.29</v>
      </c>
      <c r="P1058" s="9">
        <f>ROUND(O1058*L1058,2)</f>
        <v>2290</v>
      </c>
      <c r="Q1058" s="10">
        <f>IF(N1058="HKD",7.8,IF(N1058="CNY",7.30034,1))</f>
        <v>7.3003400000000003</v>
      </c>
      <c r="R1058" s="10">
        <f>+ROUND(O1058/Q1058,4)</f>
        <v>0.31369999999999998</v>
      </c>
      <c r="S1058" s="11">
        <f>ROUND(R1058*L1058,2)</f>
        <v>313.7</v>
      </c>
      <c r="T1058" s="10" t="s">
        <v>349</v>
      </c>
      <c r="U1058" t="s">
        <v>1</v>
      </c>
    </row>
    <row r="1059" spans="1:21">
      <c r="A1059" t="s">
        <v>2375</v>
      </c>
      <c r="B1059" s="20">
        <v>45728</v>
      </c>
      <c r="C1059" s="20">
        <v>45695</v>
      </c>
      <c r="D1059" t="s">
        <v>2255</v>
      </c>
      <c r="E1059" t="s">
        <v>2256</v>
      </c>
      <c r="G1059" t="s">
        <v>2911</v>
      </c>
      <c r="H1059" t="s">
        <v>1796</v>
      </c>
      <c r="I1059" t="s">
        <v>1797</v>
      </c>
      <c r="J1059" s="8" t="str">
        <f>+LEFT(U1059,4)</f>
        <v>GLID</v>
      </c>
      <c r="K1059" t="s">
        <v>10</v>
      </c>
      <c r="L1059" s="47">
        <v>610</v>
      </c>
      <c r="M1059" t="s">
        <v>1472</v>
      </c>
      <c r="N1059" t="s">
        <v>11</v>
      </c>
      <c r="O1059" s="50">
        <v>7.4503000000000004</v>
      </c>
      <c r="P1059" s="9">
        <f>ROUND(O1059*L1059,2)</f>
        <v>4544.68</v>
      </c>
      <c r="Q1059" s="10">
        <f>IF(N1059="HKD",7.8,IF(N1059="CNY",7.30034,1))</f>
        <v>7.3003400000000003</v>
      </c>
      <c r="R1059" s="10">
        <f>+ROUND(O1059/Q1059,4)</f>
        <v>1.0205</v>
      </c>
      <c r="S1059" s="11">
        <f>ROUND(R1059*L1059,2)</f>
        <v>622.51</v>
      </c>
      <c r="T1059" s="10" t="s">
        <v>349</v>
      </c>
      <c r="U1059" t="s">
        <v>78</v>
      </c>
    </row>
    <row r="1060" spans="1:21">
      <c r="A1060" t="s">
        <v>2069</v>
      </c>
      <c r="B1060" s="20">
        <v>45728</v>
      </c>
      <c r="C1060" s="20">
        <v>45646</v>
      </c>
      <c r="D1060" t="s">
        <v>866</v>
      </c>
      <c r="E1060" t="s">
        <v>867</v>
      </c>
      <c r="G1060" t="s">
        <v>2864</v>
      </c>
      <c r="H1060" t="s">
        <v>34</v>
      </c>
      <c r="I1060" t="s">
        <v>35</v>
      </c>
      <c r="J1060" s="8" t="s">
        <v>1484</v>
      </c>
      <c r="K1060" t="s">
        <v>10</v>
      </c>
      <c r="L1060" s="47">
        <v>8016</v>
      </c>
      <c r="M1060" t="s">
        <v>1472</v>
      </c>
      <c r="N1060" t="s">
        <v>11</v>
      </c>
      <c r="O1060" s="50">
        <v>5.2389000000000001</v>
      </c>
      <c r="P1060" s="9">
        <f>ROUND(O1060*L1060,2)</f>
        <v>41995.02</v>
      </c>
      <c r="Q1060" s="10">
        <f>IF(N1060="HKD",7.8,IF(N1060="CNY",7.30034,1))</f>
        <v>7.3003400000000003</v>
      </c>
      <c r="R1060" s="10">
        <f>+ROUND(O1060/Q1060,4)</f>
        <v>0.71760000000000002</v>
      </c>
      <c r="S1060" s="11">
        <f>ROUND(R1060*L1060,2)</f>
        <v>5752.28</v>
      </c>
      <c r="T1060" s="10" t="s">
        <v>349</v>
      </c>
      <c r="U1060" t="s">
        <v>36</v>
      </c>
    </row>
    <row r="1061" spans="1:21">
      <c r="A1061" t="s">
        <v>918</v>
      </c>
      <c r="B1061" s="20">
        <v>45728</v>
      </c>
      <c r="C1061" s="20">
        <v>45646</v>
      </c>
      <c r="D1061" t="s">
        <v>866</v>
      </c>
      <c r="E1061" t="s">
        <v>867</v>
      </c>
      <c r="G1061" t="s">
        <v>2864</v>
      </c>
      <c r="H1061" t="s">
        <v>916</v>
      </c>
      <c r="I1061" t="s">
        <v>917</v>
      </c>
      <c r="J1061" s="8" t="s">
        <v>1484</v>
      </c>
      <c r="K1061" t="s">
        <v>10</v>
      </c>
      <c r="L1061" s="47">
        <v>24</v>
      </c>
      <c r="M1061" t="s">
        <v>1472</v>
      </c>
      <c r="N1061" t="s">
        <v>11</v>
      </c>
      <c r="O1061" s="50">
        <v>5.9381000000000004</v>
      </c>
      <c r="P1061" s="9">
        <f>ROUND(O1061*L1061,2)</f>
        <v>142.51</v>
      </c>
      <c r="Q1061" s="10">
        <f>IF(N1061="HKD",7.8,IF(N1061="CNY",7.30034,1))</f>
        <v>7.3003400000000003</v>
      </c>
      <c r="R1061" s="10">
        <f>+ROUND(O1061/Q1061,4)</f>
        <v>0.81340000000000001</v>
      </c>
      <c r="S1061" s="11">
        <f>ROUND(R1061*L1061,2)</f>
        <v>19.52</v>
      </c>
      <c r="T1061" s="10" t="s">
        <v>349</v>
      </c>
      <c r="U1061" t="s">
        <v>36</v>
      </c>
    </row>
    <row r="1062" spans="1:21">
      <c r="A1062" t="s">
        <v>918</v>
      </c>
      <c r="B1062" s="20">
        <v>45728</v>
      </c>
      <c r="C1062" s="20">
        <v>45646</v>
      </c>
      <c r="D1062" t="s">
        <v>866</v>
      </c>
      <c r="E1062" t="s">
        <v>867</v>
      </c>
      <c r="G1062" t="s">
        <v>2864</v>
      </c>
      <c r="H1062" t="s">
        <v>916</v>
      </c>
      <c r="I1062" t="s">
        <v>917</v>
      </c>
      <c r="J1062" s="8" t="s">
        <v>1484</v>
      </c>
      <c r="K1062" t="s">
        <v>10</v>
      </c>
      <c r="L1062" s="47">
        <v>10008</v>
      </c>
      <c r="M1062" t="s">
        <v>1472</v>
      </c>
      <c r="N1062" t="s">
        <v>11</v>
      </c>
      <c r="O1062" s="50">
        <v>5.9381000000000004</v>
      </c>
      <c r="P1062" s="9">
        <f>ROUND(O1062*L1062,2)</f>
        <v>59428.5</v>
      </c>
      <c r="Q1062" s="10">
        <f>IF(N1062="HKD",7.8,IF(N1062="CNY",7.30034,1))</f>
        <v>7.3003400000000003</v>
      </c>
      <c r="R1062" s="10">
        <f>+ROUND(O1062/Q1062,4)</f>
        <v>0.81340000000000001</v>
      </c>
      <c r="S1062" s="11">
        <f>ROUND(R1062*L1062,2)</f>
        <v>8140.51</v>
      </c>
      <c r="T1062" s="10" t="s">
        <v>349</v>
      </c>
      <c r="U1062" t="s">
        <v>36</v>
      </c>
    </row>
    <row r="1063" spans="1:21">
      <c r="A1063" t="s">
        <v>914</v>
      </c>
      <c r="B1063" s="20">
        <v>45728</v>
      </c>
      <c r="C1063" s="20">
        <v>45526</v>
      </c>
      <c r="D1063" t="s">
        <v>866</v>
      </c>
      <c r="E1063" t="s">
        <v>867</v>
      </c>
      <c r="G1063" t="s">
        <v>2844</v>
      </c>
      <c r="H1063" t="s">
        <v>912</v>
      </c>
      <c r="I1063" t="s">
        <v>913</v>
      </c>
      <c r="J1063" s="8" t="s">
        <v>1484</v>
      </c>
      <c r="K1063" t="s">
        <v>10</v>
      </c>
      <c r="L1063" s="47">
        <v>12000</v>
      </c>
      <c r="M1063" t="s">
        <v>1472</v>
      </c>
      <c r="N1063" t="s">
        <v>11</v>
      </c>
      <c r="O1063" s="50">
        <v>6.5929000000000002</v>
      </c>
      <c r="P1063" s="9">
        <f>ROUND(O1063*L1063,2)</f>
        <v>79114.8</v>
      </c>
      <c r="Q1063" s="10">
        <f>IF(N1063="HKD",7.8,IF(N1063="CNY",7.30034,1))</f>
        <v>7.3003400000000003</v>
      </c>
      <c r="R1063" s="10">
        <f>+ROUND(O1063/Q1063,4)</f>
        <v>0.90310000000000001</v>
      </c>
      <c r="S1063" s="11">
        <f>ROUND(R1063*L1063,2)</f>
        <v>10837.2</v>
      </c>
      <c r="T1063" s="10" t="s">
        <v>349</v>
      </c>
      <c r="U1063" t="s">
        <v>36</v>
      </c>
    </row>
    <row r="1064" spans="1:21">
      <c r="A1064" t="s">
        <v>889</v>
      </c>
      <c r="B1064" s="20">
        <v>45728</v>
      </c>
      <c r="C1064" s="20">
        <v>45526</v>
      </c>
      <c r="D1064" t="s">
        <v>866</v>
      </c>
      <c r="E1064" t="s">
        <v>867</v>
      </c>
      <c r="G1064" t="s">
        <v>2844</v>
      </c>
      <c r="H1064" t="s">
        <v>887</v>
      </c>
      <c r="I1064" t="s">
        <v>888</v>
      </c>
      <c r="J1064" s="8" t="s">
        <v>1484</v>
      </c>
      <c r="K1064" t="s">
        <v>10</v>
      </c>
      <c r="L1064" s="47">
        <v>5008</v>
      </c>
      <c r="M1064" t="s">
        <v>1472</v>
      </c>
      <c r="N1064" t="s">
        <v>11</v>
      </c>
      <c r="O1064" s="50">
        <v>9.2124000000000006</v>
      </c>
      <c r="P1064" s="9">
        <f>ROUND(O1064*L1064,2)</f>
        <v>46135.7</v>
      </c>
      <c r="Q1064" s="10">
        <f>IF(N1064="HKD",7.8,IF(N1064="CNY",7.30034,1))</f>
        <v>7.3003400000000003</v>
      </c>
      <c r="R1064" s="10">
        <f>+ROUND(O1064/Q1064,4)</f>
        <v>1.2619</v>
      </c>
      <c r="S1064" s="11">
        <f>ROUND(R1064*L1064,2)</f>
        <v>6319.6</v>
      </c>
      <c r="T1064" s="10" t="s">
        <v>349</v>
      </c>
      <c r="U1064" t="s">
        <v>36</v>
      </c>
    </row>
    <row r="1065" spans="1:21">
      <c r="A1065" t="s">
        <v>885</v>
      </c>
      <c r="B1065" s="20">
        <v>45728</v>
      </c>
      <c r="C1065" s="20">
        <v>45526</v>
      </c>
      <c r="D1065" t="s">
        <v>866</v>
      </c>
      <c r="E1065" t="s">
        <v>867</v>
      </c>
      <c r="G1065" t="s">
        <v>2844</v>
      </c>
      <c r="H1065" t="s">
        <v>883</v>
      </c>
      <c r="I1065" t="s">
        <v>884</v>
      </c>
      <c r="J1065" s="8" t="s">
        <v>1484</v>
      </c>
      <c r="K1065" t="s">
        <v>10</v>
      </c>
      <c r="L1065" s="47">
        <v>5004</v>
      </c>
      <c r="M1065" t="s">
        <v>1472</v>
      </c>
      <c r="N1065" t="s">
        <v>11</v>
      </c>
      <c r="O1065" s="50">
        <v>9.7788000000000004</v>
      </c>
      <c r="P1065" s="9">
        <f>ROUND(O1065*L1065,2)</f>
        <v>48933.120000000003</v>
      </c>
      <c r="Q1065" s="10">
        <f>IF(N1065="HKD",7.8,IF(N1065="CNY",7.30034,1))</f>
        <v>7.3003400000000003</v>
      </c>
      <c r="R1065" s="10">
        <f>+ROUND(O1065/Q1065,4)</f>
        <v>1.3394999999999999</v>
      </c>
      <c r="S1065" s="11">
        <f>ROUND(R1065*L1065,2)</f>
        <v>6702.86</v>
      </c>
      <c r="T1065" s="10" t="s">
        <v>349</v>
      </c>
      <c r="U1065" t="s">
        <v>36</v>
      </c>
    </row>
    <row r="1066" spans="1:21">
      <c r="A1066" t="s">
        <v>1900</v>
      </c>
      <c r="B1066" s="20">
        <v>45728</v>
      </c>
      <c r="C1066" s="20">
        <v>45695</v>
      </c>
      <c r="D1066" t="s">
        <v>709</v>
      </c>
      <c r="E1066" t="s">
        <v>710</v>
      </c>
      <c r="G1066" t="s">
        <v>2917</v>
      </c>
      <c r="H1066" t="s">
        <v>713</v>
      </c>
      <c r="I1066" t="s">
        <v>714</v>
      </c>
      <c r="J1066" s="8" t="str">
        <f>+LEFT(U1066,4)</f>
        <v>KNOB</v>
      </c>
      <c r="K1066" t="s">
        <v>10</v>
      </c>
      <c r="L1066" s="47">
        <v>850</v>
      </c>
      <c r="M1066" t="s">
        <v>1472</v>
      </c>
      <c r="N1066" t="s">
        <v>11</v>
      </c>
      <c r="O1066" s="50">
        <v>0.61839999999999995</v>
      </c>
      <c r="P1066" s="9">
        <f>ROUND(O1066*L1066,2)</f>
        <v>525.64</v>
      </c>
      <c r="Q1066" s="10">
        <f>IF(N1066="HKD",7.8,IF(N1066="CNY",7.30034,1))</f>
        <v>7.3003400000000003</v>
      </c>
      <c r="R1066" s="10">
        <f>+ROUND(O1066/Q1066,4)</f>
        <v>8.4699999999999998E-2</v>
      </c>
      <c r="S1066" s="11">
        <f>ROUND(R1066*L1066,2)</f>
        <v>72</v>
      </c>
      <c r="T1066" s="10" t="s">
        <v>349</v>
      </c>
      <c r="U1066" t="s">
        <v>32</v>
      </c>
    </row>
    <row r="1067" spans="1:21">
      <c r="A1067" t="s">
        <v>2348</v>
      </c>
      <c r="B1067" s="20">
        <v>45728</v>
      </c>
      <c r="C1067" s="20">
        <v>45677</v>
      </c>
      <c r="D1067" t="s">
        <v>5</v>
      </c>
      <c r="E1067" t="s">
        <v>6</v>
      </c>
      <c r="G1067" t="s">
        <v>2866</v>
      </c>
      <c r="H1067" t="s">
        <v>1660</v>
      </c>
      <c r="I1067" t="s">
        <v>1661</v>
      </c>
      <c r="J1067" s="8" t="str">
        <f>+LEFT(U1067,4)</f>
        <v>SHTS</v>
      </c>
      <c r="K1067" t="s">
        <v>10</v>
      </c>
      <c r="L1067" s="47">
        <v>1010</v>
      </c>
      <c r="M1067" t="s">
        <v>1472</v>
      </c>
      <c r="N1067" t="s">
        <v>11</v>
      </c>
      <c r="O1067" s="50">
        <v>1.63</v>
      </c>
      <c r="P1067" s="9">
        <f>ROUND(O1067*L1067,2)</f>
        <v>1646.3</v>
      </c>
      <c r="Q1067" s="10">
        <f>IF(N1067="HKD",7.8,IF(N1067="CNY",7.30034,1))</f>
        <v>7.3003400000000003</v>
      </c>
      <c r="R1067" s="10">
        <f>+ROUND(O1067/Q1067,4)</f>
        <v>0.2233</v>
      </c>
      <c r="S1067" s="11">
        <f>ROUND(R1067*L1067,2)</f>
        <v>225.53</v>
      </c>
      <c r="T1067" s="10" t="s">
        <v>349</v>
      </c>
      <c r="U1067" t="s">
        <v>9</v>
      </c>
    </row>
    <row r="1068" spans="1:21">
      <c r="A1068" t="s">
        <v>2345</v>
      </c>
      <c r="B1068" s="20">
        <v>45728</v>
      </c>
      <c r="C1068" s="20">
        <v>45677</v>
      </c>
      <c r="D1068" t="s">
        <v>5</v>
      </c>
      <c r="E1068" t="s">
        <v>6</v>
      </c>
      <c r="G1068" t="s">
        <v>2866</v>
      </c>
      <c r="H1068" t="s">
        <v>493</v>
      </c>
      <c r="I1068" t="s">
        <v>494</v>
      </c>
      <c r="J1068" s="8" t="str">
        <f>+LEFT(U1068,4)</f>
        <v>SHTS</v>
      </c>
      <c r="K1068" t="s">
        <v>10</v>
      </c>
      <c r="L1068" s="47">
        <v>1010</v>
      </c>
      <c r="M1068" t="s">
        <v>1472</v>
      </c>
      <c r="N1068" t="s">
        <v>11</v>
      </c>
      <c r="O1068" s="50">
        <v>1.64</v>
      </c>
      <c r="P1068" s="9">
        <f>ROUND(O1068*L1068,2)</f>
        <v>1656.4</v>
      </c>
      <c r="Q1068" s="10">
        <f>IF(N1068="HKD",7.8,IF(N1068="CNY",7.30034,1))</f>
        <v>7.3003400000000003</v>
      </c>
      <c r="R1068" s="10">
        <f>+ROUND(O1068/Q1068,4)</f>
        <v>0.22459999999999999</v>
      </c>
      <c r="S1068" s="11">
        <f>ROUND(R1068*L1068,2)</f>
        <v>226.85</v>
      </c>
      <c r="T1068" s="10" t="s">
        <v>349</v>
      </c>
      <c r="U1068" t="s">
        <v>9</v>
      </c>
    </row>
    <row r="1069" spans="1:21">
      <c r="A1069" t="s">
        <v>2300</v>
      </c>
      <c r="B1069" s="20">
        <v>45728</v>
      </c>
      <c r="C1069" s="20">
        <v>45653</v>
      </c>
      <c r="D1069" t="s">
        <v>5</v>
      </c>
      <c r="E1069" t="s">
        <v>6</v>
      </c>
      <c r="G1069" t="s">
        <v>2866</v>
      </c>
      <c r="H1069" t="s">
        <v>489</v>
      </c>
      <c r="I1069" t="s">
        <v>490</v>
      </c>
      <c r="J1069" s="8" t="str">
        <f>+LEFT(U1069,4)</f>
        <v>SHTS</v>
      </c>
      <c r="K1069" t="s">
        <v>10</v>
      </c>
      <c r="L1069" s="47">
        <v>1010</v>
      </c>
      <c r="M1069" t="s">
        <v>1472</v>
      </c>
      <c r="N1069" t="s">
        <v>11</v>
      </c>
      <c r="O1069" s="50">
        <v>1.66</v>
      </c>
      <c r="P1069" s="9">
        <f>ROUND(O1069*L1069,2)</f>
        <v>1676.6</v>
      </c>
      <c r="Q1069" s="10">
        <f>IF(N1069="HKD",7.8,IF(N1069="CNY",7.30034,1))</f>
        <v>7.3003400000000003</v>
      </c>
      <c r="R1069" s="10">
        <f>+ROUND(O1069/Q1069,4)</f>
        <v>0.22739999999999999</v>
      </c>
      <c r="S1069" s="11">
        <f>ROUND(R1069*L1069,2)</f>
        <v>229.67</v>
      </c>
      <c r="T1069" s="10" t="s">
        <v>349</v>
      </c>
      <c r="U1069" t="s">
        <v>9</v>
      </c>
    </row>
    <row r="1070" spans="1:21">
      <c r="A1070" t="s">
        <v>2346</v>
      </c>
      <c r="B1070" s="20">
        <v>45728</v>
      </c>
      <c r="C1070" s="20">
        <v>45677</v>
      </c>
      <c r="D1070" t="s">
        <v>5</v>
      </c>
      <c r="E1070" t="s">
        <v>6</v>
      </c>
      <c r="G1070" t="s">
        <v>2866</v>
      </c>
      <c r="H1070" t="s">
        <v>1676</v>
      </c>
      <c r="I1070" t="s">
        <v>1677</v>
      </c>
      <c r="J1070" s="8" t="str">
        <f>+LEFT(U1070,4)</f>
        <v>SHTS</v>
      </c>
      <c r="K1070" t="s">
        <v>10</v>
      </c>
      <c r="L1070" s="47">
        <v>1010</v>
      </c>
      <c r="M1070" t="s">
        <v>1472</v>
      </c>
      <c r="N1070" t="s">
        <v>11</v>
      </c>
      <c r="O1070" s="50">
        <v>2.27</v>
      </c>
      <c r="P1070" s="9">
        <f>ROUND(O1070*L1070,2)</f>
        <v>2292.6999999999998</v>
      </c>
      <c r="Q1070" s="10">
        <f>IF(N1070="HKD",7.8,IF(N1070="CNY",7.30034,1))</f>
        <v>7.3003400000000003</v>
      </c>
      <c r="R1070" s="10">
        <f>+ROUND(O1070/Q1070,4)</f>
        <v>0.31090000000000001</v>
      </c>
      <c r="S1070" s="11">
        <f>ROUND(R1070*L1070,2)</f>
        <v>314.01</v>
      </c>
      <c r="T1070" s="10" t="s">
        <v>349</v>
      </c>
      <c r="U1070" t="s">
        <v>9</v>
      </c>
    </row>
    <row r="1071" spans="1:21">
      <c r="A1071" t="s">
        <v>1912</v>
      </c>
      <c r="B1071" s="20">
        <v>45727</v>
      </c>
      <c r="C1071" s="20">
        <v>45671</v>
      </c>
      <c r="D1071" t="s">
        <v>128</v>
      </c>
      <c r="E1071" t="s">
        <v>129</v>
      </c>
      <c r="G1071" t="s">
        <v>2840</v>
      </c>
      <c r="H1071" t="s">
        <v>443</v>
      </c>
      <c r="I1071" t="s">
        <v>444</v>
      </c>
      <c r="J1071" s="8" t="str">
        <f>+LEFT(U1071,4)</f>
        <v>FG--</v>
      </c>
      <c r="K1071" t="s">
        <v>10</v>
      </c>
      <c r="L1071" s="47">
        <v>1300</v>
      </c>
      <c r="M1071" t="s">
        <v>1472</v>
      </c>
      <c r="N1071" t="s">
        <v>11</v>
      </c>
      <c r="O1071" s="50">
        <v>1.0021</v>
      </c>
      <c r="P1071" s="9">
        <f>ROUND(O1071*L1071,2)</f>
        <v>1302.73</v>
      </c>
      <c r="Q1071" s="10">
        <f>IF(N1071="HKD",7.8,IF(N1071="CNY",7.30034,1))</f>
        <v>7.3003400000000003</v>
      </c>
      <c r="R1071" s="10">
        <f>+ROUND(O1071/Q1071,4)</f>
        <v>0.13730000000000001</v>
      </c>
      <c r="S1071" s="11">
        <f>ROUND(R1071*L1071,2)</f>
        <v>178.49</v>
      </c>
      <c r="T1071" s="10" t="s">
        <v>349</v>
      </c>
      <c r="U1071" t="s">
        <v>64</v>
      </c>
    </row>
    <row r="1072" spans="1:21">
      <c r="A1072" t="s">
        <v>2316</v>
      </c>
      <c r="B1072" s="20">
        <v>45727</v>
      </c>
      <c r="C1072" s="20">
        <v>45664</v>
      </c>
      <c r="D1072" t="s">
        <v>287</v>
      </c>
      <c r="E1072" t="s">
        <v>288</v>
      </c>
      <c r="G1072" t="s">
        <v>2876</v>
      </c>
      <c r="H1072" t="s">
        <v>1557</v>
      </c>
      <c r="I1072" t="s">
        <v>1558</v>
      </c>
      <c r="J1072" s="8" t="s">
        <v>1478</v>
      </c>
      <c r="K1072" t="s">
        <v>10</v>
      </c>
      <c r="L1072" s="47">
        <v>2080</v>
      </c>
      <c r="M1072" t="s">
        <v>1472</v>
      </c>
      <c r="N1072" t="s">
        <v>11</v>
      </c>
      <c r="O1072" s="50">
        <v>7.2716000000000003</v>
      </c>
      <c r="P1072" s="9">
        <f>ROUND(O1072*L1072,2)</f>
        <v>15124.93</v>
      </c>
      <c r="Q1072" s="10">
        <f>IF(N1072="HKD",7.8,IF(N1072="CNY",7.30034,1))</f>
        <v>7.3003400000000003</v>
      </c>
      <c r="R1072" s="10">
        <f>+ROUND(O1072/Q1072,4)</f>
        <v>0.99609999999999999</v>
      </c>
      <c r="S1072" s="11">
        <f>ROUND(R1072*L1072,2)</f>
        <v>2071.89</v>
      </c>
      <c r="T1072" s="10" t="s">
        <v>349</v>
      </c>
      <c r="U1072" t="s">
        <v>36</v>
      </c>
    </row>
    <row r="1073" spans="1:21">
      <c r="A1073" t="s">
        <v>2320</v>
      </c>
      <c r="B1073" s="20">
        <v>45727</v>
      </c>
      <c r="C1073" s="20">
        <v>45664</v>
      </c>
      <c r="D1073" t="s">
        <v>287</v>
      </c>
      <c r="E1073" t="s">
        <v>288</v>
      </c>
      <c r="G1073" t="s">
        <v>2876</v>
      </c>
      <c r="H1073" t="s">
        <v>71</v>
      </c>
      <c r="I1073" t="s">
        <v>72</v>
      </c>
      <c r="J1073" s="8" t="s">
        <v>1478</v>
      </c>
      <c r="K1073" t="s">
        <v>10</v>
      </c>
      <c r="L1073" s="47">
        <v>2050</v>
      </c>
      <c r="M1073" t="s">
        <v>1472</v>
      </c>
      <c r="N1073" t="s">
        <v>11</v>
      </c>
      <c r="O1073" s="50">
        <v>7.9870000000000001</v>
      </c>
      <c r="P1073" s="9">
        <f>ROUND(O1073*L1073,2)</f>
        <v>16373.35</v>
      </c>
      <c r="Q1073" s="10">
        <f>IF(N1073="HKD",7.8,IF(N1073="CNY",7.30034,1))</f>
        <v>7.3003400000000003</v>
      </c>
      <c r="R1073" s="10">
        <f>+ROUND(O1073/Q1073,4)</f>
        <v>1.0941000000000001</v>
      </c>
      <c r="S1073" s="11">
        <f>ROUND(R1073*L1073,2)</f>
        <v>2242.91</v>
      </c>
      <c r="T1073" s="10" t="s">
        <v>349</v>
      </c>
      <c r="U1073" t="s">
        <v>36</v>
      </c>
    </row>
    <row r="1074" spans="1:21">
      <c r="A1074" t="s">
        <v>2034</v>
      </c>
      <c r="B1074" s="20">
        <v>45727</v>
      </c>
      <c r="C1074" s="20">
        <v>45609</v>
      </c>
      <c r="D1074" t="s">
        <v>128</v>
      </c>
      <c r="E1074" t="s">
        <v>129</v>
      </c>
      <c r="G1074" t="s">
        <v>2840</v>
      </c>
      <c r="H1074" t="s">
        <v>1744</v>
      </c>
      <c r="I1074" t="s">
        <v>1745</v>
      </c>
      <c r="J1074" s="8" t="str">
        <f>+LEFT(U1074,4)</f>
        <v>HDL-</v>
      </c>
      <c r="K1074" t="s">
        <v>10</v>
      </c>
      <c r="L1074" s="47">
        <v>18</v>
      </c>
      <c r="M1074" t="s">
        <v>1472</v>
      </c>
      <c r="N1074" t="s">
        <v>11</v>
      </c>
      <c r="O1074" s="50">
        <v>3.7610000000000001</v>
      </c>
      <c r="P1074" s="9">
        <f>ROUND(O1074*L1074,2)</f>
        <v>67.7</v>
      </c>
      <c r="Q1074" s="10">
        <f>IF(N1074="HKD",7.8,IF(N1074="CNY",7.30034,1))</f>
        <v>7.3003400000000003</v>
      </c>
      <c r="R1074" s="10">
        <f>+ROUND(O1074/Q1074,4)</f>
        <v>0.51519999999999999</v>
      </c>
      <c r="S1074" s="11">
        <f>ROUND(R1074*L1074,2)</f>
        <v>9.27</v>
      </c>
      <c r="T1074" s="10" t="s">
        <v>349</v>
      </c>
      <c r="U1074" t="s">
        <v>228</v>
      </c>
    </row>
    <row r="1075" spans="1:21">
      <c r="A1075" t="s">
        <v>2053</v>
      </c>
      <c r="B1075" s="20">
        <v>45727</v>
      </c>
      <c r="C1075" s="20">
        <v>45350</v>
      </c>
      <c r="D1075" t="s">
        <v>128</v>
      </c>
      <c r="E1075" t="s">
        <v>129</v>
      </c>
      <c r="G1075" t="s">
        <v>2839</v>
      </c>
      <c r="H1075" t="s">
        <v>1762</v>
      </c>
      <c r="I1075" t="s">
        <v>1763</v>
      </c>
      <c r="J1075" s="8" t="str">
        <f>+LEFT(U1075,4)</f>
        <v>HDL-</v>
      </c>
      <c r="K1075" t="s">
        <v>10</v>
      </c>
      <c r="L1075" s="47">
        <v>-1820</v>
      </c>
      <c r="M1075" t="s">
        <v>1472</v>
      </c>
      <c r="N1075" t="s">
        <v>11</v>
      </c>
      <c r="O1075" s="50">
        <v>4.5491999999999999</v>
      </c>
      <c r="P1075" s="9">
        <f>ROUND(O1075*L1075,2)</f>
        <v>-8279.5400000000009</v>
      </c>
      <c r="Q1075" s="10">
        <f>IF(N1075="HKD",7.8,IF(N1075="CNY",7.30034,1))</f>
        <v>7.3003400000000003</v>
      </c>
      <c r="R1075" s="10">
        <f>+ROUND(O1075/Q1075,4)</f>
        <v>0.62309999999999999</v>
      </c>
      <c r="S1075" s="11">
        <f>ROUND(R1075*L1075,2)</f>
        <v>-1134.04</v>
      </c>
      <c r="T1075" s="10" t="s">
        <v>349</v>
      </c>
      <c r="U1075" t="s">
        <v>228</v>
      </c>
    </row>
    <row r="1076" spans="1:21">
      <c r="A1076" t="s">
        <v>2053</v>
      </c>
      <c r="B1076" s="20">
        <v>45727</v>
      </c>
      <c r="C1076" s="20">
        <v>45350</v>
      </c>
      <c r="D1076" t="s">
        <v>128</v>
      </c>
      <c r="E1076" t="s">
        <v>129</v>
      </c>
      <c r="G1076" t="s">
        <v>2840</v>
      </c>
      <c r="H1076" t="s">
        <v>1762</v>
      </c>
      <c r="I1076" t="s">
        <v>1763</v>
      </c>
      <c r="J1076" s="8" t="str">
        <f>+LEFT(U1076,4)</f>
        <v>HDL-</v>
      </c>
      <c r="K1076" t="s">
        <v>10</v>
      </c>
      <c r="L1076" s="47">
        <v>1820</v>
      </c>
      <c r="M1076" t="s">
        <v>1472</v>
      </c>
      <c r="N1076" t="s">
        <v>11</v>
      </c>
      <c r="O1076" s="50">
        <v>4.5491999999999999</v>
      </c>
      <c r="P1076" s="9">
        <f>ROUND(O1076*L1076,2)</f>
        <v>8279.5400000000009</v>
      </c>
      <c r="Q1076" s="10">
        <f>IF(N1076="HKD",7.8,IF(N1076="CNY",7.30034,1))</f>
        <v>7.3003400000000003</v>
      </c>
      <c r="R1076" s="10">
        <f>+ROUND(O1076/Q1076,4)</f>
        <v>0.62309999999999999</v>
      </c>
      <c r="S1076" s="11">
        <f>ROUND(R1076*L1076,2)</f>
        <v>1134.04</v>
      </c>
      <c r="T1076" s="10" t="s">
        <v>349</v>
      </c>
      <c r="U1076" t="s">
        <v>228</v>
      </c>
    </row>
    <row r="1077" spans="1:21">
      <c r="A1077" t="s">
        <v>2054</v>
      </c>
      <c r="B1077" s="20">
        <v>45727</v>
      </c>
      <c r="C1077" s="20">
        <v>45656</v>
      </c>
      <c r="D1077" t="s">
        <v>128</v>
      </c>
      <c r="E1077" t="s">
        <v>129</v>
      </c>
      <c r="G1077" t="s">
        <v>2839</v>
      </c>
      <c r="H1077" t="s">
        <v>1762</v>
      </c>
      <c r="I1077" t="s">
        <v>1763</v>
      </c>
      <c r="J1077" s="8" t="str">
        <f>+LEFT(U1077,4)</f>
        <v>HDL-</v>
      </c>
      <c r="K1077" t="s">
        <v>10</v>
      </c>
      <c r="L1077" s="47">
        <v>-3200</v>
      </c>
      <c r="M1077" t="s">
        <v>1472</v>
      </c>
      <c r="N1077" t="s">
        <v>11</v>
      </c>
      <c r="O1077" s="50">
        <v>4.5491999999999999</v>
      </c>
      <c r="P1077" s="9">
        <f>ROUND(O1077*L1077,2)</f>
        <v>-14557.44</v>
      </c>
      <c r="Q1077" s="10">
        <f>IF(N1077="HKD",7.8,IF(N1077="CNY",7.30034,1))</f>
        <v>7.3003400000000003</v>
      </c>
      <c r="R1077" s="10">
        <f>+ROUND(O1077/Q1077,4)</f>
        <v>0.62309999999999999</v>
      </c>
      <c r="S1077" s="11">
        <f>ROUND(R1077*L1077,2)</f>
        <v>-1993.92</v>
      </c>
      <c r="T1077" s="10" t="s">
        <v>349</v>
      </c>
      <c r="U1077" t="s">
        <v>228</v>
      </c>
    </row>
    <row r="1078" spans="1:21">
      <c r="A1078" t="s">
        <v>2340</v>
      </c>
      <c r="B1078" s="20">
        <v>45727</v>
      </c>
      <c r="C1078" s="20">
        <v>45674</v>
      </c>
      <c r="D1078" t="s">
        <v>128</v>
      </c>
      <c r="E1078" t="s">
        <v>129</v>
      </c>
      <c r="G1078" t="s">
        <v>2839</v>
      </c>
      <c r="H1078" t="s">
        <v>1762</v>
      </c>
      <c r="I1078" t="s">
        <v>1763</v>
      </c>
      <c r="J1078" s="8" t="str">
        <f>+LEFT(U1078,4)</f>
        <v>HDL-</v>
      </c>
      <c r="K1078" t="s">
        <v>10</v>
      </c>
      <c r="L1078" s="47">
        <v>-200</v>
      </c>
      <c r="M1078" t="s">
        <v>1472</v>
      </c>
      <c r="N1078" t="s">
        <v>11</v>
      </c>
      <c r="O1078" s="50">
        <v>4.5491999999999999</v>
      </c>
      <c r="P1078" s="9">
        <f>ROUND(O1078*L1078,2)</f>
        <v>-909.84</v>
      </c>
      <c r="Q1078" s="10">
        <f>IF(N1078="HKD",7.8,IF(N1078="CNY",7.30034,1))</f>
        <v>7.3003400000000003</v>
      </c>
      <c r="R1078" s="10">
        <f>+ROUND(O1078/Q1078,4)</f>
        <v>0.62309999999999999</v>
      </c>
      <c r="S1078" s="11">
        <f>ROUND(R1078*L1078,2)</f>
        <v>-124.62</v>
      </c>
      <c r="T1078" s="10" t="s">
        <v>349</v>
      </c>
      <c r="U1078" t="s">
        <v>228</v>
      </c>
    </row>
    <row r="1079" spans="1:21">
      <c r="A1079" t="s">
        <v>2370</v>
      </c>
      <c r="B1079" s="20">
        <v>45727</v>
      </c>
      <c r="C1079" s="20">
        <v>45695</v>
      </c>
      <c r="D1079" t="s">
        <v>121</v>
      </c>
      <c r="E1079" t="s">
        <v>122</v>
      </c>
      <c r="G1079" t="s">
        <v>2908</v>
      </c>
      <c r="H1079" t="s">
        <v>1306</v>
      </c>
      <c r="I1079" t="s">
        <v>1307</v>
      </c>
      <c r="J1079" s="8" t="s">
        <v>1527</v>
      </c>
      <c r="K1079" t="s">
        <v>10</v>
      </c>
      <c r="L1079" s="47">
        <v>6000</v>
      </c>
      <c r="M1079" t="s">
        <v>1472</v>
      </c>
      <c r="N1079" t="s">
        <v>11</v>
      </c>
      <c r="O1079" s="50">
        <v>0.8</v>
      </c>
      <c r="P1079" s="9">
        <f>ROUND(O1079*L1079,2)</f>
        <v>4800</v>
      </c>
      <c r="Q1079" s="10">
        <f>IF(N1079="HKD",7.8,IF(N1079="CNY",7.30034,1))</f>
        <v>7.3003400000000003</v>
      </c>
      <c r="R1079" s="10">
        <f>+ROUND(O1079/Q1079,4)</f>
        <v>0.1096</v>
      </c>
      <c r="S1079" s="11">
        <f>ROUND(R1079*L1079,2)</f>
        <v>657.6</v>
      </c>
      <c r="T1079" s="10" t="s">
        <v>349</v>
      </c>
      <c r="U1079" t="s">
        <v>36</v>
      </c>
    </row>
    <row r="1080" spans="1:21">
      <c r="A1080" t="s">
        <v>2371</v>
      </c>
      <c r="B1080" s="20">
        <v>45727</v>
      </c>
      <c r="C1080" s="20">
        <v>45695</v>
      </c>
      <c r="D1080" t="s">
        <v>121</v>
      </c>
      <c r="E1080" t="s">
        <v>122</v>
      </c>
      <c r="G1080" t="s">
        <v>2908</v>
      </c>
      <c r="H1080" t="s">
        <v>1548</v>
      </c>
      <c r="I1080" t="s">
        <v>1549</v>
      </c>
      <c r="J1080" s="8" t="s">
        <v>1527</v>
      </c>
      <c r="K1080" t="s">
        <v>10</v>
      </c>
      <c r="L1080" s="47">
        <v>2100</v>
      </c>
      <c r="M1080" t="s">
        <v>1472</v>
      </c>
      <c r="N1080" t="s">
        <v>11</v>
      </c>
      <c r="O1080" s="50">
        <v>0.8</v>
      </c>
      <c r="P1080" s="9">
        <f>ROUND(O1080*L1080,2)</f>
        <v>1680</v>
      </c>
      <c r="Q1080" s="10">
        <f>IF(N1080="HKD",7.8,IF(N1080="CNY",7.30034,1))</f>
        <v>7.3003400000000003</v>
      </c>
      <c r="R1080" s="10">
        <f>+ROUND(O1080/Q1080,4)</f>
        <v>0.1096</v>
      </c>
      <c r="S1080" s="11">
        <f>ROUND(R1080*L1080,2)</f>
        <v>230.16</v>
      </c>
      <c r="T1080" s="10" t="s">
        <v>349</v>
      </c>
      <c r="U1080" t="s">
        <v>36</v>
      </c>
    </row>
    <row r="1081" spans="1:21">
      <c r="A1081" t="s">
        <v>2372</v>
      </c>
      <c r="B1081" s="20">
        <v>45727</v>
      </c>
      <c r="C1081" s="20">
        <v>45695</v>
      </c>
      <c r="D1081" t="s">
        <v>121</v>
      </c>
      <c r="E1081" t="s">
        <v>122</v>
      </c>
      <c r="G1081" t="s">
        <v>2908</v>
      </c>
      <c r="H1081" t="s">
        <v>1550</v>
      </c>
      <c r="I1081" t="s">
        <v>1533</v>
      </c>
      <c r="J1081" s="8" t="s">
        <v>1527</v>
      </c>
      <c r="K1081" t="s">
        <v>10</v>
      </c>
      <c r="L1081" s="47">
        <v>4050</v>
      </c>
      <c r="M1081" t="s">
        <v>1472</v>
      </c>
      <c r="N1081" t="s">
        <v>11</v>
      </c>
      <c r="O1081" s="50">
        <v>0.8</v>
      </c>
      <c r="P1081" s="9">
        <f>ROUND(O1081*L1081,2)</f>
        <v>3240</v>
      </c>
      <c r="Q1081" s="10">
        <f>IF(N1081="HKD",7.8,IF(N1081="CNY",7.30034,1))</f>
        <v>7.3003400000000003</v>
      </c>
      <c r="R1081" s="10">
        <f>+ROUND(O1081/Q1081,4)</f>
        <v>0.1096</v>
      </c>
      <c r="S1081" s="11">
        <f>ROUND(R1081*L1081,2)</f>
        <v>443.88</v>
      </c>
      <c r="T1081" s="10" t="s">
        <v>349</v>
      </c>
      <c r="U1081" t="s">
        <v>36</v>
      </c>
    </row>
    <row r="1082" spans="1:21">
      <c r="A1082" t="s">
        <v>2574</v>
      </c>
      <c r="B1082" s="20">
        <v>45727</v>
      </c>
      <c r="C1082" s="20">
        <v>45716</v>
      </c>
      <c r="D1082" t="s">
        <v>121</v>
      </c>
      <c r="E1082" t="s">
        <v>122</v>
      </c>
      <c r="G1082" t="s">
        <v>2908</v>
      </c>
      <c r="H1082" t="s">
        <v>1306</v>
      </c>
      <c r="I1082" t="s">
        <v>1307</v>
      </c>
      <c r="J1082" s="8" t="s">
        <v>1527</v>
      </c>
      <c r="K1082" t="s">
        <v>10</v>
      </c>
      <c r="L1082" s="47">
        <v>500</v>
      </c>
      <c r="M1082" t="s">
        <v>1472</v>
      </c>
      <c r="N1082" t="s">
        <v>11</v>
      </c>
      <c r="O1082" s="50">
        <v>0.8</v>
      </c>
      <c r="P1082" s="9">
        <f>ROUND(O1082*L1082,2)</f>
        <v>400</v>
      </c>
      <c r="Q1082" s="10">
        <f>IF(N1082="HKD",7.8,IF(N1082="CNY",7.30034,1))</f>
        <v>7.3003400000000003</v>
      </c>
      <c r="R1082" s="10">
        <f>+ROUND(O1082/Q1082,4)</f>
        <v>0.1096</v>
      </c>
      <c r="S1082" s="11">
        <f>ROUND(R1082*L1082,2)</f>
        <v>54.8</v>
      </c>
      <c r="T1082" s="10" t="s">
        <v>349</v>
      </c>
      <c r="U1082" t="s">
        <v>36</v>
      </c>
    </row>
    <row r="1083" spans="1:21">
      <c r="A1083" t="s">
        <v>2304</v>
      </c>
      <c r="B1083" s="20">
        <v>45727</v>
      </c>
      <c r="C1083" s="20">
        <v>45660</v>
      </c>
      <c r="D1083" t="s">
        <v>252</v>
      </c>
      <c r="E1083" t="s">
        <v>253</v>
      </c>
      <c r="G1083" t="s">
        <v>2872</v>
      </c>
      <c r="H1083" t="s">
        <v>3068</v>
      </c>
      <c r="I1083" t="s">
        <v>3285</v>
      </c>
      <c r="J1083" s="8" t="s">
        <v>1527</v>
      </c>
      <c r="K1083" t="s">
        <v>10</v>
      </c>
      <c r="L1083" s="47">
        <v>6010</v>
      </c>
      <c r="M1083" t="s">
        <v>1472</v>
      </c>
      <c r="N1083" t="s">
        <v>11</v>
      </c>
      <c r="O1083" s="50">
        <v>0.873</v>
      </c>
      <c r="P1083" s="9">
        <f>ROUND(O1083*L1083,2)</f>
        <v>5246.73</v>
      </c>
      <c r="Q1083" s="10">
        <f>IF(N1083="HKD",7.8,IF(N1083="CNY",7.30034,1))</f>
        <v>7.3003400000000003</v>
      </c>
      <c r="R1083" s="10">
        <f>+ROUND(O1083/Q1083,4)</f>
        <v>0.1196</v>
      </c>
      <c r="S1083" s="11">
        <f>ROUND(R1083*L1083,2)</f>
        <v>718.8</v>
      </c>
      <c r="T1083" s="10" t="s">
        <v>349</v>
      </c>
      <c r="U1083" t="s">
        <v>36</v>
      </c>
    </row>
    <row r="1084" spans="1:21">
      <c r="A1084" t="s">
        <v>2363</v>
      </c>
      <c r="B1084" s="20">
        <v>45727</v>
      </c>
      <c r="C1084" s="20">
        <v>45680</v>
      </c>
      <c r="D1084" t="s">
        <v>252</v>
      </c>
      <c r="E1084" t="s">
        <v>253</v>
      </c>
      <c r="G1084" t="s">
        <v>2872</v>
      </c>
      <c r="H1084" t="s">
        <v>1026</v>
      </c>
      <c r="I1084" t="s">
        <v>1027</v>
      </c>
      <c r="J1084" s="8" t="s">
        <v>1527</v>
      </c>
      <c r="K1084" t="s">
        <v>10</v>
      </c>
      <c r="L1084" s="47">
        <v>1050</v>
      </c>
      <c r="M1084" t="s">
        <v>1472</v>
      </c>
      <c r="N1084" t="s">
        <v>11</v>
      </c>
      <c r="O1084" s="50">
        <v>0.9</v>
      </c>
      <c r="P1084" s="9">
        <f>ROUND(O1084*L1084,2)</f>
        <v>945</v>
      </c>
      <c r="Q1084" s="10">
        <f>IF(N1084="HKD",7.8,IF(N1084="CNY",7.30034,1))</f>
        <v>7.3003400000000003</v>
      </c>
      <c r="R1084" s="10">
        <f>+ROUND(O1084/Q1084,4)</f>
        <v>0.12330000000000001</v>
      </c>
      <c r="S1084" s="11">
        <f>ROUND(R1084*L1084,2)</f>
        <v>129.47</v>
      </c>
      <c r="T1084" s="10" t="s">
        <v>349</v>
      </c>
      <c r="U1084" t="s">
        <v>36</v>
      </c>
    </row>
    <row r="1085" spans="1:21">
      <c r="A1085" t="s">
        <v>2386</v>
      </c>
      <c r="B1085" s="20">
        <v>45727</v>
      </c>
      <c r="C1085" s="20">
        <v>45695</v>
      </c>
      <c r="D1085" t="s">
        <v>252</v>
      </c>
      <c r="E1085" t="s">
        <v>253</v>
      </c>
      <c r="G1085" t="s">
        <v>2872</v>
      </c>
      <c r="H1085" t="s">
        <v>688</v>
      </c>
      <c r="I1085" t="s">
        <v>689</v>
      </c>
      <c r="J1085" s="8" t="s">
        <v>1527</v>
      </c>
      <c r="K1085" t="s">
        <v>10</v>
      </c>
      <c r="L1085" s="47">
        <v>1050</v>
      </c>
      <c r="M1085" t="s">
        <v>1472</v>
      </c>
      <c r="N1085" t="s">
        <v>11</v>
      </c>
      <c r="O1085" s="50">
        <v>0.9</v>
      </c>
      <c r="P1085" s="9">
        <f>ROUND(O1085*L1085,2)</f>
        <v>945</v>
      </c>
      <c r="Q1085" s="10">
        <f>IF(N1085="HKD",7.8,IF(N1085="CNY",7.30034,1))</f>
        <v>7.3003400000000003</v>
      </c>
      <c r="R1085" s="10">
        <f>+ROUND(O1085/Q1085,4)</f>
        <v>0.12330000000000001</v>
      </c>
      <c r="S1085" s="11">
        <f>ROUND(R1085*L1085,2)</f>
        <v>129.47</v>
      </c>
      <c r="T1085" s="10" t="s">
        <v>349</v>
      </c>
      <c r="U1085" t="s">
        <v>36</v>
      </c>
    </row>
    <row r="1086" spans="1:21">
      <c r="A1086" t="s">
        <v>2360</v>
      </c>
      <c r="B1086" s="20">
        <v>45727</v>
      </c>
      <c r="C1086" s="20">
        <v>45680</v>
      </c>
      <c r="D1086" t="s">
        <v>252</v>
      </c>
      <c r="E1086" t="s">
        <v>253</v>
      </c>
      <c r="G1086" t="s">
        <v>2872</v>
      </c>
      <c r="H1086" t="s">
        <v>685</v>
      </c>
      <c r="I1086" t="s">
        <v>686</v>
      </c>
      <c r="J1086" s="8" t="s">
        <v>1527</v>
      </c>
      <c r="K1086" t="s">
        <v>10</v>
      </c>
      <c r="L1086" s="47">
        <v>1300</v>
      </c>
      <c r="M1086" t="s">
        <v>1472</v>
      </c>
      <c r="N1086" t="s">
        <v>11</v>
      </c>
      <c r="O1086" s="50">
        <v>1.31</v>
      </c>
      <c r="P1086" s="9">
        <f>ROUND(O1086*L1086,2)</f>
        <v>1703</v>
      </c>
      <c r="Q1086" s="10">
        <f>IF(N1086="HKD",7.8,IF(N1086="CNY",7.30034,1))</f>
        <v>7.3003400000000003</v>
      </c>
      <c r="R1086" s="10">
        <f>+ROUND(O1086/Q1086,4)</f>
        <v>0.1794</v>
      </c>
      <c r="S1086" s="11">
        <f>ROUND(R1086*L1086,2)</f>
        <v>233.22</v>
      </c>
      <c r="T1086" s="10" t="s">
        <v>349</v>
      </c>
      <c r="U1086" t="s">
        <v>36</v>
      </c>
    </row>
    <row r="1087" spans="1:21">
      <c r="A1087" t="s">
        <v>2361</v>
      </c>
      <c r="B1087" s="20">
        <v>45727</v>
      </c>
      <c r="C1087" s="20">
        <v>45680</v>
      </c>
      <c r="D1087" t="s">
        <v>252</v>
      </c>
      <c r="E1087" t="s">
        <v>253</v>
      </c>
      <c r="G1087" t="s">
        <v>2872</v>
      </c>
      <c r="H1087" t="s">
        <v>1530</v>
      </c>
      <c r="I1087" t="s">
        <v>1531</v>
      </c>
      <c r="J1087" s="8" t="s">
        <v>1527</v>
      </c>
      <c r="K1087" t="s">
        <v>10</v>
      </c>
      <c r="L1087" s="47">
        <v>3000</v>
      </c>
      <c r="M1087" t="s">
        <v>1472</v>
      </c>
      <c r="N1087" t="s">
        <v>11</v>
      </c>
      <c r="O1087" s="50">
        <v>1.3524</v>
      </c>
      <c r="P1087" s="9">
        <f>ROUND(O1087*L1087,2)</f>
        <v>4057.2</v>
      </c>
      <c r="Q1087" s="10">
        <f>IF(N1087="HKD",7.8,IF(N1087="CNY",7.30034,1))</f>
        <v>7.3003400000000003</v>
      </c>
      <c r="R1087" s="10">
        <f>+ROUND(O1087/Q1087,4)</f>
        <v>0.18529999999999999</v>
      </c>
      <c r="S1087" s="11">
        <f>ROUND(R1087*L1087,2)</f>
        <v>555.9</v>
      </c>
      <c r="T1087" s="10" t="s">
        <v>349</v>
      </c>
      <c r="U1087" t="s">
        <v>36</v>
      </c>
    </row>
    <row r="1088" spans="1:21">
      <c r="A1088" t="s">
        <v>2362</v>
      </c>
      <c r="B1088" s="20">
        <v>45727</v>
      </c>
      <c r="C1088" s="20">
        <v>45680</v>
      </c>
      <c r="D1088" t="s">
        <v>252</v>
      </c>
      <c r="E1088" t="s">
        <v>253</v>
      </c>
      <c r="G1088" t="s">
        <v>2872</v>
      </c>
      <c r="H1088" t="s">
        <v>678</v>
      </c>
      <c r="I1088" t="s">
        <v>679</v>
      </c>
      <c r="J1088" s="8" t="s">
        <v>1527</v>
      </c>
      <c r="K1088" t="s">
        <v>10</v>
      </c>
      <c r="L1088" s="47">
        <v>2000</v>
      </c>
      <c r="M1088" t="s">
        <v>1472</v>
      </c>
      <c r="N1088" t="s">
        <v>11</v>
      </c>
      <c r="O1088" s="50">
        <v>1.3524</v>
      </c>
      <c r="P1088" s="9">
        <f>ROUND(O1088*L1088,2)</f>
        <v>2704.8</v>
      </c>
      <c r="Q1088" s="10">
        <f>IF(N1088="HKD",7.8,IF(N1088="CNY",7.30034,1))</f>
        <v>7.3003400000000003</v>
      </c>
      <c r="R1088" s="10">
        <f>+ROUND(O1088/Q1088,4)</f>
        <v>0.18529999999999999</v>
      </c>
      <c r="S1088" s="11">
        <f>ROUND(R1088*L1088,2)</f>
        <v>370.6</v>
      </c>
      <c r="T1088" s="10" t="s">
        <v>349</v>
      </c>
      <c r="U1088" t="s">
        <v>36</v>
      </c>
    </row>
    <row r="1089" spans="1:21">
      <c r="A1089" t="s">
        <v>2389</v>
      </c>
      <c r="B1089" s="20">
        <v>45727</v>
      </c>
      <c r="C1089" s="20">
        <v>45695</v>
      </c>
      <c r="D1089" t="s">
        <v>252</v>
      </c>
      <c r="E1089" t="s">
        <v>253</v>
      </c>
      <c r="G1089" t="s">
        <v>2872</v>
      </c>
      <c r="H1089" t="s">
        <v>1530</v>
      </c>
      <c r="I1089" t="s">
        <v>1531</v>
      </c>
      <c r="J1089" s="8" t="s">
        <v>1527</v>
      </c>
      <c r="K1089" t="s">
        <v>10</v>
      </c>
      <c r="L1089" s="47">
        <v>4000</v>
      </c>
      <c r="M1089" t="s">
        <v>1472</v>
      </c>
      <c r="N1089" t="s">
        <v>11</v>
      </c>
      <c r="O1089" s="50">
        <v>1.38</v>
      </c>
      <c r="P1089" s="9">
        <f>ROUND(O1089*L1089,2)</f>
        <v>5520</v>
      </c>
      <c r="Q1089" s="10">
        <f>IF(N1089="HKD",7.8,IF(N1089="CNY",7.30034,1))</f>
        <v>7.3003400000000003</v>
      </c>
      <c r="R1089" s="10">
        <f>+ROUND(O1089/Q1089,4)</f>
        <v>0.189</v>
      </c>
      <c r="S1089" s="11">
        <f>ROUND(R1089*L1089,2)</f>
        <v>756</v>
      </c>
      <c r="T1089" s="10" t="s">
        <v>349</v>
      </c>
      <c r="U1089" t="s">
        <v>36</v>
      </c>
    </row>
    <row r="1090" spans="1:21">
      <c r="A1090" t="s">
        <v>2538</v>
      </c>
      <c r="B1090" s="20">
        <v>45727</v>
      </c>
      <c r="C1090" s="20">
        <v>45714</v>
      </c>
      <c r="D1090" t="s">
        <v>830</v>
      </c>
      <c r="E1090" t="s">
        <v>831</v>
      </c>
      <c r="G1090" t="s">
        <v>2982</v>
      </c>
      <c r="H1090" t="s">
        <v>3166</v>
      </c>
      <c r="I1090" t="s">
        <v>3376</v>
      </c>
      <c r="J1090" s="8" t="str">
        <f>+LEFT(U1090,4)</f>
        <v>LID-</v>
      </c>
      <c r="K1090" t="s">
        <v>98</v>
      </c>
      <c r="L1090" s="47">
        <v>1920</v>
      </c>
      <c r="M1090" t="s">
        <v>1472</v>
      </c>
      <c r="N1090" t="s">
        <v>11</v>
      </c>
      <c r="O1090" s="50">
        <v>4.2</v>
      </c>
      <c r="P1090" s="9">
        <f>ROUND(O1090*L1090,2)</f>
        <v>8064</v>
      </c>
      <c r="Q1090" s="10">
        <f>IF(N1090="HKD",7.8,IF(N1090="CNY",7.30034,1))</f>
        <v>7.3003400000000003</v>
      </c>
      <c r="R1090" s="10">
        <f>+ROUND(O1090/Q1090,4)</f>
        <v>0.57530000000000003</v>
      </c>
      <c r="S1090" s="11">
        <f>ROUND(R1090*L1090,2)</f>
        <v>1104.58</v>
      </c>
      <c r="T1090" s="10" t="s">
        <v>349</v>
      </c>
      <c r="U1090" t="s">
        <v>368</v>
      </c>
    </row>
    <row r="1091" spans="1:21">
      <c r="A1091" t="s">
        <v>2538</v>
      </c>
      <c r="B1091" s="20">
        <v>45727</v>
      </c>
      <c r="C1091" s="20">
        <v>45714</v>
      </c>
      <c r="D1091" t="s">
        <v>830</v>
      </c>
      <c r="E1091" t="s">
        <v>831</v>
      </c>
      <c r="G1091" t="s">
        <v>2983</v>
      </c>
      <c r="H1091" t="s">
        <v>3166</v>
      </c>
      <c r="I1091" t="s">
        <v>3376</v>
      </c>
      <c r="J1091" s="8" t="str">
        <f>+LEFT(U1091,4)</f>
        <v>LID-</v>
      </c>
      <c r="K1091" t="s">
        <v>98</v>
      </c>
      <c r="L1091" s="47">
        <v>-1920</v>
      </c>
      <c r="M1091" t="s">
        <v>1472</v>
      </c>
      <c r="N1091" t="s">
        <v>11</v>
      </c>
      <c r="O1091" s="50">
        <v>4.2</v>
      </c>
      <c r="P1091" s="9">
        <f>ROUND(O1091*L1091,2)</f>
        <v>-8064</v>
      </c>
      <c r="Q1091" s="10">
        <f>IF(N1091="HKD",7.8,IF(N1091="CNY",7.30034,1))</f>
        <v>7.3003400000000003</v>
      </c>
      <c r="R1091" s="10">
        <f>+ROUND(O1091/Q1091,4)</f>
        <v>0.57530000000000003</v>
      </c>
      <c r="S1091" s="11">
        <f>ROUND(R1091*L1091,2)</f>
        <v>-1104.58</v>
      </c>
      <c r="T1091" s="10" t="s">
        <v>349</v>
      </c>
      <c r="U1091" t="s">
        <v>368</v>
      </c>
    </row>
    <row r="1092" spans="1:21">
      <c r="A1092" t="s">
        <v>2538</v>
      </c>
      <c r="B1092" s="20">
        <v>45727</v>
      </c>
      <c r="C1092" s="20">
        <v>45714</v>
      </c>
      <c r="D1092" t="s">
        <v>830</v>
      </c>
      <c r="E1092" t="s">
        <v>831</v>
      </c>
      <c r="G1092" t="s">
        <v>2854</v>
      </c>
      <c r="H1092" t="s">
        <v>3166</v>
      </c>
      <c r="I1092" t="s">
        <v>3376</v>
      </c>
      <c r="J1092" s="8" t="str">
        <f>+LEFT(U1092,4)</f>
        <v>LID-</v>
      </c>
      <c r="K1092" t="s">
        <v>98</v>
      </c>
      <c r="L1092" s="47">
        <v>1920</v>
      </c>
      <c r="M1092" t="s">
        <v>1472</v>
      </c>
      <c r="N1092" t="s">
        <v>11</v>
      </c>
      <c r="O1092" s="50">
        <v>4.2</v>
      </c>
      <c r="P1092" s="9">
        <f>ROUND(O1092*L1092,2)</f>
        <v>8064</v>
      </c>
      <c r="Q1092" s="10">
        <f>IF(N1092="HKD",7.8,IF(N1092="CNY",7.30034,1))</f>
        <v>7.3003400000000003</v>
      </c>
      <c r="R1092" s="10">
        <f>+ROUND(O1092/Q1092,4)</f>
        <v>0.57530000000000003</v>
      </c>
      <c r="S1092" s="11">
        <f>ROUND(R1092*L1092,2)</f>
        <v>1104.58</v>
      </c>
      <c r="T1092" s="10" t="s">
        <v>349</v>
      </c>
      <c r="U1092" t="s">
        <v>368</v>
      </c>
    </row>
    <row r="1093" spans="1:21">
      <c r="A1093" t="s">
        <v>2485</v>
      </c>
      <c r="B1093" s="20">
        <v>45726</v>
      </c>
      <c r="C1093" s="20">
        <v>45712</v>
      </c>
      <c r="D1093" t="s">
        <v>2257</v>
      </c>
      <c r="E1093" t="s">
        <v>2258</v>
      </c>
      <c r="G1093" t="s">
        <v>2950</v>
      </c>
      <c r="H1093" t="s">
        <v>3148</v>
      </c>
      <c r="I1093" t="s">
        <v>3358</v>
      </c>
      <c r="J1093" s="8" t="str">
        <f>+LEFT(U1093,4)</f>
        <v>HDL-</v>
      </c>
      <c r="K1093" t="s">
        <v>10</v>
      </c>
      <c r="L1093" s="47">
        <v>1200</v>
      </c>
      <c r="M1093" t="s">
        <v>1472</v>
      </c>
      <c r="N1093" t="s">
        <v>11</v>
      </c>
      <c r="O1093" s="50">
        <v>7.6459999999999999</v>
      </c>
      <c r="P1093" s="9">
        <f>ROUND(O1093*L1093,2)</f>
        <v>9175.2000000000007</v>
      </c>
      <c r="Q1093" s="10">
        <f>IF(N1093="HKD",7.8,IF(N1093="CNY",7.30034,1))</f>
        <v>7.3003400000000003</v>
      </c>
      <c r="R1093" s="10">
        <f>+ROUND(O1093/Q1093,4)</f>
        <v>1.0472999999999999</v>
      </c>
      <c r="S1093" s="11">
        <f>ROUND(R1093*L1093,2)</f>
        <v>1256.76</v>
      </c>
      <c r="T1093" s="10" t="s">
        <v>349</v>
      </c>
      <c r="U1093" t="s">
        <v>228</v>
      </c>
    </row>
    <row r="1094" spans="1:21">
      <c r="A1094" t="s">
        <v>2486</v>
      </c>
      <c r="B1094" s="20">
        <v>45726</v>
      </c>
      <c r="C1094" s="20">
        <v>45712</v>
      </c>
      <c r="D1094" t="s">
        <v>2257</v>
      </c>
      <c r="E1094" t="s">
        <v>2258</v>
      </c>
      <c r="G1094" t="s">
        <v>2950</v>
      </c>
      <c r="H1094" t="s">
        <v>3148</v>
      </c>
      <c r="I1094" t="s">
        <v>3358</v>
      </c>
      <c r="J1094" s="8" t="str">
        <f>+LEFT(U1094,4)</f>
        <v>HDL-</v>
      </c>
      <c r="K1094" t="s">
        <v>10</v>
      </c>
      <c r="L1094" s="47">
        <v>3000</v>
      </c>
      <c r="M1094" t="s">
        <v>1472</v>
      </c>
      <c r="N1094" t="s">
        <v>11</v>
      </c>
      <c r="O1094" s="50">
        <v>7.6459999999999999</v>
      </c>
      <c r="P1094" s="9">
        <f>ROUND(O1094*L1094,2)</f>
        <v>22938</v>
      </c>
      <c r="Q1094" s="10">
        <f>IF(N1094="HKD",7.8,IF(N1094="CNY",7.30034,1))</f>
        <v>7.3003400000000003</v>
      </c>
      <c r="R1094" s="10">
        <f>+ROUND(O1094/Q1094,4)</f>
        <v>1.0472999999999999</v>
      </c>
      <c r="S1094" s="11">
        <f>ROUND(R1094*L1094,2)</f>
        <v>3141.9</v>
      </c>
      <c r="T1094" s="10" t="s">
        <v>349</v>
      </c>
      <c r="U1094" t="s">
        <v>228</v>
      </c>
    </row>
    <row r="1095" spans="1:21">
      <c r="A1095" t="s">
        <v>2484</v>
      </c>
      <c r="B1095" s="20">
        <v>45726</v>
      </c>
      <c r="C1095" s="20">
        <v>45712</v>
      </c>
      <c r="D1095" t="s">
        <v>2257</v>
      </c>
      <c r="E1095" t="s">
        <v>2258</v>
      </c>
      <c r="G1095" t="s">
        <v>2950</v>
      </c>
      <c r="H1095" t="s">
        <v>3147</v>
      </c>
      <c r="I1095" t="s">
        <v>3357</v>
      </c>
      <c r="J1095" s="8" t="str">
        <f>+LEFT(U1095,4)</f>
        <v>HDL-</v>
      </c>
      <c r="K1095" t="s">
        <v>10</v>
      </c>
      <c r="L1095" s="47">
        <v>3100</v>
      </c>
      <c r="M1095" t="s">
        <v>1472</v>
      </c>
      <c r="N1095" t="s">
        <v>11</v>
      </c>
      <c r="O1095" s="50">
        <v>8.5710999999999995</v>
      </c>
      <c r="P1095" s="9">
        <f>ROUND(O1095*L1095,2)</f>
        <v>26570.41</v>
      </c>
      <c r="Q1095" s="10">
        <f>IF(N1095="HKD",7.8,IF(N1095="CNY",7.30034,1))</f>
        <v>7.3003400000000003</v>
      </c>
      <c r="R1095" s="10">
        <f>+ROUND(O1095/Q1095,4)</f>
        <v>1.1740999999999999</v>
      </c>
      <c r="S1095" s="11">
        <f>ROUND(R1095*L1095,2)</f>
        <v>3639.71</v>
      </c>
      <c r="T1095" s="10" t="s">
        <v>349</v>
      </c>
      <c r="U1095" t="s">
        <v>228</v>
      </c>
    </row>
    <row r="1096" spans="1:21">
      <c r="A1096" t="s">
        <v>2489</v>
      </c>
      <c r="B1096" s="20">
        <v>45726</v>
      </c>
      <c r="C1096" s="20">
        <v>45712</v>
      </c>
      <c r="D1096" t="s">
        <v>2257</v>
      </c>
      <c r="E1096" t="s">
        <v>2258</v>
      </c>
      <c r="G1096" t="s">
        <v>2950</v>
      </c>
      <c r="H1096" t="s">
        <v>3147</v>
      </c>
      <c r="I1096" t="s">
        <v>3357</v>
      </c>
      <c r="J1096" s="8" t="str">
        <f>+LEFT(U1096,4)</f>
        <v>HDL-</v>
      </c>
      <c r="K1096" t="s">
        <v>10</v>
      </c>
      <c r="L1096" s="47">
        <v>600</v>
      </c>
      <c r="M1096" t="s">
        <v>1472</v>
      </c>
      <c r="N1096" t="s">
        <v>11</v>
      </c>
      <c r="O1096" s="50">
        <v>8.5710999999999995</v>
      </c>
      <c r="P1096" s="9">
        <f>ROUND(O1096*L1096,2)</f>
        <v>5142.66</v>
      </c>
      <c r="Q1096" s="10">
        <f>IF(N1096="HKD",7.8,IF(N1096="CNY",7.30034,1))</f>
        <v>7.3003400000000003</v>
      </c>
      <c r="R1096" s="10">
        <f>+ROUND(O1096/Q1096,4)</f>
        <v>1.1740999999999999</v>
      </c>
      <c r="S1096" s="11">
        <f>ROUND(R1096*L1096,2)</f>
        <v>704.46</v>
      </c>
      <c r="T1096" s="10" t="s">
        <v>349</v>
      </c>
      <c r="U1096" t="s">
        <v>228</v>
      </c>
    </row>
    <row r="1097" spans="1:21">
      <c r="A1097" t="s">
        <v>2495</v>
      </c>
      <c r="B1097" s="20">
        <v>45726</v>
      </c>
      <c r="C1097" s="20">
        <v>45713</v>
      </c>
      <c r="D1097" t="s">
        <v>2257</v>
      </c>
      <c r="E1097" t="s">
        <v>2258</v>
      </c>
      <c r="G1097" t="s">
        <v>2950</v>
      </c>
      <c r="H1097" t="s">
        <v>3150</v>
      </c>
      <c r="I1097" t="s">
        <v>3360</v>
      </c>
      <c r="J1097" s="8" t="str">
        <f>+LEFT(U1097,4)</f>
        <v>HDL-</v>
      </c>
      <c r="K1097" t="s">
        <v>10</v>
      </c>
      <c r="L1097" s="47">
        <v>510</v>
      </c>
      <c r="M1097" t="s">
        <v>1472</v>
      </c>
      <c r="N1097" t="s">
        <v>11</v>
      </c>
      <c r="O1097" s="50">
        <v>8.7460000000000004</v>
      </c>
      <c r="P1097" s="9">
        <f>ROUND(O1097*L1097,2)</f>
        <v>4460.46</v>
      </c>
      <c r="Q1097" s="10">
        <f>IF(N1097="HKD",7.8,IF(N1097="CNY",7.30034,1))</f>
        <v>7.3003400000000003</v>
      </c>
      <c r="R1097" s="10">
        <f>+ROUND(O1097/Q1097,4)</f>
        <v>1.198</v>
      </c>
      <c r="S1097" s="11">
        <f>ROUND(R1097*L1097,2)</f>
        <v>610.98</v>
      </c>
      <c r="T1097" s="10" t="s">
        <v>349</v>
      </c>
      <c r="U1097" t="s">
        <v>228</v>
      </c>
    </row>
    <row r="1098" spans="1:21">
      <c r="A1098" t="s">
        <v>2428</v>
      </c>
      <c r="B1098" s="20">
        <v>45726</v>
      </c>
      <c r="C1098" s="20">
        <v>45702</v>
      </c>
      <c r="D1098" t="s">
        <v>295</v>
      </c>
      <c r="E1098" t="s">
        <v>296</v>
      </c>
      <c r="G1098" t="s">
        <v>2932</v>
      </c>
      <c r="H1098" t="s">
        <v>3117</v>
      </c>
      <c r="I1098" t="s">
        <v>307</v>
      </c>
      <c r="J1098" s="8" t="str">
        <f>+LEFT(U1098,4)</f>
        <v>LHDL</v>
      </c>
      <c r="K1098" t="s">
        <v>10</v>
      </c>
      <c r="L1098" s="47">
        <v>1040</v>
      </c>
      <c r="M1098" t="s">
        <v>1472</v>
      </c>
      <c r="N1098" t="s">
        <v>11</v>
      </c>
      <c r="O1098" s="50">
        <v>0.98939999999999995</v>
      </c>
      <c r="P1098" s="9">
        <f>ROUND(O1098*L1098,2)</f>
        <v>1028.98</v>
      </c>
      <c r="Q1098" s="10">
        <f>IF(N1098="HKD",7.8,IF(N1098="CNY",7.30034,1))</f>
        <v>7.3003400000000003</v>
      </c>
      <c r="R1098" s="10">
        <f>+ROUND(O1098/Q1098,4)</f>
        <v>0.13550000000000001</v>
      </c>
      <c r="S1098" s="11">
        <f>ROUND(R1098*L1098,2)</f>
        <v>140.91999999999999</v>
      </c>
      <c r="T1098" s="10" t="s">
        <v>349</v>
      </c>
      <c r="U1098" t="s">
        <v>125</v>
      </c>
    </row>
    <row r="1099" spans="1:21">
      <c r="A1099" t="s">
        <v>2429</v>
      </c>
      <c r="B1099" s="20">
        <v>45726</v>
      </c>
      <c r="C1099" s="20">
        <v>45702</v>
      </c>
      <c r="D1099" t="s">
        <v>295</v>
      </c>
      <c r="E1099" t="s">
        <v>296</v>
      </c>
      <c r="G1099" t="s">
        <v>2932</v>
      </c>
      <c r="H1099" t="s">
        <v>3118</v>
      </c>
      <c r="I1099" t="s">
        <v>303</v>
      </c>
      <c r="J1099" s="8" t="str">
        <f>+LEFT(U1099,4)</f>
        <v>LHDL</v>
      </c>
      <c r="K1099" t="s">
        <v>10</v>
      </c>
      <c r="L1099" s="47">
        <v>1040</v>
      </c>
      <c r="M1099" t="s">
        <v>1472</v>
      </c>
      <c r="N1099" t="s">
        <v>11</v>
      </c>
      <c r="O1099" s="50">
        <v>1.0419</v>
      </c>
      <c r="P1099" s="9">
        <f>ROUND(O1099*L1099,2)</f>
        <v>1083.58</v>
      </c>
      <c r="Q1099" s="10">
        <f>IF(N1099="HKD",7.8,IF(N1099="CNY",7.30034,1))</f>
        <v>7.3003400000000003</v>
      </c>
      <c r="R1099" s="10">
        <f>+ROUND(O1099/Q1099,4)</f>
        <v>0.14269999999999999</v>
      </c>
      <c r="S1099" s="11">
        <f>ROUND(R1099*L1099,2)</f>
        <v>148.41</v>
      </c>
      <c r="T1099" s="10" t="s">
        <v>349</v>
      </c>
      <c r="U1099" t="s">
        <v>125</v>
      </c>
    </row>
    <row r="1100" spans="1:21">
      <c r="A1100" t="s">
        <v>2430</v>
      </c>
      <c r="B1100" s="20">
        <v>45726</v>
      </c>
      <c r="C1100" s="20">
        <v>45702</v>
      </c>
      <c r="D1100" t="s">
        <v>295</v>
      </c>
      <c r="E1100" t="s">
        <v>296</v>
      </c>
      <c r="G1100" t="s">
        <v>2933</v>
      </c>
      <c r="H1100" t="s">
        <v>3119</v>
      </c>
      <c r="I1100" t="s">
        <v>300</v>
      </c>
      <c r="J1100" s="8" t="str">
        <f>+LEFT(U1100,4)</f>
        <v>LHDL</v>
      </c>
      <c r="K1100" t="s">
        <v>10</v>
      </c>
      <c r="L1100" s="47">
        <v>1040</v>
      </c>
      <c r="M1100" t="s">
        <v>1472</v>
      </c>
      <c r="N1100" t="s">
        <v>11</v>
      </c>
      <c r="O1100" s="50">
        <v>1.0419</v>
      </c>
      <c r="P1100" s="9">
        <f>ROUND(O1100*L1100,2)</f>
        <v>1083.58</v>
      </c>
      <c r="Q1100" s="10">
        <f>IF(N1100="HKD",7.8,IF(N1100="CNY",7.30034,1))</f>
        <v>7.3003400000000003</v>
      </c>
      <c r="R1100" s="10">
        <f>+ROUND(O1100/Q1100,4)</f>
        <v>0.14269999999999999</v>
      </c>
      <c r="S1100" s="11">
        <f>ROUND(R1100*L1100,2)</f>
        <v>148.41</v>
      </c>
      <c r="T1100" s="10" t="s">
        <v>349</v>
      </c>
      <c r="U1100" t="s">
        <v>125</v>
      </c>
    </row>
    <row r="1101" spans="1:21">
      <c r="A1101" t="s">
        <v>2431</v>
      </c>
      <c r="B1101" s="20">
        <v>45726</v>
      </c>
      <c r="C1101" s="20">
        <v>45702</v>
      </c>
      <c r="D1101" t="s">
        <v>295</v>
      </c>
      <c r="E1101" t="s">
        <v>296</v>
      </c>
      <c r="G1101" t="s">
        <v>2933</v>
      </c>
      <c r="H1101" t="s">
        <v>3120</v>
      </c>
      <c r="I1101" t="s">
        <v>294</v>
      </c>
      <c r="J1101" s="8" t="str">
        <f>+LEFT(U1101,4)</f>
        <v>LHDL</v>
      </c>
      <c r="K1101" t="s">
        <v>10</v>
      </c>
      <c r="L1101" s="47">
        <v>1020</v>
      </c>
      <c r="M1101" t="s">
        <v>1472</v>
      </c>
      <c r="N1101" t="s">
        <v>11</v>
      </c>
      <c r="O1101" s="50">
        <v>1.0419</v>
      </c>
      <c r="P1101" s="9">
        <f>ROUND(O1101*L1101,2)</f>
        <v>1062.74</v>
      </c>
      <c r="Q1101" s="10">
        <f>IF(N1101="HKD",7.8,IF(N1101="CNY",7.30034,1))</f>
        <v>7.3003400000000003</v>
      </c>
      <c r="R1101" s="10">
        <f>+ROUND(O1101/Q1101,4)</f>
        <v>0.14269999999999999</v>
      </c>
      <c r="S1101" s="11">
        <f>ROUND(R1101*L1101,2)</f>
        <v>145.55000000000001</v>
      </c>
      <c r="T1101" s="10" t="s">
        <v>349</v>
      </c>
      <c r="U1101" t="s">
        <v>125</v>
      </c>
    </row>
    <row r="1102" spans="1:21">
      <c r="A1102" t="s">
        <v>2432</v>
      </c>
      <c r="B1102" s="20">
        <v>45726</v>
      </c>
      <c r="C1102" s="20">
        <v>45702</v>
      </c>
      <c r="D1102" t="s">
        <v>295</v>
      </c>
      <c r="E1102" t="s">
        <v>296</v>
      </c>
      <c r="G1102" t="s">
        <v>2933</v>
      </c>
      <c r="H1102" t="s">
        <v>3121</v>
      </c>
      <c r="I1102" t="s">
        <v>3331</v>
      </c>
      <c r="J1102" s="8" t="str">
        <f>+LEFT(U1102,4)</f>
        <v>LHDL</v>
      </c>
      <c r="K1102" t="s">
        <v>10</v>
      </c>
      <c r="L1102" s="47">
        <v>1040</v>
      </c>
      <c r="M1102" t="s">
        <v>1472</v>
      </c>
      <c r="N1102" t="s">
        <v>11</v>
      </c>
      <c r="O1102" s="50">
        <v>1.0419</v>
      </c>
      <c r="P1102" s="9">
        <f>ROUND(O1102*L1102,2)</f>
        <v>1083.58</v>
      </c>
      <c r="Q1102" s="10">
        <f>IF(N1102="HKD",7.8,IF(N1102="CNY",7.30034,1))</f>
        <v>7.3003400000000003</v>
      </c>
      <c r="R1102" s="10">
        <f>+ROUND(O1102/Q1102,4)</f>
        <v>0.14269999999999999</v>
      </c>
      <c r="S1102" s="11">
        <f>ROUND(R1102*L1102,2)</f>
        <v>148.41</v>
      </c>
      <c r="T1102" s="10" t="s">
        <v>349</v>
      </c>
      <c r="U1102" t="s">
        <v>125</v>
      </c>
    </row>
    <row r="1103" spans="1:21">
      <c r="A1103" t="s">
        <v>2326</v>
      </c>
      <c r="B1103" s="20">
        <v>45726</v>
      </c>
      <c r="C1103" s="20">
        <v>45664</v>
      </c>
      <c r="D1103" t="s">
        <v>2817</v>
      </c>
      <c r="E1103" t="s">
        <v>2818</v>
      </c>
      <c r="G1103" t="s">
        <v>2883</v>
      </c>
      <c r="H1103" t="s">
        <v>3082</v>
      </c>
      <c r="I1103" t="s">
        <v>3298</v>
      </c>
      <c r="J1103" s="8" t="str">
        <f>+LEFT(U1103,4)</f>
        <v>LID-</v>
      </c>
      <c r="K1103" t="s">
        <v>10</v>
      </c>
      <c r="L1103" s="47">
        <v>1020</v>
      </c>
      <c r="M1103" t="s">
        <v>1472</v>
      </c>
      <c r="N1103" t="s">
        <v>2246</v>
      </c>
      <c r="O1103" s="50">
        <v>2.2799999999999998</v>
      </c>
      <c r="P1103" s="9">
        <f>ROUND(O1103*L1103,2)</f>
        <v>2325.6</v>
      </c>
      <c r="Q1103" s="10">
        <f>IF(N1103="HKD",7.8,IF(N1103="CNY",7.30034,1))</f>
        <v>1</v>
      </c>
      <c r="R1103" s="10">
        <f>+ROUND(O1103/Q1103,4)</f>
        <v>2.2799999999999998</v>
      </c>
      <c r="S1103" s="11">
        <f>ROUND(R1103*L1103,2)</f>
        <v>2325.6</v>
      </c>
      <c r="T1103" s="10" t="s">
        <v>349</v>
      </c>
      <c r="U1103" t="s">
        <v>368</v>
      </c>
    </row>
    <row r="1104" spans="1:21">
      <c r="A1104" t="s">
        <v>2281</v>
      </c>
      <c r="B1104" s="20">
        <v>45726</v>
      </c>
      <c r="C1104" s="20">
        <v>45576</v>
      </c>
      <c r="D1104" t="s">
        <v>94</v>
      </c>
      <c r="E1104" t="s">
        <v>95</v>
      </c>
      <c r="G1104" t="s">
        <v>2848</v>
      </c>
      <c r="H1104" t="s">
        <v>3062</v>
      </c>
      <c r="I1104" t="s">
        <v>3278</v>
      </c>
      <c r="J1104" s="8" t="str">
        <f>+LEFT(U1104,4)</f>
        <v>LID-</v>
      </c>
      <c r="K1104" t="s">
        <v>98</v>
      </c>
      <c r="L1104" s="47">
        <v>1010</v>
      </c>
      <c r="M1104" t="s">
        <v>1472</v>
      </c>
      <c r="N1104" t="s">
        <v>11</v>
      </c>
      <c r="O1104" s="50">
        <v>3.5</v>
      </c>
      <c r="P1104" s="9">
        <f>ROUND(O1104*L1104,2)</f>
        <v>3535</v>
      </c>
      <c r="Q1104" s="10">
        <f>IF(N1104="HKD",7.8,IF(N1104="CNY",7.30034,1))</f>
        <v>7.3003400000000003</v>
      </c>
      <c r="R1104" s="10">
        <f>+ROUND(O1104/Q1104,4)</f>
        <v>0.47939999999999999</v>
      </c>
      <c r="S1104" s="11">
        <f>ROUND(R1104*L1104,2)</f>
        <v>484.19</v>
      </c>
      <c r="T1104" s="10" t="s">
        <v>349</v>
      </c>
      <c r="U1104" t="s">
        <v>368</v>
      </c>
    </row>
    <row r="1105" spans="1:21">
      <c r="A1105" t="s">
        <v>2042</v>
      </c>
      <c r="B1105" s="20">
        <v>45726</v>
      </c>
      <c r="C1105" s="20">
        <v>45576</v>
      </c>
      <c r="D1105" t="s">
        <v>94</v>
      </c>
      <c r="E1105" t="s">
        <v>95</v>
      </c>
      <c r="G1105" t="s">
        <v>2848</v>
      </c>
      <c r="H1105" t="s">
        <v>1752</v>
      </c>
      <c r="I1105" t="s">
        <v>1753</v>
      </c>
      <c r="J1105" s="8" t="str">
        <f>+LEFT(U1105,4)</f>
        <v>LID-</v>
      </c>
      <c r="K1105" t="s">
        <v>98</v>
      </c>
      <c r="L1105" s="47">
        <v>383</v>
      </c>
      <c r="M1105" t="s">
        <v>1472</v>
      </c>
      <c r="N1105" t="s">
        <v>11</v>
      </c>
      <c r="O1105" s="50">
        <v>4</v>
      </c>
      <c r="P1105" s="9">
        <f>ROUND(O1105*L1105,2)</f>
        <v>1532</v>
      </c>
      <c r="Q1105" s="10">
        <f>IF(N1105="HKD",7.8,IF(N1105="CNY",7.30034,1))</f>
        <v>7.3003400000000003</v>
      </c>
      <c r="R1105" s="10">
        <f>+ROUND(O1105/Q1105,4)</f>
        <v>0.54790000000000005</v>
      </c>
      <c r="S1105" s="11">
        <f>ROUND(R1105*L1105,2)</f>
        <v>209.85</v>
      </c>
      <c r="T1105" s="10" t="s">
        <v>349</v>
      </c>
      <c r="U1105" t="s">
        <v>368</v>
      </c>
    </row>
    <row r="1106" spans="1:21">
      <c r="A1106" t="s">
        <v>2515</v>
      </c>
      <c r="B1106" s="20">
        <v>45726</v>
      </c>
      <c r="C1106" s="20">
        <v>45713</v>
      </c>
      <c r="D1106" t="s">
        <v>169</v>
      </c>
      <c r="E1106" t="s">
        <v>170</v>
      </c>
      <c r="G1106" t="s">
        <v>2961</v>
      </c>
      <c r="H1106" t="s">
        <v>1098</v>
      </c>
      <c r="I1106" t="s">
        <v>1099</v>
      </c>
      <c r="J1106" s="8" t="str">
        <f>+LEFT(U1106,4)</f>
        <v>PAP-</v>
      </c>
      <c r="K1106" t="s">
        <v>10</v>
      </c>
      <c r="L1106" s="47">
        <v>10000</v>
      </c>
      <c r="M1106" t="s">
        <v>1472</v>
      </c>
      <c r="N1106" t="s">
        <v>11</v>
      </c>
      <c r="O1106" s="50">
        <v>0.23</v>
      </c>
      <c r="P1106" s="9">
        <f>ROUND(O1106*L1106,2)</f>
        <v>2300</v>
      </c>
      <c r="Q1106" s="10">
        <f>IF(N1106="HKD",7.8,IF(N1106="CNY",7.30034,1))</f>
        <v>7.3003400000000003</v>
      </c>
      <c r="R1106" s="10">
        <f>+ROUND(O1106/Q1106,4)</f>
        <v>3.15E-2</v>
      </c>
      <c r="S1106" s="11">
        <f>ROUND(R1106*L1106,2)</f>
        <v>315</v>
      </c>
      <c r="T1106" s="10" t="s">
        <v>349</v>
      </c>
      <c r="U1106" t="s">
        <v>1094</v>
      </c>
    </row>
    <row r="1107" spans="1:21">
      <c r="A1107" t="s">
        <v>2516</v>
      </c>
      <c r="B1107" s="20">
        <v>45726</v>
      </c>
      <c r="C1107" s="20">
        <v>45713</v>
      </c>
      <c r="D1107" t="s">
        <v>169</v>
      </c>
      <c r="E1107" t="s">
        <v>170</v>
      </c>
      <c r="G1107" t="s">
        <v>2961</v>
      </c>
      <c r="H1107" t="s">
        <v>1095</v>
      </c>
      <c r="I1107" t="s">
        <v>1096</v>
      </c>
      <c r="J1107" s="8" t="str">
        <f>+LEFT(U1107,4)</f>
        <v>PAP-</v>
      </c>
      <c r="K1107" t="s">
        <v>10</v>
      </c>
      <c r="L1107" s="47">
        <v>30000</v>
      </c>
      <c r="M1107" t="s">
        <v>1472</v>
      </c>
      <c r="N1107" t="s">
        <v>11</v>
      </c>
      <c r="O1107" s="50">
        <v>0.28999999999999998</v>
      </c>
      <c r="P1107" s="9">
        <f>ROUND(O1107*L1107,2)</f>
        <v>8700</v>
      </c>
      <c r="Q1107" s="10">
        <f>IF(N1107="HKD",7.8,IF(N1107="CNY",7.30034,1))</f>
        <v>7.3003400000000003</v>
      </c>
      <c r="R1107" s="10">
        <f>+ROUND(O1107/Q1107,4)</f>
        <v>3.9699999999999999E-2</v>
      </c>
      <c r="S1107" s="11">
        <f>ROUND(R1107*L1107,2)</f>
        <v>1191</v>
      </c>
      <c r="T1107" s="10" t="s">
        <v>349</v>
      </c>
      <c r="U1107" t="s">
        <v>1094</v>
      </c>
    </row>
    <row r="1108" spans="1:21">
      <c r="A1108" t="s">
        <v>648</v>
      </c>
      <c r="B1108" s="20">
        <v>45726</v>
      </c>
      <c r="C1108" s="20">
        <v>45643</v>
      </c>
      <c r="D1108" t="s">
        <v>169</v>
      </c>
      <c r="E1108" t="s">
        <v>170</v>
      </c>
      <c r="G1108" t="s">
        <v>2862</v>
      </c>
      <c r="H1108" t="s">
        <v>646</v>
      </c>
      <c r="I1108" t="s">
        <v>647</v>
      </c>
      <c r="J1108" s="8" t="str">
        <f>+LEFT(U1108,4)</f>
        <v>PRIM</v>
      </c>
      <c r="K1108" t="s">
        <v>10</v>
      </c>
      <c r="L1108" s="47">
        <v>1200</v>
      </c>
      <c r="M1108" t="s">
        <v>1472</v>
      </c>
      <c r="N1108" t="s">
        <v>11</v>
      </c>
      <c r="O1108" s="50">
        <v>0.82</v>
      </c>
      <c r="P1108" s="9">
        <f>ROUND(O1108*L1108,2)</f>
        <v>984</v>
      </c>
      <c r="Q1108" s="10">
        <f>IF(N1108="HKD",7.8,IF(N1108="CNY",7.30034,1))</f>
        <v>7.3003400000000003</v>
      </c>
      <c r="R1108" s="10">
        <f>+ROUND(O1108/Q1108,4)</f>
        <v>0.1123</v>
      </c>
      <c r="S1108" s="11">
        <f>ROUND(R1108*L1108,2)</f>
        <v>134.76</v>
      </c>
      <c r="T1108" s="10" t="s">
        <v>349</v>
      </c>
      <c r="U1108" t="s">
        <v>181</v>
      </c>
    </row>
    <row r="1109" spans="1:21">
      <c r="A1109" t="s">
        <v>2338</v>
      </c>
      <c r="B1109" s="20">
        <v>45726</v>
      </c>
      <c r="C1109" s="20">
        <v>45674</v>
      </c>
      <c r="D1109" t="s">
        <v>169</v>
      </c>
      <c r="E1109" t="s">
        <v>170</v>
      </c>
      <c r="G1109" t="s">
        <v>2862</v>
      </c>
      <c r="H1109" t="s">
        <v>646</v>
      </c>
      <c r="I1109" t="s">
        <v>647</v>
      </c>
      <c r="J1109" s="8" t="str">
        <f>+LEFT(U1109,4)</f>
        <v>PRIM</v>
      </c>
      <c r="K1109" t="s">
        <v>10</v>
      </c>
      <c r="L1109" s="47">
        <v>6500</v>
      </c>
      <c r="M1109" t="s">
        <v>1472</v>
      </c>
      <c r="N1109" t="s">
        <v>11</v>
      </c>
      <c r="O1109" s="50">
        <v>1.46</v>
      </c>
      <c r="P1109" s="9">
        <f>ROUND(O1109*L1109,2)</f>
        <v>9490</v>
      </c>
      <c r="Q1109" s="10">
        <f>IF(N1109="HKD",7.8,IF(N1109="CNY",7.30034,1))</f>
        <v>7.3003400000000003</v>
      </c>
      <c r="R1109" s="10">
        <f>+ROUND(O1109/Q1109,4)</f>
        <v>0.2</v>
      </c>
      <c r="S1109" s="11">
        <f>ROUND(R1109*L1109,2)</f>
        <v>1300</v>
      </c>
      <c r="T1109" s="10" t="s">
        <v>349</v>
      </c>
      <c r="U1109" t="s">
        <v>181</v>
      </c>
    </row>
    <row r="1110" spans="1:21">
      <c r="A1110" t="s">
        <v>2545</v>
      </c>
      <c r="B1110" s="20">
        <v>45726</v>
      </c>
      <c r="C1110" s="20">
        <v>45714</v>
      </c>
      <c r="D1110" t="s">
        <v>235</v>
      </c>
      <c r="E1110" t="s">
        <v>236</v>
      </c>
      <c r="G1110" t="s">
        <v>2923</v>
      </c>
      <c r="H1110" t="s">
        <v>1352</v>
      </c>
      <c r="I1110" t="s">
        <v>1353</v>
      </c>
      <c r="J1110" s="8" t="str">
        <f>+LEFT(U1110,4)</f>
        <v>RIV-</v>
      </c>
      <c r="K1110" t="s">
        <v>10</v>
      </c>
      <c r="L1110" s="47">
        <v>80000</v>
      </c>
      <c r="M1110" t="s">
        <v>1472</v>
      </c>
      <c r="N1110" t="s">
        <v>11</v>
      </c>
      <c r="O1110" s="50">
        <v>0.13150000000000001</v>
      </c>
      <c r="P1110" s="9">
        <f>ROUND(O1110*L1110,2)</f>
        <v>10520</v>
      </c>
      <c r="Q1110" s="10">
        <f>IF(N1110="HKD",7.8,IF(N1110="CNY",7.30034,1))</f>
        <v>7.3003400000000003</v>
      </c>
      <c r="R1110" s="10">
        <f>+ROUND(O1110/Q1110,4)</f>
        <v>1.7999999999999999E-2</v>
      </c>
      <c r="S1110" s="11">
        <f>ROUND(R1110*L1110,2)</f>
        <v>1440</v>
      </c>
      <c r="T1110" s="10" t="s">
        <v>349</v>
      </c>
      <c r="U1110" t="s">
        <v>132</v>
      </c>
    </row>
    <row r="1111" spans="1:21">
      <c r="A1111" t="s">
        <v>2400</v>
      </c>
      <c r="B1111" s="20">
        <v>45726</v>
      </c>
      <c r="C1111" s="20">
        <v>45698</v>
      </c>
      <c r="D1111" t="s">
        <v>235</v>
      </c>
      <c r="E1111" t="s">
        <v>236</v>
      </c>
      <c r="G1111" t="s">
        <v>2923</v>
      </c>
      <c r="H1111" t="s">
        <v>1361</v>
      </c>
      <c r="I1111" t="s">
        <v>1362</v>
      </c>
      <c r="J1111" s="8" t="str">
        <f>+LEFT(U1111,4)</f>
        <v>RIV-</v>
      </c>
      <c r="K1111" t="s">
        <v>10</v>
      </c>
      <c r="L1111" s="47">
        <v>10000</v>
      </c>
      <c r="M1111" t="s">
        <v>1472</v>
      </c>
      <c r="N1111" t="s">
        <v>11</v>
      </c>
      <c r="O1111" s="50">
        <v>0.17649999999999999</v>
      </c>
      <c r="P1111" s="9">
        <f>ROUND(O1111*L1111,2)</f>
        <v>1765</v>
      </c>
      <c r="Q1111" s="10">
        <f>IF(N1111="HKD",7.8,IF(N1111="CNY",7.30034,1))</f>
        <v>7.3003400000000003</v>
      </c>
      <c r="R1111" s="10">
        <f>+ROUND(O1111/Q1111,4)</f>
        <v>2.4199999999999999E-2</v>
      </c>
      <c r="S1111" s="11">
        <f>ROUND(R1111*L1111,2)</f>
        <v>242</v>
      </c>
      <c r="T1111" s="10" t="s">
        <v>349</v>
      </c>
      <c r="U1111" t="s">
        <v>132</v>
      </c>
    </row>
    <row r="1112" spans="1:21">
      <c r="A1112" t="s">
        <v>2620</v>
      </c>
      <c r="B1112" s="20">
        <v>45726</v>
      </c>
      <c r="C1112" s="20">
        <v>45721</v>
      </c>
      <c r="D1112" t="s">
        <v>169</v>
      </c>
      <c r="E1112" t="s">
        <v>170</v>
      </c>
      <c r="G1112" t="s">
        <v>3015</v>
      </c>
      <c r="H1112" t="s">
        <v>3204</v>
      </c>
      <c r="I1112" t="s">
        <v>3411</v>
      </c>
      <c r="J1112" s="8" t="str">
        <f>+LEFT(U1112,4)</f>
        <v>STKR</v>
      </c>
      <c r="K1112" t="s">
        <v>10</v>
      </c>
      <c r="L1112" s="47">
        <v>1010</v>
      </c>
      <c r="M1112" t="s">
        <v>1472</v>
      </c>
      <c r="N1112" t="s">
        <v>11</v>
      </c>
      <c r="O1112" s="50">
        <v>0.06</v>
      </c>
      <c r="P1112" s="9">
        <f>ROUND(O1112*L1112,2)</f>
        <v>60.6</v>
      </c>
      <c r="Q1112" s="10">
        <f>IF(N1112="HKD",7.8,IF(N1112="CNY",7.30034,1))</f>
        <v>7.3003400000000003</v>
      </c>
      <c r="R1112" s="10">
        <f>+ROUND(O1112/Q1112,4)</f>
        <v>8.2000000000000007E-3</v>
      </c>
      <c r="S1112" s="11">
        <f>ROUND(R1112*L1112,2)</f>
        <v>8.2799999999999994</v>
      </c>
      <c r="T1112" s="10" t="s">
        <v>349</v>
      </c>
      <c r="U1112" t="s">
        <v>18</v>
      </c>
    </row>
    <row r="1113" spans="1:21">
      <c r="A1113" t="s">
        <v>2621</v>
      </c>
      <c r="B1113" s="20">
        <v>45726</v>
      </c>
      <c r="C1113" s="20">
        <v>45721</v>
      </c>
      <c r="D1113" t="s">
        <v>169</v>
      </c>
      <c r="E1113" t="s">
        <v>170</v>
      </c>
      <c r="G1113" t="s">
        <v>3015</v>
      </c>
      <c r="H1113" t="s">
        <v>1320</v>
      </c>
      <c r="I1113" t="s">
        <v>1321</v>
      </c>
      <c r="J1113" s="8" t="str">
        <f>+LEFT(U1113,4)</f>
        <v>STKR</v>
      </c>
      <c r="K1113" t="s">
        <v>10</v>
      </c>
      <c r="L1113" s="47">
        <v>1010</v>
      </c>
      <c r="M1113" t="s">
        <v>1472</v>
      </c>
      <c r="N1113" t="s">
        <v>11</v>
      </c>
      <c r="O1113" s="50">
        <v>0.06</v>
      </c>
      <c r="P1113" s="9">
        <f>ROUND(O1113*L1113,2)</f>
        <v>60.6</v>
      </c>
      <c r="Q1113" s="10">
        <f>IF(N1113="HKD",7.8,IF(N1113="CNY",7.30034,1))</f>
        <v>7.3003400000000003</v>
      </c>
      <c r="R1113" s="10">
        <f>+ROUND(O1113/Q1113,4)</f>
        <v>8.2000000000000007E-3</v>
      </c>
      <c r="S1113" s="11">
        <f>ROUND(R1113*L1113,2)</f>
        <v>8.2799999999999994</v>
      </c>
      <c r="T1113" s="10" t="s">
        <v>349</v>
      </c>
      <c r="U1113" t="s">
        <v>18</v>
      </c>
    </row>
    <row r="1114" spans="1:21">
      <c r="A1114" t="s">
        <v>2622</v>
      </c>
      <c r="B1114" s="20">
        <v>45726</v>
      </c>
      <c r="C1114" s="20">
        <v>45721</v>
      </c>
      <c r="D1114" t="s">
        <v>169</v>
      </c>
      <c r="E1114" t="s">
        <v>170</v>
      </c>
      <c r="G1114" t="s">
        <v>3015</v>
      </c>
      <c r="H1114" t="s">
        <v>3205</v>
      </c>
      <c r="I1114" t="s">
        <v>3412</v>
      </c>
      <c r="J1114" s="8" t="str">
        <f>+LEFT(U1114,4)</f>
        <v>STKR</v>
      </c>
      <c r="K1114" t="s">
        <v>10</v>
      </c>
      <c r="L1114" s="47">
        <v>1010</v>
      </c>
      <c r="M1114" t="s">
        <v>1472</v>
      </c>
      <c r="N1114" t="s">
        <v>11</v>
      </c>
      <c r="O1114" s="50">
        <v>0.06</v>
      </c>
      <c r="P1114" s="9">
        <f>ROUND(O1114*L1114,2)</f>
        <v>60.6</v>
      </c>
      <c r="Q1114" s="10">
        <f>IF(N1114="HKD",7.8,IF(N1114="CNY",7.30034,1))</f>
        <v>7.3003400000000003</v>
      </c>
      <c r="R1114" s="10">
        <f>+ROUND(O1114/Q1114,4)</f>
        <v>8.2000000000000007E-3</v>
      </c>
      <c r="S1114" s="11">
        <f>ROUND(R1114*L1114,2)</f>
        <v>8.2799999999999994</v>
      </c>
      <c r="T1114" s="10" t="s">
        <v>349</v>
      </c>
      <c r="U1114" t="s">
        <v>18</v>
      </c>
    </row>
    <row r="1115" spans="1:21">
      <c r="A1115" t="s">
        <v>2619</v>
      </c>
      <c r="B1115" s="20">
        <v>45726</v>
      </c>
      <c r="C1115" s="20">
        <v>45721</v>
      </c>
      <c r="D1115" t="s">
        <v>169</v>
      </c>
      <c r="E1115" t="s">
        <v>170</v>
      </c>
      <c r="G1115" t="s">
        <v>3015</v>
      </c>
      <c r="H1115" t="s">
        <v>1324</v>
      </c>
      <c r="I1115" t="s">
        <v>1325</v>
      </c>
      <c r="J1115" s="8" t="str">
        <f>+LEFT(U1115,4)</f>
        <v>STKR</v>
      </c>
      <c r="K1115" t="s">
        <v>10</v>
      </c>
      <c r="L1115" s="47">
        <v>1010</v>
      </c>
      <c r="M1115" t="s">
        <v>1472</v>
      </c>
      <c r="N1115" t="s">
        <v>11</v>
      </c>
      <c r="O1115" s="50">
        <v>0.08</v>
      </c>
      <c r="P1115" s="9">
        <f>ROUND(O1115*L1115,2)</f>
        <v>80.8</v>
      </c>
      <c r="Q1115" s="10">
        <f>IF(N1115="HKD",7.8,IF(N1115="CNY",7.30034,1))</f>
        <v>7.3003400000000003</v>
      </c>
      <c r="R1115" s="10">
        <f>+ROUND(O1115/Q1115,4)</f>
        <v>1.0999999999999999E-2</v>
      </c>
      <c r="S1115" s="11">
        <f>ROUND(R1115*L1115,2)</f>
        <v>11.11</v>
      </c>
      <c r="T1115" s="10" t="s">
        <v>349</v>
      </c>
      <c r="U1115" t="s">
        <v>18</v>
      </c>
    </row>
    <row r="1116" spans="1:21">
      <c r="A1116" t="s">
        <v>2327</v>
      </c>
      <c r="B1116" s="20">
        <v>45726</v>
      </c>
      <c r="C1116" s="20">
        <v>45664</v>
      </c>
      <c r="D1116" t="s">
        <v>2817</v>
      </c>
      <c r="E1116" t="s">
        <v>2818</v>
      </c>
      <c r="G1116" t="s">
        <v>2883</v>
      </c>
      <c r="H1116" t="s">
        <v>3083</v>
      </c>
      <c r="I1116" t="s">
        <v>3299</v>
      </c>
      <c r="J1116" s="8" t="str">
        <f>+LEFT(U1116,4)</f>
        <v>STM-</v>
      </c>
      <c r="K1116" t="s">
        <v>10</v>
      </c>
      <c r="L1116" s="47">
        <v>1008</v>
      </c>
      <c r="M1116" t="s">
        <v>1472</v>
      </c>
      <c r="N1116" t="s">
        <v>2246</v>
      </c>
      <c r="O1116" s="50">
        <v>6</v>
      </c>
      <c r="P1116" s="9">
        <f>ROUND(O1116*L1116,2)</f>
        <v>6048</v>
      </c>
      <c r="Q1116" s="10">
        <f>IF(N1116="HKD",7.8,IF(N1116="CNY",7.30034,1))</f>
        <v>1</v>
      </c>
      <c r="R1116" s="10">
        <f>+ROUND(O1116/Q1116,4)</f>
        <v>6</v>
      </c>
      <c r="S1116" s="11">
        <f>ROUND(R1116*L1116,2)</f>
        <v>6048</v>
      </c>
      <c r="T1116" s="10" t="s">
        <v>349</v>
      </c>
      <c r="U1116" t="s">
        <v>3482</v>
      </c>
    </row>
    <row r="1117" spans="1:21">
      <c r="A1117" t="s">
        <v>2454</v>
      </c>
      <c r="B1117" s="20">
        <v>45726</v>
      </c>
      <c r="C1117" s="20">
        <v>45705</v>
      </c>
      <c r="D1117" t="s">
        <v>2817</v>
      </c>
      <c r="E1117" t="s">
        <v>2818</v>
      </c>
      <c r="G1117" t="s">
        <v>2941</v>
      </c>
      <c r="H1117" t="s">
        <v>3071</v>
      </c>
      <c r="I1117" t="s">
        <v>3288</v>
      </c>
      <c r="J1117" s="8" t="str">
        <f>+LEFT(U1117,4)</f>
        <v>T&amp;G-</v>
      </c>
      <c r="K1117" t="s">
        <v>10</v>
      </c>
      <c r="L1117" s="47">
        <v>1000</v>
      </c>
      <c r="M1117" t="s">
        <v>1472</v>
      </c>
      <c r="N1117" t="s">
        <v>2246</v>
      </c>
      <c r="O1117" s="50">
        <v>0.18</v>
      </c>
      <c r="P1117" s="9">
        <f>ROUND(O1117*L1117,2)</f>
        <v>180</v>
      </c>
      <c r="Q1117" s="10">
        <f>IF(N1117="HKD",7.8,IF(N1117="CNY",7.30034,1))</f>
        <v>1</v>
      </c>
      <c r="R1117" s="10">
        <f>+ROUND(O1117/Q1117,4)</f>
        <v>0.18</v>
      </c>
      <c r="S1117" s="11">
        <f>ROUND(R1117*L1117,2)</f>
        <v>180</v>
      </c>
      <c r="T1117" s="10" t="s">
        <v>349</v>
      </c>
      <c r="U1117" t="s">
        <v>2245</v>
      </c>
    </row>
    <row r="1118" spans="1:21">
      <c r="A1118" t="s">
        <v>2453</v>
      </c>
      <c r="B1118" s="20">
        <v>45726</v>
      </c>
      <c r="C1118" s="20">
        <v>45705</v>
      </c>
      <c r="D1118" t="s">
        <v>2817</v>
      </c>
      <c r="E1118" t="s">
        <v>2818</v>
      </c>
      <c r="G1118" t="s">
        <v>2941</v>
      </c>
      <c r="H1118" t="s">
        <v>3070</v>
      </c>
      <c r="I1118" t="s">
        <v>3287</v>
      </c>
      <c r="J1118" s="8" t="str">
        <f>+LEFT(U1118,4)</f>
        <v>T&amp;G-</v>
      </c>
      <c r="K1118" t="s">
        <v>10</v>
      </c>
      <c r="L1118" s="47">
        <v>1000</v>
      </c>
      <c r="M1118" t="s">
        <v>1472</v>
      </c>
      <c r="N1118" t="s">
        <v>2246</v>
      </c>
      <c r="O1118" s="50">
        <v>0.2</v>
      </c>
      <c r="P1118" s="9">
        <f>ROUND(O1118*L1118,2)</f>
        <v>200</v>
      </c>
      <c r="Q1118" s="10">
        <f>IF(N1118="HKD",7.8,IF(N1118="CNY",7.30034,1))</f>
        <v>1</v>
      </c>
      <c r="R1118" s="10">
        <f>+ROUND(O1118/Q1118,4)</f>
        <v>0.2</v>
      </c>
      <c r="S1118" s="11">
        <f>ROUND(R1118*L1118,2)</f>
        <v>200</v>
      </c>
      <c r="T1118" s="10" t="s">
        <v>349</v>
      </c>
      <c r="U1118" t="s">
        <v>2245</v>
      </c>
    </row>
    <row r="1119" spans="1:21">
      <c r="A1119" t="s">
        <v>2452</v>
      </c>
      <c r="B1119" s="20">
        <v>45726</v>
      </c>
      <c r="C1119" s="20">
        <v>45705</v>
      </c>
      <c r="D1119" t="s">
        <v>2817</v>
      </c>
      <c r="E1119" t="s">
        <v>2818</v>
      </c>
      <c r="G1119" t="s">
        <v>2941</v>
      </c>
      <c r="H1119" t="s">
        <v>3069</v>
      </c>
      <c r="I1119" t="s">
        <v>3286</v>
      </c>
      <c r="J1119" s="8" t="str">
        <f>+LEFT(U1119,4)</f>
        <v>T&amp;G-</v>
      </c>
      <c r="K1119" t="s">
        <v>10</v>
      </c>
      <c r="L1119" s="47">
        <v>1000</v>
      </c>
      <c r="M1119" t="s">
        <v>1472</v>
      </c>
      <c r="N1119" t="s">
        <v>2246</v>
      </c>
      <c r="O1119" s="50">
        <v>0.23</v>
      </c>
      <c r="P1119" s="9">
        <f>ROUND(O1119*L1119,2)</f>
        <v>230</v>
      </c>
      <c r="Q1119" s="10">
        <f>IF(N1119="HKD",7.8,IF(N1119="CNY",7.30034,1))</f>
        <v>1</v>
      </c>
      <c r="R1119" s="10">
        <f>+ROUND(O1119/Q1119,4)</f>
        <v>0.23</v>
      </c>
      <c r="S1119" s="11">
        <f>ROUND(R1119*L1119,2)</f>
        <v>230</v>
      </c>
      <c r="T1119" s="10" t="s">
        <v>349</v>
      </c>
      <c r="U1119" t="s">
        <v>2245</v>
      </c>
    </row>
    <row r="1120" spans="1:21">
      <c r="A1120" t="s">
        <v>2393</v>
      </c>
      <c r="B1120" s="20">
        <v>45726</v>
      </c>
      <c r="C1120" s="20">
        <v>45695</v>
      </c>
      <c r="D1120" t="s">
        <v>169</v>
      </c>
      <c r="E1120" t="s">
        <v>170</v>
      </c>
      <c r="G1120" t="s">
        <v>2919</v>
      </c>
      <c r="H1120" t="s">
        <v>3094</v>
      </c>
      <c r="I1120" t="s">
        <v>1628</v>
      </c>
      <c r="J1120" s="8" t="str">
        <f>+LEFT(U1120,4)</f>
        <v>WACD</v>
      </c>
      <c r="K1120" t="s">
        <v>10</v>
      </c>
      <c r="L1120" s="47">
        <v>1000</v>
      </c>
      <c r="M1120" t="s">
        <v>1472</v>
      </c>
      <c r="N1120" t="s">
        <v>11</v>
      </c>
      <c r="O1120" s="50">
        <v>0.39200000000000002</v>
      </c>
      <c r="P1120" s="9">
        <f>ROUND(O1120*L1120,2)</f>
        <v>392</v>
      </c>
      <c r="Q1120" s="10">
        <f>IF(N1120="HKD",7.8,IF(N1120="CNY",7.30034,1))</f>
        <v>7.3003400000000003</v>
      </c>
      <c r="R1120" s="10">
        <f>+ROUND(O1120/Q1120,4)</f>
        <v>5.3699999999999998E-2</v>
      </c>
      <c r="S1120" s="11">
        <f>ROUND(R1120*L1120,2)</f>
        <v>53.7</v>
      </c>
      <c r="T1120" s="10" t="s">
        <v>349</v>
      </c>
      <c r="U1120" t="s">
        <v>635</v>
      </c>
    </row>
    <row r="1121" spans="1:21">
      <c r="A1121" t="s">
        <v>1912</v>
      </c>
      <c r="B1121" s="20">
        <v>45723</v>
      </c>
      <c r="C1121" s="20">
        <v>45671</v>
      </c>
      <c r="D1121" t="s">
        <v>128</v>
      </c>
      <c r="E1121" t="s">
        <v>129</v>
      </c>
      <c r="G1121" t="s">
        <v>2867</v>
      </c>
      <c r="H1121" t="s">
        <v>443</v>
      </c>
      <c r="I1121" t="s">
        <v>444</v>
      </c>
      <c r="J1121" s="8" t="str">
        <f>+LEFT(U1121,4)</f>
        <v>FG--</v>
      </c>
      <c r="K1121" t="s">
        <v>10</v>
      </c>
      <c r="L1121" s="47">
        <v>3000</v>
      </c>
      <c r="M1121" t="s">
        <v>1472</v>
      </c>
      <c r="N1121" t="s">
        <v>11</v>
      </c>
      <c r="O1121" s="50">
        <v>1.0021</v>
      </c>
      <c r="P1121" s="9">
        <f>ROUND(O1121*L1121,2)</f>
        <v>3006.3</v>
      </c>
      <c r="Q1121" s="10">
        <f>IF(N1121="HKD",7.8,IF(N1121="CNY",7.30034,1))</f>
        <v>7.3003400000000003</v>
      </c>
      <c r="R1121" s="10">
        <f>+ROUND(O1121/Q1121,4)</f>
        <v>0.13730000000000001</v>
      </c>
      <c r="S1121" s="11">
        <f>ROUND(R1121*L1121,2)</f>
        <v>411.9</v>
      </c>
      <c r="T1121" s="10" t="s">
        <v>349</v>
      </c>
      <c r="U1121" t="s">
        <v>64</v>
      </c>
    </row>
    <row r="1122" spans="1:21">
      <c r="A1122" t="s">
        <v>2283</v>
      </c>
      <c r="B1122" s="20">
        <v>45723</v>
      </c>
      <c r="C1122" s="20">
        <v>45596</v>
      </c>
      <c r="D1122" t="s">
        <v>287</v>
      </c>
      <c r="E1122" t="s">
        <v>288</v>
      </c>
      <c r="G1122" t="s">
        <v>2850</v>
      </c>
      <c r="H1122" t="s">
        <v>3064</v>
      </c>
      <c r="I1122" t="s">
        <v>83</v>
      </c>
      <c r="J1122" s="8" t="s">
        <v>1478</v>
      </c>
      <c r="K1122" t="s">
        <v>10</v>
      </c>
      <c r="L1122" s="47">
        <v>-79</v>
      </c>
      <c r="M1122" t="s">
        <v>1472</v>
      </c>
      <c r="N1122" t="s">
        <v>11</v>
      </c>
      <c r="O1122" s="50">
        <v>7.4237000000000002</v>
      </c>
      <c r="P1122" s="9">
        <f>ROUND(O1122*L1122,2)</f>
        <v>-586.47</v>
      </c>
      <c r="Q1122" s="10">
        <f>IF(N1122="HKD",7.8,IF(N1122="CNY",7.30034,1))</f>
        <v>7.3003400000000003</v>
      </c>
      <c r="R1122" s="10">
        <f>+ROUND(O1122/Q1122,4)</f>
        <v>1.0168999999999999</v>
      </c>
      <c r="S1122" s="11">
        <f>ROUND(R1122*L1122,2)</f>
        <v>-80.34</v>
      </c>
      <c r="T1122" s="10" t="s">
        <v>349</v>
      </c>
      <c r="U1122" t="s">
        <v>36</v>
      </c>
    </row>
    <row r="1123" spans="1:21">
      <c r="A1123" t="s">
        <v>705</v>
      </c>
      <c r="B1123" s="20">
        <v>45723</v>
      </c>
      <c r="C1123" s="20">
        <v>45639</v>
      </c>
      <c r="D1123" t="s">
        <v>287</v>
      </c>
      <c r="E1123" t="s">
        <v>288</v>
      </c>
      <c r="G1123" t="s">
        <v>2850</v>
      </c>
      <c r="H1123" t="s">
        <v>703</v>
      </c>
      <c r="I1123" t="s">
        <v>704</v>
      </c>
      <c r="J1123" s="8" t="s">
        <v>1478</v>
      </c>
      <c r="K1123" t="s">
        <v>10</v>
      </c>
      <c r="L1123" s="47">
        <v>-78</v>
      </c>
      <c r="M1123" t="s">
        <v>1472</v>
      </c>
      <c r="N1123" t="s">
        <v>11</v>
      </c>
      <c r="O1123" s="50">
        <v>7.4237000000000002</v>
      </c>
      <c r="P1123" s="9">
        <f>ROUND(O1123*L1123,2)</f>
        <v>-579.04999999999995</v>
      </c>
      <c r="Q1123" s="10">
        <f>IF(N1123="HKD",7.8,IF(N1123="CNY",7.30034,1))</f>
        <v>7.3003400000000003</v>
      </c>
      <c r="R1123" s="10">
        <f>+ROUND(O1123/Q1123,4)</f>
        <v>1.0168999999999999</v>
      </c>
      <c r="S1123" s="11">
        <f>ROUND(R1123*L1123,2)</f>
        <v>-79.319999999999993</v>
      </c>
      <c r="T1123" s="10" t="s">
        <v>349</v>
      </c>
      <c r="U1123" t="s">
        <v>36</v>
      </c>
    </row>
    <row r="1124" spans="1:21">
      <c r="A1124" t="s">
        <v>2342</v>
      </c>
      <c r="B1124" s="20">
        <v>45723</v>
      </c>
      <c r="C1124" s="20">
        <v>45674</v>
      </c>
      <c r="D1124" t="s">
        <v>287</v>
      </c>
      <c r="E1124" t="s">
        <v>288</v>
      </c>
      <c r="G1124" t="s">
        <v>2897</v>
      </c>
      <c r="H1124" t="s">
        <v>3064</v>
      </c>
      <c r="I1124" t="s">
        <v>83</v>
      </c>
      <c r="J1124" s="8" t="s">
        <v>1478</v>
      </c>
      <c r="K1124" t="s">
        <v>10</v>
      </c>
      <c r="L1124" s="47">
        <v>2100</v>
      </c>
      <c r="M1124" t="s">
        <v>1472</v>
      </c>
      <c r="N1124" t="s">
        <v>11</v>
      </c>
      <c r="O1124" s="50">
        <v>7.4237000000000002</v>
      </c>
      <c r="P1124" s="9">
        <f>ROUND(O1124*L1124,2)</f>
        <v>15589.77</v>
      </c>
      <c r="Q1124" s="10">
        <f>IF(N1124="HKD",7.8,IF(N1124="CNY",7.30034,1))</f>
        <v>7.3003400000000003</v>
      </c>
      <c r="R1124" s="10">
        <f>+ROUND(O1124/Q1124,4)</f>
        <v>1.0168999999999999</v>
      </c>
      <c r="S1124" s="11">
        <f>ROUND(R1124*L1124,2)</f>
        <v>2135.4899999999998</v>
      </c>
      <c r="T1124" s="10" t="s">
        <v>349</v>
      </c>
      <c r="U1124" t="s">
        <v>36</v>
      </c>
    </row>
    <row r="1125" spans="1:21">
      <c r="A1125" t="s">
        <v>2284</v>
      </c>
      <c r="B1125" s="20">
        <v>45723</v>
      </c>
      <c r="C1125" s="20">
        <v>45604</v>
      </c>
      <c r="D1125" t="s">
        <v>287</v>
      </c>
      <c r="E1125" t="s">
        <v>288</v>
      </c>
      <c r="G1125" t="s">
        <v>2850</v>
      </c>
      <c r="H1125" t="s">
        <v>75</v>
      </c>
      <c r="I1125" t="s">
        <v>3280</v>
      </c>
      <c r="J1125" s="8" t="s">
        <v>1478</v>
      </c>
      <c r="K1125" t="s">
        <v>10</v>
      </c>
      <c r="L1125" s="47">
        <v>-100</v>
      </c>
      <c r="M1125" t="s">
        <v>1472</v>
      </c>
      <c r="N1125" t="s">
        <v>11</v>
      </c>
      <c r="O1125" s="50">
        <v>9.2149999999999999</v>
      </c>
      <c r="P1125" s="9">
        <f>ROUND(O1125*L1125,2)</f>
        <v>-921.5</v>
      </c>
      <c r="Q1125" s="10">
        <f>IF(N1125="HKD",7.8,IF(N1125="CNY",7.30034,1))</f>
        <v>7.3003400000000003</v>
      </c>
      <c r="R1125" s="10">
        <f>+ROUND(O1125/Q1125,4)</f>
        <v>1.2623</v>
      </c>
      <c r="S1125" s="11">
        <f>ROUND(R1125*L1125,2)</f>
        <v>-126.23</v>
      </c>
      <c r="T1125" s="10" t="s">
        <v>349</v>
      </c>
      <c r="U1125" t="s">
        <v>36</v>
      </c>
    </row>
    <row r="1126" spans="1:21">
      <c r="A1126" t="s">
        <v>2054</v>
      </c>
      <c r="B1126" s="20">
        <v>45723</v>
      </c>
      <c r="C1126" s="20">
        <v>45656</v>
      </c>
      <c r="D1126" t="s">
        <v>128</v>
      </c>
      <c r="E1126" t="s">
        <v>129</v>
      </c>
      <c r="G1126" t="s">
        <v>2867</v>
      </c>
      <c r="H1126" t="s">
        <v>1762</v>
      </c>
      <c r="I1126" t="s">
        <v>1763</v>
      </c>
      <c r="J1126" s="8" t="str">
        <f>+LEFT(U1126,4)</f>
        <v>HDL-</v>
      </c>
      <c r="K1126" t="s">
        <v>10</v>
      </c>
      <c r="L1126" s="47">
        <v>3200</v>
      </c>
      <c r="M1126" t="s">
        <v>1472</v>
      </c>
      <c r="N1126" t="s">
        <v>11</v>
      </c>
      <c r="O1126" s="50">
        <v>4.5491999999999999</v>
      </c>
      <c r="P1126" s="9">
        <f>ROUND(O1126*L1126,2)</f>
        <v>14557.44</v>
      </c>
      <c r="Q1126" s="10">
        <f>IF(N1126="HKD",7.8,IF(N1126="CNY",7.30034,1))</f>
        <v>7.3003400000000003</v>
      </c>
      <c r="R1126" s="10">
        <f>+ROUND(O1126/Q1126,4)</f>
        <v>0.62309999999999999</v>
      </c>
      <c r="S1126" s="11">
        <f>ROUND(R1126*L1126,2)</f>
        <v>1993.92</v>
      </c>
      <c r="T1126" s="10" t="s">
        <v>349</v>
      </c>
      <c r="U1126" t="s">
        <v>228</v>
      </c>
    </row>
    <row r="1127" spans="1:21">
      <c r="A1127" t="s">
        <v>2340</v>
      </c>
      <c r="B1127" s="20">
        <v>45723</v>
      </c>
      <c r="C1127" s="20">
        <v>45674</v>
      </c>
      <c r="D1127" t="s">
        <v>128</v>
      </c>
      <c r="E1127" t="s">
        <v>129</v>
      </c>
      <c r="G1127" t="s">
        <v>2867</v>
      </c>
      <c r="H1127" t="s">
        <v>1762</v>
      </c>
      <c r="I1127" t="s">
        <v>1763</v>
      </c>
      <c r="J1127" s="8" t="str">
        <f>+LEFT(U1127,4)</f>
        <v>HDL-</v>
      </c>
      <c r="K1127" t="s">
        <v>10</v>
      </c>
      <c r="L1127" s="47">
        <v>200</v>
      </c>
      <c r="M1127" t="s">
        <v>1472</v>
      </c>
      <c r="N1127" t="s">
        <v>11</v>
      </c>
      <c r="O1127" s="50">
        <v>4.5491999999999999</v>
      </c>
      <c r="P1127" s="9">
        <f>ROUND(O1127*L1127,2)</f>
        <v>909.84</v>
      </c>
      <c r="Q1127" s="10">
        <f>IF(N1127="HKD",7.8,IF(N1127="CNY",7.30034,1))</f>
        <v>7.3003400000000003</v>
      </c>
      <c r="R1127" s="10">
        <f>+ROUND(O1127/Q1127,4)</f>
        <v>0.62309999999999999</v>
      </c>
      <c r="S1127" s="11">
        <f>ROUND(R1127*L1127,2)</f>
        <v>124.62</v>
      </c>
      <c r="T1127" s="10" t="s">
        <v>349</v>
      </c>
      <c r="U1127" t="s">
        <v>228</v>
      </c>
    </row>
    <row r="1128" spans="1:21">
      <c r="A1128" t="s">
        <v>2291</v>
      </c>
      <c r="B1128" s="20">
        <v>45723</v>
      </c>
      <c r="C1128" s="20">
        <v>45636</v>
      </c>
      <c r="D1128" t="s">
        <v>143</v>
      </c>
      <c r="E1128" t="s">
        <v>144</v>
      </c>
      <c r="G1128" t="s">
        <v>2858</v>
      </c>
      <c r="H1128" t="s">
        <v>3065</v>
      </c>
      <c r="I1128" t="s">
        <v>3281</v>
      </c>
      <c r="J1128" s="8" t="str">
        <f>+LEFT(U1128,4)</f>
        <v>HDL-</v>
      </c>
      <c r="K1128" t="s">
        <v>10</v>
      </c>
      <c r="L1128" s="47">
        <v>370</v>
      </c>
      <c r="M1128" t="s">
        <v>1472</v>
      </c>
      <c r="N1128" t="s">
        <v>11</v>
      </c>
      <c r="O1128" s="50">
        <v>15.564299999999999</v>
      </c>
      <c r="P1128" s="9">
        <f>ROUND(O1128*L1128,2)</f>
        <v>5758.79</v>
      </c>
      <c r="Q1128" s="10">
        <f>IF(N1128="HKD",7.8,IF(N1128="CNY",7.30034,1))</f>
        <v>7.3003400000000003</v>
      </c>
      <c r="R1128" s="10">
        <f>+ROUND(O1128/Q1128,4)</f>
        <v>2.1320000000000001</v>
      </c>
      <c r="S1128" s="11">
        <f>ROUND(R1128*L1128,2)</f>
        <v>788.84</v>
      </c>
      <c r="T1128" s="10" t="s">
        <v>349</v>
      </c>
      <c r="U1128" t="s">
        <v>228</v>
      </c>
    </row>
    <row r="1129" spans="1:21">
      <c r="A1129" t="s">
        <v>2292</v>
      </c>
      <c r="B1129" s="20">
        <v>45723</v>
      </c>
      <c r="C1129" s="20">
        <v>45636</v>
      </c>
      <c r="D1129" t="s">
        <v>143</v>
      </c>
      <c r="E1129" t="s">
        <v>144</v>
      </c>
      <c r="G1129" t="s">
        <v>2858</v>
      </c>
      <c r="H1129" t="s">
        <v>3066</v>
      </c>
      <c r="I1129" t="s">
        <v>3282</v>
      </c>
      <c r="J1129" s="8" t="str">
        <f>+LEFT(U1129,4)</f>
        <v>HDL-</v>
      </c>
      <c r="K1129" t="s">
        <v>10</v>
      </c>
      <c r="L1129" s="47">
        <v>500</v>
      </c>
      <c r="M1129" t="s">
        <v>1472</v>
      </c>
      <c r="N1129" t="s">
        <v>11</v>
      </c>
      <c r="O1129" s="50">
        <v>15.564299999999999</v>
      </c>
      <c r="P1129" s="9">
        <f>ROUND(O1129*L1129,2)</f>
        <v>7782.15</v>
      </c>
      <c r="Q1129" s="10">
        <f>IF(N1129="HKD",7.8,IF(N1129="CNY",7.30034,1))</f>
        <v>7.3003400000000003</v>
      </c>
      <c r="R1129" s="10">
        <f>+ROUND(O1129/Q1129,4)</f>
        <v>2.1320000000000001</v>
      </c>
      <c r="S1129" s="11">
        <f>ROUND(R1129*L1129,2)</f>
        <v>1066</v>
      </c>
      <c r="T1129" s="10" t="s">
        <v>349</v>
      </c>
      <c r="U1129" t="s">
        <v>228</v>
      </c>
    </row>
    <row r="1130" spans="1:21">
      <c r="A1130" t="s">
        <v>2456</v>
      </c>
      <c r="B1130" s="20">
        <v>45723</v>
      </c>
      <c r="C1130" s="20">
        <v>45706</v>
      </c>
      <c r="D1130" t="s">
        <v>61</v>
      </c>
      <c r="E1130" t="s">
        <v>61</v>
      </c>
      <c r="G1130" t="s">
        <v>2943</v>
      </c>
      <c r="H1130" t="s">
        <v>221</v>
      </c>
      <c r="I1130" t="s">
        <v>222</v>
      </c>
      <c r="J1130" s="8" t="str">
        <f>+LEFT(U1130,4)</f>
        <v>KNOB</v>
      </c>
      <c r="K1130" t="s">
        <v>10</v>
      </c>
      <c r="L1130" s="47">
        <v>2700</v>
      </c>
      <c r="M1130" t="s">
        <v>1472</v>
      </c>
      <c r="N1130" t="s">
        <v>11</v>
      </c>
      <c r="O1130" s="50">
        <v>1.2455000000000001</v>
      </c>
      <c r="P1130" s="9">
        <f>ROUND(O1130*L1130,2)</f>
        <v>3362.85</v>
      </c>
      <c r="Q1130" s="10">
        <f>IF(N1130="HKD",7.8,IF(N1130="CNY",7.30034,1))</f>
        <v>7.3003400000000003</v>
      </c>
      <c r="R1130" s="10">
        <f>+ROUND(O1130/Q1130,4)</f>
        <v>0.1706</v>
      </c>
      <c r="S1130" s="11">
        <f>ROUND(R1130*L1130,2)</f>
        <v>460.62</v>
      </c>
      <c r="T1130" s="10" t="s">
        <v>349</v>
      </c>
      <c r="U1130" t="s">
        <v>32</v>
      </c>
    </row>
    <row r="1131" spans="1:21">
      <c r="A1131" t="s">
        <v>2324</v>
      </c>
      <c r="B1131" s="20">
        <v>45723</v>
      </c>
      <c r="C1131" s="20">
        <v>45664</v>
      </c>
      <c r="D1131" t="s">
        <v>94</v>
      </c>
      <c r="E1131" t="s">
        <v>95</v>
      </c>
      <c r="G1131" t="s">
        <v>2881</v>
      </c>
      <c r="H1131" t="s">
        <v>997</v>
      </c>
      <c r="I1131" t="s">
        <v>998</v>
      </c>
      <c r="J1131" s="8" t="str">
        <f>+LEFT(U1131,4)</f>
        <v>LID-</v>
      </c>
      <c r="K1131" t="s">
        <v>3481</v>
      </c>
      <c r="L1131" s="47">
        <v>1234</v>
      </c>
      <c r="M1131" t="s">
        <v>1472</v>
      </c>
      <c r="N1131" t="s">
        <v>11</v>
      </c>
      <c r="O1131" s="50">
        <v>3.64</v>
      </c>
      <c r="P1131" s="9">
        <f>ROUND(O1131*L1131,2)</f>
        <v>4491.76</v>
      </c>
      <c r="Q1131" s="10">
        <f>IF(N1131="HKD",7.8,IF(N1131="CNY",7.30034,1))</f>
        <v>7.3003400000000003</v>
      </c>
      <c r="R1131" s="10">
        <f>+ROUND(O1131/Q1131,4)</f>
        <v>0.49859999999999999</v>
      </c>
      <c r="S1131" s="11">
        <f>ROUND(R1131*L1131,2)</f>
        <v>615.27</v>
      </c>
      <c r="T1131" s="10" t="s">
        <v>349</v>
      </c>
      <c r="U1131" t="s">
        <v>368</v>
      </c>
    </row>
    <row r="1132" spans="1:21">
      <c r="A1132" t="s">
        <v>2325</v>
      </c>
      <c r="B1132" s="20">
        <v>45723</v>
      </c>
      <c r="C1132" s="20">
        <v>45664</v>
      </c>
      <c r="D1132" t="s">
        <v>94</v>
      </c>
      <c r="E1132" t="s">
        <v>95</v>
      </c>
      <c r="G1132" t="s">
        <v>2882</v>
      </c>
      <c r="H1132" t="s">
        <v>1750</v>
      </c>
      <c r="I1132" t="s">
        <v>1751</v>
      </c>
      <c r="J1132" s="8" t="str">
        <f>+LEFT(U1132,4)</f>
        <v>LID-</v>
      </c>
      <c r="K1132" t="s">
        <v>3481</v>
      </c>
      <c r="L1132" s="47">
        <v>990</v>
      </c>
      <c r="M1132" t="s">
        <v>1472</v>
      </c>
      <c r="N1132" t="s">
        <v>11</v>
      </c>
      <c r="O1132" s="50">
        <v>3.92</v>
      </c>
      <c r="P1132" s="9">
        <f>ROUND(O1132*L1132,2)</f>
        <v>3880.8</v>
      </c>
      <c r="Q1132" s="10">
        <f>IF(N1132="HKD",7.8,IF(N1132="CNY",7.30034,1))</f>
        <v>7.3003400000000003</v>
      </c>
      <c r="R1132" s="10">
        <f>+ROUND(O1132/Q1132,4)</f>
        <v>0.53700000000000003</v>
      </c>
      <c r="S1132" s="11">
        <f>ROUND(R1132*L1132,2)</f>
        <v>531.63</v>
      </c>
      <c r="T1132" s="10" t="s">
        <v>349</v>
      </c>
      <c r="U1132" t="s">
        <v>368</v>
      </c>
    </row>
    <row r="1133" spans="1:21">
      <c r="A1133" t="s">
        <v>2410</v>
      </c>
      <c r="B1133" s="20">
        <v>45723</v>
      </c>
      <c r="C1133" s="20">
        <v>45700</v>
      </c>
      <c r="D1133" t="s">
        <v>94</v>
      </c>
      <c r="E1133" t="s">
        <v>95</v>
      </c>
      <c r="G1133" t="s">
        <v>2882</v>
      </c>
      <c r="H1133" t="s">
        <v>1750</v>
      </c>
      <c r="I1133" t="s">
        <v>1751</v>
      </c>
      <c r="J1133" s="8" t="str">
        <f>+LEFT(U1133,4)</f>
        <v>LID-</v>
      </c>
      <c r="K1133" t="s">
        <v>3481</v>
      </c>
      <c r="L1133" s="47">
        <v>436</v>
      </c>
      <c r="M1133" t="s">
        <v>1472</v>
      </c>
      <c r="N1133" t="s">
        <v>11</v>
      </c>
      <c r="O1133" s="50">
        <v>3.92</v>
      </c>
      <c r="P1133" s="9">
        <f>ROUND(O1133*L1133,2)</f>
        <v>1709.12</v>
      </c>
      <c r="Q1133" s="10">
        <f>IF(N1133="HKD",7.8,IF(N1133="CNY",7.30034,1))</f>
        <v>7.3003400000000003</v>
      </c>
      <c r="R1133" s="10">
        <f>+ROUND(O1133/Q1133,4)</f>
        <v>0.53700000000000003</v>
      </c>
      <c r="S1133" s="11">
        <f>ROUND(R1133*L1133,2)</f>
        <v>234.13</v>
      </c>
      <c r="T1133" s="10" t="s">
        <v>349</v>
      </c>
      <c r="U1133" t="s">
        <v>368</v>
      </c>
    </row>
    <row r="1134" spans="1:21">
      <c r="A1134" t="s">
        <v>2580</v>
      </c>
      <c r="B1134" s="20">
        <v>45723</v>
      </c>
      <c r="C1134" s="20">
        <v>45716</v>
      </c>
      <c r="D1134" t="s">
        <v>268</v>
      </c>
      <c r="E1134" t="s">
        <v>269</v>
      </c>
      <c r="G1134" t="s">
        <v>3003</v>
      </c>
      <c r="H1134" t="s">
        <v>3184</v>
      </c>
      <c r="I1134" t="s">
        <v>3391</v>
      </c>
      <c r="J1134" s="8" t="str">
        <f>+LEFT(U1134,4)</f>
        <v>MISC</v>
      </c>
      <c r="K1134" t="s">
        <v>10</v>
      </c>
      <c r="L1134" s="47">
        <v>50</v>
      </c>
      <c r="M1134" t="s">
        <v>136</v>
      </c>
      <c r="N1134" t="s">
        <v>11</v>
      </c>
      <c r="O1134" s="50">
        <v>2.57</v>
      </c>
      <c r="P1134" s="9">
        <f>ROUND(O1134*L1134,2)</f>
        <v>128.5</v>
      </c>
      <c r="Q1134" s="10">
        <f>IF(N1134="HKD",7.8,IF(N1134="CNY",7.30034,1))</f>
        <v>7.3003400000000003</v>
      </c>
      <c r="R1134" s="10">
        <f>+ROUND(O1134/Q1134,4)</f>
        <v>0.35199999999999998</v>
      </c>
      <c r="S1134" s="11">
        <f>ROUND(R1134*L1134,2)</f>
        <v>17.600000000000001</v>
      </c>
      <c r="T1134" s="10" t="s">
        <v>349</v>
      </c>
      <c r="U1134" t="s">
        <v>25</v>
      </c>
    </row>
    <row r="1135" spans="1:21">
      <c r="A1135" t="s">
        <v>2581</v>
      </c>
      <c r="B1135" s="20">
        <v>45723</v>
      </c>
      <c r="C1135" s="20">
        <v>45716</v>
      </c>
      <c r="D1135" t="s">
        <v>268</v>
      </c>
      <c r="E1135" t="s">
        <v>269</v>
      </c>
      <c r="G1135" t="s">
        <v>3003</v>
      </c>
      <c r="H1135" t="s">
        <v>1077</v>
      </c>
      <c r="I1135" t="s">
        <v>1078</v>
      </c>
      <c r="J1135" s="8" t="str">
        <f>+LEFT(U1135,4)</f>
        <v>MISC</v>
      </c>
      <c r="K1135" t="s">
        <v>10</v>
      </c>
      <c r="L1135" s="47">
        <v>50</v>
      </c>
      <c r="M1135" t="s">
        <v>136</v>
      </c>
      <c r="N1135" t="s">
        <v>11</v>
      </c>
      <c r="O1135" s="50">
        <v>5.18</v>
      </c>
      <c r="P1135" s="9">
        <f>ROUND(O1135*L1135,2)</f>
        <v>259</v>
      </c>
      <c r="Q1135" s="10">
        <f>IF(N1135="HKD",7.8,IF(N1135="CNY",7.30034,1))</f>
        <v>7.3003400000000003</v>
      </c>
      <c r="R1135" s="10">
        <f>+ROUND(O1135/Q1135,4)</f>
        <v>0.70960000000000001</v>
      </c>
      <c r="S1135" s="11">
        <f>ROUND(R1135*L1135,2)</f>
        <v>35.479999999999997</v>
      </c>
      <c r="T1135" s="10" t="s">
        <v>349</v>
      </c>
      <c r="U1135" t="s">
        <v>25</v>
      </c>
    </row>
    <row r="1136" spans="1:21">
      <c r="A1136" t="s">
        <v>648</v>
      </c>
      <c r="B1136" s="20">
        <v>45723</v>
      </c>
      <c r="C1136" s="20">
        <v>45643</v>
      </c>
      <c r="D1136" t="s">
        <v>169</v>
      </c>
      <c r="E1136" t="s">
        <v>170</v>
      </c>
      <c r="G1136" t="s">
        <v>2863</v>
      </c>
      <c r="H1136" t="s">
        <v>646</v>
      </c>
      <c r="I1136" t="s">
        <v>647</v>
      </c>
      <c r="J1136" s="8" t="str">
        <f>+LEFT(U1136,4)</f>
        <v>PRIM</v>
      </c>
      <c r="K1136" t="s">
        <v>10</v>
      </c>
      <c r="L1136" s="47">
        <v>-1200</v>
      </c>
      <c r="M1136" t="s">
        <v>1472</v>
      </c>
      <c r="N1136" t="s">
        <v>11</v>
      </c>
      <c r="O1136" s="50">
        <v>0.82</v>
      </c>
      <c r="P1136" s="9">
        <f>ROUND(O1136*L1136,2)</f>
        <v>-984</v>
      </c>
      <c r="Q1136" s="10">
        <f>IF(N1136="HKD",7.8,IF(N1136="CNY",7.30034,1))</f>
        <v>7.3003400000000003</v>
      </c>
      <c r="R1136" s="10">
        <f>+ROUND(O1136/Q1136,4)</f>
        <v>0.1123</v>
      </c>
      <c r="S1136" s="11">
        <f>ROUND(R1136*L1136,2)</f>
        <v>-134.76</v>
      </c>
      <c r="T1136" s="10" t="s">
        <v>349</v>
      </c>
      <c r="U1136" t="s">
        <v>181</v>
      </c>
    </row>
    <row r="1137" spans="1:21">
      <c r="A1137" t="s">
        <v>2338</v>
      </c>
      <c r="B1137" s="20">
        <v>45723</v>
      </c>
      <c r="C1137" s="20">
        <v>45674</v>
      </c>
      <c r="D1137" t="s">
        <v>169</v>
      </c>
      <c r="E1137" t="s">
        <v>170</v>
      </c>
      <c r="G1137" t="s">
        <v>2863</v>
      </c>
      <c r="H1137" t="s">
        <v>646</v>
      </c>
      <c r="I1137" t="s">
        <v>647</v>
      </c>
      <c r="J1137" s="8" t="str">
        <f>+LEFT(U1137,4)</f>
        <v>PRIM</v>
      </c>
      <c r="K1137" t="s">
        <v>10</v>
      </c>
      <c r="L1137" s="47">
        <v>-5300</v>
      </c>
      <c r="M1137" t="s">
        <v>1472</v>
      </c>
      <c r="N1137" t="s">
        <v>11</v>
      </c>
      <c r="O1137" s="50">
        <v>1.46</v>
      </c>
      <c r="P1137" s="9">
        <f>ROUND(O1137*L1137,2)</f>
        <v>-7738</v>
      </c>
      <c r="Q1137" s="10">
        <f>IF(N1137="HKD",7.8,IF(N1137="CNY",7.30034,1))</f>
        <v>7.3003400000000003</v>
      </c>
      <c r="R1137" s="10">
        <f>+ROUND(O1137/Q1137,4)</f>
        <v>0.2</v>
      </c>
      <c r="S1137" s="11">
        <f>ROUND(R1137*L1137,2)</f>
        <v>-1060</v>
      </c>
      <c r="T1137" s="10" t="s">
        <v>349</v>
      </c>
      <c r="U1137" t="s">
        <v>181</v>
      </c>
    </row>
    <row r="1138" spans="1:21">
      <c r="A1138" t="s">
        <v>2338</v>
      </c>
      <c r="B1138" s="20">
        <v>45723</v>
      </c>
      <c r="C1138" s="20">
        <v>45674</v>
      </c>
      <c r="D1138" t="s">
        <v>169</v>
      </c>
      <c r="E1138" t="s">
        <v>170</v>
      </c>
      <c r="G1138" t="s">
        <v>2863</v>
      </c>
      <c r="H1138" t="s">
        <v>646</v>
      </c>
      <c r="I1138" t="s">
        <v>647</v>
      </c>
      <c r="J1138" s="8" t="str">
        <f>+LEFT(U1138,4)</f>
        <v>PRIM</v>
      </c>
      <c r="K1138" t="s">
        <v>10</v>
      </c>
      <c r="L1138" s="47">
        <v>-1200</v>
      </c>
      <c r="M1138" t="s">
        <v>1472</v>
      </c>
      <c r="N1138" t="s">
        <v>11</v>
      </c>
      <c r="O1138" s="50">
        <v>1.46</v>
      </c>
      <c r="P1138" s="9">
        <f>ROUND(O1138*L1138,2)</f>
        <v>-1752</v>
      </c>
      <c r="Q1138" s="10">
        <f>IF(N1138="HKD",7.8,IF(N1138="CNY",7.30034,1))</f>
        <v>7.3003400000000003</v>
      </c>
      <c r="R1138" s="10">
        <f>+ROUND(O1138/Q1138,4)</f>
        <v>0.2</v>
      </c>
      <c r="S1138" s="11">
        <f>ROUND(R1138*L1138,2)</f>
        <v>-240</v>
      </c>
      <c r="T1138" s="10" t="s">
        <v>349</v>
      </c>
      <c r="U1138" t="s">
        <v>181</v>
      </c>
    </row>
    <row r="1139" spans="1:21">
      <c r="A1139" t="s">
        <v>2373</v>
      </c>
      <c r="B1139" s="20">
        <v>45723</v>
      </c>
      <c r="C1139" s="20">
        <v>45695</v>
      </c>
      <c r="D1139" t="s">
        <v>128</v>
      </c>
      <c r="E1139" t="s">
        <v>129</v>
      </c>
      <c r="G1139" t="s">
        <v>2867</v>
      </c>
      <c r="H1139" t="s">
        <v>3090</v>
      </c>
      <c r="I1139" t="s">
        <v>3306</v>
      </c>
      <c r="J1139" s="8" t="str">
        <f>+LEFT(U1139,4)</f>
        <v>RIV-</v>
      </c>
      <c r="K1139" t="s">
        <v>10</v>
      </c>
      <c r="L1139" s="47">
        <v>12000</v>
      </c>
      <c r="M1139" t="s">
        <v>1472</v>
      </c>
      <c r="N1139" t="s">
        <v>11</v>
      </c>
      <c r="O1139" s="50">
        <v>6.2199999999999998E-2</v>
      </c>
      <c r="P1139" s="9">
        <f>ROUND(O1139*L1139,2)</f>
        <v>746.4</v>
      </c>
      <c r="Q1139" s="10">
        <f>IF(N1139="HKD",7.8,IF(N1139="CNY",7.30034,1))</f>
        <v>7.3003400000000003</v>
      </c>
      <c r="R1139" s="10">
        <f>+ROUND(O1139/Q1139,4)</f>
        <v>8.5000000000000006E-3</v>
      </c>
      <c r="S1139" s="11">
        <f>ROUND(R1139*L1139,2)</f>
        <v>102</v>
      </c>
      <c r="T1139" s="10" t="s">
        <v>349</v>
      </c>
      <c r="U1139" t="s">
        <v>132</v>
      </c>
    </row>
    <row r="1140" spans="1:21">
      <c r="A1140" t="s">
        <v>2467</v>
      </c>
      <c r="B1140" s="20">
        <v>45723</v>
      </c>
      <c r="C1140" s="20">
        <v>45706</v>
      </c>
      <c r="D1140" t="s">
        <v>128</v>
      </c>
      <c r="E1140" t="s">
        <v>129</v>
      </c>
      <c r="G1140" t="s">
        <v>2867</v>
      </c>
      <c r="H1140" t="s">
        <v>954</v>
      </c>
      <c r="I1140" t="s">
        <v>955</v>
      </c>
      <c r="J1140" s="8" t="str">
        <f>+LEFT(U1140,4)</f>
        <v>RIV-</v>
      </c>
      <c r="K1140" t="s">
        <v>10</v>
      </c>
      <c r="L1140" s="47">
        <v>20000</v>
      </c>
      <c r="M1140" t="s">
        <v>1472</v>
      </c>
      <c r="N1140" t="s">
        <v>11</v>
      </c>
      <c r="O1140" s="50">
        <v>6.8599999999999994E-2</v>
      </c>
      <c r="P1140" s="9">
        <f>ROUND(O1140*L1140,2)</f>
        <v>1372</v>
      </c>
      <c r="Q1140" s="10">
        <f>IF(N1140="HKD",7.8,IF(N1140="CNY",7.30034,1))</f>
        <v>7.3003400000000003</v>
      </c>
      <c r="R1140" s="10">
        <f>+ROUND(O1140/Q1140,4)</f>
        <v>9.4000000000000004E-3</v>
      </c>
      <c r="S1140" s="11">
        <f>ROUND(R1140*L1140,2)</f>
        <v>188</v>
      </c>
      <c r="T1140" s="10" t="s">
        <v>349</v>
      </c>
      <c r="U1140" t="s">
        <v>132</v>
      </c>
    </row>
    <row r="1141" spans="1:21">
      <c r="A1141" t="s">
        <v>2339</v>
      </c>
      <c r="B1141" s="20">
        <v>45723</v>
      </c>
      <c r="C1141" s="20">
        <v>45674</v>
      </c>
      <c r="D1141" t="s">
        <v>806</v>
      </c>
      <c r="E1141" t="s">
        <v>807</v>
      </c>
      <c r="G1141" t="s">
        <v>2896</v>
      </c>
      <c r="H1141" t="s">
        <v>3087</v>
      </c>
      <c r="I1141" t="s">
        <v>3303</v>
      </c>
      <c r="J1141" s="8" t="str">
        <f>+LEFT(U1141,4)</f>
        <v>SWF-</v>
      </c>
      <c r="K1141" t="s">
        <v>10</v>
      </c>
      <c r="L1141" s="47">
        <v>18.7</v>
      </c>
      <c r="M1141" t="s">
        <v>186</v>
      </c>
      <c r="N1141" t="s">
        <v>11</v>
      </c>
      <c r="O1141" s="50">
        <v>16</v>
      </c>
      <c r="P1141" s="9">
        <f>ROUND(O1141*L1141,2)</f>
        <v>299.2</v>
      </c>
      <c r="Q1141" s="10">
        <f>IF(N1141="HKD",7.8,IF(N1141="CNY",7.30034,1))</f>
        <v>7.3003400000000003</v>
      </c>
      <c r="R1141" s="10">
        <f>+ROUND(O1141/Q1141,4)</f>
        <v>2.1917</v>
      </c>
      <c r="S1141" s="11">
        <f>ROUND(R1141*L1141,2)</f>
        <v>40.98</v>
      </c>
      <c r="T1141" s="10" t="s">
        <v>349</v>
      </c>
      <c r="U1141" t="s">
        <v>3483</v>
      </c>
    </row>
    <row r="1142" spans="1:21">
      <c r="A1142" t="s">
        <v>2461</v>
      </c>
      <c r="B1142" s="20">
        <v>45722</v>
      </c>
      <c r="C1142" s="20">
        <v>45706</v>
      </c>
      <c r="D1142" t="s">
        <v>806</v>
      </c>
      <c r="E1142" t="s">
        <v>807</v>
      </c>
      <c r="G1142" t="s">
        <v>2945</v>
      </c>
      <c r="H1142" t="s">
        <v>3139</v>
      </c>
      <c r="I1142" t="s">
        <v>3349</v>
      </c>
      <c r="J1142" s="8" t="str">
        <f>+LEFT(U1142,4)</f>
        <v>BAG-</v>
      </c>
      <c r="K1142" t="s">
        <v>10</v>
      </c>
      <c r="L1142" s="47">
        <v>3000</v>
      </c>
      <c r="M1142" t="s">
        <v>1472</v>
      </c>
      <c r="N1142" t="s">
        <v>11</v>
      </c>
      <c r="O1142" s="50">
        <v>7.2999999999999995E-2</v>
      </c>
      <c r="P1142" s="9">
        <f>ROUND(O1142*L1142,2)</f>
        <v>219</v>
      </c>
      <c r="Q1142" s="10">
        <f>IF(N1142="HKD",7.8,IF(N1142="CNY",7.30034,1))</f>
        <v>7.3003400000000003</v>
      </c>
      <c r="R1142" s="10">
        <f>+ROUND(O1142/Q1142,4)</f>
        <v>0.01</v>
      </c>
      <c r="S1142" s="11">
        <f>ROUND(R1142*L1142,2)</f>
        <v>30</v>
      </c>
      <c r="T1142" s="10" t="s">
        <v>349</v>
      </c>
      <c r="U1142" t="s">
        <v>810</v>
      </c>
    </row>
    <row r="1143" spans="1:21">
      <c r="A1143" t="s">
        <v>2462</v>
      </c>
      <c r="B1143" s="20">
        <v>45722</v>
      </c>
      <c r="C1143" s="20">
        <v>45706</v>
      </c>
      <c r="D1143" t="s">
        <v>806</v>
      </c>
      <c r="E1143" t="s">
        <v>807</v>
      </c>
      <c r="G1143" t="s">
        <v>2945</v>
      </c>
      <c r="H1143" t="s">
        <v>1585</v>
      </c>
      <c r="I1143" t="s">
        <v>1586</v>
      </c>
      <c r="J1143" s="8" t="str">
        <f>+LEFT(U1143,4)</f>
        <v>BAG-</v>
      </c>
      <c r="K1143" t="s">
        <v>10</v>
      </c>
      <c r="L1143" s="47">
        <v>10000</v>
      </c>
      <c r="M1143" t="s">
        <v>1472</v>
      </c>
      <c r="N1143" t="s">
        <v>11</v>
      </c>
      <c r="O1143" s="50">
        <v>0.09</v>
      </c>
      <c r="P1143" s="9">
        <f>ROUND(O1143*L1143,2)</f>
        <v>900</v>
      </c>
      <c r="Q1143" s="10">
        <f>IF(N1143="HKD",7.8,IF(N1143="CNY",7.30034,1))</f>
        <v>7.3003400000000003</v>
      </c>
      <c r="R1143" s="10">
        <f>+ROUND(O1143/Q1143,4)</f>
        <v>1.23E-2</v>
      </c>
      <c r="S1143" s="11">
        <f>ROUND(R1143*L1143,2)</f>
        <v>123</v>
      </c>
      <c r="T1143" s="10" t="s">
        <v>349</v>
      </c>
      <c r="U1143" t="s">
        <v>810</v>
      </c>
    </row>
    <row r="1144" spans="1:21">
      <c r="A1144" t="s">
        <v>2604</v>
      </c>
      <c r="B1144" s="20">
        <v>45722</v>
      </c>
      <c r="C1144" s="20">
        <v>45719</v>
      </c>
      <c r="D1144" t="s">
        <v>806</v>
      </c>
      <c r="E1144" t="s">
        <v>807</v>
      </c>
      <c r="G1144" t="s">
        <v>2945</v>
      </c>
      <c r="H1144" t="s">
        <v>3194</v>
      </c>
      <c r="I1144" t="s">
        <v>3401</v>
      </c>
      <c r="J1144" s="8" t="str">
        <f>+LEFT(U1144,4)</f>
        <v>BAG-</v>
      </c>
      <c r="K1144" t="s">
        <v>10</v>
      </c>
      <c r="L1144" s="47">
        <v>10000</v>
      </c>
      <c r="M1144" t="s">
        <v>1472</v>
      </c>
      <c r="N1144" t="s">
        <v>11</v>
      </c>
      <c r="O1144" s="50">
        <v>0.115</v>
      </c>
      <c r="P1144" s="9">
        <f>ROUND(O1144*L1144,2)</f>
        <v>1150</v>
      </c>
      <c r="Q1144" s="10">
        <f>IF(N1144="HKD",7.8,IF(N1144="CNY",7.30034,1))</f>
        <v>7.3003400000000003</v>
      </c>
      <c r="R1144" s="10">
        <f>+ROUND(O1144/Q1144,4)</f>
        <v>1.5800000000000002E-2</v>
      </c>
      <c r="S1144" s="11">
        <f>ROUND(R1144*L1144,2)</f>
        <v>158</v>
      </c>
      <c r="T1144" s="10" t="s">
        <v>349</v>
      </c>
      <c r="U1144" t="s">
        <v>810</v>
      </c>
    </row>
    <row r="1145" spans="1:21">
      <c r="A1145" t="s">
        <v>2463</v>
      </c>
      <c r="B1145" s="20">
        <v>45722</v>
      </c>
      <c r="C1145" s="20">
        <v>45706</v>
      </c>
      <c r="D1145" t="s">
        <v>806</v>
      </c>
      <c r="E1145" t="s">
        <v>807</v>
      </c>
      <c r="G1145" t="s">
        <v>2945</v>
      </c>
      <c r="H1145" t="s">
        <v>1599</v>
      </c>
      <c r="I1145" t="s">
        <v>1600</v>
      </c>
      <c r="J1145" s="8" t="str">
        <f>+LEFT(U1145,4)</f>
        <v>BAG-</v>
      </c>
      <c r="K1145" t="s">
        <v>10</v>
      </c>
      <c r="L1145" s="47">
        <v>10000</v>
      </c>
      <c r="M1145" t="s">
        <v>1472</v>
      </c>
      <c r="N1145" t="s">
        <v>11</v>
      </c>
      <c r="O1145" s="50">
        <v>0.12</v>
      </c>
      <c r="P1145" s="9">
        <f>ROUND(O1145*L1145,2)</f>
        <v>1200</v>
      </c>
      <c r="Q1145" s="10">
        <f>IF(N1145="HKD",7.8,IF(N1145="CNY",7.30034,1))</f>
        <v>7.3003400000000003</v>
      </c>
      <c r="R1145" s="10">
        <f>+ROUND(O1145/Q1145,4)</f>
        <v>1.6400000000000001E-2</v>
      </c>
      <c r="S1145" s="11">
        <f>ROUND(R1145*L1145,2)</f>
        <v>164</v>
      </c>
      <c r="T1145" s="10" t="s">
        <v>349</v>
      </c>
      <c r="U1145" t="s">
        <v>810</v>
      </c>
    </row>
    <row r="1146" spans="1:21">
      <c r="A1146" t="s">
        <v>2464</v>
      </c>
      <c r="B1146" s="20">
        <v>45722</v>
      </c>
      <c r="C1146" s="20">
        <v>45706</v>
      </c>
      <c r="D1146" t="s">
        <v>806</v>
      </c>
      <c r="E1146" t="s">
        <v>807</v>
      </c>
      <c r="G1146" t="s">
        <v>2945</v>
      </c>
      <c r="H1146" t="s">
        <v>3140</v>
      </c>
      <c r="I1146" t="s">
        <v>3350</v>
      </c>
      <c r="J1146" s="8" t="str">
        <f>+LEFT(U1146,4)</f>
        <v>BAG-</v>
      </c>
      <c r="K1146" t="s">
        <v>10</v>
      </c>
      <c r="L1146" s="47">
        <v>1500</v>
      </c>
      <c r="M1146" t="s">
        <v>1472</v>
      </c>
      <c r="N1146" t="s">
        <v>11</v>
      </c>
      <c r="O1146" s="50">
        <v>0.13200000000000001</v>
      </c>
      <c r="P1146" s="9">
        <f>ROUND(O1146*L1146,2)</f>
        <v>198</v>
      </c>
      <c r="Q1146" s="10">
        <f>IF(N1146="HKD",7.8,IF(N1146="CNY",7.30034,1))</f>
        <v>7.3003400000000003</v>
      </c>
      <c r="R1146" s="10">
        <f>+ROUND(O1146/Q1146,4)</f>
        <v>1.8100000000000002E-2</v>
      </c>
      <c r="S1146" s="11">
        <f>ROUND(R1146*L1146,2)</f>
        <v>27.15</v>
      </c>
      <c r="T1146" s="10" t="s">
        <v>349</v>
      </c>
      <c r="U1146" t="s">
        <v>810</v>
      </c>
    </row>
    <row r="1147" spans="1:21">
      <c r="A1147" t="s">
        <v>2465</v>
      </c>
      <c r="B1147" s="20">
        <v>45722</v>
      </c>
      <c r="C1147" s="20">
        <v>45706</v>
      </c>
      <c r="D1147" t="s">
        <v>806</v>
      </c>
      <c r="E1147" t="s">
        <v>807</v>
      </c>
      <c r="G1147" t="s">
        <v>2945</v>
      </c>
      <c r="H1147" t="s">
        <v>3141</v>
      </c>
      <c r="I1147" t="s">
        <v>3351</v>
      </c>
      <c r="J1147" s="8" t="str">
        <f>+LEFT(U1147,4)</f>
        <v>BAG-</v>
      </c>
      <c r="K1147" t="s">
        <v>10</v>
      </c>
      <c r="L1147" s="47">
        <v>10000</v>
      </c>
      <c r="M1147" t="s">
        <v>1472</v>
      </c>
      <c r="N1147" t="s">
        <v>11</v>
      </c>
      <c r="O1147" s="50">
        <v>0.15</v>
      </c>
      <c r="P1147" s="9">
        <f>ROUND(O1147*L1147,2)</f>
        <v>1500</v>
      </c>
      <c r="Q1147" s="10">
        <f>IF(N1147="HKD",7.8,IF(N1147="CNY",7.30034,1))</f>
        <v>7.3003400000000003</v>
      </c>
      <c r="R1147" s="10">
        <f>+ROUND(O1147/Q1147,4)</f>
        <v>2.0500000000000001E-2</v>
      </c>
      <c r="S1147" s="11">
        <f>ROUND(R1147*L1147,2)</f>
        <v>205</v>
      </c>
      <c r="T1147" s="10" t="s">
        <v>349</v>
      </c>
      <c r="U1147" t="s">
        <v>810</v>
      </c>
    </row>
    <row r="1148" spans="1:21">
      <c r="A1148" t="s">
        <v>1866</v>
      </c>
      <c r="B1148" s="20">
        <v>45722</v>
      </c>
      <c r="C1148" s="20">
        <v>45672</v>
      </c>
      <c r="D1148" t="s">
        <v>806</v>
      </c>
      <c r="E1148" t="s">
        <v>807</v>
      </c>
      <c r="G1148" t="s">
        <v>2891</v>
      </c>
      <c r="H1148" t="s">
        <v>1603</v>
      </c>
      <c r="I1148" t="s">
        <v>1604</v>
      </c>
      <c r="J1148" s="8" t="str">
        <f>+LEFT(U1148,4)</f>
        <v>BAG-</v>
      </c>
      <c r="K1148" t="s">
        <v>10</v>
      </c>
      <c r="L1148" s="47">
        <v>-10000</v>
      </c>
      <c r="M1148" t="s">
        <v>1472</v>
      </c>
      <c r="N1148" t="s">
        <v>11</v>
      </c>
      <c r="O1148" s="50">
        <v>0.158</v>
      </c>
      <c r="P1148" s="9">
        <f>ROUND(O1148*L1148,2)</f>
        <v>-1580</v>
      </c>
      <c r="Q1148" s="10">
        <f>IF(N1148="HKD",7.8,IF(N1148="CNY",7.30034,1))</f>
        <v>7.3003400000000003</v>
      </c>
      <c r="R1148" s="10">
        <f>+ROUND(O1148/Q1148,4)</f>
        <v>2.1600000000000001E-2</v>
      </c>
      <c r="S1148" s="11">
        <f>ROUND(R1148*L1148,2)</f>
        <v>-216</v>
      </c>
      <c r="T1148" s="10" t="s">
        <v>349</v>
      </c>
      <c r="U1148" t="s">
        <v>810</v>
      </c>
    </row>
    <row r="1149" spans="1:21">
      <c r="A1149" t="s">
        <v>1970</v>
      </c>
      <c r="B1149" s="20">
        <v>45722</v>
      </c>
      <c r="C1149" s="20">
        <v>45698</v>
      </c>
      <c r="D1149" t="s">
        <v>149</v>
      </c>
      <c r="E1149" t="s">
        <v>150</v>
      </c>
      <c r="G1149" t="s">
        <v>2918</v>
      </c>
      <c r="H1149" t="s">
        <v>786</v>
      </c>
      <c r="I1149" t="s">
        <v>787</v>
      </c>
      <c r="J1149" s="8" t="str">
        <f>+LEFT(U1149,4)</f>
        <v>GLID</v>
      </c>
      <c r="K1149" t="s">
        <v>10</v>
      </c>
      <c r="L1149" s="47">
        <v>200</v>
      </c>
      <c r="M1149" t="s">
        <v>1472</v>
      </c>
      <c r="N1149" t="s">
        <v>11</v>
      </c>
      <c r="O1149" s="50">
        <v>2.7494000000000001</v>
      </c>
      <c r="P1149" s="9">
        <f>ROUND(O1149*L1149,2)</f>
        <v>549.88</v>
      </c>
      <c r="Q1149" s="10">
        <f>IF(N1149="HKD",7.8,IF(N1149="CNY",7.30034,1))</f>
        <v>7.3003400000000003</v>
      </c>
      <c r="R1149" s="10">
        <f>+ROUND(O1149/Q1149,4)</f>
        <v>0.37659999999999999</v>
      </c>
      <c r="S1149" s="11">
        <f>ROUND(R1149*L1149,2)</f>
        <v>75.319999999999993</v>
      </c>
      <c r="T1149" s="10" t="s">
        <v>349</v>
      </c>
      <c r="U1149" t="s">
        <v>78</v>
      </c>
    </row>
    <row r="1150" spans="1:21">
      <c r="A1150" t="s">
        <v>2392</v>
      </c>
      <c r="B1150" s="20">
        <v>45722</v>
      </c>
      <c r="C1150" s="20">
        <v>45695</v>
      </c>
      <c r="D1150" t="s">
        <v>149</v>
      </c>
      <c r="E1150" t="s">
        <v>150</v>
      </c>
      <c r="G1150" t="s">
        <v>2918</v>
      </c>
      <c r="H1150" t="s">
        <v>3093</v>
      </c>
      <c r="I1150" t="s">
        <v>3309</v>
      </c>
      <c r="J1150" s="8" t="str">
        <f>+LEFT(U1150,4)</f>
        <v>GLID</v>
      </c>
      <c r="K1150" t="s">
        <v>10</v>
      </c>
      <c r="L1150" s="47">
        <v>1000</v>
      </c>
      <c r="M1150" t="s">
        <v>1472</v>
      </c>
      <c r="N1150" t="s">
        <v>11</v>
      </c>
      <c r="O1150" s="50">
        <v>3.1193</v>
      </c>
      <c r="P1150" s="9">
        <f>ROUND(O1150*L1150,2)</f>
        <v>3119.3</v>
      </c>
      <c r="Q1150" s="10">
        <f>IF(N1150="HKD",7.8,IF(N1150="CNY",7.30034,1))</f>
        <v>7.3003400000000003</v>
      </c>
      <c r="R1150" s="10">
        <f>+ROUND(O1150/Q1150,4)</f>
        <v>0.42730000000000001</v>
      </c>
      <c r="S1150" s="11">
        <f>ROUND(R1150*L1150,2)</f>
        <v>427.3</v>
      </c>
      <c r="T1150" s="10" t="s">
        <v>349</v>
      </c>
      <c r="U1150" t="s">
        <v>78</v>
      </c>
    </row>
    <row r="1151" spans="1:21">
      <c r="A1151" t="s">
        <v>2403</v>
      </c>
      <c r="B1151" s="20">
        <v>45722</v>
      </c>
      <c r="C1151" s="20">
        <v>45698</v>
      </c>
      <c r="D1151" t="s">
        <v>149</v>
      </c>
      <c r="E1151" t="s">
        <v>150</v>
      </c>
      <c r="G1151" t="s">
        <v>2918</v>
      </c>
      <c r="H1151" t="s">
        <v>3101</v>
      </c>
      <c r="I1151" t="s">
        <v>3316</v>
      </c>
      <c r="J1151" s="8" t="str">
        <f>+LEFT(U1151,4)</f>
        <v>GLID</v>
      </c>
      <c r="K1151" t="s">
        <v>10</v>
      </c>
      <c r="L1151" s="47">
        <v>500</v>
      </c>
      <c r="M1151" t="s">
        <v>1472</v>
      </c>
      <c r="N1151" t="s">
        <v>11</v>
      </c>
      <c r="O1151" s="50">
        <v>3.6379000000000001</v>
      </c>
      <c r="P1151" s="9">
        <f>ROUND(O1151*L1151,2)</f>
        <v>1818.95</v>
      </c>
      <c r="Q1151" s="10">
        <f>IF(N1151="HKD",7.8,IF(N1151="CNY",7.30034,1))</f>
        <v>7.3003400000000003</v>
      </c>
      <c r="R1151" s="10">
        <f>+ROUND(O1151/Q1151,4)</f>
        <v>0.49830000000000002</v>
      </c>
      <c r="S1151" s="11">
        <f>ROUND(R1151*L1151,2)</f>
        <v>249.15</v>
      </c>
      <c r="T1151" s="10" t="s">
        <v>349</v>
      </c>
      <c r="U1151" t="s">
        <v>78</v>
      </c>
    </row>
    <row r="1152" spans="1:21">
      <c r="A1152" t="s">
        <v>2404</v>
      </c>
      <c r="B1152" s="20">
        <v>45722</v>
      </c>
      <c r="C1152" s="20">
        <v>45698</v>
      </c>
      <c r="D1152" t="s">
        <v>149</v>
      </c>
      <c r="E1152" t="s">
        <v>150</v>
      </c>
      <c r="G1152" t="s">
        <v>2918</v>
      </c>
      <c r="H1152" t="s">
        <v>3102</v>
      </c>
      <c r="I1152" t="s">
        <v>3317</v>
      </c>
      <c r="J1152" s="8" t="str">
        <f>+LEFT(U1152,4)</f>
        <v>GLID</v>
      </c>
      <c r="K1152" t="s">
        <v>10</v>
      </c>
      <c r="L1152" s="47">
        <v>340</v>
      </c>
      <c r="M1152" t="s">
        <v>1472</v>
      </c>
      <c r="N1152" t="s">
        <v>11</v>
      </c>
      <c r="O1152" s="50">
        <v>4.8014000000000001</v>
      </c>
      <c r="P1152" s="9">
        <f>ROUND(O1152*L1152,2)</f>
        <v>1632.48</v>
      </c>
      <c r="Q1152" s="10">
        <f>IF(N1152="HKD",7.8,IF(N1152="CNY",7.30034,1))</f>
        <v>7.3003400000000003</v>
      </c>
      <c r="R1152" s="10">
        <f>+ROUND(O1152/Q1152,4)</f>
        <v>0.65769999999999995</v>
      </c>
      <c r="S1152" s="11">
        <f>ROUND(R1152*L1152,2)</f>
        <v>223.62</v>
      </c>
      <c r="T1152" s="10" t="s">
        <v>349</v>
      </c>
      <c r="U1152" t="s">
        <v>78</v>
      </c>
    </row>
    <row r="1153" spans="1:21">
      <c r="A1153" t="s">
        <v>2322</v>
      </c>
      <c r="B1153" s="20">
        <v>45722</v>
      </c>
      <c r="C1153" s="20">
        <v>45664</v>
      </c>
      <c r="D1153" t="s">
        <v>94</v>
      </c>
      <c r="E1153" t="s">
        <v>95</v>
      </c>
      <c r="G1153" t="s">
        <v>2860</v>
      </c>
      <c r="H1153" t="s">
        <v>1001</v>
      </c>
      <c r="I1153" t="s">
        <v>1002</v>
      </c>
      <c r="J1153" s="8" t="str">
        <f>+LEFT(U1153,4)</f>
        <v>LID-</v>
      </c>
      <c r="K1153" t="s">
        <v>3481</v>
      </c>
      <c r="L1153" s="47">
        <v>1022</v>
      </c>
      <c r="M1153" t="s">
        <v>1472</v>
      </c>
      <c r="N1153" t="s">
        <v>11</v>
      </c>
      <c r="O1153" s="50">
        <v>3.42</v>
      </c>
      <c r="P1153" s="9">
        <f>ROUND(O1153*L1153,2)</f>
        <v>3495.24</v>
      </c>
      <c r="Q1153" s="10">
        <f>IF(N1153="HKD",7.8,IF(N1153="CNY",7.30034,1))</f>
        <v>7.3003400000000003</v>
      </c>
      <c r="R1153" s="10">
        <f>+ROUND(O1153/Q1153,4)</f>
        <v>0.46850000000000003</v>
      </c>
      <c r="S1153" s="11">
        <f>ROUND(R1153*L1153,2)</f>
        <v>478.81</v>
      </c>
      <c r="T1153" s="10" t="s">
        <v>349</v>
      </c>
      <c r="U1153" t="s">
        <v>368</v>
      </c>
    </row>
    <row r="1154" spans="1:21">
      <c r="A1154" t="s">
        <v>2407</v>
      </c>
      <c r="B1154" s="20">
        <v>45722</v>
      </c>
      <c r="C1154" s="20">
        <v>45700</v>
      </c>
      <c r="D1154" t="s">
        <v>94</v>
      </c>
      <c r="E1154" t="s">
        <v>95</v>
      </c>
      <c r="G1154" t="s">
        <v>2860</v>
      </c>
      <c r="H1154" t="s">
        <v>1001</v>
      </c>
      <c r="I1154" t="s">
        <v>1002</v>
      </c>
      <c r="J1154" s="8" t="str">
        <f>+LEFT(U1154,4)</f>
        <v>LID-</v>
      </c>
      <c r="K1154" t="s">
        <v>3481</v>
      </c>
      <c r="L1154" s="47">
        <v>49</v>
      </c>
      <c r="M1154" t="s">
        <v>1472</v>
      </c>
      <c r="N1154" t="s">
        <v>11</v>
      </c>
      <c r="O1154" s="50">
        <v>3.42</v>
      </c>
      <c r="P1154" s="9">
        <f>ROUND(O1154*L1154,2)</f>
        <v>167.58</v>
      </c>
      <c r="Q1154" s="10">
        <f>IF(N1154="HKD",7.8,IF(N1154="CNY",7.30034,1))</f>
        <v>7.3003400000000003</v>
      </c>
      <c r="R1154" s="10">
        <f>+ROUND(O1154/Q1154,4)</f>
        <v>0.46850000000000003</v>
      </c>
      <c r="S1154" s="11">
        <f>ROUND(R1154*L1154,2)</f>
        <v>22.96</v>
      </c>
      <c r="T1154" s="10" t="s">
        <v>349</v>
      </c>
      <c r="U1154" t="s">
        <v>368</v>
      </c>
    </row>
    <row r="1155" spans="1:21">
      <c r="A1155" t="s">
        <v>2324</v>
      </c>
      <c r="B1155" s="20">
        <v>45722</v>
      </c>
      <c r="C1155" s="20">
        <v>45664</v>
      </c>
      <c r="D1155" t="s">
        <v>94</v>
      </c>
      <c r="E1155" t="s">
        <v>95</v>
      </c>
      <c r="G1155" t="s">
        <v>2860</v>
      </c>
      <c r="H1155" t="s">
        <v>997</v>
      </c>
      <c r="I1155" t="s">
        <v>998</v>
      </c>
      <c r="J1155" s="8" t="str">
        <f>+LEFT(U1155,4)</f>
        <v>LID-</v>
      </c>
      <c r="K1155" t="s">
        <v>3481</v>
      </c>
      <c r="L1155" s="47">
        <v>170</v>
      </c>
      <c r="M1155" t="s">
        <v>1472</v>
      </c>
      <c r="N1155" t="s">
        <v>11</v>
      </c>
      <c r="O1155" s="50">
        <v>3.64</v>
      </c>
      <c r="P1155" s="9">
        <f>ROUND(O1155*L1155,2)</f>
        <v>618.79999999999995</v>
      </c>
      <c r="Q1155" s="10">
        <f>IF(N1155="HKD",7.8,IF(N1155="CNY",7.30034,1))</f>
        <v>7.3003400000000003</v>
      </c>
      <c r="R1155" s="10">
        <f>+ROUND(O1155/Q1155,4)</f>
        <v>0.49859999999999999</v>
      </c>
      <c r="S1155" s="11">
        <f>ROUND(R1155*L1155,2)</f>
        <v>84.76</v>
      </c>
      <c r="T1155" s="10" t="s">
        <v>349</v>
      </c>
      <c r="U1155" t="s">
        <v>368</v>
      </c>
    </row>
    <row r="1156" spans="1:21">
      <c r="A1156" t="s">
        <v>2409</v>
      </c>
      <c r="B1156" s="20">
        <v>45722</v>
      </c>
      <c r="C1156" s="20">
        <v>45700</v>
      </c>
      <c r="D1156" t="s">
        <v>94</v>
      </c>
      <c r="E1156" t="s">
        <v>95</v>
      </c>
      <c r="G1156" t="s">
        <v>2860</v>
      </c>
      <c r="H1156" t="s">
        <v>997</v>
      </c>
      <c r="I1156" t="s">
        <v>998</v>
      </c>
      <c r="J1156" s="8" t="str">
        <f>+LEFT(U1156,4)</f>
        <v>LID-</v>
      </c>
      <c r="K1156" t="s">
        <v>3481</v>
      </c>
      <c r="L1156" s="47">
        <v>1030</v>
      </c>
      <c r="M1156" t="s">
        <v>1472</v>
      </c>
      <c r="N1156" t="s">
        <v>11</v>
      </c>
      <c r="O1156" s="50">
        <v>3.64</v>
      </c>
      <c r="P1156" s="9">
        <f>ROUND(O1156*L1156,2)</f>
        <v>3749.2</v>
      </c>
      <c r="Q1156" s="10">
        <f>IF(N1156="HKD",7.8,IF(N1156="CNY",7.30034,1))</f>
        <v>7.3003400000000003</v>
      </c>
      <c r="R1156" s="10">
        <f>+ROUND(O1156/Q1156,4)</f>
        <v>0.49859999999999999</v>
      </c>
      <c r="S1156" s="11">
        <f>ROUND(R1156*L1156,2)</f>
        <v>513.55999999999995</v>
      </c>
      <c r="T1156" s="10" t="s">
        <v>349</v>
      </c>
      <c r="U1156" t="s">
        <v>368</v>
      </c>
    </row>
    <row r="1157" spans="1:21">
      <c r="A1157" t="s">
        <v>2041</v>
      </c>
      <c r="B1157" s="20">
        <v>45722</v>
      </c>
      <c r="C1157" s="20">
        <v>45636</v>
      </c>
      <c r="D1157" t="s">
        <v>94</v>
      </c>
      <c r="E1157" t="s">
        <v>95</v>
      </c>
      <c r="G1157" t="s">
        <v>2860</v>
      </c>
      <c r="H1157" t="s">
        <v>1750</v>
      </c>
      <c r="I1157" t="s">
        <v>1751</v>
      </c>
      <c r="J1157" s="8" t="str">
        <f>+LEFT(U1157,4)</f>
        <v>LID-</v>
      </c>
      <c r="K1157" t="s">
        <v>3481</v>
      </c>
      <c r="L1157" s="47">
        <v>46</v>
      </c>
      <c r="M1157" t="s">
        <v>1472</v>
      </c>
      <c r="N1157" t="s">
        <v>11</v>
      </c>
      <c r="O1157" s="50">
        <v>3.92</v>
      </c>
      <c r="P1157" s="9">
        <f>ROUND(O1157*L1157,2)</f>
        <v>180.32</v>
      </c>
      <c r="Q1157" s="10">
        <f>IF(N1157="HKD",7.8,IF(N1157="CNY",7.30034,1))</f>
        <v>7.3003400000000003</v>
      </c>
      <c r="R1157" s="10">
        <f>+ROUND(O1157/Q1157,4)</f>
        <v>0.53700000000000003</v>
      </c>
      <c r="S1157" s="11">
        <f>ROUND(R1157*L1157,2)</f>
        <v>24.7</v>
      </c>
      <c r="T1157" s="10" t="s">
        <v>349</v>
      </c>
      <c r="U1157" t="s">
        <v>368</v>
      </c>
    </row>
    <row r="1158" spans="1:21">
      <c r="A1158" t="s">
        <v>2410</v>
      </c>
      <c r="B1158" s="20">
        <v>45722</v>
      </c>
      <c r="C1158" s="20">
        <v>45700</v>
      </c>
      <c r="D1158" t="s">
        <v>94</v>
      </c>
      <c r="E1158" t="s">
        <v>95</v>
      </c>
      <c r="G1158" t="s">
        <v>2860</v>
      </c>
      <c r="H1158" t="s">
        <v>1750</v>
      </c>
      <c r="I1158" t="s">
        <v>1751</v>
      </c>
      <c r="J1158" s="8" t="str">
        <f>+LEFT(U1158,4)</f>
        <v>LID-</v>
      </c>
      <c r="K1158" t="s">
        <v>3481</v>
      </c>
      <c r="L1158" s="47">
        <v>594</v>
      </c>
      <c r="M1158" t="s">
        <v>1472</v>
      </c>
      <c r="N1158" t="s">
        <v>11</v>
      </c>
      <c r="O1158" s="50">
        <v>3.92</v>
      </c>
      <c r="P1158" s="9">
        <f>ROUND(O1158*L1158,2)</f>
        <v>2328.48</v>
      </c>
      <c r="Q1158" s="10">
        <f>IF(N1158="HKD",7.8,IF(N1158="CNY",7.30034,1))</f>
        <v>7.3003400000000003</v>
      </c>
      <c r="R1158" s="10">
        <f>+ROUND(O1158/Q1158,4)</f>
        <v>0.53700000000000003</v>
      </c>
      <c r="S1158" s="11">
        <f>ROUND(R1158*L1158,2)</f>
        <v>318.98</v>
      </c>
      <c r="T1158" s="10" t="s">
        <v>349</v>
      </c>
      <c r="U1158" t="s">
        <v>368</v>
      </c>
    </row>
    <row r="1159" spans="1:21">
      <c r="A1159" t="s">
        <v>2339</v>
      </c>
      <c r="B1159" s="20">
        <v>45722</v>
      </c>
      <c r="C1159" s="20">
        <v>45674</v>
      </c>
      <c r="D1159" t="s">
        <v>806</v>
      </c>
      <c r="E1159" t="s">
        <v>807</v>
      </c>
      <c r="G1159" t="s">
        <v>2896</v>
      </c>
      <c r="H1159" t="s">
        <v>3087</v>
      </c>
      <c r="I1159" t="s">
        <v>3303</v>
      </c>
      <c r="J1159" s="8" t="str">
        <f>+LEFT(U1159,4)</f>
        <v>SWF-</v>
      </c>
      <c r="K1159" t="s">
        <v>10</v>
      </c>
      <c r="L1159" s="47">
        <v>294.3</v>
      </c>
      <c r="M1159" t="s">
        <v>186</v>
      </c>
      <c r="N1159" t="s">
        <v>11</v>
      </c>
      <c r="O1159" s="50">
        <v>16</v>
      </c>
      <c r="P1159" s="9">
        <f>ROUND(O1159*L1159,2)</f>
        <v>4708.8</v>
      </c>
      <c r="Q1159" s="10">
        <f>IF(N1159="HKD",7.8,IF(N1159="CNY",7.30034,1))</f>
        <v>7.3003400000000003</v>
      </c>
      <c r="R1159" s="10">
        <f>+ROUND(O1159/Q1159,4)</f>
        <v>2.1917</v>
      </c>
      <c r="S1159" s="11">
        <f>ROUND(R1159*L1159,2)</f>
        <v>645.02</v>
      </c>
      <c r="T1159" s="10" t="s">
        <v>349</v>
      </c>
      <c r="U1159" t="s">
        <v>3483</v>
      </c>
    </row>
    <row r="1160" spans="1:21">
      <c r="A1160" t="s">
        <v>2307</v>
      </c>
      <c r="B1160" s="20">
        <v>45722</v>
      </c>
      <c r="C1160" s="20">
        <v>45663</v>
      </c>
      <c r="D1160" t="s">
        <v>2817</v>
      </c>
      <c r="E1160" t="s">
        <v>2818</v>
      </c>
      <c r="G1160" t="s">
        <v>2873</v>
      </c>
      <c r="H1160" t="s">
        <v>3071</v>
      </c>
      <c r="I1160" t="s">
        <v>3288</v>
      </c>
      <c r="J1160" s="8" t="str">
        <f>+LEFT(U1160,4)</f>
        <v>T&amp;G-</v>
      </c>
      <c r="K1160" t="s">
        <v>10</v>
      </c>
      <c r="L1160" s="47">
        <v>3500</v>
      </c>
      <c r="M1160" t="s">
        <v>1472</v>
      </c>
      <c r="N1160" t="s">
        <v>2246</v>
      </c>
      <c r="O1160" s="50">
        <v>0.18</v>
      </c>
      <c r="P1160" s="9">
        <f>ROUND(O1160*L1160,2)</f>
        <v>630</v>
      </c>
      <c r="Q1160" s="10">
        <f>IF(N1160="HKD",7.8,IF(N1160="CNY",7.30034,1))</f>
        <v>1</v>
      </c>
      <c r="R1160" s="10">
        <f>+ROUND(O1160/Q1160,4)</f>
        <v>0.18</v>
      </c>
      <c r="S1160" s="11">
        <f>ROUND(R1160*L1160,2)</f>
        <v>630</v>
      </c>
      <c r="T1160" s="10" t="s">
        <v>349</v>
      </c>
      <c r="U1160" t="s">
        <v>2245</v>
      </c>
    </row>
    <row r="1161" spans="1:21">
      <c r="A1161" t="s">
        <v>2306</v>
      </c>
      <c r="B1161" s="20">
        <v>45722</v>
      </c>
      <c r="C1161" s="20">
        <v>45663</v>
      </c>
      <c r="D1161" t="s">
        <v>2817</v>
      </c>
      <c r="E1161" t="s">
        <v>2818</v>
      </c>
      <c r="G1161" t="s">
        <v>2873</v>
      </c>
      <c r="H1161" t="s">
        <v>3070</v>
      </c>
      <c r="I1161" t="s">
        <v>3287</v>
      </c>
      <c r="J1161" s="8" t="str">
        <f>+LEFT(U1161,4)</f>
        <v>T&amp;G-</v>
      </c>
      <c r="K1161" t="s">
        <v>10</v>
      </c>
      <c r="L1161" s="47">
        <v>3500</v>
      </c>
      <c r="M1161" t="s">
        <v>1472</v>
      </c>
      <c r="N1161" t="s">
        <v>2246</v>
      </c>
      <c r="O1161" s="50">
        <v>0.2</v>
      </c>
      <c r="P1161" s="9">
        <f>ROUND(O1161*L1161,2)</f>
        <v>700</v>
      </c>
      <c r="Q1161" s="10">
        <f>IF(N1161="HKD",7.8,IF(N1161="CNY",7.30034,1))</f>
        <v>1</v>
      </c>
      <c r="R1161" s="10">
        <f>+ROUND(O1161/Q1161,4)</f>
        <v>0.2</v>
      </c>
      <c r="S1161" s="11">
        <f>ROUND(R1161*L1161,2)</f>
        <v>700</v>
      </c>
      <c r="T1161" s="10" t="s">
        <v>349</v>
      </c>
      <c r="U1161" t="s">
        <v>2245</v>
      </c>
    </row>
    <row r="1162" spans="1:21">
      <c r="A1162" t="s">
        <v>2305</v>
      </c>
      <c r="B1162" s="20">
        <v>45722</v>
      </c>
      <c r="C1162" s="20">
        <v>45663</v>
      </c>
      <c r="D1162" t="s">
        <v>2817</v>
      </c>
      <c r="E1162" t="s">
        <v>2818</v>
      </c>
      <c r="G1162" t="s">
        <v>2873</v>
      </c>
      <c r="H1162" t="s">
        <v>3069</v>
      </c>
      <c r="I1162" t="s">
        <v>3286</v>
      </c>
      <c r="J1162" s="8" t="str">
        <f>+LEFT(U1162,4)</f>
        <v>T&amp;G-</v>
      </c>
      <c r="K1162" t="s">
        <v>10</v>
      </c>
      <c r="L1162" s="47">
        <v>3500</v>
      </c>
      <c r="M1162" t="s">
        <v>1472</v>
      </c>
      <c r="N1162" t="s">
        <v>2246</v>
      </c>
      <c r="O1162" s="50">
        <v>0.23</v>
      </c>
      <c r="P1162" s="9">
        <f>ROUND(O1162*L1162,2)</f>
        <v>805</v>
      </c>
      <c r="Q1162" s="10">
        <f>IF(N1162="HKD",7.8,IF(N1162="CNY",7.30034,1))</f>
        <v>1</v>
      </c>
      <c r="R1162" s="10">
        <f>+ROUND(O1162/Q1162,4)</f>
        <v>0.23</v>
      </c>
      <c r="S1162" s="11">
        <f>ROUND(R1162*L1162,2)</f>
        <v>805</v>
      </c>
      <c r="T1162" s="10" t="s">
        <v>349</v>
      </c>
      <c r="U1162" t="s">
        <v>2245</v>
      </c>
    </row>
    <row r="1163" spans="1:21">
      <c r="A1163" t="s">
        <v>2333</v>
      </c>
      <c r="B1163" s="20">
        <v>45721</v>
      </c>
      <c r="C1163" s="20">
        <v>45671</v>
      </c>
      <c r="D1163" t="s">
        <v>169</v>
      </c>
      <c r="E1163" t="s">
        <v>170</v>
      </c>
      <c r="G1163" t="s">
        <v>2888</v>
      </c>
      <c r="H1163" t="s">
        <v>3086</v>
      </c>
      <c r="I1163" t="s">
        <v>3302</v>
      </c>
      <c r="J1163" s="8" t="str">
        <f>+LEFT(U1163,4)</f>
        <v>BHRE</v>
      </c>
      <c r="K1163" t="s">
        <v>10</v>
      </c>
      <c r="L1163" s="47">
        <v>7100</v>
      </c>
      <c r="M1163" t="s">
        <v>1472</v>
      </c>
      <c r="N1163" t="s">
        <v>11</v>
      </c>
      <c r="O1163" s="50">
        <v>1.22</v>
      </c>
      <c r="P1163" s="9">
        <f>ROUND(O1163*L1163,2)</f>
        <v>8662</v>
      </c>
      <c r="Q1163" s="10">
        <f>IF(N1163="HKD",7.8,IF(N1163="CNY",7.30034,1))</f>
        <v>7.3003400000000003</v>
      </c>
      <c r="R1163" s="10">
        <f>+ROUND(O1163/Q1163,4)</f>
        <v>0.1671</v>
      </c>
      <c r="S1163" s="11">
        <f>ROUND(R1163*L1163,2)</f>
        <v>1186.4100000000001</v>
      </c>
      <c r="T1163" s="10" t="s">
        <v>349</v>
      </c>
      <c r="U1163" t="s">
        <v>173</v>
      </c>
    </row>
    <row r="1164" spans="1:21">
      <c r="A1164" t="s">
        <v>2022</v>
      </c>
      <c r="B1164" s="20">
        <v>45721</v>
      </c>
      <c r="C1164" s="20">
        <v>45671</v>
      </c>
      <c r="D1164" t="s">
        <v>121</v>
      </c>
      <c r="E1164" t="s">
        <v>122</v>
      </c>
      <c r="G1164" t="s">
        <v>2885</v>
      </c>
      <c r="H1164" t="s">
        <v>357</v>
      </c>
      <c r="I1164" t="s">
        <v>358</v>
      </c>
      <c r="J1164" s="8" t="str">
        <f>+LEFT(U1164,4)</f>
        <v>HDL-</v>
      </c>
      <c r="K1164" t="s">
        <v>10</v>
      </c>
      <c r="L1164" s="47">
        <v>1845</v>
      </c>
      <c r="M1164" t="s">
        <v>1472</v>
      </c>
      <c r="N1164" t="s">
        <v>11</v>
      </c>
      <c r="O1164" s="50">
        <v>3.5398000000000001</v>
      </c>
      <c r="P1164" s="9">
        <f>ROUND(O1164*L1164,2)</f>
        <v>6530.93</v>
      </c>
      <c r="Q1164" s="10">
        <f>IF(N1164="HKD",7.8,IF(N1164="CNY",7.30034,1))</f>
        <v>7.3003400000000003</v>
      </c>
      <c r="R1164" s="10">
        <f>+ROUND(O1164/Q1164,4)</f>
        <v>0.4849</v>
      </c>
      <c r="S1164" s="11">
        <f>ROUND(R1164*L1164,2)</f>
        <v>894.64</v>
      </c>
      <c r="T1164" s="10" t="s">
        <v>349</v>
      </c>
      <c r="U1164" t="s">
        <v>228</v>
      </c>
    </row>
    <row r="1165" spans="1:21">
      <c r="A1165" t="s">
        <v>2291</v>
      </c>
      <c r="B1165" s="20">
        <v>45721</v>
      </c>
      <c r="C1165" s="20">
        <v>45636</v>
      </c>
      <c r="D1165" t="s">
        <v>143</v>
      </c>
      <c r="E1165" t="s">
        <v>144</v>
      </c>
      <c r="G1165" t="s">
        <v>2859</v>
      </c>
      <c r="H1165" t="s">
        <v>3065</v>
      </c>
      <c r="I1165" t="s">
        <v>3281</v>
      </c>
      <c r="J1165" s="8" t="str">
        <f>+LEFT(U1165,4)</f>
        <v>HDL-</v>
      </c>
      <c r="K1165" t="s">
        <v>10</v>
      </c>
      <c r="L1165" s="47">
        <v>670</v>
      </c>
      <c r="M1165" t="s">
        <v>1472</v>
      </c>
      <c r="N1165" t="s">
        <v>11</v>
      </c>
      <c r="O1165" s="50">
        <v>15.564299999999999</v>
      </c>
      <c r="P1165" s="9">
        <f>ROUND(O1165*L1165,2)</f>
        <v>10428.08</v>
      </c>
      <c r="Q1165" s="10">
        <f>IF(N1165="HKD",7.8,IF(N1165="CNY",7.30034,1))</f>
        <v>7.3003400000000003</v>
      </c>
      <c r="R1165" s="10">
        <f>+ROUND(O1165/Q1165,4)</f>
        <v>2.1320000000000001</v>
      </c>
      <c r="S1165" s="11">
        <f>ROUND(R1165*L1165,2)</f>
        <v>1428.44</v>
      </c>
      <c r="T1165" s="10" t="s">
        <v>349</v>
      </c>
      <c r="U1165" t="s">
        <v>228</v>
      </c>
    </row>
    <row r="1166" spans="1:21">
      <c r="A1166" t="s">
        <v>2292</v>
      </c>
      <c r="B1166" s="20">
        <v>45721</v>
      </c>
      <c r="C1166" s="20">
        <v>45636</v>
      </c>
      <c r="D1166" t="s">
        <v>143</v>
      </c>
      <c r="E1166" t="s">
        <v>144</v>
      </c>
      <c r="G1166" t="s">
        <v>2859</v>
      </c>
      <c r="H1166" t="s">
        <v>3066</v>
      </c>
      <c r="I1166" t="s">
        <v>3282</v>
      </c>
      <c r="J1166" s="8" t="str">
        <f>+LEFT(U1166,4)</f>
        <v>HDL-</v>
      </c>
      <c r="K1166" t="s">
        <v>10</v>
      </c>
      <c r="L1166" s="47">
        <v>540</v>
      </c>
      <c r="M1166" t="s">
        <v>1472</v>
      </c>
      <c r="N1166" t="s">
        <v>11</v>
      </c>
      <c r="O1166" s="50">
        <v>15.564299999999999</v>
      </c>
      <c r="P1166" s="9">
        <f>ROUND(O1166*L1166,2)</f>
        <v>8404.7199999999993</v>
      </c>
      <c r="Q1166" s="10">
        <f>IF(N1166="HKD",7.8,IF(N1166="CNY",7.30034,1))</f>
        <v>7.3003400000000003</v>
      </c>
      <c r="R1166" s="10">
        <f>+ROUND(O1166/Q1166,4)</f>
        <v>2.1320000000000001</v>
      </c>
      <c r="S1166" s="11">
        <f>ROUND(R1166*L1166,2)</f>
        <v>1151.28</v>
      </c>
      <c r="T1166" s="10" t="s">
        <v>349</v>
      </c>
      <c r="U1166" t="s">
        <v>228</v>
      </c>
    </row>
    <row r="1167" spans="1:21">
      <c r="A1167" t="s">
        <v>2397</v>
      </c>
      <c r="B1167" s="20">
        <v>45721</v>
      </c>
      <c r="C1167" s="20">
        <v>45698</v>
      </c>
      <c r="D1167" t="s">
        <v>709</v>
      </c>
      <c r="E1167" t="s">
        <v>710</v>
      </c>
      <c r="G1167" t="s">
        <v>2869</v>
      </c>
      <c r="H1167" t="s">
        <v>3097</v>
      </c>
      <c r="I1167" t="s">
        <v>3312</v>
      </c>
      <c r="J1167" s="8" t="str">
        <f>+LEFT(U1167,4)</f>
        <v>LHDL</v>
      </c>
      <c r="K1167" t="s">
        <v>10</v>
      </c>
      <c r="L1167" s="47">
        <v>900</v>
      </c>
      <c r="M1167" t="s">
        <v>1472</v>
      </c>
      <c r="N1167" t="s">
        <v>11</v>
      </c>
      <c r="O1167" s="50">
        <v>1.7138</v>
      </c>
      <c r="P1167" s="9">
        <f>ROUND(O1167*L1167,2)</f>
        <v>1542.42</v>
      </c>
      <c r="Q1167" s="10">
        <f>IF(N1167="HKD",7.8,IF(N1167="CNY",7.30034,1))</f>
        <v>7.3003400000000003</v>
      </c>
      <c r="R1167" s="10">
        <f>+ROUND(O1167/Q1167,4)</f>
        <v>0.23480000000000001</v>
      </c>
      <c r="S1167" s="11">
        <f>ROUND(R1167*L1167,2)</f>
        <v>211.32</v>
      </c>
      <c r="T1167" s="10" t="s">
        <v>349</v>
      </c>
      <c r="U1167" t="s">
        <v>125</v>
      </c>
    </row>
    <row r="1168" spans="1:21">
      <c r="A1168" t="s">
        <v>2482</v>
      </c>
      <c r="B1168" s="20">
        <v>45721</v>
      </c>
      <c r="C1168" s="20">
        <v>45712</v>
      </c>
      <c r="D1168" t="s">
        <v>709</v>
      </c>
      <c r="E1168" t="s">
        <v>710</v>
      </c>
      <c r="G1168" t="s">
        <v>2869</v>
      </c>
      <c r="H1168" t="s">
        <v>3146</v>
      </c>
      <c r="I1168" t="s">
        <v>3356</v>
      </c>
      <c r="J1168" s="8" t="str">
        <f>+LEFT(U1168,4)</f>
        <v>LHDL</v>
      </c>
      <c r="K1168" t="s">
        <v>10</v>
      </c>
      <c r="L1168" s="47">
        <v>1800</v>
      </c>
      <c r="M1168" t="s">
        <v>1472</v>
      </c>
      <c r="N1168" t="s">
        <v>11</v>
      </c>
      <c r="O1168" s="50">
        <v>1.8576999999999999</v>
      </c>
      <c r="P1168" s="9">
        <f>ROUND(O1168*L1168,2)</f>
        <v>3343.86</v>
      </c>
      <c r="Q1168" s="10">
        <f>IF(N1168="HKD",7.8,IF(N1168="CNY",7.30034,1))</f>
        <v>7.3003400000000003</v>
      </c>
      <c r="R1168" s="10">
        <f>+ROUND(O1168/Q1168,4)</f>
        <v>0.2545</v>
      </c>
      <c r="S1168" s="11">
        <f>ROUND(R1168*L1168,2)</f>
        <v>458.1</v>
      </c>
      <c r="T1168" s="10" t="s">
        <v>349</v>
      </c>
      <c r="U1168" t="s">
        <v>125</v>
      </c>
    </row>
    <row r="1169" spans="1:21">
      <c r="A1169" t="s">
        <v>2019</v>
      </c>
      <c r="B1169" s="20">
        <v>45721</v>
      </c>
      <c r="C1169" s="20">
        <v>45700</v>
      </c>
      <c r="D1169" t="s">
        <v>94</v>
      </c>
      <c r="E1169" t="s">
        <v>95</v>
      </c>
      <c r="G1169" t="s">
        <v>2880</v>
      </c>
      <c r="H1169" t="s">
        <v>1001</v>
      </c>
      <c r="I1169" t="s">
        <v>1002</v>
      </c>
      <c r="J1169" s="8" t="str">
        <f>+LEFT(U1169,4)</f>
        <v>LID-</v>
      </c>
      <c r="K1169" t="s">
        <v>3481</v>
      </c>
      <c r="L1169" s="47">
        <v>699</v>
      </c>
      <c r="M1169" t="s">
        <v>1472</v>
      </c>
      <c r="N1169" t="s">
        <v>11</v>
      </c>
      <c r="O1169" s="50">
        <v>3.42</v>
      </c>
      <c r="P1169" s="9">
        <f>ROUND(O1169*L1169,2)</f>
        <v>2390.58</v>
      </c>
      <c r="Q1169" s="10">
        <f>IF(N1169="HKD",7.8,IF(N1169="CNY",7.30034,1))</f>
        <v>7.3003400000000003</v>
      </c>
      <c r="R1169" s="10">
        <f>+ROUND(O1169/Q1169,4)</f>
        <v>0.46850000000000003</v>
      </c>
      <c r="S1169" s="11">
        <f>ROUND(R1169*L1169,2)</f>
        <v>327.48</v>
      </c>
      <c r="T1169" s="10" t="s">
        <v>349</v>
      </c>
      <c r="U1169" t="s">
        <v>368</v>
      </c>
    </row>
    <row r="1170" spans="1:21">
      <c r="A1170" t="s">
        <v>2407</v>
      </c>
      <c r="B1170" s="20">
        <v>45721</v>
      </c>
      <c r="C1170" s="20">
        <v>45700</v>
      </c>
      <c r="D1170" t="s">
        <v>94</v>
      </c>
      <c r="E1170" t="s">
        <v>95</v>
      </c>
      <c r="G1170" t="s">
        <v>2880</v>
      </c>
      <c r="H1170" t="s">
        <v>1001</v>
      </c>
      <c r="I1170" t="s">
        <v>1002</v>
      </c>
      <c r="J1170" s="8" t="str">
        <f>+LEFT(U1170,4)</f>
        <v>LID-</v>
      </c>
      <c r="K1170" t="s">
        <v>3481</v>
      </c>
      <c r="L1170" s="47">
        <v>981</v>
      </c>
      <c r="M1170" t="s">
        <v>1472</v>
      </c>
      <c r="N1170" t="s">
        <v>11</v>
      </c>
      <c r="O1170" s="50">
        <v>3.42</v>
      </c>
      <c r="P1170" s="9">
        <f>ROUND(O1170*L1170,2)</f>
        <v>3355.02</v>
      </c>
      <c r="Q1170" s="10">
        <f>IF(N1170="HKD",7.8,IF(N1170="CNY",7.30034,1))</f>
        <v>7.3003400000000003</v>
      </c>
      <c r="R1170" s="10">
        <f>+ROUND(O1170/Q1170,4)</f>
        <v>0.46850000000000003</v>
      </c>
      <c r="S1170" s="11">
        <f>ROUND(R1170*L1170,2)</f>
        <v>459.6</v>
      </c>
      <c r="T1170" s="10" t="s">
        <v>349</v>
      </c>
      <c r="U1170" t="s">
        <v>368</v>
      </c>
    </row>
    <row r="1171" spans="1:21">
      <c r="A1171" t="s">
        <v>2323</v>
      </c>
      <c r="B1171" s="20">
        <v>45721</v>
      </c>
      <c r="C1171" s="20">
        <v>45664</v>
      </c>
      <c r="D1171" t="s">
        <v>94</v>
      </c>
      <c r="E1171" t="s">
        <v>95</v>
      </c>
      <c r="G1171" t="s">
        <v>2880</v>
      </c>
      <c r="H1171" t="s">
        <v>1734</v>
      </c>
      <c r="I1171" t="s">
        <v>1735</v>
      </c>
      <c r="J1171" s="8" t="str">
        <f>+LEFT(U1171,4)</f>
        <v>LID-</v>
      </c>
      <c r="K1171" t="s">
        <v>3481</v>
      </c>
      <c r="L1171" s="47">
        <v>1742</v>
      </c>
      <c r="M1171" t="s">
        <v>1472</v>
      </c>
      <c r="N1171" t="s">
        <v>11</v>
      </c>
      <c r="O1171" s="50">
        <v>3.53</v>
      </c>
      <c r="P1171" s="9">
        <f>ROUND(O1171*L1171,2)</f>
        <v>6149.26</v>
      </c>
      <c r="Q1171" s="10">
        <f>IF(N1171="HKD",7.8,IF(N1171="CNY",7.30034,1))</f>
        <v>7.3003400000000003</v>
      </c>
      <c r="R1171" s="10">
        <f>+ROUND(O1171/Q1171,4)</f>
        <v>0.48349999999999999</v>
      </c>
      <c r="S1171" s="11">
        <f>ROUND(R1171*L1171,2)</f>
        <v>842.26</v>
      </c>
      <c r="T1171" s="10" t="s">
        <v>349</v>
      </c>
      <c r="U1171" t="s">
        <v>368</v>
      </c>
    </row>
    <row r="1172" spans="1:21">
      <c r="A1172" t="s">
        <v>2455</v>
      </c>
      <c r="B1172" s="20">
        <v>45721</v>
      </c>
      <c r="C1172" s="20">
        <v>45706</v>
      </c>
      <c r="D1172" t="s">
        <v>2821</v>
      </c>
      <c r="E1172" t="s">
        <v>2822</v>
      </c>
      <c r="G1172" t="s">
        <v>2942</v>
      </c>
      <c r="H1172" t="s">
        <v>3138</v>
      </c>
      <c r="I1172" t="s">
        <v>3348</v>
      </c>
      <c r="J1172" s="8" t="str">
        <f>+LEFT(U1172,4)</f>
        <v>MISC</v>
      </c>
      <c r="K1172" t="s">
        <v>10</v>
      </c>
      <c r="L1172" s="47">
        <v>3000</v>
      </c>
      <c r="M1172" t="s">
        <v>186</v>
      </c>
      <c r="N1172" t="s">
        <v>11</v>
      </c>
      <c r="O1172" s="50">
        <v>1.9735</v>
      </c>
      <c r="P1172" s="9">
        <f>ROUND(O1172*L1172,2)</f>
        <v>5920.5</v>
      </c>
      <c r="Q1172" s="10">
        <f>IF(N1172="HKD",7.8,IF(N1172="CNY",7.30034,1))</f>
        <v>7.3003400000000003</v>
      </c>
      <c r="R1172" s="10">
        <f>+ROUND(O1172/Q1172,4)</f>
        <v>0.27029999999999998</v>
      </c>
      <c r="S1172" s="11">
        <f>ROUND(R1172*L1172,2)</f>
        <v>810.9</v>
      </c>
      <c r="T1172" s="10" t="s">
        <v>349</v>
      </c>
      <c r="U1172" t="s">
        <v>25</v>
      </c>
    </row>
    <row r="1173" spans="1:21">
      <c r="A1173" t="s">
        <v>2336</v>
      </c>
      <c r="B1173" s="20">
        <v>45721</v>
      </c>
      <c r="C1173" s="20">
        <v>45674</v>
      </c>
      <c r="D1173" t="s">
        <v>169</v>
      </c>
      <c r="E1173" t="s">
        <v>170</v>
      </c>
      <c r="G1173" t="s">
        <v>2893</v>
      </c>
      <c r="H1173" t="s">
        <v>1090</v>
      </c>
      <c r="I1173" t="s">
        <v>1091</v>
      </c>
      <c r="J1173" s="8" t="str">
        <f>+LEFT(U1173,4)</f>
        <v>PAP-</v>
      </c>
      <c r="K1173" t="s">
        <v>10</v>
      </c>
      <c r="L1173" s="47">
        <v>15000</v>
      </c>
      <c r="M1173" t="s">
        <v>1472</v>
      </c>
      <c r="N1173" t="s">
        <v>11</v>
      </c>
      <c r="O1173" s="50">
        <v>0.47789999999999999</v>
      </c>
      <c r="P1173" s="9">
        <f>ROUND(O1173*L1173,2)</f>
        <v>7168.5</v>
      </c>
      <c r="Q1173" s="10">
        <f>IF(N1173="HKD",7.8,IF(N1173="CNY",7.30034,1))</f>
        <v>7.3003400000000003</v>
      </c>
      <c r="R1173" s="10">
        <f>+ROUND(O1173/Q1173,4)</f>
        <v>6.5500000000000003E-2</v>
      </c>
      <c r="S1173" s="11">
        <f>ROUND(R1173*L1173,2)</f>
        <v>982.5</v>
      </c>
      <c r="T1173" s="10" t="s">
        <v>349</v>
      </c>
      <c r="U1173" t="s">
        <v>1094</v>
      </c>
    </row>
    <row r="1174" spans="1:21">
      <c r="A1174" t="s">
        <v>1965</v>
      </c>
      <c r="B1174" s="20">
        <v>45721</v>
      </c>
      <c r="C1174" s="20">
        <v>45660</v>
      </c>
      <c r="D1174" t="s">
        <v>709</v>
      </c>
      <c r="E1174" t="s">
        <v>710</v>
      </c>
      <c r="G1174" t="s">
        <v>2869</v>
      </c>
      <c r="H1174" t="s">
        <v>1684</v>
      </c>
      <c r="I1174" t="s">
        <v>1685</v>
      </c>
      <c r="J1174" s="8" t="str">
        <f>+LEFT(U1174,4)</f>
        <v>SHDL</v>
      </c>
      <c r="K1174" t="s">
        <v>10</v>
      </c>
      <c r="L1174" s="47">
        <v>1260</v>
      </c>
      <c r="M1174" t="s">
        <v>1472</v>
      </c>
      <c r="N1174" t="s">
        <v>11</v>
      </c>
      <c r="O1174" s="50">
        <v>2.6659999999999999</v>
      </c>
      <c r="P1174" s="9">
        <f>ROUND(O1174*L1174,2)</f>
        <v>3359.16</v>
      </c>
      <c r="Q1174" s="10">
        <f>IF(N1174="HKD",7.8,IF(N1174="CNY",7.30034,1))</f>
        <v>7.3003400000000003</v>
      </c>
      <c r="R1174" s="10">
        <f>+ROUND(O1174/Q1174,4)</f>
        <v>0.36520000000000002</v>
      </c>
      <c r="S1174" s="11">
        <f>ROUND(R1174*L1174,2)</f>
        <v>460.15</v>
      </c>
      <c r="T1174" s="10" t="s">
        <v>349</v>
      </c>
      <c r="U1174" t="s">
        <v>722</v>
      </c>
    </row>
    <row r="1175" spans="1:21">
      <c r="A1175" t="s">
        <v>2059</v>
      </c>
      <c r="B1175" s="20">
        <v>45721</v>
      </c>
      <c r="C1175" s="20">
        <v>45630</v>
      </c>
      <c r="D1175" t="s">
        <v>830</v>
      </c>
      <c r="E1175" t="s">
        <v>831</v>
      </c>
      <c r="G1175" t="s">
        <v>2856</v>
      </c>
      <c r="H1175" t="s">
        <v>834</v>
      </c>
      <c r="I1175" t="s">
        <v>835</v>
      </c>
      <c r="J1175" s="8" t="str">
        <f>+LEFT(U1175,4)</f>
        <v>SKU-</v>
      </c>
      <c r="K1175" t="s">
        <v>98</v>
      </c>
      <c r="L1175" s="47">
        <v>200</v>
      </c>
      <c r="M1175" t="s">
        <v>1472</v>
      </c>
      <c r="N1175" t="s">
        <v>11</v>
      </c>
      <c r="O1175" s="50">
        <v>4.9154</v>
      </c>
      <c r="P1175" s="9">
        <f>ROUND(O1175*L1175,2)</f>
        <v>983.08</v>
      </c>
      <c r="Q1175" s="10">
        <f>IF(N1175="HKD",7.8,IF(N1175="CNY",7.30034,1))</f>
        <v>7.3003400000000003</v>
      </c>
      <c r="R1175" s="10">
        <f>+ROUND(O1175/Q1175,4)</f>
        <v>0.67330000000000001</v>
      </c>
      <c r="S1175" s="11">
        <f>ROUND(R1175*L1175,2)</f>
        <v>134.66</v>
      </c>
      <c r="T1175" s="10" t="s">
        <v>349</v>
      </c>
      <c r="U1175" t="s">
        <v>2</v>
      </c>
    </row>
    <row r="1176" spans="1:21">
      <c r="A1176" t="s">
        <v>2297</v>
      </c>
      <c r="B1176" s="20">
        <v>45721</v>
      </c>
      <c r="C1176" s="20">
        <v>45646</v>
      </c>
      <c r="D1176" t="s">
        <v>830</v>
      </c>
      <c r="E1176" t="s">
        <v>831</v>
      </c>
      <c r="G1176" t="s">
        <v>2856</v>
      </c>
      <c r="H1176" t="s">
        <v>834</v>
      </c>
      <c r="I1176" t="s">
        <v>835</v>
      </c>
      <c r="J1176" s="8" t="str">
        <f>+LEFT(U1176,4)</f>
        <v>SKU-</v>
      </c>
      <c r="K1176" t="s">
        <v>98</v>
      </c>
      <c r="L1176" s="47">
        <v>2000</v>
      </c>
      <c r="M1176" t="s">
        <v>1472</v>
      </c>
      <c r="N1176" t="s">
        <v>11</v>
      </c>
      <c r="O1176" s="50">
        <v>4.9154</v>
      </c>
      <c r="P1176" s="9">
        <f>ROUND(O1176*L1176,2)</f>
        <v>9830.7999999999993</v>
      </c>
      <c r="Q1176" s="10">
        <f>IF(N1176="HKD",7.8,IF(N1176="CNY",7.30034,1))</f>
        <v>7.3003400000000003</v>
      </c>
      <c r="R1176" s="10">
        <f>+ROUND(O1176/Q1176,4)</f>
        <v>0.67330000000000001</v>
      </c>
      <c r="S1176" s="11">
        <f>ROUND(R1176*L1176,2)</f>
        <v>1346.6</v>
      </c>
      <c r="T1176" s="10" t="s">
        <v>349</v>
      </c>
      <c r="U1176" t="s">
        <v>2</v>
      </c>
    </row>
    <row r="1177" spans="1:21">
      <c r="A1177" t="s">
        <v>2603</v>
      </c>
      <c r="B1177" s="20">
        <v>45721</v>
      </c>
      <c r="C1177" s="20">
        <v>45719</v>
      </c>
      <c r="D1177" t="s">
        <v>2829</v>
      </c>
      <c r="E1177" t="s">
        <v>2830</v>
      </c>
      <c r="G1177" t="s">
        <v>3009</v>
      </c>
      <c r="H1177" t="s">
        <v>1808</v>
      </c>
      <c r="I1177" t="s">
        <v>1809</v>
      </c>
      <c r="J1177" s="8" t="str">
        <f>+LEFT(U1177,4)</f>
        <v>SSM-</v>
      </c>
      <c r="K1177" t="s">
        <v>10</v>
      </c>
      <c r="L1177" s="47">
        <v>43134</v>
      </c>
      <c r="M1177" t="s">
        <v>186</v>
      </c>
      <c r="N1177" t="s">
        <v>11</v>
      </c>
      <c r="O1177" s="50">
        <v>11.8142</v>
      </c>
      <c r="P1177" s="9">
        <f>ROUND(O1177*L1177,2)</f>
        <v>509593.7</v>
      </c>
      <c r="Q1177" s="10">
        <f>IF(N1177="HKD",7.8,IF(N1177="CNY",7.30034,1))</f>
        <v>7.3003400000000003</v>
      </c>
      <c r="R1177" s="10">
        <f>+ROUND(O1177/Q1177,4)</f>
        <v>1.6183000000000001</v>
      </c>
      <c r="S1177" s="11">
        <f>ROUND(R1177*L1177,2)</f>
        <v>69803.75</v>
      </c>
      <c r="T1177" s="10" t="s">
        <v>349</v>
      </c>
      <c r="U1177" t="s">
        <v>33</v>
      </c>
    </row>
    <row r="1178" spans="1:21">
      <c r="A1178" t="s">
        <v>2344</v>
      </c>
      <c r="B1178" s="20">
        <v>45720</v>
      </c>
      <c r="C1178" s="20">
        <v>45677</v>
      </c>
      <c r="D1178" t="s">
        <v>287</v>
      </c>
      <c r="E1178" t="s">
        <v>288</v>
      </c>
      <c r="G1178" t="s">
        <v>2899</v>
      </c>
      <c r="H1178" t="s">
        <v>79</v>
      </c>
      <c r="I1178" t="s">
        <v>80</v>
      </c>
      <c r="J1178" s="8" t="s">
        <v>1478</v>
      </c>
      <c r="K1178" t="s">
        <v>10</v>
      </c>
      <c r="L1178" s="47">
        <v>1050</v>
      </c>
      <c r="M1178" t="s">
        <v>1472</v>
      </c>
      <c r="N1178" t="s">
        <v>11</v>
      </c>
      <c r="O1178" s="50">
        <v>6.5929000000000002</v>
      </c>
      <c r="P1178" s="9">
        <f>ROUND(O1178*L1178,2)</f>
        <v>6922.55</v>
      </c>
      <c r="Q1178" s="10">
        <f>IF(N1178="HKD",7.8,IF(N1178="CNY",7.30034,1))</f>
        <v>7.3003400000000003</v>
      </c>
      <c r="R1178" s="10">
        <f>+ROUND(O1178/Q1178,4)</f>
        <v>0.90310000000000001</v>
      </c>
      <c r="S1178" s="11">
        <f>ROUND(R1178*L1178,2)</f>
        <v>948.26</v>
      </c>
      <c r="T1178" s="10" t="s">
        <v>349</v>
      </c>
      <c r="U1178" t="s">
        <v>36</v>
      </c>
    </row>
    <row r="1179" spans="1:21">
      <c r="A1179" t="s">
        <v>2329</v>
      </c>
      <c r="B1179" s="20">
        <v>45720</v>
      </c>
      <c r="C1179" s="20">
        <v>45671</v>
      </c>
      <c r="D1179" t="s">
        <v>128</v>
      </c>
      <c r="E1179" t="s">
        <v>129</v>
      </c>
      <c r="G1179" t="s">
        <v>2886</v>
      </c>
      <c r="H1179" t="s">
        <v>3084</v>
      </c>
      <c r="I1179" t="s">
        <v>3300</v>
      </c>
      <c r="J1179" s="8" t="str">
        <f>+LEFT(U1179,4)</f>
        <v>HDL-</v>
      </c>
      <c r="K1179" t="s">
        <v>10</v>
      </c>
      <c r="L1179" s="47">
        <v>1080</v>
      </c>
      <c r="M1179" t="s">
        <v>1472</v>
      </c>
      <c r="N1179" t="s">
        <v>11</v>
      </c>
      <c r="O1179" s="50">
        <v>3.2145000000000001</v>
      </c>
      <c r="P1179" s="9">
        <f>ROUND(O1179*L1179,2)</f>
        <v>3471.66</v>
      </c>
      <c r="Q1179" s="10">
        <f>IF(N1179="HKD",7.8,IF(N1179="CNY",7.30034,1))</f>
        <v>7.3003400000000003</v>
      </c>
      <c r="R1179" s="10">
        <f>+ROUND(O1179/Q1179,4)</f>
        <v>0.44030000000000002</v>
      </c>
      <c r="S1179" s="11">
        <f>ROUND(R1179*L1179,2)</f>
        <v>475.52</v>
      </c>
      <c r="T1179" s="10" t="s">
        <v>349</v>
      </c>
      <c r="U1179" t="s">
        <v>228</v>
      </c>
    </row>
    <row r="1180" spans="1:21">
      <c r="A1180" t="s">
        <v>2349</v>
      </c>
      <c r="B1180" s="20">
        <v>45720</v>
      </c>
      <c r="C1180" s="20">
        <v>45680</v>
      </c>
      <c r="D1180" t="s">
        <v>121</v>
      </c>
      <c r="E1180" t="s">
        <v>122</v>
      </c>
      <c r="G1180" t="s">
        <v>2845</v>
      </c>
      <c r="H1180" t="s">
        <v>1548</v>
      </c>
      <c r="I1180" t="s">
        <v>1549</v>
      </c>
      <c r="J1180" s="8" t="s">
        <v>1527</v>
      </c>
      <c r="K1180" t="s">
        <v>10</v>
      </c>
      <c r="L1180" s="47">
        <v>3050</v>
      </c>
      <c r="M1180" t="s">
        <v>1472</v>
      </c>
      <c r="N1180" t="s">
        <v>11</v>
      </c>
      <c r="O1180" s="50">
        <v>0.8</v>
      </c>
      <c r="P1180" s="9">
        <f>ROUND(O1180*L1180,2)</f>
        <v>2440</v>
      </c>
      <c r="Q1180" s="10">
        <f>IF(N1180="HKD",7.8,IF(N1180="CNY",7.30034,1))</f>
        <v>7.3003400000000003</v>
      </c>
      <c r="R1180" s="10">
        <f>+ROUND(O1180/Q1180,4)</f>
        <v>0.1096</v>
      </c>
      <c r="S1180" s="11">
        <f>ROUND(R1180*L1180,2)</f>
        <v>334.28</v>
      </c>
      <c r="T1180" s="10" t="s">
        <v>349</v>
      </c>
      <c r="U1180" t="s">
        <v>36</v>
      </c>
    </row>
    <row r="1181" spans="1:21">
      <c r="A1181" t="s">
        <v>2350</v>
      </c>
      <c r="B1181" s="20">
        <v>45720</v>
      </c>
      <c r="C1181" s="20">
        <v>45680</v>
      </c>
      <c r="D1181" t="s">
        <v>121</v>
      </c>
      <c r="E1181" t="s">
        <v>122</v>
      </c>
      <c r="G1181" t="s">
        <v>2845</v>
      </c>
      <c r="H1181" t="s">
        <v>1550</v>
      </c>
      <c r="I1181" t="s">
        <v>1533</v>
      </c>
      <c r="J1181" s="8" t="s">
        <v>1527</v>
      </c>
      <c r="K1181" t="s">
        <v>10</v>
      </c>
      <c r="L1181" s="47">
        <v>2900</v>
      </c>
      <c r="M1181" t="s">
        <v>1472</v>
      </c>
      <c r="N1181" t="s">
        <v>11</v>
      </c>
      <c r="O1181" s="50">
        <v>0.8</v>
      </c>
      <c r="P1181" s="9">
        <f>ROUND(O1181*L1181,2)</f>
        <v>2320</v>
      </c>
      <c r="Q1181" s="10">
        <f>IF(N1181="HKD",7.8,IF(N1181="CNY",7.30034,1))</f>
        <v>7.3003400000000003</v>
      </c>
      <c r="R1181" s="10">
        <f>+ROUND(O1181/Q1181,4)</f>
        <v>0.1096</v>
      </c>
      <c r="S1181" s="11">
        <f>ROUND(R1181*L1181,2)</f>
        <v>317.83999999999997</v>
      </c>
      <c r="T1181" s="10" t="s">
        <v>349</v>
      </c>
      <c r="U1181" t="s">
        <v>36</v>
      </c>
    </row>
    <row r="1182" spans="1:21">
      <c r="A1182" t="s">
        <v>2275</v>
      </c>
      <c r="B1182" s="20">
        <v>45720</v>
      </c>
      <c r="C1182" s="20">
        <v>45509</v>
      </c>
      <c r="D1182" t="s">
        <v>128</v>
      </c>
      <c r="E1182" t="s">
        <v>129</v>
      </c>
      <c r="G1182" t="s">
        <v>2843</v>
      </c>
      <c r="H1182" t="s">
        <v>26</v>
      </c>
      <c r="I1182" t="s">
        <v>27</v>
      </c>
      <c r="J1182" s="8" t="str">
        <f>+LEFT(U1182,4)</f>
        <v>KNOB</v>
      </c>
      <c r="K1182" t="s">
        <v>10</v>
      </c>
      <c r="L1182" s="47">
        <v>-1209</v>
      </c>
      <c r="M1182" t="s">
        <v>1472</v>
      </c>
      <c r="N1182" t="s">
        <v>11</v>
      </c>
      <c r="O1182" s="50">
        <v>2.2957000000000001</v>
      </c>
      <c r="P1182" s="9">
        <f>ROUND(O1182*L1182,2)</f>
        <v>-2775.5</v>
      </c>
      <c r="Q1182" s="10">
        <f>IF(N1182="HKD",7.8,IF(N1182="CNY",7.30034,1))</f>
        <v>7.3003400000000003</v>
      </c>
      <c r="R1182" s="10">
        <f>+ROUND(O1182/Q1182,4)</f>
        <v>0.3145</v>
      </c>
      <c r="S1182" s="11">
        <f>ROUND(R1182*L1182,2)</f>
        <v>-380.23</v>
      </c>
      <c r="T1182" s="10" t="s">
        <v>349</v>
      </c>
      <c r="U1182" t="s">
        <v>32</v>
      </c>
    </row>
    <row r="1183" spans="1:21">
      <c r="A1183" t="s">
        <v>2341</v>
      </c>
      <c r="B1183" s="20">
        <v>45720</v>
      </c>
      <c r="C1183" s="20">
        <v>45674</v>
      </c>
      <c r="D1183" t="s">
        <v>128</v>
      </c>
      <c r="E1183" t="s">
        <v>129</v>
      </c>
      <c r="G1183" t="s">
        <v>2886</v>
      </c>
      <c r="H1183" t="s">
        <v>26</v>
      </c>
      <c r="I1183" t="s">
        <v>27</v>
      </c>
      <c r="J1183" s="8" t="str">
        <f>+LEFT(U1183,4)</f>
        <v>KNOB</v>
      </c>
      <c r="K1183" t="s">
        <v>10</v>
      </c>
      <c r="L1183" s="47">
        <v>840</v>
      </c>
      <c r="M1183" t="s">
        <v>1472</v>
      </c>
      <c r="N1183" t="s">
        <v>11</v>
      </c>
      <c r="O1183" s="50">
        <v>2.3666999999999998</v>
      </c>
      <c r="P1183" s="9">
        <f>ROUND(O1183*L1183,2)</f>
        <v>1988.03</v>
      </c>
      <c r="Q1183" s="10">
        <f>IF(N1183="HKD",7.8,IF(N1183="CNY",7.30034,1))</f>
        <v>7.3003400000000003</v>
      </c>
      <c r="R1183" s="10">
        <f>+ROUND(O1183/Q1183,4)</f>
        <v>0.32419999999999999</v>
      </c>
      <c r="S1183" s="11">
        <f>ROUND(R1183*L1183,2)</f>
        <v>272.33</v>
      </c>
      <c r="T1183" s="10" t="s">
        <v>349</v>
      </c>
      <c r="U1183" t="s">
        <v>32</v>
      </c>
    </row>
    <row r="1184" spans="1:21">
      <c r="A1184" t="s">
        <v>2276</v>
      </c>
      <c r="B1184" s="20">
        <v>45720</v>
      </c>
      <c r="C1184" s="20">
        <v>45576</v>
      </c>
      <c r="D1184" t="s">
        <v>121</v>
      </c>
      <c r="E1184" t="s">
        <v>122</v>
      </c>
      <c r="G1184" t="s">
        <v>2845</v>
      </c>
      <c r="H1184" t="s">
        <v>3058</v>
      </c>
      <c r="I1184" t="s">
        <v>3275</v>
      </c>
      <c r="J1184" s="8" t="str">
        <f>+LEFT(U1184,4)</f>
        <v>LHDL</v>
      </c>
      <c r="K1184" t="s">
        <v>10</v>
      </c>
      <c r="L1184" s="47">
        <v>1620</v>
      </c>
      <c r="M1184" t="s">
        <v>1472</v>
      </c>
      <c r="N1184" t="s">
        <v>11</v>
      </c>
      <c r="O1184" s="50">
        <v>7.3152999999999997</v>
      </c>
      <c r="P1184" s="9">
        <f>ROUND(O1184*L1184,2)</f>
        <v>11850.79</v>
      </c>
      <c r="Q1184" s="10">
        <f>IF(N1184="HKD",7.8,IF(N1184="CNY",7.30034,1))</f>
        <v>7.3003400000000003</v>
      </c>
      <c r="R1184" s="10">
        <f>+ROUND(O1184/Q1184,4)</f>
        <v>1.002</v>
      </c>
      <c r="S1184" s="11">
        <f>ROUND(R1184*L1184,2)</f>
        <v>1623.24</v>
      </c>
      <c r="T1184" s="10" t="s">
        <v>349</v>
      </c>
      <c r="U1184" t="s">
        <v>125</v>
      </c>
    </row>
    <row r="1185" spans="1:21">
      <c r="A1185" t="s">
        <v>2277</v>
      </c>
      <c r="B1185" s="20">
        <v>45720</v>
      </c>
      <c r="C1185" s="20">
        <v>45576</v>
      </c>
      <c r="D1185" t="s">
        <v>121</v>
      </c>
      <c r="E1185" t="s">
        <v>122</v>
      </c>
      <c r="G1185" t="s">
        <v>2845</v>
      </c>
      <c r="H1185" t="s">
        <v>3059</v>
      </c>
      <c r="I1185" t="s">
        <v>963</v>
      </c>
      <c r="J1185" s="8" t="str">
        <f>+LEFT(U1185,4)</f>
        <v>LHDL</v>
      </c>
      <c r="K1185" t="s">
        <v>10</v>
      </c>
      <c r="L1185" s="47">
        <v>1010</v>
      </c>
      <c r="M1185" t="s">
        <v>1472</v>
      </c>
      <c r="N1185" t="s">
        <v>11</v>
      </c>
      <c r="O1185" s="50">
        <v>7.3506999999999998</v>
      </c>
      <c r="P1185" s="9">
        <f>ROUND(O1185*L1185,2)</f>
        <v>7424.21</v>
      </c>
      <c r="Q1185" s="10">
        <f>IF(N1185="HKD",7.8,IF(N1185="CNY",7.30034,1))</f>
        <v>7.3003400000000003</v>
      </c>
      <c r="R1185" s="10">
        <f>+ROUND(O1185/Q1185,4)</f>
        <v>1.0068999999999999</v>
      </c>
      <c r="S1185" s="11">
        <f>ROUND(R1185*L1185,2)</f>
        <v>1016.97</v>
      </c>
      <c r="T1185" s="10" t="s">
        <v>349</v>
      </c>
      <c r="U1185" t="s">
        <v>125</v>
      </c>
    </row>
    <row r="1186" spans="1:21">
      <c r="A1186" t="s">
        <v>2287</v>
      </c>
      <c r="B1186" s="20">
        <v>45720</v>
      </c>
      <c r="C1186" s="20">
        <v>45611</v>
      </c>
      <c r="D1186" t="s">
        <v>121</v>
      </c>
      <c r="E1186" t="s">
        <v>122</v>
      </c>
      <c r="G1186" t="s">
        <v>2845</v>
      </c>
      <c r="H1186" t="s">
        <v>3059</v>
      </c>
      <c r="I1186" t="s">
        <v>963</v>
      </c>
      <c r="J1186" s="8" t="str">
        <f>+LEFT(U1186,4)</f>
        <v>LHDL</v>
      </c>
      <c r="K1186" t="s">
        <v>10</v>
      </c>
      <c r="L1186" s="47">
        <v>1010</v>
      </c>
      <c r="M1186" t="s">
        <v>1472</v>
      </c>
      <c r="N1186" t="s">
        <v>11</v>
      </c>
      <c r="O1186" s="50">
        <v>7.3506999999999998</v>
      </c>
      <c r="P1186" s="9">
        <f>ROUND(O1186*L1186,2)</f>
        <v>7424.21</v>
      </c>
      <c r="Q1186" s="10">
        <f>IF(N1186="HKD",7.8,IF(N1186="CNY",7.30034,1))</f>
        <v>7.3003400000000003</v>
      </c>
      <c r="R1186" s="10">
        <f>+ROUND(O1186/Q1186,4)</f>
        <v>1.0068999999999999</v>
      </c>
      <c r="S1186" s="11">
        <f>ROUND(R1186*L1186,2)</f>
        <v>1016.97</v>
      </c>
      <c r="T1186" s="10" t="s">
        <v>349</v>
      </c>
      <c r="U1186" t="s">
        <v>125</v>
      </c>
    </row>
    <row r="1187" spans="1:21">
      <c r="A1187" t="s">
        <v>2288</v>
      </c>
      <c r="B1187" s="20">
        <v>45720</v>
      </c>
      <c r="C1187" s="20">
        <v>45611</v>
      </c>
      <c r="D1187" t="s">
        <v>121</v>
      </c>
      <c r="E1187" t="s">
        <v>122</v>
      </c>
      <c r="G1187" t="s">
        <v>2845</v>
      </c>
      <c r="H1187" t="s">
        <v>1794</v>
      </c>
      <c r="I1187" t="s">
        <v>1795</v>
      </c>
      <c r="J1187" s="8" t="str">
        <f>+LEFT(U1187,4)</f>
        <v>LHDL</v>
      </c>
      <c r="K1187" t="s">
        <v>10</v>
      </c>
      <c r="L1187" s="47">
        <v>510</v>
      </c>
      <c r="M1187" t="s">
        <v>1472</v>
      </c>
      <c r="N1187" t="s">
        <v>11</v>
      </c>
      <c r="O1187" s="50">
        <v>7.4212999999999996</v>
      </c>
      <c r="P1187" s="9">
        <f>ROUND(O1187*L1187,2)</f>
        <v>3784.86</v>
      </c>
      <c r="Q1187" s="10">
        <f>IF(N1187="HKD",7.8,IF(N1187="CNY",7.30034,1))</f>
        <v>7.3003400000000003</v>
      </c>
      <c r="R1187" s="10">
        <f>+ROUND(O1187/Q1187,4)</f>
        <v>1.0165999999999999</v>
      </c>
      <c r="S1187" s="11">
        <f>ROUND(R1187*L1187,2)</f>
        <v>518.47</v>
      </c>
      <c r="T1187" s="10" t="s">
        <v>349</v>
      </c>
      <c r="U1187" t="s">
        <v>125</v>
      </c>
    </row>
    <row r="1188" spans="1:21">
      <c r="A1188" t="s">
        <v>2278</v>
      </c>
      <c r="B1188" s="20">
        <v>45720</v>
      </c>
      <c r="C1188" s="20">
        <v>45576</v>
      </c>
      <c r="D1188" t="s">
        <v>121</v>
      </c>
      <c r="E1188" t="s">
        <v>122</v>
      </c>
      <c r="G1188" t="s">
        <v>2845</v>
      </c>
      <c r="H1188" t="s">
        <v>119</v>
      </c>
      <c r="I1188" t="s">
        <v>120</v>
      </c>
      <c r="J1188" s="8" t="str">
        <f>+LEFT(U1188,4)</f>
        <v>LHDL</v>
      </c>
      <c r="K1188" t="s">
        <v>10</v>
      </c>
      <c r="L1188" s="47">
        <v>410</v>
      </c>
      <c r="M1188" t="s">
        <v>1472</v>
      </c>
      <c r="N1188" t="s">
        <v>11</v>
      </c>
      <c r="O1188" s="50">
        <v>7.4566999999999997</v>
      </c>
      <c r="P1188" s="9">
        <f>ROUND(O1188*L1188,2)</f>
        <v>3057.25</v>
      </c>
      <c r="Q1188" s="10">
        <f>IF(N1188="HKD",7.8,IF(N1188="CNY",7.30034,1))</f>
        <v>7.3003400000000003</v>
      </c>
      <c r="R1188" s="10">
        <f>+ROUND(O1188/Q1188,4)</f>
        <v>1.0214000000000001</v>
      </c>
      <c r="S1188" s="11">
        <f>ROUND(R1188*L1188,2)</f>
        <v>418.77</v>
      </c>
      <c r="T1188" s="10" t="s">
        <v>349</v>
      </c>
      <c r="U1188" t="s">
        <v>125</v>
      </c>
    </row>
    <row r="1189" spans="1:21">
      <c r="A1189" t="s">
        <v>2279</v>
      </c>
      <c r="B1189" s="20">
        <v>45720</v>
      </c>
      <c r="C1189" s="20">
        <v>45576</v>
      </c>
      <c r="D1189" t="s">
        <v>94</v>
      </c>
      <c r="E1189" t="s">
        <v>95</v>
      </c>
      <c r="G1189" t="s">
        <v>2846</v>
      </c>
      <c r="H1189" t="s">
        <v>3060</v>
      </c>
      <c r="I1189" t="s">
        <v>3276</v>
      </c>
      <c r="J1189" s="8" t="str">
        <f>+LEFT(U1189,4)</f>
        <v>LID-</v>
      </c>
      <c r="K1189" t="s">
        <v>98</v>
      </c>
      <c r="L1189" s="47">
        <v>1620</v>
      </c>
      <c r="M1189" t="s">
        <v>1472</v>
      </c>
      <c r="N1189" t="s">
        <v>11</v>
      </c>
      <c r="O1189" s="50">
        <v>3.2</v>
      </c>
      <c r="P1189" s="9">
        <f>ROUND(O1189*L1189,2)</f>
        <v>5184</v>
      </c>
      <c r="Q1189" s="10">
        <f>IF(N1189="HKD",7.8,IF(N1189="CNY",7.30034,1))</f>
        <v>7.3003400000000003</v>
      </c>
      <c r="R1189" s="10">
        <f>+ROUND(O1189/Q1189,4)</f>
        <v>0.43830000000000002</v>
      </c>
      <c r="S1189" s="11">
        <f>ROUND(R1189*L1189,2)</f>
        <v>710.05</v>
      </c>
      <c r="T1189" s="10" t="s">
        <v>349</v>
      </c>
      <c r="U1189" t="s">
        <v>368</v>
      </c>
    </row>
    <row r="1190" spans="1:21">
      <c r="A1190" t="s">
        <v>2323</v>
      </c>
      <c r="B1190" s="20">
        <v>45720</v>
      </c>
      <c r="C1190" s="20">
        <v>45664</v>
      </c>
      <c r="D1190" t="s">
        <v>94</v>
      </c>
      <c r="E1190" t="s">
        <v>95</v>
      </c>
      <c r="G1190" t="s">
        <v>2846</v>
      </c>
      <c r="H1190" t="s">
        <v>1734</v>
      </c>
      <c r="I1190" t="s">
        <v>1735</v>
      </c>
      <c r="J1190" s="8" t="str">
        <f>+LEFT(U1190,4)</f>
        <v>LID-</v>
      </c>
      <c r="K1190" t="s">
        <v>3481</v>
      </c>
      <c r="L1190" s="47">
        <v>270</v>
      </c>
      <c r="M1190" t="s">
        <v>1472</v>
      </c>
      <c r="N1190" t="s">
        <v>11</v>
      </c>
      <c r="O1190" s="50">
        <v>3.53</v>
      </c>
      <c r="P1190" s="9">
        <f>ROUND(O1190*L1190,2)</f>
        <v>953.1</v>
      </c>
      <c r="Q1190" s="10">
        <f>IF(N1190="HKD",7.8,IF(N1190="CNY",7.30034,1))</f>
        <v>7.3003400000000003</v>
      </c>
      <c r="R1190" s="10">
        <f>+ROUND(O1190/Q1190,4)</f>
        <v>0.48349999999999999</v>
      </c>
      <c r="S1190" s="11">
        <f>ROUND(R1190*L1190,2)</f>
        <v>130.55000000000001</v>
      </c>
      <c r="T1190" s="10" t="s">
        <v>349</v>
      </c>
      <c r="U1190" t="s">
        <v>368</v>
      </c>
    </row>
    <row r="1191" spans="1:21">
      <c r="A1191" t="s">
        <v>2406</v>
      </c>
      <c r="B1191" s="20">
        <v>45720</v>
      </c>
      <c r="C1191" s="20">
        <v>45700</v>
      </c>
      <c r="D1191" t="s">
        <v>94</v>
      </c>
      <c r="E1191" t="s">
        <v>95</v>
      </c>
      <c r="G1191" t="s">
        <v>2846</v>
      </c>
      <c r="H1191" t="s">
        <v>1734</v>
      </c>
      <c r="I1191" t="s">
        <v>1735</v>
      </c>
      <c r="J1191" s="8" t="str">
        <f>+LEFT(U1191,4)</f>
        <v>LID-</v>
      </c>
      <c r="K1191" t="s">
        <v>3481</v>
      </c>
      <c r="L1191" s="47">
        <v>380</v>
      </c>
      <c r="M1191" t="s">
        <v>1472</v>
      </c>
      <c r="N1191" t="s">
        <v>11</v>
      </c>
      <c r="O1191" s="50">
        <v>3.53</v>
      </c>
      <c r="P1191" s="9">
        <f>ROUND(O1191*L1191,2)</f>
        <v>1341.4</v>
      </c>
      <c r="Q1191" s="10">
        <f>IF(N1191="HKD",7.8,IF(N1191="CNY",7.30034,1))</f>
        <v>7.3003400000000003</v>
      </c>
      <c r="R1191" s="10">
        <f>+ROUND(O1191/Q1191,4)</f>
        <v>0.48349999999999999</v>
      </c>
      <c r="S1191" s="11">
        <f>ROUND(R1191*L1191,2)</f>
        <v>183.73</v>
      </c>
      <c r="T1191" s="10" t="s">
        <v>349</v>
      </c>
      <c r="U1191" t="s">
        <v>368</v>
      </c>
    </row>
    <row r="1192" spans="1:21">
      <c r="A1192" t="s">
        <v>2408</v>
      </c>
      <c r="B1192" s="20">
        <v>45720</v>
      </c>
      <c r="C1192" s="20">
        <v>45700</v>
      </c>
      <c r="D1192" t="s">
        <v>94</v>
      </c>
      <c r="E1192" t="s">
        <v>95</v>
      </c>
      <c r="G1192" t="s">
        <v>2846</v>
      </c>
      <c r="H1192" t="s">
        <v>1734</v>
      </c>
      <c r="I1192" t="s">
        <v>1735</v>
      </c>
      <c r="J1192" s="8" t="str">
        <f>+LEFT(U1192,4)</f>
        <v>LID-</v>
      </c>
      <c r="K1192" t="s">
        <v>3481</v>
      </c>
      <c r="L1192" s="47">
        <v>1030</v>
      </c>
      <c r="M1192" t="s">
        <v>1472</v>
      </c>
      <c r="N1192" t="s">
        <v>11</v>
      </c>
      <c r="O1192" s="50">
        <v>3.53</v>
      </c>
      <c r="P1192" s="9">
        <f>ROUND(O1192*L1192,2)</f>
        <v>3635.9</v>
      </c>
      <c r="Q1192" s="10">
        <f>IF(N1192="HKD",7.8,IF(N1192="CNY",7.30034,1))</f>
        <v>7.3003400000000003</v>
      </c>
      <c r="R1192" s="10">
        <f>+ROUND(O1192/Q1192,4)</f>
        <v>0.48349999999999999</v>
      </c>
      <c r="S1192" s="11">
        <f>ROUND(R1192*L1192,2)</f>
        <v>498.01</v>
      </c>
      <c r="T1192" s="10" t="s">
        <v>349</v>
      </c>
      <c r="U1192" t="s">
        <v>368</v>
      </c>
    </row>
    <row r="1193" spans="1:21">
      <c r="A1193" t="s">
        <v>2523</v>
      </c>
      <c r="B1193" s="20">
        <v>45720</v>
      </c>
      <c r="C1193" s="20">
        <v>45713</v>
      </c>
      <c r="D1193" t="s">
        <v>128</v>
      </c>
      <c r="E1193" t="s">
        <v>129</v>
      </c>
      <c r="G1193" t="s">
        <v>2886</v>
      </c>
      <c r="H1193" t="s">
        <v>958</v>
      </c>
      <c r="I1193" t="s">
        <v>959</v>
      </c>
      <c r="J1193" s="8" t="str">
        <f>+LEFT(U1193,4)</f>
        <v>RIV-</v>
      </c>
      <c r="K1193" t="s">
        <v>10</v>
      </c>
      <c r="L1193" s="47">
        <v>4000</v>
      </c>
      <c r="M1193" t="s">
        <v>1472</v>
      </c>
      <c r="N1193" t="s">
        <v>11</v>
      </c>
      <c r="O1193" s="50">
        <v>4.8000000000000001E-2</v>
      </c>
      <c r="P1193" s="9">
        <f>ROUND(O1193*L1193,2)</f>
        <v>192</v>
      </c>
      <c r="Q1193" s="10">
        <f>IF(N1193="HKD",7.8,IF(N1193="CNY",7.30034,1))</f>
        <v>7.3003400000000003</v>
      </c>
      <c r="R1193" s="10">
        <f>+ROUND(O1193/Q1193,4)</f>
        <v>6.6E-3</v>
      </c>
      <c r="S1193" s="11">
        <f>ROUND(R1193*L1193,2)</f>
        <v>26.4</v>
      </c>
      <c r="T1193" s="10" t="s">
        <v>349</v>
      </c>
      <c r="U1193" t="s">
        <v>132</v>
      </c>
    </row>
    <row r="1194" spans="1:21">
      <c r="A1194" t="s">
        <v>2603</v>
      </c>
      <c r="B1194" s="20">
        <v>45720</v>
      </c>
      <c r="C1194" s="20">
        <v>45719</v>
      </c>
      <c r="D1194" t="s">
        <v>2829</v>
      </c>
      <c r="E1194" t="s">
        <v>2830</v>
      </c>
      <c r="G1194" t="s">
        <v>3010</v>
      </c>
      <c r="H1194" t="s">
        <v>1808</v>
      </c>
      <c r="I1194" t="s">
        <v>1809</v>
      </c>
      <c r="J1194" s="8" t="str">
        <f>+LEFT(U1194,4)</f>
        <v>SSM-</v>
      </c>
      <c r="K1194" t="s">
        <v>10</v>
      </c>
      <c r="L1194" s="47">
        <v>33033</v>
      </c>
      <c r="M1194" t="s">
        <v>186</v>
      </c>
      <c r="N1194" t="s">
        <v>11</v>
      </c>
      <c r="O1194" s="50">
        <v>11.8142</v>
      </c>
      <c r="P1194" s="9">
        <f>ROUND(O1194*L1194,2)</f>
        <v>390258.47</v>
      </c>
      <c r="Q1194" s="10">
        <f>IF(N1194="HKD",7.8,IF(N1194="CNY",7.30034,1))</f>
        <v>7.3003400000000003</v>
      </c>
      <c r="R1194" s="10">
        <f>+ROUND(O1194/Q1194,4)</f>
        <v>1.6183000000000001</v>
      </c>
      <c r="S1194" s="11">
        <f>ROUND(R1194*L1194,2)</f>
        <v>53457.3</v>
      </c>
      <c r="T1194" s="10" t="s">
        <v>349</v>
      </c>
      <c r="U1194" t="s">
        <v>33</v>
      </c>
    </row>
    <row r="1195" spans="1:21">
      <c r="A1195" t="s">
        <v>2603</v>
      </c>
      <c r="B1195" s="20">
        <v>45720</v>
      </c>
      <c r="C1195" s="20">
        <v>45719</v>
      </c>
      <c r="D1195" t="s">
        <v>2829</v>
      </c>
      <c r="E1195" t="s">
        <v>2830</v>
      </c>
      <c r="G1195" t="s">
        <v>3011</v>
      </c>
      <c r="H1195" t="s">
        <v>1808</v>
      </c>
      <c r="I1195" t="s">
        <v>1809</v>
      </c>
      <c r="J1195" s="8" t="str">
        <f>+LEFT(U1195,4)</f>
        <v>SSM-</v>
      </c>
      <c r="K1195" t="s">
        <v>10</v>
      </c>
      <c r="L1195" s="47">
        <v>32834</v>
      </c>
      <c r="M1195" t="s">
        <v>186</v>
      </c>
      <c r="N1195" t="s">
        <v>11</v>
      </c>
      <c r="O1195" s="50">
        <v>11.8142</v>
      </c>
      <c r="P1195" s="9">
        <f>ROUND(O1195*L1195,2)</f>
        <v>387907.44</v>
      </c>
      <c r="Q1195" s="10">
        <f>IF(N1195="HKD",7.8,IF(N1195="CNY",7.30034,1))</f>
        <v>7.3003400000000003</v>
      </c>
      <c r="R1195" s="10">
        <f>+ROUND(O1195/Q1195,4)</f>
        <v>1.6183000000000001</v>
      </c>
      <c r="S1195" s="11">
        <f>ROUND(R1195*L1195,2)</f>
        <v>53135.26</v>
      </c>
      <c r="T1195" s="10" t="s">
        <v>349</v>
      </c>
      <c r="U1195" t="s">
        <v>33</v>
      </c>
    </row>
    <row r="1196" spans="1:21">
      <c r="A1196" t="s">
        <v>2333</v>
      </c>
      <c r="B1196" s="20">
        <v>45719</v>
      </c>
      <c r="C1196" s="20">
        <v>45671</v>
      </c>
      <c r="D1196" t="s">
        <v>169</v>
      </c>
      <c r="E1196" t="s">
        <v>170</v>
      </c>
      <c r="G1196" t="s">
        <v>2889</v>
      </c>
      <c r="H1196" t="s">
        <v>3086</v>
      </c>
      <c r="I1196" t="s">
        <v>3302</v>
      </c>
      <c r="J1196" s="8" t="str">
        <f>+LEFT(U1196,4)</f>
        <v>BHRE</v>
      </c>
      <c r="K1196" t="s">
        <v>10</v>
      </c>
      <c r="L1196" s="47">
        <v>2000</v>
      </c>
      <c r="M1196" t="s">
        <v>1472</v>
      </c>
      <c r="N1196" t="s">
        <v>11</v>
      </c>
      <c r="O1196" s="50">
        <v>1.22</v>
      </c>
      <c r="P1196" s="9">
        <f>ROUND(O1196*L1196,2)</f>
        <v>2440</v>
      </c>
      <c r="Q1196" s="10">
        <f>IF(N1196="HKD",7.8,IF(N1196="CNY",7.30034,1))</f>
        <v>7.3003400000000003</v>
      </c>
      <c r="R1196" s="10">
        <f>+ROUND(O1196/Q1196,4)</f>
        <v>0.1671</v>
      </c>
      <c r="S1196" s="11">
        <f>ROUND(R1196*L1196,2)</f>
        <v>334.2</v>
      </c>
      <c r="T1196" s="10" t="s">
        <v>349</v>
      </c>
      <c r="U1196" t="s">
        <v>173</v>
      </c>
    </row>
    <row r="1197" spans="1:21">
      <c r="A1197" t="s">
        <v>2334</v>
      </c>
      <c r="B1197" s="20">
        <v>45719</v>
      </c>
      <c r="C1197" s="20">
        <v>45671</v>
      </c>
      <c r="D1197" t="s">
        <v>169</v>
      </c>
      <c r="E1197" t="s">
        <v>170</v>
      </c>
      <c r="G1197" t="s">
        <v>2889</v>
      </c>
      <c r="H1197" t="s">
        <v>3086</v>
      </c>
      <c r="I1197" t="s">
        <v>3302</v>
      </c>
      <c r="J1197" s="8" t="str">
        <f>+LEFT(U1197,4)</f>
        <v>BHRE</v>
      </c>
      <c r="K1197" t="s">
        <v>10</v>
      </c>
      <c r="L1197" s="47">
        <v>50</v>
      </c>
      <c r="M1197" t="s">
        <v>1472</v>
      </c>
      <c r="N1197" t="s">
        <v>11</v>
      </c>
      <c r="O1197" s="50">
        <v>1.22</v>
      </c>
      <c r="P1197" s="9">
        <f>ROUND(O1197*L1197,2)</f>
        <v>61</v>
      </c>
      <c r="Q1197" s="10">
        <f>IF(N1197="HKD",7.8,IF(N1197="CNY",7.30034,1))</f>
        <v>7.3003400000000003</v>
      </c>
      <c r="R1197" s="10">
        <f>+ROUND(O1197/Q1197,4)</f>
        <v>0.1671</v>
      </c>
      <c r="S1197" s="11">
        <f>ROUND(R1197*L1197,2)</f>
        <v>8.36</v>
      </c>
      <c r="T1197" s="10" t="s">
        <v>349</v>
      </c>
      <c r="U1197" t="s">
        <v>173</v>
      </c>
    </row>
    <row r="1198" spans="1:21">
      <c r="A1198" t="s">
        <v>2601</v>
      </c>
      <c r="B1198" s="20">
        <v>45719</v>
      </c>
      <c r="C1198" s="20">
        <v>45719</v>
      </c>
      <c r="D1198" t="s">
        <v>5</v>
      </c>
      <c r="E1198" t="s">
        <v>6</v>
      </c>
      <c r="G1198" t="s">
        <v>3008</v>
      </c>
      <c r="H1198" t="s">
        <v>3193</v>
      </c>
      <c r="I1198" t="s">
        <v>3400</v>
      </c>
      <c r="J1198" s="8" t="str">
        <f>+LEFT(U1198,4)</f>
        <v>BOX-</v>
      </c>
      <c r="K1198" t="s">
        <v>10</v>
      </c>
      <c r="L1198" s="47">
        <v>9100</v>
      </c>
      <c r="M1198" t="s">
        <v>1472</v>
      </c>
      <c r="N1198" t="s">
        <v>11</v>
      </c>
      <c r="O1198" s="50">
        <v>3.75</v>
      </c>
      <c r="P1198" s="9">
        <f>ROUND(O1198*L1198,2)</f>
        <v>34125</v>
      </c>
      <c r="Q1198" s="10">
        <f>IF(N1198="HKD",7.8,IF(N1198="CNY",7.30034,1))</f>
        <v>7.3003400000000003</v>
      </c>
      <c r="R1198" s="10">
        <f>+ROUND(O1198/Q1198,4)</f>
        <v>0.51370000000000005</v>
      </c>
      <c r="S1198" s="11">
        <f>ROUND(R1198*L1198,2)</f>
        <v>4674.67</v>
      </c>
      <c r="T1198" s="10" t="s">
        <v>349</v>
      </c>
      <c r="U1198" t="s">
        <v>1</v>
      </c>
    </row>
    <row r="1199" spans="1:21">
      <c r="A1199" t="s">
        <v>2602</v>
      </c>
      <c r="B1199" s="20">
        <v>45719</v>
      </c>
      <c r="C1199" s="20">
        <v>45719</v>
      </c>
      <c r="D1199" t="s">
        <v>5</v>
      </c>
      <c r="E1199" t="s">
        <v>6</v>
      </c>
      <c r="G1199" t="s">
        <v>3008</v>
      </c>
      <c r="H1199" t="s">
        <v>3193</v>
      </c>
      <c r="I1199" t="s">
        <v>3400</v>
      </c>
      <c r="J1199" s="8" t="str">
        <f>+LEFT(U1199,4)</f>
        <v>BOX-</v>
      </c>
      <c r="K1199" t="s">
        <v>10</v>
      </c>
      <c r="L1199" s="47">
        <v>50</v>
      </c>
      <c r="M1199" t="s">
        <v>1472</v>
      </c>
      <c r="N1199" t="s">
        <v>11</v>
      </c>
      <c r="O1199" s="50">
        <v>3.75</v>
      </c>
      <c r="P1199" s="9">
        <f>ROUND(O1199*L1199,2)</f>
        <v>187.5</v>
      </c>
      <c r="Q1199" s="10">
        <f>IF(N1199="HKD",7.8,IF(N1199="CNY",7.30034,1))</f>
        <v>7.3003400000000003</v>
      </c>
      <c r="R1199" s="10">
        <f>+ROUND(O1199/Q1199,4)</f>
        <v>0.51370000000000005</v>
      </c>
      <c r="S1199" s="11">
        <f>ROUND(R1199*L1199,2)</f>
        <v>25.69</v>
      </c>
      <c r="T1199" s="10" t="s">
        <v>349</v>
      </c>
      <c r="U1199" t="s">
        <v>1</v>
      </c>
    </row>
    <row r="1200" spans="1:21">
      <c r="A1200" t="s">
        <v>2366</v>
      </c>
      <c r="B1200" s="20">
        <v>45719</v>
      </c>
      <c r="C1200" s="20">
        <v>45695</v>
      </c>
      <c r="D1200" t="s">
        <v>21</v>
      </c>
      <c r="E1200" t="s">
        <v>22</v>
      </c>
      <c r="G1200" t="s">
        <v>2905</v>
      </c>
      <c r="H1200" t="s">
        <v>1432</v>
      </c>
      <c r="I1200" t="s">
        <v>1433</v>
      </c>
      <c r="J1200" s="8" t="str">
        <f>+LEFT(U1200,4)</f>
        <v>FG--</v>
      </c>
      <c r="K1200" t="s">
        <v>10</v>
      </c>
      <c r="L1200" s="47">
        <v>1040</v>
      </c>
      <c r="M1200" t="s">
        <v>1472</v>
      </c>
      <c r="N1200" t="s">
        <v>11</v>
      </c>
      <c r="O1200" s="50">
        <v>0.65390000000000004</v>
      </c>
      <c r="P1200" s="9">
        <f>ROUND(O1200*L1200,2)</f>
        <v>680.06</v>
      </c>
      <c r="Q1200" s="10">
        <f>IF(N1200="HKD",7.8,IF(N1200="CNY",7.30034,1))</f>
        <v>7.3003400000000003</v>
      </c>
      <c r="R1200" s="10">
        <f>+ROUND(O1200/Q1200,4)</f>
        <v>8.9599999999999999E-2</v>
      </c>
      <c r="S1200" s="11">
        <f>ROUND(R1200*L1200,2)</f>
        <v>93.18</v>
      </c>
      <c r="T1200" s="10" t="s">
        <v>349</v>
      </c>
      <c r="U1200" t="s">
        <v>64</v>
      </c>
    </row>
    <row r="1201" spans="1:21">
      <c r="A1201" t="s">
        <v>2469</v>
      </c>
      <c r="B1201" s="20">
        <v>45719</v>
      </c>
      <c r="C1201" s="20">
        <v>45707</v>
      </c>
      <c r="D1201" t="s">
        <v>28</v>
      </c>
      <c r="E1201" t="s">
        <v>29</v>
      </c>
      <c r="G1201" t="s">
        <v>2874</v>
      </c>
      <c r="H1201" t="s">
        <v>1141</v>
      </c>
      <c r="I1201" t="s">
        <v>1142</v>
      </c>
      <c r="J1201" s="8" t="str">
        <f>+LEFT(U1201,4)</f>
        <v>FG--</v>
      </c>
      <c r="K1201" t="s">
        <v>10</v>
      </c>
      <c r="L1201" s="47">
        <v>520</v>
      </c>
      <c r="M1201" t="s">
        <v>1472</v>
      </c>
      <c r="N1201" t="s">
        <v>11</v>
      </c>
      <c r="O1201" s="50">
        <v>0.67430000000000001</v>
      </c>
      <c r="P1201" s="9">
        <f>ROUND(O1201*L1201,2)</f>
        <v>350.64</v>
      </c>
      <c r="Q1201" s="10">
        <f>IF(N1201="HKD",7.8,IF(N1201="CNY",7.30034,1))</f>
        <v>7.3003400000000003</v>
      </c>
      <c r="R1201" s="10">
        <f>+ROUND(O1201/Q1201,4)</f>
        <v>9.2399999999999996E-2</v>
      </c>
      <c r="S1201" s="11">
        <f>ROUND(R1201*L1201,2)</f>
        <v>48.05</v>
      </c>
      <c r="T1201" s="10" t="s">
        <v>349</v>
      </c>
      <c r="U1201" t="s">
        <v>64</v>
      </c>
    </row>
    <row r="1202" spans="1:21">
      <c r="A1202" t="s">
        <v>2328</v>
      </c>
      <c r="B1202" s="20">
        <v>45719</v>
      </c>
      <c r="C1202" s="20">
        <v>45671</v>
      </c>
      <c r="D1202" t="s">
        <v>28</v>
      </c>
      <c r="E1202" t="s">
        <v>29</v>
      </c>
      <c r="G1202" t="s">
        <v>2874</v>
      </c>
      <c r="H1202" t="s">
        <v>1162</v>
      </c>
      <c r="I1202" t="s">
        <v>1163</v>
      </c>
      <c r="J1202" s="8" t="str">
        <f>+LEFT(U1202,4)</f>
        <v>FG--</v>
      </c>
      <c r="K1202" t="s">
        <v>10</v>
      </c>
      <c r="L1202" s="47">
        <v>3100</v>
      </c>
      <c r="M1202" t="s">
        <v>1472</v>
      </c>
      <c r="N1202" t="s">
        <v>11</v>
      </c>
      <c r="O1202" s="50">
        <v>1.3540000000000001</v>
      </c>
      <c r="P1202" s="9">
        <f>ROUND(O1202*L1202,2)</f>
        <v>4197.3999999999996</v>
      </c>
      <c r="Q1202" s="10">
        <f>IF(N1202="HKD",7.8,IF(N1202="CNY",7.30034,1))</f>
        <v>7.3003400000000003</v>
      </c>
      <c r="R1202" s="10">
        <f>+ROUND(O1202/Q1202,4)</f>
        <v>0.1855</v>
      </c>
      <c r="S1202" s="11">
        <f>ROUND(R1202*L1202,2)</f>
        <v>575.04999999999995</v>
      </c>
      <c r="T1202" s="10" t="s">
        <v>349</v>
      </c>
      <c r="U1202" t="s">
        <v>64</v>
      </c>
    </row>
    <row r="1203" spans="1:21">
      <c r="A1203" t="s">
        <v>2301</v>
      </c>
      <c r="B1203" s="20">
        <v>45719</v>
      </c>
      <c r="C1203" s="20">
        <v>45660</v>
      </c>
      <c r="D1203" t="s">
        <v>569</v>
      </c>
      <c r="E1203" t="s">
        <v>570</v>
      </c>
      <c r="G1203" t="s">
        <v>2870</v>
      </c>
      <c r="H1203" t="s">
        <v>1508</v>
      </c>
      <c r="I1203" t="s">
        <v>1509</v>
      </c>
      <c r="J1203" s="8" t="s">
        <v>1505</v>
      </c>
      <c r="K1203" t="s">
        <v>10</v>
      </c>
      <c r="L1203" s="47">
        <v>1000</v>
      </c>
      <c r="M1203" t="s">
        <v>1472</v>
      </c>
      <c r="N1203" t="s">
        <v>11</v>
      </c>
      <c r="O1203" s="50">
        <v>2.75</v>
      </c>
      <c r="P1203" s="9">
        <f>ROUND(O1203*L1203,2)</f>
        <v>2750</v>
      </c>
      <c r="Q1203" s="10">
        <f>IF(N1203="HKD",7.8,IF(N1203="CNY",7.30034,1))</f>
        <v>7.3003400000000003</v>
      </c>
      <c r="R1203" s="10">
        <f>+ROUND(O1203/Q1203,4)</f>
        <v>0.37669999999999998</v>
      </c>
      <c r="S1203" s="11">
        <f>ROUND(R1203*L1203,2)</f>
        <v>376.7</v>
      </c>
      <c r="T1203" s="10" t="s">
        <v>349</v>
      </c>
      <c r="U1203" t="s">
        <v>36</v>
      </c>
    </row>
    <row r="1204" spans="1:21">
      <c r="A1204" t="s">
        <v>2302</v>
      </c>
      <c r="B1204" s="20">
        <v>45719</v>
      </c>
      <c r="C1204" s="20">
        <v>45660</v>
      </c>
      <c r="D1204" t="s">
        <v>569</v>
      </c>
      <c r="E1204" t="s">
        <v>570</v>
      </c>
      <c r="G1204" t="s">
        <v>2870</v>
      </c>
      <c r="H1204" t="s">
        <v>1521</v>
      </c>
      <c r="I1204" t="s">
        <v>1522</v>
      </c>
      <c r="J1204" s="8" t="s">
        <v>1505</v>
      </c>
      <c r="K1204" t="s">
        <v>10</v>
      </c>
      <c r="L1204" s="47">
        <v>1000</v>
      </c>
      <c r="M1204" t="s">
        <v>1472</v>
      </c>
      <c r="N1204" t="s">
        <v>11</v>
      </c>
      <c r="O1204" s="50">
        <v>3.1</v>
      </c>
      <c r="P1204" s="9">
        <f>ROUND(O1204*L1204,2)</f>
        <v>3100</v>
      </c>
      <c r="Q1204" s="10">
        <f>IF(N1204="HKD",7.8,IF(N1204="CNY",7.30034,1))</f>
        <v>7.3003400000000003</v>
      </c>
      <c r="R1204" s="10">
        <f>+ROUND(O1204/Q1204,4)</f>
        <v>0.42459999999999998</v>
      </c>
      <c r="S1204" s="11">
        <f>ROUND(R1204*L1204,2)</f>
        <v>424.6</v>
      </c>
      <c r="T1204" s="10" t="s">
        <v>349</v>
      </c>
      <c r="U1204" t="s">
        <v>36</v>
      </c>
    </row>
    <row r="1205" spans="1:21">
      <c r="A1205" t="s">
        <v>2380</v>
      </c>
      <c r="B1205" s="20">
        <v>45719</v>
      </c>
      <c r="C1205" s="20">
        <v>45695</v>
      </c>
      <c r="D1205" t="s">
        <v>569</v>
      </c>
      <c r="E1205" t="s">
        <v>570</v>
      </c>
      <c r="G1205" t="s">
        <v>2870</v>
      </c>
      <c r="H1205" t="s">
        <v>769</v>
      </c>
      <c r="I1205" t="s">
        <v>770</v>
      </c>
      <c r="J1205" s="8" t="s">
        <v>1505</v>
      </c>
      <c r="K1205" t="s">
        <v>10</v>
      </c>
      <c r="L1205" s="47">
        <v>3500</v>
      </c>
      <c r="M1205" t="s">
        <v>1472</v>
      </c>
      <c r="N1205" t="s">
        <v>11</v>
      </c>
      <c r="O1205" s="50">
        <v>4.8019999999999996</v>
      </c>
      <c r="P1205" s="9">
        <f>ROUND(O1205*L1205,2)</f>
        <v>16807</v>
      </c>
      <c r="Q1205" s="10">
        <f>IF(N1205="HKD",7.8,IF(N1205="CNY",7.30034,1))</f>
        <v>7.3003400000000003</v>
      </c>
      <c r="R1205" s="10">
        <f>+ROUND(O1205/Q1205,4)</f>
        <v>0.65780000000000005</v>
      </c>
      <c r="S1205" s="11">
        <f>ROUND(R1205*L1205,2)</f>
        <v>2302.3000000000002</v>
      </c>
      <c r="T1205" s="10" t="s">
        <v>349</v>
      </c>
      <c r="U1205" t="s">
        <v>36</v>
      </c>
    </row>
    <row r="1206" spans="1:21">
      <c r="A1206" t="s">
        <v>2398</v>
      </c>
      <c r="B1206" s="20">
        <v>45719</v>
      </c>
      <c r="C1206" s="20">
        <v>45698</v>
      </c>
      <c r="D1206" t="s">
        <v>651</v>
      </c>
      <c r="E1206" t="s">
        <v>652</v>
      </c>
      <c r="G1206" t="s">
        <v>2922</v>
      </c>
      <c r="H1206" t="s">
        <v>649</v>
      </c>
      <c r="I1206" t="s">
        <v>650</v>
      </c>
      <c r="J1206" s="8" t="str">
        <f>+LEFT(U1206,4)</f>
        <v>HDL-</v>
      </c>
      <c r="K1206" t="s">
        <v>10</v>
      </c>
      <c r="L1206" s="47">
        <v>1000</v>
      </c>
      <c r="M1206" t="s">
        <v>1472</v>
      </c>
      <c r="N1206" t="s">
        <v>11</v>
      </c>
      <c r="O1206" s="50">
        <v>1.5</v>
      </c>
      <c r="P1206" s="9">
        <f>ROUND(O1206*L1206,2)</f>
        <v>1500</v>
      </c>
      <c r="Q1206" s="10">
        <f>IF(N1206="HKD",7.8,IF(N1206="CNY",7.30034,1))</f>
        <v>7.3003400000000003</v>
      </c>
      <c r="R1206" s="10">
        <f>+ROUND(O1206/Q1206,4)</f>
        <v>0.20549999999999999</v>
      </c>
      <c r="S1206" s="11">
        <f>ROUND(R1206*L1206,2)</f>
        <v>205.5</v>
      </c>
      <c r="T1206" s="10" t="s">
        <v>349</v>
      </c>
      <c r="U1206" t="s">
        <v>228</v>
      </c>
    </row>
    <row r="1207" spans="1:21">
      <c r="A1207" t="s">
        <v>2399</v>
      </c>
      <c r="B1207" s="20">
        <v>45719</v>
      </c>
      <c r="C1207" s="20">
        <v>45698</v>
      </c>
      <c r="D1207" t="s">
        <v>651</v>
      </c>
      <c r="E1207" t="s">
        <v>652</v>
      </c>
      <c r="G1207" t="s">
        <v>2922</v>
      </c>
      <c r="H1207" t="s">
        <v>3098</v>
      </c>
      <c r="I1207" t="s">
        <v>3313</v>
      </c>
      <c r="J1207" s="8" t="str">
        <f>+LEFT(U1207,4)</f>
        <v>HDL-</v>
      </c>
      <c r="K1207" t="s">
        <v>10</v>
      </c>
      <c r="L1207" s="47">
        <v>1000</v>
      </c>
      <c r="M1207" t="s">
        <v>1472</v>
      </c>
      <c r="N1207" t="s">
        <v>11</v>
      </c>
      <c r="O1207" s="50">
        <v>2.5788000000000002</v>
      </c>
      <c r="P1207" s="9">
        <f>ROUND(O1207*L1207,2)</f>
        <v>2578.8000000000002</v>
      </c>
      <c r="Q1207" s="10">
        <f>IF(N1207="HKD",7.8,IF(N1207="CNY",7.30034,1))</f>
        <v>7.3003400000000003</v>
      </c>
      <c r="R1207" s="10">
        <f>+ROUND(O1207/Q1207,4)</f>
        <v>0.35320000000000001</v>
      </c>
      <c r="S1207" s="11">
        <f>ROUND(R1207*L1207,2)</f>
        <v>353.2</v>
      </c>
      <c r="T1207" s="10" t="s">
        <v>349</v>
      </c>
      <c r="U1207" t="s">
        <v>228</v>
      </c>
    </row>
    <row r="1208" spans="1:21">
      <c r="A1208" t="s">
        <v>2329</v>
      </c>
      <c r="B1208" s="20">
        <v>45719</v>
      </c>
      <c r="C1208" s="20">
        <v>45671</v>
      </c>
      <c r="D1208" t="s">
        <v>128</v>
      </c>
      <c r="E1208" t="s">
        <v>129</v>
      </c>
      <c r="G1208" t="s">
        <v>2868</v>
      </c>
      <c r="H1208" t="s">
        <v>3084</v>
      </c>
      <c r="I1208" t="s">
        <v>3300</v>
      </c>
      <c r="J1208" s="8" t="str">
        <f>+LEFT(U1208,4)</f>
        <v>HDL-</v>
      </c>
      <c r="K1208" t="s">
        <v>10</v>
      </c>
      <c r="L1208" s="47">
        <v>960</v>
      </c>
      <c r="M1208" t="s">
        <v>1472</v>
      </c>
      <c r="N1208" t="s">
        <v>11</v>
      </c>
      <c r="O1208" s="50">
        <v>3.2145000000000001</v>
      </c>
      <c r="P1208" s="9">
        <f>ROUND(O1208*L1208,2)</f>
        <v>3085.92</v>
      </c>
      <c r="Q1208" s="10">
        <f>IF(N1208="HKD",7.8,IF(N1208="CNY",7.30034,1))</f>
        <v>7.3003400000000003</v>
      </c>
      <c r="R1208" s="10">
        <f>+ROUND(O1208/Q1208,4)</f>
        <v>0.44030000000000002</v>
      </c>
      <c r="S1208" s="11">
        <f>ROUND(R1208*L1208,2)</f>
        <v>422.69</v>
      </c>
      <c r="T1208" s="10" t="s">
        <v>349</v>
      </c>
      <c r="U1208" t="s">
        <v>228</v>
      </c>
    </row>
    <row r="1209" spans="1:21">
      <c r="A1209" t="s">
        <v>2054</v>
      </c>
      <c r="B1209" s="20">
        <v>45719</v>
      </c>
      <c r="C1209" s="20">
        <v>45656</v>
      </c>
      <c r="D1209" t="s">
        <v>128</v>
      </c>
      <c r="E1209" t="s">
        <v>129</v>
      </c>
      <c r="G1209" t="s">
        <v>2868</v>
      </c>
      <c r="H1209" t="s">
        <v>1762</v>
      </c>
      <c r="I1209" t="s">
        <v>1763</v>
      </c>
      <c r="J1209" s="8" t="str">
        <f>+LEFT(U1209,4)</f>
        <v>HDL-</v>
      </c>
      <c r="K1209" t="s">
        <v>10</v>
      </c>
      <c r="L1209" s="47">
        <v>1950</v>
      </c>
      <c r="M1209" t="s">
        <v>1472</v>
      </c>
      <c r="N1209" t="s">
        <v>11</v>
      </c>
      <c r="O1209" s="50">
        <v>4.5491999999999999</v>
      </c>
      <c r="P1209" s="9">
        <f>ROUND(O1209*L1209,2)</f>
        <v>8870.94</v>
      </c>
      <c r="Q1209" s="10">
        <f>IF(N1209="HKD",7.8,IF(N1209="CNY",7.30034,1))</f>
        <v>7.3003400000000003</v>
      </c>
      <c r="R1209" s="10">
        <f>+ROUND(O1209/Q1209,4)</f>
        <v>0.62309999999999999</v>
      </c>
      <c r="S1209" s="11">
        <f>ROUND(R1209*L1209,2)</f>
        <v>1215.05</v>
      </c>
      <c r="T1209" s="10" t="s">
        <v>349</v>
      </c>
      <c r="U1209" t="s">
        <v>228</v>
      </c>
    </row>
    <row r="1210" spans="1:21">
      <c r="A1210" t="s">
        <v>2367</v>
      </c>
      <c r="B1210" s="20">
        <v>45719</v>
      </c>
      <c r="C1210" s="20">
        <v>45695</v>
      </c>
      <c r="D1210" t="s">
        <v>21</v>
      </c>
      <c r="E1210" t="s">
        <v>22</v>
      </c>
      <c r="G1210" t="s">
        <v>2905</v>
      </c>
      <c r="H1210" t="s">
        <v>3089</v>
      </c>
      <c r="I1210" t="s">
        <v>3305</v>
      </c>
      <c r="J1210" s="8" t="str">
        <f>+LEFT(U1210,4)</f>
        <v>HDL-</v>
      </c>
      <c r="K1210" t="s">
        <v>10</v>
      </c>
      <c r="L1210" s="47">
        <v>1000</v>
      </c>
      <c r="M1210" t="s">
        <v>1472</v>
      </c>
      <c r="N1210" t="s">
        <v>11</v>
      </c>
      <c r="O1210" s="50">
        <v>6.3521000000000001</v>
      </c>
      <c r="P1210" s="9">
        <f>ROUND(O1210*L1210,2)</f>
        <v>6352.1</v>
      </c>
      <c r="Q1210" s="10">
        <f>IF(N1210="HKD",7.8,IF(N1210="CNY",7.30034,1))</f>
        <v>7.3003400000000003</v>
      </c>
      <c r="R1210" s="10">
        <f>+ROUND(O1210/Q1210,4)</f>
        <v>0.87009999999999998</v>
      </c>
      <c r="S1210" s="11">
        <f>ROUND(R1210*L1210,2)</f>
        <v>870.1</v>
      </c>
      <c r="T1210" s="10" t="s">
        <v>349</v>
      </c>
      <c r="U1210" t="s">
        <v>228</v>
      </c>
    </row>
    <row r="1211" spans="1:21">
      <c r="A1211" t="s">
        <v>2312</v>
      </c>
      <c r="B1211" s="20">
        <v>45719</v>
      </c>
      <c r="C1211" s="20">
        <v>45664</v>
      </c>
      <c r="D1211" t="s">
        <v>2819</v>
      </c>
      <c r="E1211" t="s">
        <v>2820</v>
      </c>
      <c r="G1211" t="s">
        <v>2875</v>
      </c>
      <c r="H1211" t="s">
        <v>3076</v>
      </c>
      <c r="I1211" t="s">
        <v>3292</v>
      </c>
      <c r="J1211" s="8" t="str">
        <f>+LEFT(U1211,4)</f>
        <v>HDL-</v>
      </c>
      <c r="K1211" t="s">
        <v>10</v>
      </c>
      <c r="L1211" s="47">
        <v>1020</v>
      </c>
      <c r="M1211" t="s">
        <v>1472</v>
      </c>
      <c r="N1211" t="s">
        <v>11</v>
      </c>
      <c r="O1211" s="50">
        <v>7.4577999999999998</v>
      </c>
      <c r="P1211" s="9">
        <f>ROUND(O1211*L1211,2)</f>
        <v>7606.96</v>
      </c>
      <c r="Q1211" s="10">
        <f>IF(N1211="HKD",7.8,IF(N1211="CNY",7.30034,1))</f>
        <v>7.3003400000000003</v>
      </c>
      <c r="R1211" s="10">
        <f>+ROUND(O1211/Q1211,4)</f>
        <v>1.0216000000000001</v>
      </c>
      <c r="S1211" s="11">
        <f>ROUND(R1211*L1211,2)</f>
        <v>1042.03</v>
      </c>
      <c r="T1211" s="10" t="s">
        <v>349</v>
      </c>
      <c r="U1211" t="s">
        <v>228</v>
      </c>
    </row>
    <row r="1212" spans="1:21">
      <c r="A1212" t="s">
        <v>2313</v>
      </c>
      <c r="B1212" s="20">
        <v>45719</v>
      </c>
      <c r="C1212" s="20">
        <v>45664</v>
      </c>
      <c r="D1212" t="s">
        <v>2819</v>
      </c>
      <c r="E1212" t="s">
        <v>2820</v>
      </c>
      <c r="G1212" t="s">
        <v>2875</v>
      </c>
      <c r="H1212" t="s">
        <v>3077</v>
      </c>
      <c r="I1212" t="s">
        <v>3293</v>
      </c>
      <c r="J1212" s="8" t="str">
        <f>+LEFT(U1212,4)</f>
        <v>HDL-</v>
      </c>
      <c r="K1212" t="s">
        <v>10</v>
      </c>
      <c r="L1212" s="47">
        <v>1550</v>
      </c>
      <c r="M1212" t="s">
        <v>1472</v>
      </c>
      <c r="N1212" t="s">
        <v>11</v>
      </c>
      <c r="O1212" s="50">
        <v>7.4577999999999998</v>
      </c>
      <c r="P1212" s="9">
        <f>ROUND(O1212*L1212,2)</f>
        <v>11559.59</v>
      </c>
      <c r="Q1212" s="10">
        <f>IF(N1212="HKD",7.8,IF(N1212="CNY",7.30034,1))</f>
        <v>7.3003400000000003</v>
      </c>
      <c r="R1212" s="10">
        <f>+ROUND(O1212/Q1212,4)</f>
        <v>1.0216000000000001</v>
      </c>
      <c r="S1212" s="11">
        <f>ROUND(R1212*L1212,2)</f>
        <v>1583.48</v>
      </c>
      <c r="T1212" s="10" t="s">
        <v>349</v>
      </c>
      <c r="U1212" t="s">
        <v>228</v>
      </c>
    </row>
    <row r="1213" spans="1:21">
      <c r="A1213" t="s">
        <v>2314</v>
      </c>
      <c r="B1213" s="20">
        <v>45719</v>
      </c>
      <c r="C1213" s="20">
        <v>45664</v>
      </c>
      <c r="D1213" t="s">
        <v>2819</v>
      </c>
      <c r="E1213" t="s">
        <v>2820</v>
      </c>
      <c r="G1213" t="s">
        <v>2875</v>
      </c>
      <c r="H1213" t="s">
        <v>3078</v>
      </c>
      <c r="I1213" t="s">
        <v>3294</v>
      </c>
      <c r="J1213" s="8" t="str">
        <f>+LEFT(U1213,4)</f>
        <v>HDL-</v>
      </c>
      <c r="K1213" t="s">
        <v>10</v>
      </c>
      <c r="L1213" s="47">
        <v>520</v>
      </c>
      <c r="M1213" t="s">
        <v>1472</v>
      </c>
      <c r="N1213" t="s">
        <v>11</v>
      </c>
      <c r="O1213" s="50">
        <v>7.4577999999999998</v>
      </c>
      <c r="P1213" s="9">
        <f>ROUND(O1213*L1213,2)</f>
        <v>3878.06</v>
      </c>
      <c r="Q1213" s="10">
        <f>IF(N1213="HKD",7.8,IF(N1213="CNY",7.30034,1))</f>
        <v>7.3003400000000003</v>
      </c>
      <c r="R1213" s="10">
        <f>+ROUND(O1213/Q1213,4)</f>
        <v>1.0216000000000001</v>
      </c>
      <c r="S1213" s="11">
        <f>ROUND(R1213*L1213,2)</f>
        <v>531.23</v>
      </c>
      <c r="T1213" s="10" t="s">
        <v>349</v>
      </c>
      <c r="U1213" t="s">
        <v>228</v>
      </c>
    </row>
    <row r="1214" spans="1:21">
      <c r="A1214" t="s">
        <v>2099</v>
      </c>
      <c r="B1214" s="20">
        <v>45719</v>
      </c>
      <c r="C1214" s="20">
        <v>45713</v>
      </c>
      <c r="D1214" t="s">
        <v>2257</v>
      </c>
      <c r="E1214" t="s">
        <v>2258</v>
      </c>
      <c r="G1214" t="s">
        <v>2953</v>
      </c>
      <c r="H1214" t="s">
        <v>1798</v>
      </c>
      <c r="I1214" t="s">
        <v>1799</v>
      </c>
      <c r="J1214" s="8" t="str">
        <f>+LEFT(U1214,4)</f>
        <v>HDL-</v>
      </c>
      <c r="K1214" t="s">
        <v>10</v>
      </c>
      <c r="L1214" s="47">
        <v>400</v>
      </c>
      <c r="M1214" t="s">
        <v>1472</v>
      </c>
      <c r="N1214" t="s">
        <v>11</v>
      </c>
      <c r="O1214" s="50">
        <v>7.4931000000000001</v>
      </c>
      <c r="P1214" s="9">
        <f>ROUND(O1214*L1214,2)</f>
        <v>2997.24</v>
      </c>
      <c r="Q1214" s="10">
        <f>IF(N1214="HKD",7.8,IF(N1214="CNY",7.30034,1))</f>
        <v>7.3003400000000003</v>
      </c>
      <c r="R1214" s="10">
        <f>+ROUND(O1214/Q1214,4)</f>
        <v>1.0264</v>
      </c>
      <c r="S1214" s="11">
        <f>ROUND(R1214*L1214,2)</f>
        <v>410.56</v>
      </c>
      <c r="T1214" s="10" t="s">
        <v>349</v>
      </c>
      <c r="U1214" t="s">
        <v>228</v>
      </c>
    </row>
    <row r="1215" spans="1:21">
      <c r="A1215" t="s">
        <v>2102</v>
      </c>
      <c r="B1215" s="20">
        <v>45719</v>
      </c>
      <c r="C1215" s="20">
        <v>45713</v>
      </c>
      <c r="D1215" t="s">
        <v>2257</v>
      </c>
      <c r="E1215" t="s">
        <v>2258</v>
      </c>
      <c r="G1215" t="s">
        <v>2953</v>
      </c>
      <c r="H1215" t="s">
        <v>1800</v>
      </c>
      <c r="I1215" t="s">
        <v>1801</v>
      </c>
      <c r="J1215" s="8" t="str">
        <f>+LEFT(U1215,4)</f>
        <v>HDL-</v>
      </c>
      <c r="K1215" t="s">
        <v>10</v>
      </c>
      <c r="L1215" s="47">
        <v>900</v>
      </c>
      <c r="M1215" t="s">
        <v>1472</v>
      </c>
      <c r="N1215" t="s">
        <v>11</v>
      </c>
      <c r="O1215" s="50">
        <v>7.4931000000000001</v>
      </c>
      <c r="P1215" s="9">
        <f>ROUND(O1215*L1215,2)</f>
        <v>6743.79</v>
      </c>
      <c r="Q1215" s="10">
        <f>IF(N1215="HKD",7.8,IF(N1215="CNY",7.30034,1))</f>
        <v>7.3003400000000003</v>
      </c>
      <c r="R1215" s="10">
        <f>+ROUND(O1215/Q1215,4)</f>
        <v>1.0264</v>
      </c>
      <c r="S1215" s="11">
        <f>ROUND(R1215*L1215,2)</f>
        <v>923.76</v>
      </c>
      <c r="T1215" s="10" t="s">
        <v>349</v>
      </c>
      <c r="U1215" t="s">
        <v>228</v>
      </c>
    </row>
    <row r="1216" spans="1:21">
      <c r="A1216" t="s">
        <v>2105</v>
      </c>
      <c r="B1216" s="20">
        <v>45719</v>
      </c>
      <c r="C1216" s="20">
        <v>45713</v>
      </c>
      <c r="D1216" t="s">
        <v>2257</v>
      </c>
      <c r="E1216" t="s">
        <v>2258</v>
      </c>
      <c r="G1216" t="s">
        <v>2953</v>
      </c>
      <c r="H1216" t="s">
        <v>1802</v>
      </c>
      <c r="I1216" t="s">
        <v>1803</v>
      </c>
      <c r="J1216" s="8" t="str">
        <f>+LEFT(U1216,4)</f>
        <v>HDL-</v>
      </c>
      <c r="K1216" t="s">
        <v>10</v>
      </c>
      <c r="L1216" s="47">
        <v>200</v>
      </c>
      <c r="M1216" t="s">
        <v>1472</v>
      </c>
      <c r="N1216" t="s">
        <v>11</v>
      </c>
      <c r="O1216" s="50">
        <v>7.6459999999999999</v>
      </c>
      <c r="P1216" s="9">
        <f>ROUND(O1216*L1216,2)</f>
        <v>1529.2</v>
      </c>
      <c r="Q1216" s="10">
        <f>IF(N1216="HKD",7.8,IF(N1216="CNY",7.30034,1))</f>
        <v>7.3003400000000003</v>
      </c>
      <c r="R1216" s="10">
        <f>+ROUND(O1216/Q1216,4)</f>
        <v>1.0472999999999999</v>
      </c>
      <c r="S1216" s="11">
        <f>ROUND(R1216*L1216,2)</f>
        <v>209.46</v>
      </c>
      <c r="T1216" s="10" t="s">
        <v>349</v>
      </c>
      <c r="U1216" t="s">
        <v>228</v>
      </c>
    </row>
    <row r="1217" spans="1:21">
      <c r="A1217" t="s">
        <v>2315</v>
      </c>
      <c r="B1217" s="20">
        <v>45719</v>
      </c>
      <c r="C1217" s="20">
        <v>45664</v>
      </c>
      <c r="D1217" t="s">
        <v>2819</v>
      </c>
      <c r="E1217" t="s">
        <v>2820</v>
      </c>
      <c r="G1217" t="s">
        <v>2875</v>
      </c>
      <c r="H1217" t="s">
        <v>3079</v>
      </c>
      <c r="I1217" t="s">
        <v>3295</v>
      </c>
      <c r="J1217" s="8" t="str">
        <f>+LEFT(U1217,4)</f>
        <v>HDL-</v>
      </c>
      <c r="K1217" t="s">
        <v>10</v>
      </c>
      <c r="L1217" s="47">
        <v>1500</v>
      </c>
      <c r="M1217" t="s">
        <v>1472</v>
      </c>
      <c r="N1217" t="s">
        <v>11</v>
      </c>
      <c r="O1217" s="50">
        <v>8.0116999999999994</v>
      </c>
      <c r="P1217" s="9">
        <f>ROUND(O1217*L1217,2)</f>
        <v>12017.55</v>
      </c>
      <c r="Q1217" s="10">
        <f>IF(N1217="HKD",7.8,IF(N1217="CNY",7.30034,1))</f>
        <v>7.3003400000000003</v>
      </c>
      <c r="R1217" s="10">
        <f>+ROUND(O1217/Q1217,4)</f>
        <v>1.0973999999999999</v>
      </c>
      <c r="S1217" s="11">
        <f>ROUND(R1217*L1217,2)</f>
        <v>1646.1</v>
      </c>
      <c r="T1217" s="10" t="s">
        <v>349</v>
      </c>
      <c r="U1217" t="s">
        <v>228</v>
      </c>
    </row>
    <row r="1218" spans="1:21">
      <c r="A1218" t="s">
        <v>2308</v>
      </c>
      <c r="B1218" s="20">
        <v>45719</v>
      </c>
      <c r="C1218" s="20">
        <v>45664</v>
      </c>
      <c r="D1218" t="s">
        <v>28</v>
      </c>
      <c r="E1218" t="s">
        <v>29</v>
      </c>
      <c r="G1218" t="s">
        <v>2874</v>
      </c>
      <c r="H1218" t="s">
        <v>3072</v>
      </c>
      <c r="I1218" t="s">
        <v>3289</v>
      </c>
      <c r="J1218" s="8" t="str">
        <f>+LEFT(U1218,4)</f>
        <v>LHDL</v>
      </c>
      <c r="K1218" t="s">
        <v>10</v>
      </c>
      <c r="L1218" s="47">
        <v>1530</v>
      </c>
      <c r="M1218" t="s">
        <v>1472</v>
      </c>
      <c r="N1218" t="s">
        <v>11</v>
      </c>
      <c r="O1218" s="50">
        <v>2.1898</v>
      </c>
      <c r="P1218" s="9">
        <f>ROUND(O1218*L1218,2)</f>
        <v>3350.39</v>
      </c>
      <c r="Q1218" s="10">
        <f>IF(N1218="HKD",7.8,IF(N1218="CNY",7.30034,1))</f>
        <v>7.3003400000000003</v>
      </c>
      <c r="R1218" s="10">
        <f>+ROUND(O1218/Q1218,4)</f>
        <v>0.3</v>
      </c>
      <c r="S1218" s="11">
        <f>ROUND(R1218*L1218,2)</f>
        <v>459</v>
      </c>
      <c r="T1218" s="10" t="s">
        <v>349</v>
      </c>
      <c r="U1218" t="s">
        <v>125</v>
      </c>
    </row>
    <row r="1219" spans="1:21">
      <c r="A1219" t="s">
        <v>2309</v>
      </c>
      <c r="B1219" s="20">
        <v>45719</v>
      </c>
      <c r="C1219" s="20">
        <v>45664</v>
      </c>
      <c r="D1219" t="s">
        <v>28</v>
      </c>
      <c r="E1219" t="s">
        <v>29</v>
      </c>
      <c r="G1219" t="s">
        <v>2874</v>
      </c>
      <c r="H1219" t="s">
        <v>3073</v>
      </c>
      <c r="I1219" t="s">
        <v>948</v>
      </c>
      <c r="J1219" s="8" t="str">
        <f>+LEFT(U1219,4)</f>
        <v>LHDL</v>
      </c>
      <c r="K1219" t="s">
        <v>10</v>
      </c>
      <c r="L1219" s="47">
        <v>510</v>
      </c>
      <c r="M1219" t="s">
        <v>1472</v>
      </c>
      <c r="N1219" t="s">
        <v>11</v>
      </c>
      <c r="O1219" s="50">
        <v>2.1898</v>
      </c>
      <c r="P1219" s="9">
        <f>ROUND(O1219*L1219,2)</f>
        <v>1116.8</v>
      </c>
      <c r="Q1219" s="10">
        <f>IF(N1219="HKD",7.8,IF(N1219="CNY",7.30034,1))</f>
        <v>7.3003400000000003</v>
      </c>
      <c r="R1219" s="10">
        <f>+ROUND(O1219/Q1219,4)</f>
        <v>0.3</v>
      </c>
      <c r="S1219" s="11">
        <f>ROUND(R1219*L1219,2)</f>
        <v>153</v>
      </c>
      <c r="T1219" s="10" t="s">
        <v>349</v>
      </c>
      <c r="U1219" t="s">
        <v>125</v>
      </c>
    </row>
    <row r="1220" spans="1:21">
      <c r="A1220" t="s">
        <v>2310</v>
      </c>
      <c r="B1220" s="20">
        <v>45719</v>
      </c>
      <c r="C1220" s="20">
        <v>45664</v>
      </c>
      <c r="D1220" t="s">
        <v>28</v>
      </c>
      <c r="E1220" t="s">
        <v>29</v>
      </c>
      <c r="G1220" t="s">
        <v>2874</v>
      </c>
      <c r="H1220" t="s">
        <v>3074</v>
      </c>
      <c r="I1220" t="s">
        <v>3290</v>
      </c>
      <c r="J1220" s="8" t="str">
        <f>+LEFT(U1220,4)</f>
        <v>LHDL</v>
      </c>
      <c r="K1220" t="s">
        <v>10</v>
      </c>
      <c r="L1220" s="47">
        <v>1530</v>
      </c>
      <c r="M1220" t="s">
        <v>1472</v>
      </c>
      <c r="N1220" t="s">
        <v>11</v>
      </c>
      <c r="O1220" s="50">
        <v>2.1898</v>
      </c>
      <c r="P1220" s="9">
        <f>ROUND(O1220*L1220,2)</f>
        <v>3350.39</v>
      </c>
      <c r="Q1220" s="10">
        <f>IF(N1220="HKD",7.8,IF(N1220="CNY",7.30034,1))</f>
        <v>7.3003400000000003</v>
      </c>
      <c r="R1220" s="10">
        <f>+ROUND(O1220/Q1220,4)</f>
        <v>0.3</v>
      </c>
      <c r="S1220" s="11">
        <f>ROUND(R1220*L1220,2)</f>
        <v>459</v>
      </c>
      <c r="T1220" s="10" t="s">
        <v>349</v>
      </c>
      <c r="U1220" t="s">
        <v>125</v>
      </c>
    </row>
    <row r="1221" spans="1:21">
      <c r="A1221" t="s">
        <v>2311</v>
      </c>
      <c r="B1221" s="20">
        <v>45719</v>
      </c>
      <c r="C1221" s="20">
        <v>45664</v>
      </c>
      <c r="D1221" t="s">
        <v>28</v>
      </c>
      <c r="E1221" t="s">
        <v>29</v>
      </c>
      <c r="G1221" t="s">
        <v>2874</v>
      </c>
      <c r="H1221" t="s">
        <v>3075</v>
      </c>
      <c r="I1221" t="s">
        <v>3291</v>
      </c>
      <c r="J1221" s="8" t="str">
        <f>+LEFT(U1221,4)</f>
        <v>LHDL</v>
      </c>
      <c r="K1221" t="s">
        <v>10</v>
      </c>
      <c r="L1221" s="47">
        <v>1010</v>
      </c>
      <c r="M1221" t="s">
        <v>1472</v>
      </c>
      <c r="N1221" t="s">
        <v>11</v>
      </c>
      <c r="O1221" s="50">
        <v>2.1898</v>
      </c>
      <c r="P1221" s="9">
        <f>ROUND(O1221*L1221,2)</f>
        <v>2211.6999999999998</v>
      </c>
      <c r="Q1221" s="10">
        <f>IF(N1221="HKD",7.8,IF(N1221="CNY",7.30034,1))</f>
        <v>7.3003400000000003</v>
      </c>
      <c r="R1221" s="10">
        <f>+ROUND(O1221/Q1221,4)</f>
        <v>0.3</v>
      </c>
      <c r="S1221" s="11">
        <f>ROUND(R1221*L1221,2)</f>
        <v>303</v>
      </c>
      <c r="T1221" s="10" t="s">
        <v>349</v>
      </c>
      <c r="U1221" t="s">
        <v>125</v>
      </c>
    </row>
    <row r="1222" spans="1:21">
      <c r="A1222" t="s">
        <v>2013</v>
      </c>
      <c r="B1222" s="20">
        <v>45719</v>
      </c>
      <c r="C1222" s="20">
        <v>45576</v>
      </c>
      <c r="D1222" t="s">
        <v>94</v>
      </c>
      <c r="E1222" t="s">
        <v>95</v>
      </c>
      <c r="G1222" t="s">
        <v>2847</v>
      </c>
      <c r="H1222" t="s">
        <v>1728</v>
      </c>
      <c r="I1222" t="s">
        <v>1729</v>
      </c>
      <c r="J1222" s="8" t="str">
        <f>+LEFT(U1222,4)</f>
        <v>LID-</v>
      </c>
      <c r="K1222" t="s">
        <v>98</v>
      </c>
      <c r="L1222" s="47">
        <v>755</v>
      </c>
      <c r="M1222" t="s">
        <v>1472</v>
      </c>
      <c r="N1222" t="s">
        <v>11</v>
      </c>
      <c r="O1222" s="50">
        <v>3.3</v>
      </c>
      <c r="P1222" s="9">
        <f>ROUND(O1222*L1222,2)</f>
        <v>2491.5</v>
      </c>
      <c r="Q1222" s="10">
        <f>IF(N1222="HKD",7.8,IF(N1222="CNY",7.30034,1))</f>
        <v>7.3003400000000003</v>
      </c>
      <c r="R1222" s="10">
        <f>+ROUND(O1222/Q1222,4)</f>
        <v>0.45200000000000001</v>
      </c>
      <c r="S1222" s="11">
        <f>ROUND(R1222*L1222,2)</f>
        <v>341.26</v>
      </c>
      <c r="T1222" s="10" t="s">
        <v>349</v>
      </c>
      <c r="U1222" t="s">
        <v>368</v>
      </c>
    </row>
    <row r="1223" spans="1:21">
      <c r="A1223" t="s">
        <v>2280</v>
      </c>
      <c r="B1223" s="20">
        <v>45719</v>
      </c>
      <c r="C1223" s="20">
        <v>45576</v>
      </c>
      <c r="D1223" t="s">
        <v>94</v>
      </c>
      <c r="E1223" t="s">
        <v>95</v>
      </c>
      <c r="G1223" t="s">
        <v>2847</v>
      </c>
      <c r="H1223" t="s">
        <v>3061</v>
      </c>
      <c r="I1223" t="s">
        <v>3277</v>
      </c>
      <c r="J1223" s="8" t="str">
        <f>+LEFT(U1223,4)</f>
        <v>LID-</v>
      </c>
      <c r="K1223" t="s">
        <v>98</v>
      </c>
      <c r="L1223" s="47">
        <v>1420</v>
      </c>
      <c r="M1223" t="s">
        <v>1472</v>
      </c>
      <c r="N1223" t="s">
        <v>11</v>
      </c>
      <c r="O1223" s="50">
        <v>3.4</v>
      </c>
      <c r="P1223" s="9">
        <f>ROUND(O1223*L1223,2)</f>
        <v>4828</v>
      </c>
      <c r="Q1223" s="10">
        <f>IF(N1223="HKD",7.8,IF(N1223="CNY",7.30034,1))</f>
        <v>7.3003400000000003</v>
      </c>
      <c r="R1223" s="10">
        <f>+ROUND(O1223/Q1223,4)</f>
        <v>0.4657</v>
      </c>
      <c r="S1223" s="11">
        <f>ROUND(R1223*L1223,2)</f>
        <v>661.29</v>
      </c>
      <c r="T1223" s="10" t="s">
        <v>349</v>
      </c>
      <c r="U1223" t="s">
        <v>368</v>
      </c>
    </row>
    <row r="1224" spans="1:21">
      <c r="A1224" t="s">
        <v>2285</v>
      </c>
      <c r="B1224" s="20">
        <v>45719</v>
      </c>
      <c r="C1224" s="20">
        <v>45611</v>
      </c>
      <c r="D1224" t="s">
        <v>94</v>
      </c>
      <c r="E1224" t="s">
        <v>95</v>
      </c>
      <c r="G1224" t="s">
        <v>2847</v>
      </c>
      <c r="H1224" t="s">
        <v>3062</v>
      </c>
      <c r="I1224" t="s">
        <v>3278</v>
      </c>
      <c r="J1224" s="8" t="str">
        <f>+LEFT(U1224,4)</f>
        <v>LID-</v>
      </c>
      <c r="K1224" t="s">
        <v>98</v>
      </c>
      <c r="L1224" s="47">
        <v>1010</v>
      </c>
      <c r="M1224" t="s">
        <v>1472</v>
      </c>
      <c r="N1224" t="s">
        <v>11</v>
      </c>
      <c r="O1224" s="50">
        <v>3.5</v>
      </c>
      <c r="P1224" s="9">
        <f>ROUND(O1224*L1224,2)</f>
        <v>3535</v>
      </c>
      <c r="Q1224" s="10">
        <f>IF(N1224="HKD",7.8,IF(N1224="CNY",7.30034,1))</f>
        <v>7.3003400000000003</v>
      </c>
      <c r="R1224" s="10">
        <f>+ROUND(O1224/Q1224,4)</f>
        <v>0.47939999999999999</v>
      </c>
      <c r="S1224" s="11">
        <f>ROUND(R1224*L1224,2)</f>
        <v>484.19</v>
      </c>
      <c r="T1224" s="10" t="s">
        <v>349</v>
      </c>
      <c r="U1224" t="s">
        <v>368</v>
      </c>
    </row>
    <row r="1225" spans="1:21">
      <c r="A1225" t="s">
        <v>2406</v>
      </c>
      <c r="B1225" s="20">
        <v>45719</v>
      </c>
      <c r="C1225" s="20">
        <v>45700</v>
      </c>
      <c r="D1225" t="s">
        <v>94</v>
      </c>
      <c r="E1225" t="s">
        <v>95</v>
      </c>
      <c r="G1225" t="s">
        <v>2847</v>
      </c>
      <c r="H1225" t="s">
        <v>1734</v>
      </c>
      <c r="I1225" t="s">
        <v>1735</v>
      </c>
      <c r="J1225" s="8" t="str">
        <f>+LEFT(U1225,4)</f>
        <v>LID-</v>
      </c>
      <c r="K1225" t="s">
        <v>3481</v>
      </c>
      <c r="L1225" s="47">
        <v>1680</v>
      </c>
      <c r="M1225" t="s">
        <v>1472</v>
      </c>
      <c r="N1225" t="s">
        <v>11</v>
      </c>
      <c r="O1225" s="50">
        <v>3.53</v>
      </c>
      <c r="P1225" s="9">
        <f>ROUND(O1225*L1225,2)</f>
        <v>5930.4</v>
      </c>
      <c r="Q1225" s="10">
        <f>IF(N1225="HKD",7.8,IF(N1225="CNY",7.30034,1))</f>
        <v>7.3003400000000003</v>
      </c>
      <c r="R1225" s="10">
        <f>+ROUND(O1225/Q1225,4)</f>
        <v>0.48349999999999999</v>
      </c>
      <c r="S1225" s="11">
        <f>ROUND(R1225*L1225,2)</f>
        <v>812.28</v>
      </c>
      <c r="T1225" s="10" t="s">
        <v>349</v>
      </c>
      <c r="U1225" t="s">
        <v>368</v>
      </c>
    </row>
    <row r="1226" spans="1:21">
      <c r="A1226" t="s">
        <v>2507</v>
      </c>
      <c r="B1226" s="20">
        <v>45719</v>
      </c>
      <c r="C1226" s="20">
        <v>45713</v>
      </c>
      <c r="D1226" t="s">
        <v>268</v>
      </c>
      <c r="E1226" t="s">
        <v>269</v>
      </c>
      <c r="G1226" t="s">
        <v>2958</v>
      </c>
      <c r="H1226" t="s">
        <v>1077</v>
      </c>
      <c r="I1226" t="s">
        <v>1078</v>
      </c>
      <c r="J1226" s="8" t="str">
        <f>+LEFT(U1226,4)</f>
        <v>MISC</v>
      </c>
      <c r="K1226" t="s">
        <v>10</v>
      </c>
      <c r="L1226" s="47">
        <v>250</v>
      </c>
      <c r="M1226" t="s">
        <v>136</v>
      </c>
      <c r="N1226" t="s">
        <v>11</v>
      </c>
      <c r="O1226" s="50">
        <v>5.18</v>
      </c>
      <c r="P1226" s="9">
        <f>ROUND(O1226*L1226,2)</f>
        <v>1295</v>
      </c>
      <c r="Q1226" s="10">
        <f>IF(N1226="HKD",7.8,IF(N1226="CNY",7.30034,1))</f>
        <v>7.3003400000000003</v>
      </c>
      <c r="R1226" s="10">
        <f>+ROUND(O1226/Q1226,4)</f>
        <v>0.70960000000000001</v>
      </c>
      <c r="S1226" s="11">
        <f>ROUND(R1226*L1226,2)</f>
        <v>177.4</v>
      </c>
      <c r="T1226" s="10" t="s">
        <v>349</v>
      </c>
      <c r="U1226" t="s">
        <v>25</v>
      </c>
    </row>
    <row r="1227" spans="1:21">
      <c r="A1227" t="s">
        <v>2508</v>
      </c>
      <c r="B1227" s="20">
        <v>45719</v>
      </c>
      <c r="C1227" s="20">
        <v>45713</v>
      </c>
      <c r="D1227" t="s">
        <v>268</v>
      </c>
      <c r="E1227" t="s">
        <v>269</v>
      </c>
      <c r="G1227" t="s">
        <v>2958</v>
      </c>
      <c r="H1227" t="s">
        <v>1073</v>
      </c>
      <c r="I1227" t="s">
        <v>1074</v>
      </c>
      <c r="J1227" s="8" t="str">
        <f>+LEFT(U1227,4)</f>
        <v>MISC</v>
      </c>
      <c r="K1227" t="s">
        <v>10</v>
      </c>
      <c r="L1227" s="47">
        <v>250</v>
      </c>
      <c r="M1227" t="s">
        <v>136</v>
      </c>
      <c r="N1227" t="s">
        <v>11</v>
      </c>
      <c r="O1227" s="50">
        <v>6.64</v>
      </c>
      <c r="P1227" s="9">
        <f>ROUND(O1227*L1227,2)</f>
        <v>1660</v>
      </c>
      <c r="Q1227" s="10">
        <f>IF(N1227="HKD",7.8,IF(N1227="CNY",7.30034,1))</f>
        <v>7.3003400000000003</v>
      </c>
      <c r="R1227" s="10">
        <f>+ROUND(O1227/Q1227,4)</f>
        <v>0.90949999999999998</v>
      </c>
      <c r="S1227" s="11">
        <f>ROUND(R1227*L1227,2)</f>
        <v>227.38</v>
      </c>
      <c r="T1227" s="10" t="s">
        <v>349</v>
      </c>
      <c r="U1227" t="s">
        <v>25</v>
      </c>
    </row>
    <row r="1228" spans="1:21">
      <c r="A1228" t="s">
        <v>2517</v>
      </c>
      <c r="B1228" s="20">
        <v>45719</v>
      </c>
      <c r="C1228" s="20">
        <v>45713</v>
      </c>
      <c r="D1228" t="s">
        <v>169</v>
      </c>
      <c r="E1228" t="s">
        <v>170</v>
      </c>
      <c r="G1228" t="s">
        <v>2962</v>
      </c>
      <c r="H1228" t="s">
        <v>3158</v>
      </c>
      <c r="I1228" t="s">
        <v>3368</v>
      </c>
      <c r="J1228" s="8" t="str">
        <f>+LEFT(U1228,4)</f>
        <v>PAP-</v>
      </c>
      <c r="K1228" t="s">
        <v>10</v>
      </c>
      <c r="L1228" s="47">
        <v>2000</v>
      </c>
      <c r="M1228" t="s">
        <v>1472</v>
      </c>
      <c r="N1228" t="s">
        <v>11</v>
      </c>
      <c r="O1228" s="50">
        <v>0.12</v>
      </c>
      <c r="P1228" s="9">
        <f>ROUND(O1228*L1228,2)</f>
        <v>240</v>
      </c>
      <c r="Q1228" s="10">
        <f>IF(N1228="HKD",7.8,IF(N1228="CNY",7.30034,1))</f>
        <v>7.3003400000000003</v>
      </c>
      <c r="R1228" s="10">
        <f>+ROUND(O1228/Q1228,4)</f>
        <v>1.6400000000000001E-2</v>
      </c>
      <c r="S1228" s="11">
        <f>ROUND(R1228*L1228,2)</f>
        <v>32.799999999999997</v>
      </c>
      <c r="T1228" s="10" t="s">
        <v>349</v>
      </c>
      <c r="U1228" t="s">
        <v>1094</v>
      </c>
    </row>
    <row r="1229" spans="1:21">
      <c r="A1229" t="s">
        <v>2480</v>
      </c>
      <c r="B1229" s="20">
        <v>45719</v>
      </c>
      <c r="C1229" s="20">
        <v>45709</v>
      </c>
      <c r="D1229" t="s">
        <v>169</v>
      </c>
      <c r="E1229" t="s">
        <v>170</v>
      </c>
      <c r="G1229" t="s">
        <v>2894</v>
      </c>
      <c r="H1229" t="s">
        <v>1655</v>
      </c>
      <c r="I1229" t="s">
        <v>1656</v>
      </c>
      <c r="J1229" s="8" t="str">
        <f>+LEFT(U1229,4)</f>
        <v>PRIM</v>
      </c>
      <c r="K1229" t="s">
        <v>10</v>
      </c>
      <c r="L1229" s="47">
        <v>1100</v>
      </c>
      <c r="M1229" t="s">
        <v>1472</v>
      </c>
      <c r="N1229" t="s">
        <v>11</v>
      </c>
      <c r="O1229" s="50">
        <v>1.29</v>
      </c>
      <c r="P1229" s="9">
        <f>ROUND(O1229*L1229,2)</f>
        <v>1419</v>
      </c>
      <c r="Q1229" s="10">
        <f>IF(N1229="HKD",7.8,IF(N1229="CNY",7.30034,1))</f>
        <v>7.3003400000000003</v>
      </c>
      <c r="R1229" s="10">
        <f>+ROUND(O1229/Q1229,4)</f>
        <v>0.1767</v>
      </c>
      <c r="S1229" s="11">
        <f>ROUND(R1229*L1229,2)</f>
        <v>194.37</v>
      </c>
      <c r="T1229" s="10" t="s">
        <v>349</v>
      </c>
      <c r="U1229" t="s">
        <v>181</v>
      </c>
    </row>
    <row r="1230" spans="1:21">
      <c r="A1230" t="s">
        <v>2338</v>
      </c>
      <c r="B1230" s="20">
        <v>45719</v>
      </c>
      <c r="C1230" s="20">
        <v>45674</v>
      </c>
      <c r="D1230" t="s">
        <v>169</v>
      </c>
      <c r="E1230" t="s">
        <v>170</v>
      </c>
      <c r="G1230" t="s">
        <v>2894</v>
      </c>
      <c r="H1230" t="s">
        <v>646</v>
      </c>
      <c r="I1230" t="s">
        <v>647</v>
      </c>
      <c r="J1230" s="8" t="str">
        <f>+LEFT(U1230,4)</f>
        <v>PRIM</v>
      </c>
      <c r="K1230" t="s">
        <v>10</v>
      </c>
      <c r="L1230" s="47">
        <v>6500</v>
      </c>
      <c r="M1230" t="s">
        <v>1472</v>
      </c>
      <c r="N1230" t="s">
        <v>11</v>
      </c>
      <c r="O1230" s="50">
        <v>1.46</v>
      </c>
      <c r="P1230" s="9">
        <f>ROUND(O1230*L1230,2)</f>
        <v>9490</v>
      </c>
      <c r="Q1230" s="10">
        <f>IF(N1230="HKD",7.8,IF(N1230="CNY",7.30034,1))</f>
        <v>7.3003400000000003</v>
      </c>
      <c r="R1230" s="10">
        <f>+ROUND(O1230/Q1230,4)</f>
        <v>0.2</v>
      </c>
      <c r="S1230" s="11">
        <f>ROUND(R1230*L1230,2)</f>
        <v>1300</v>
      </c>
      <c r="T1230" s="10" t="s">
        <v>349</v>
      </c>
      <c r="U1230" t="s">
        <v>181</v>
      </c>
    </row>
    <row r="1231" spans="1:21">
      <c r="A1231" t="s">
        <v>2319</v>
      </c>
      <c r="B1231" s="20">
        <v>45719</v>
      </c>
      <c r="C1231" s="20">
        <v>45664</v>
      </c>
      <c r="D1231" t="s">
        <v>925</v>
      </c>
      <c r="E1231" t="s">
        <v>926</v>
      </c>
      <c r="G1231" t="s">
        <v>2878</v>
      </c>
      <c r="H1231" t="s">
        <v>3080</v>
      </c>
      <c r="I1231" t="s">
        <v>3296</v>
      </c>
      <c r="J1231" s="8" t="str">
        <f>+LEFT(U1231,4)</f>
        <v>SHDL</v>
      </c>
      <c r="K1231" t="s">
        <v>10</v>
      </c>
      <c r="L1231" s="47">
        <v>2010</v>
      </c>
      <c r="M1231" t="s">
        <v>1472</v>
      </c>
      <c r="N1231" t="s">
        <v>11</v>
      </c>
      <c r="O1231" s="50">
        <v>2.4539</v>
      </c>
      <c r="P1231" s="9">
        <f>ROUND(O1231*L1231,2)</f>
        <v>4932.34</v>
      </c>
      <c r="Q1231" s="10">
        <f>IF(N1231="HKD",7.8,IF(N1231="CNY",7.30034,1))</f>
        <v>7.3003400000000003</v>
      </c>
      <c r="R1231" s="10">
        <f>+ROUND(O1231/Q1231,4)</f>
        <v>0.33610000000000001</v>
      </c>
      <c r="S1231" s="11">
        <f>ROUND(R1231*L1231,2)</f>
        <v>675.56</v>
      </c>
      <c r="T1231" s="10" t="s">
        <v>349</v>
      </c>
      <c r="U1231" t="s">
        <v>722</v>
      </c>
    </row>
    <row r="1232" spans="1:21">
      <c r="A1232" t="s">
        <v>2365</v>
      </c>
      <c r="B1232" s="20">
        <v>45719</v>
      </c>
      <c r="C1232" s="20">
        <v>45694</v>
      </c>
      <c r="D1232" t="s">
        <v>169</v>
      </c>
      <c r="E1232" t="s">
        <v>170</v>
      </c>
      <c r="G1232" t="s">
        <v>2904</v>
      </c>
      <c r="H1232" t="s">
        <v>3088</v>
      </c>
      <c r="I1232" t="s">
        <v>3304</v>
      </c>
      <c r="J1232" s="8" t="str">
        <f>+LEFT(U1232,4)</f>
        <v>SKU-</v>
      </c>
      <c r="K1232" t="s">
        <v>98</v>
      </c>
      <c r="L1232" s="47">
        <v>3000</v>
      </c>
      <c r="M1232" t="s">
        <v>1472</v>
      </c>
      <c r="N1232" t="s">
        <v>11</v>
      </c>
      <c r="O1232" s="50">
        <v>2.79</v>
      </c>
      <c r="P1232" s="9">
        <f>ROUND(O1232*L1232,2)</f>
        <v>8370</v>
      </c>
      <c r="Q1232" s="10">
        <f>IF(N1232="HKD",7.8,IF(N1232="CNY",7.30034,1))</f>
        <v>7.3003400000000003</v>
      </c>
      <c r="R1232" s="10">
        <f>+ROUND(O1232/Q1232,4)</f>
        <v>0.38219999999999998</v>
      </c>
      <c r="S1232" s="11">
        <f>ROUND(R1232*L1232,2)</f>
        <v>1146.5999999999999</v>
      </c>
      <c r="T1232" s="10" t="s">
        <v>349</v>
      </c>
      <c r="U1232" t="s">
        <v>2</v>
      </c>
    </row>
    <row r="1233" spans="1:21">
      <c r="A1233" t="s">
        <v>2064</v>
      </c>
      <c r="B1233" s="20">
        <v>45719</v>
      </c>
      <c r="C1233" s="20">
        <v>45630</v>
      </c>
      <c r="D1233" t="s">
        <v>830</v>
      </c>
      <c r="E1233" t="s">
        <v>831</v>
      </c>
      <c r="G1233" t="s">
        <v>2857</v>
      </c>
      <c r="H1233" t="s">
        <v>828</v>
      </c>
      <c r="I1233" t="s">
        <v>829</v>
      </c>
      <c r="J1233" s="8" t="str">
        <f>+LEFT(U1233,4)</f>
        <v>SKU-</v>
      </c>
      <c r="K1233" t="s">
        <v>98</v>
      </c>
      <c r="L1233" s="47">
        <v>200</v>
      </c>
      <c r="M1233" t="s">
        <v>1472</v>
      </c>
      <c r="N1233" t="s">
        <v>11</v>
      </c>
      <c r="O1233" s="50">
        <v>5.0862999999999996</v>
      </c>
      <c r="P1233" s="9">
        <f>ROUND(O1233*L1233,2)</f>
        <v>1017.26</v>
      </c>
      <c r="Q1233" s="10">
        <f>IF(N1233="HKD",7.8,IF(N1233="CNY",7.30034,1))</f>
        <v>7.3003400000000003</v>
      </c>
      <c r="R1233" s="10">
        <f>+ROUND(O1233/Q1233,4)</f>
        <v>0.69669999999999999</v>
      </c>
      <c r="S1233" s="11">
        <f>ROUND(R1233*L1233,2)</f>
        <v>139.34</v>
      </c>
      <c r="T1233" s="10" t="s">
        <v>349</v>
      </c>
      <c r="U1233" t="s">
        <v>2</v>
      </c>
    </row>
    <row r="1234" spans="1:21">
      <c r="A1234" t="s">
        <v>2298</v>
      </c>
      <c r="B1234" s="20">
        <v>45719</v>
      </c>
      <c r="C1234" s="20">
        <v>45646</v>
      </c>
      <c r="D1234" t="s">
        <v>830</v>
      </c>
      <c r="E1234" t="s">
        <v>831</v>
      </c>
      <c r="G1234" t="s">
        <v>2857</v>
      </c>
      <c r="H1234" t="s">
        <v>828</v>
      </c>
      <c r="I1234" t="s">
        <v>829</v>
      </c>
      <c r="J1234" s="8" t="str">
        <f>+LEFT(U1234,4)</f>
        <v>SKU-</v>
      </c>
      <c r="K1234" t="s">
        <v>98</v>
      </c>
      <c r="L1234" s="47">
        <v>3500</v>
      </c>
      <c r="M1234" t="s">
        <v>1472</v>
      </c>
      <c r="N1234" t="s">
        <v>11</v>
      </c>
      <c r="O1234" s="50">
        <v>5.0862999999999996</v>
      </c>
      <c r="P1234" s="9">
        <f>ROUND(O1234*L1234,2)</f>
        <v>17802.05</v>
      </c>
      <c r="Q1234" s="10">
        <f>IF(N1234="HKD",7.8,IF(N1234="CNY",7.30034,1))</f>
        <v>7.3003400000000003</v>
      </c>
      <c r="R1234" s="10">
        <f>+ROUND(O1234/Q1234,4)</f>
        <v>0.69669999999999999</v>
      </c>
      <c r="S1234" s="11">
        <f>ROUND(R1234*L1234,2)</f>
        <v>2438.4499999999998</v>
      </c>
      <c r="T1234" s="10" t="s">
        <v>349</v>
      </c>
      <c r="U1234" t="s">
        <v>2</v>
      </c>
    </row>
    <row r="1235" spans="1:21">
      <c r="A1235" t="s">
        <v>2290</v>
      </c>
      <c r="B1235" s="20">
        <v>45719</v>
      </c>
      <c r="C1235" s="20">
        <v>45630</v>
      </c>
      <c r="D1235" t="s">
        <v>94</v>
      </c>
      <c r="E1235" t="s">
        <v>95</v>
      </c>
      <c r="G1235" t="s">
        <v>2855</v>
      </c>
      <c r="H1235" t="s">
        <v>92</v>
      </c>
      <c r="I1235" t="s">
        <v>93</v>
      </c>
      <c r="J1235" s="8" t="str">
        <f>+LEFT(U1235,4)</f>
        <v>SKU-</v>
      </c>
      <c r="K1235" t="s">
        <v>98</v>
      </c>
      <c r="L1235" s="47">
        <v>2500</v>
      </c>
      <c r="M1235" t="s">
        <v>1472</v>
      </c>
      <c r="N1235" t="s">
        <v>11</v>
      </c>
      <c r="O1235" s="50">
        <v>6.298</v>
      </c>
      <c r="P1235" s="9">
        <f>ROUND(O1235*L1235,2)</f>
        <v>15745</v>
      </c>
      <c r="Q1235" s="10">
        <f>IF(N1235="HKD",7.8,IF(N1235="CNY",7.30034,1))</f>
        <v>7.3003400000000003</v>
      </c>
      <c r="R1235" s="10">
        <f>+ROUND(O1235/Q1235,4)</f>
        <v>0.86270000000000002</v>
      </c>
      <c r="S1235" s="11">
        <f>ROUND(R1235*L1235,2)</f>
        <v>2156.75</v>
      </c>
      <c r="T1235" s="10" t="s">
        <v>349</v>
      </c>
      <c r="U1235" t="s">
        <v>2</v>
      </c>
    </row>
    <row r="1236" spans="1:21">
      <c r="A1236" t="s">
        <v>2296</v>
      </c>
      <c r="B1236" s="20">
        <v>45719</v>
      </c>
      <c r="C1236" s="20">
        <v>45646</v>
      </c>
      <c r="D1236" t="s">
        <v>94</v>
      </c>
      <c r="E1236" t="s">
        <v>95</v>
      </c>
      <c r="G1236" t="s">
        <v>2855</v>
      </c>
      <c r="H1236" t="s">
        <v>92</v>
      </c>
      <c r="I1236" t="s">
        <v>93</v>
      </c>
      <c r="J1236" s="8" t="str">
        <f>+LEFT(U1236,4)</f>
        <v>SKU-</v>
      </c>
      <c r="K1236" t="s">
        <v>98</v>
      </c>
      <c r="L1236" s="47">
        <v>2000</v>
      </c>
      <c r="M1236" t="s">
        <v>1472</v>
      </c>
      <c r="N1236" t="s">
        <v>11</v>
      </c>
      <c r="O1236" s="50">
        <v>6.298</v>
      </c>
      <c r="P1236" s="9">
        <f>ROUND(O1236*L1236,2)</f>
        <v>12596</v>
      </c>
      <c r="Q1236" s="10">
        <f>IF(N1236="HKD",7.8,IF(N1236="CNY",7.30034,1))</f>
        <v>7.3003400000000003</v>
      </c>
      <c r="R1236" s="10">
        <f>+ROUND(O1236/Q1236,4)</f>
        <v>0.86270000000000002</v>
      </c>
      <c r="S1236" s="11">
        <f>ROUND(R1236*L1236,2)</f>
        <v>1725.4</v>
      </c>
      <c r="T1236" s="10" t="s">
        <v>349</v>
      </c>
      <c r="U1236" t="s">
        <v>2</v>
      </c>
    </row>
    <row r="1237" spans="1:21">
      <c r="A1237" t="s">
        <v>2331</v>
      </c>
      <c r="B1237" s="20">
        <v>45719</v>
      </c>
      <c r="C1237" s="20">
        <v>45671</v>
      </c>
      <c r="D1237" t="s">
        <v>169</v>
      </c>
      <c r="E1237" t="s">
        <v>170</v>
      </c>
      <c r="G1237" t="s">
        <v>2887</v>
      </c>
      <c r="H1237" t="s">
        <v>1133</v>
      </c>
      <c r="I1237" t="s">
        <v>1134</v>
      </c>
      <c r="J1237" s="8" t="str">
        <f>+LEFT(U1237,4)</f>
        <v>STKR</v>
      </c>
      <c r="K1237" t="s">
        <v>10</v>
      </c>
      <c r="L1237" s="47">
        <v>4000</v>
      </c>
      <c r="M1237" t="s">
        <v>1472</v>
      </c>
      <c r="N1237" t="s">
        <v>11</v>
      </c>
      <c r="O1237" s="50">
        <v>2.5899999999999999E-2</v>
      </c>
      <c r="P1237" s="9">
        <f>ROUND(O1237*L1237,2)</f>
        <v>103.6</v>
      </c>
      <c r="Q1237" s="10">
        <f>IF(N1237="HKD",7.8,IF(N1237="CNY",7.30034,1))</f>
        <v>7.3003400000000003</v>
      </c>
      <c r="R1237" s="10">
        <f>+ROUND(O1237/Q1237,4)</f>
        <v>3.5000000000000001E-3</v>
      </c>
      <c r="S1237" s="11">
        <f>ROUND(R1237*L1237,2)</f>
        <v>14</v>
      </c>
      <c r="T1237" s="10" t="s">
        <v>349</v>
      </c>
      <c r="U1237" t="s">
        <v>18</v>
      </c>
    </row>
    <row r="1238" spans="1:21">
      <c r="A1238" t="s">
        <v>2514</v>
      </c>
      <c r="B1238" s="20">
        <v>45719</v>
      </c>
      <c r="C1238" s="20">
        <v>45713</v>
      </c>
      <c r="D1238" t="s">
        <v>169</v>
      </c>
      <c r="E1238" t="s">
        <v>170</v>
      </c>
      <c r="G1238" t="s">
        <v>2887</v>
      </c>
      <c r="H1238" t="s">
        <v>3157</v>
      </c>
      <c r="I1238" t="s">
        <v>3367</v>
      </c>
      <c r="J1238" s="8" t="str">
        <f>+LEFT(U1238,4)</f>
        <v>STKR</v>
      </c>
      <c r="K1238" t="s">
        <v>10</v>
      </c>
      <c r="L1238" s="47">
        <v>3600</v>
      </c>
      <c r="M1238" t="s">
        <v>1472</v>
      </c>
      <c r="N1238" t="s">
        <v>11</v>
      </c>
      <c r="O1238" s="50">
        <v>3.5000000000000003E-2</v>
      </c>
      <c r="P1238" s="9">
        <f>ROUND(O1238*L1238,2)</f>
        <v>126</v>
      </c>
      <c r="Q1238" s="10">
        <f>IF(N1238="HKD",7.8,IF(N1238="CNY",7.30034,1))</f>
        <v>7.3003400000000003</v>
      </c>
      <c r="R1238" s="10">
        <f>+ROUND(O1238/Q1238,4)</f>
        <v>4.7999999999999996E-3</v>
      </c>
      <c r="S1238" s="11">
        <f>ROUND(R1238*L1238,2)</f>
        <v>17.28</v>
      </c>
      <c r="T1238" s="10" t="s">
        <v>349</v>
      </c>
      <c r="U1238" t="s">
        <v>18</v>
      </c>
    </row>
    <row r="1239" spans="1:21">
      <c r="A1239" t="s">
        <v>2518</v>
      </c>
      <c r="B1239" s="20">
        <v>45719</v>
      </c>
      <c r="C1239" s="20">
        <v>45713</v>
      </c>
      <c r="D1239" t="s">
        <v>169</v>
      </c>
      <c r="E1239" t="s">
        <v>170</v>
      </c>
      <c r="G1239" t="s">
        <v>2963</v>
      </c>
      <c r="H1239" t="s">
        <v>1561</v>
      </c>
      <c r="I1239" t="s">
        <v>1562</v>
      </c>
      <c r="J1239" s="8" t="str">
        <f>+LEFT(U1239,4)</f>
        <v>STKR</v>
      </c>
      <c r="K1239" t="s">
        <v>10</v>
      </c>
      <c r="L1239" s="47">
        <v>3000</v>
      </c>
      <c r="M1239" t="s">
        <v>1472</v>
      </c>
      <c r="N1239" t="s">
        <v>11</v>
      </c>
      <c r="O1239" s="50">
        <v>3.5000000000000003E-2</v>
      </c>
      <c r="P1239" s="9">
        <f>ROUND(O1239*L1239,2)</f>
        <v>105</v>
      </c>
      <c r="Q1239" s="10">
        <f>IF(N1239="HKD",7.8,IF(N1239="CNY",7.30034,1))</f>
        <v>7.3003400000000003</v>
      </c>
      <c r="R1239" s="10">
        <f>+ROUND(O1239/Q1239,4)</f>
        <v>4.7999999999999996E-3</v>
      </c>
      <c r="S1239" s="11">
        <f>ROUND(R1239*L1239,2)</f>
        <v>14.4</v>
      </c>
      <c r="T1239" s="10" t="s">
        <v>349</v>
      </c>
      <c r="U1239" t="s">
        <v>18</v>
      </c>
    </row>
    <row r="1240" spans="1:21">
      <c r="A1240" t="s">
        <v>2293</v>
      </c>
      <c r="B1240" s="20">
        <v>45719</v>
      </c>
      <c r="C1240" s="20">
        <v>45643</v>
      </c>
      <c r="D1240" t="s">
        <v>169</v>
      </c>
      <c r="E1240" t="s">
        <v>170</v>
      </c>
      <c r="G1240" t="s">
        <v>2861</v>
      </c>
      <c r="H1240" t="s">
        <v>3067</v>
      </c>
      <c r="I1240" t="s">
        <v>3283</v>
      </c>
      <c r="J1240" s="8" t="str">
        <f>+LEFT(U1240,4)</f>
        <v>STKR</v>
      </c>
      <c r="K1240" t="s">
        <v>10</v>
      </c>
      <c r="L1240" s="47">
        <v>1600</v>
      </c>
      <c r="M1240" t="s">
        <v>1472</v>
      </c>
      <c r="N1240" t="s">
        <v>11</v>
      </c>
      <c r="O1240" s="50">
        <v>4.2000000000000003E-2</v>
      </c>
      <c r="P1240" s="9">
        <f>ROUND(O1240*L1240,2)</f>
        <v>67.2</v>
      </c>
      <c r="Q1240" s="10">
        <f>IF(N1240="HKD",7.8,IF(N1240="CNY",7.30034,1))</f>
        <v>7.3003400000000003</v>
      </c>
      <c r="R1240" s="10">
        <f>+ROUND(O1240/Q1240,4)</f>
        <v>5.7999999999999996E-3</v>
      </c>
      <c r="S1240" s="11">
        <f>ROUND(R1240*L1240,2)</f>
        <v>9.2799999999999994</v>
      </c>
      <c r="T1240" s="10" t="s">
        <v>349</v>
      </c>
      <c r="U1240" t="s">
        <v>18</v>
      </c>
    </row>
    <row r="1241" spans="1:21">
      <c r="A1241" t="s">
        <v>2294</v>
      </c>
      <c r="B1241" s="20">
        <v>45719</v>
      </c>
      <c r="C1241" s="20">
        <v>45643</v>
      </c>
      <c r="D1241" t="s">
        <v>169</v>
      </c>
      <c r="E1241" t="s">
        <v>170</v>
      </c>
      <c r="G1241" t="s">
        <v>2861</v>
      </c>
      <c r="H1241" t="s">
        <v>3067</v>
      </c>
      <c r="I1241" t="s">
        <v>3283</v>
      </c>
      <c r="J1241" s="8" t="str">
        <f>+LEFT(U1241,4)</f>
        <v>STKR</v>
      </c>
      <c r="K1241" t="s">
        <v>10</v>
      </c>
      <c r="L1241" s="47">
        <v>30</v>
      </c>
      <c r="M1241" t="s">
        <v>1472</v>
      </c>
      <c r="N1241" t="s">
        <v>11</v>
      </c>
      <c r="O1241" s="50">
        <v>4.2000000000000003E-2</v>
      </c>
      <c r="P1241" s="9">
        <f>ROUND(O1241*L1241,2)</f>
        <v>1.26</v>
      </c>
      <c r="Q1241" s="10">
        <f>IF(N1241="HKD",7.8,IF(N1241="CNY",7.30034,1))</f>
        <v>7.3003400000000003</v>
      </c>
      <c r="R1241" s="10">
        <f>+ROUND(O1241/Q1241,4)</f>
        <v>5.7999999999999996E-3</v>
      </c>
      <c r="S1241" s="11">
        <f>ROUND(R1241*L1241,2)</f>
        <v>0.17</v>
      </c>
      <c r="T1241" s="10" t="s">
        <v>349</v>
      </c>
      <c r="U1241" t="s">
        <v>18</v>
      </c>
    </row>
    <row r="1242" spans="1:21">
      <c r="A1242" t="s">
        <v>2330</v>
      </c>
      <c r="B1242" s="20">
        <v>45719</v>
      </c>
      <c r="C1242" s="20">
        <v>45671</v>
      </c>
      <c r="D1242" t="s">
        <v>169</v>
      </c>
      <c r="E1242" t="s">
        <v>170</v>
      </c>
      <c r="G1242" t="s">
        <v>2887</v>
      </c>
      <c r="H1242" t="s">
        <v>3085</v>
      </c>
      <c r="I1242" t="s">
        <v>3301</v>
      </c>
      <c r="J1242" s="8" t="str">
        <f>+LEFT(U1242,4)</f>
        <v>STKR</v>
      </c>
      <c r="K1242" t="s">
        <v>10</v>
      </c>
      <c r="L1242" s="47">
        <v>9100</v>
      </c>
      <c r="M1242" t="s">
        <v>1472</v>
      </c>
      <c r="N1242" t="s">
        <v>11</v>
      </c>
      <c r="O1242" s="50">
        <v>4.2000000000000003E-2</v>
      </c>
      <c r="P1242" s="9">
        <f>ROUND(O1242*L1242,2)</f>
        <v>382.2</v>
      </c>
      <c r="Q1242" s="10">
        <f>IF(N1242="HKD",7.8,IF(N1242="CNY",7.30034,1))</f>
        <v>7.3003400000000003</v>
      </c>
      <c r="R1242" s="10">
        <f>+ROUND(O1242/Q1242,4)</f>
        <v>5.7999999999999996E-3</v>
      </c>
      <c r="S1242" s="11">
        <f>ROUND(R1242*L1242,2)</f>
        <v>52.78</v>
      </c>
      <c r="T1242" s="10" t="s">
        <v>349</v>
      </c>
      <c r="U1242" t="s">
        <v>18</v>
      </c>
    </row>
    <row r="1243" spans="1:21">
      <c r="A1243" t="s">
        <v>2332</v>
      </c>
      <c r="B1243" s="20">
        <v>45719</v>
      </c>
      <c r="C1243" s="20">
        <v>45671</v>
      </c>
      <c r="D1243" t="s">
        <v>169</v>
      </c>
      <c r="E1243" t="s">
        <v>170</v>
      </c>
      <c r="G1243" t="s">
        <v>2887</v>
      </c>
      <c r="H1243" t="s">
        <v>3085</v>
      </c>
      <c r="I1243" t="s">
        <v>3301</v>
      </c>
      <c r="J1243" s="8" t="str">
        <f>+LEFT(U1243,4)</f>
        <v>STKR</v>
      </c>
      <c r="K1243" t="s">
        <v>10</v>
      </c>
      <c r="L1243" s="47">
        <v>50</v>
      </c>
      <c r="M1243" t="s">
        <v>1472</v>
      </c>
      <c r="N1243" t="s">
        <v>11</v>
      </c>
      <c r="O1243" s="50">
        <v>4.2000000000000003E-2</v>
      </c>
      <c r="P1243" s="9">
        <f>ROUND(O1243*L1243,2)</f>
        <v>2.1</v>
      </c>
      <c r="Q1243" s="10">
        <f>IF(N1243="HKD",7.8,IF(N1243="CNY",7.30034,1))</f>
        <v>7.3003400000000003</v>
      </c>
      <c r="R1243" s="10">
        <f>+ROUND(O1243/Q1243,4)</f>
        <v>5.7999999999999996E-3</v>
      </c>
      <c r="S1243" s="11">
        <f>ROUND(R1243*L1243,2)</f>
        <v>0.28999999999999998</v>
      </c>
      <c r="T1243" s="10" t="s">
        <v>349</v>
      </c>
      <c r="U1243" t="s">
        <v>18</v>
      </c>
    </row>
    <row r="1244" spans="1:21">
      <c r="A1244" t="s">
        <v>2511</v>
      </c>
      <c r="B1244" s="20">
        <v>45719</v>
      </c>
      <c r="C1244" s="20">
        <v>45713</v>
      </c>
      <c r="D1244" t="s">
        <v>169</v>
      </c>
      <c r="E1244" t="s">
        <v>170</v>
      </c>
      <c r="G1244" t="s">
        <v>2921</v>
      </c>
      <c r="H1244" t="s">
        <v>3154</v>
      </c>
      <c r="I1244" t="s">
        <v>3364</v>
      </c>
      <c r="J1244" s="8" t="str">
        <f>+LEFT(U1244,4)</f>
        <v>STKR</v>
      </c>
      <c r="K1244" t="s">
        <v>10</v>
      </c>
      <c r="L1244" s="47">
        <v>1010</v>
      </c>
      <c r="M1244" t="s">
        <v>1472</v>
      </c>
      <c r="N1244" t="s">
        <v>11</v>
      </c>
      <c r="O1244" s="50">
        <v>0.96</v>
      </c>
      <c r="P1244" s="9">
        <f>ROUND(O1244*L1244,2)</f>
        <v>969.6</v>
      </c>
      <c r="Q1244" s="10">
        <f>IF(N1244="HKD",7.8,IF(N1244="CNY",7.30034,1))</f>
        <v>7.3003400000000003</v>
      </c>
      <c r="R1244" s="10">
        <f>+ROUND(O1244/Q1244,4)</f>
        <v>0.13150000000000001</v>
      </c>
      <c r="S1244" s="11">
        <f>ROUND(R1244*L1244,2)</f>
        <v>132.82</v>
      </c>
      <c r="T1244" s="10" t="s">
        <v>349</v>
      </c>
      <c r="U1244" t="s">
        <v>18</v>
      </c>
    </row>
    <row r="1245" spans="1:21">
      <c r="A1245" t="s">
        <v>2543</v>
      </c>
      <c r="B1245" s="20">
        <v>45719</v>
      </c>
      <c r="C1245" s="20">
        <v>45714</v>
      </c>
      <c r="D1245" t="s">
        <v>169</v>
      </c>
      <c r="E1245" t="s">
        <v>170</v>
      </c>
      <c r="G1245" t="s">
        <v>2959</v>
      </c>
      <c r="H1245" t="s">
        <v>3167</v>
      </c>
      <c r="I1245" t="s">
        <v>3377</v>
      </c>
      <c r="J1245" s="8" t="str">
        <f>+LEFT(U1245,4)</f>
        <v>U&amp;C-</v>
      </c>
      <c r="K1245" t="s">
        <v>10</v>
      </c>
      <c r="L1245" s="47">
        <v>3000</v>
      </c>
      <c r="M1245" t="s">
        <v>1472</v>
      </c>
      <c r="N1245" t="s">
        <v>11</v>
      </c>
      <c r="O1245" s="50">
        <v>0.21929999999999999</v>
      </c>
      <c r="P1245" s="9">
        <f>ROUND(O1245*L1245,2)</f>
        <v>657.9</v>
      </c>
      <c r="Q1245" s="10">
        <f>IF(N1245="HKD",7.8,IF(N1245="CNY",7.30034,1))</f>
        <v>7.3003400000000003</v>
      </c>
      <c r="R1245" s="10">
        <f>+ROUND(O1245/Q1245,4)</f>
        <v>0.03</v>
      </c>
      <c r="S1245" s="11">
        <f>ROUND(R1245*L1245,2)</f>
        <v>90</v>
      </c>
      <c r="T1245" s="10" t="s">
        <v>349</v>
      </c>
      <c r="U1245" t="s">
        <v>177</v>
      </c>
    </row>
    <row r="1246" spans="1:21">
      <c r="A1246" t="s">
        <v>2478</v>
      </c>
      <c r="B1246" s="20">
        <v>45719</v>
      </c>
      <c r="C1246" s="20">
        <v>45709</v>
      </c>
      <c r="D1246" t="s">
        <v>169</v>
      </c>
      <c r="E1246" t="s">
        <v>170</v>
      </c>
      <c r="G1246" t="s">
        <v>2921</v>
      </c>
      <c r="H1246" t="s">
        <v>3145</v>
      </c>
      <c r="I1246" t="s">
        <v>3355</v>
      </c>
      <c r="J1246" s="8" t="str">
        <f>+LEFT(U1246,4)</f>
        <v>U&amp;C-</v>
      </c>
      <c r="K1246" t="s">
        <v>10</v>
      </c>
      <c r="L1246" s="47">
        <v>5000</v>
      </c>
      <c r="M1246" t="s">
        <v>1472</v>
      </c>
      <c r="N1246" t="s">
        <v>11</v>
      </c>
      <c r="O1246" s="50">
        <v>0.222</v>
      </c>
      <c r="P1246" s="9">
        <f>ROUND(O1246*L1246,2)</f>
        <v>1110</v>
      </c>
      <c r="Q1246" s="10">
        <f>IF(N1246="HKD",7.8,IF(N1246="CNY",7.30034,1))</f>
        <v>7.3003400000000003</v>
      </c>
      <c r="R1246" s="10">
        <f>+ROUND(O1246/Q1246,4)</f>
        <v>3.04E-2</v>
      </c>
      <c r="S1246" s="11">
        <f>ROUND(R1246*L1246,2)</f>
        <v>152</v>
      </c>
      <c r="T1246" s="10" t="s">
        <v>349</v>
      </c>
      <c r="U1246" t="s">
        <v>177</v>
      </c>
    </row>
    <row r="1247" spans="1:21">
      <c r="A1247" t="s">
        <v>2513</v>
      </c>
      <c r="B1247" s="20">
        <v>45719</v>
      </c>
      <c r="C1247" s="20">
        <v>45713</v>
      </c>
      <c r="D1247" t="s">
        <v>169</v>
      </c>
      <c r="E1247" t="s">
        <v>170</v>
      </c>
      <c r="G1247" t="s">
        <v>2959</v>
      </c>
      <c r="H1247" t="s">
        <v>3156</v>
      </c>
      <c r="I1247" t="s">
        <v>3366</v>
      </c>
      <c r="J1247" s="8" t="str">
        <f>+LEFT(U1247,4)</f>
        <v>U&amp;C-</v>
      </c>
      <c r="K1247" t="s">
        <v>10</v>
      </c>
      <c r="L1247" s="47">
        <v>1010</v>
      </c>
      <c r="M1247" t="s">
        <v>1472</v>
      </c>
      <c r="N1247" t="s">
        <v>11</v>
      </c>
      <c r="O1247" s="50">
        <v>0.22839999999999999</v>
      </c>
      <c r="P1247" s="9">
        <f>ROUND(O1247*L1247,2)</f>
        <v>230.68</v>
      </c>
      <c r="Q1247" s="10">
        <f>IF(N1247="HKD",7.8,IF(N1247="CNY",7.30034,1))</f>
        <v>7.3003400000000003</v>
      </c>
      <c r="R1247" s="10">
        <f>+ROUND(O1247/Q1247,4)</f>
        <v>3.1300000000000001E-2</v>
      </c>
      <c r="S1247" s="11">
        <f>ROUND(R1247*L1247,2)</f>
        <v>31.61</v>
      </c>
      <c r="T1247" s="10" t="s">
        <v>349</v>
      </c>
      <c r="U1247" t="s">
        <v>177</v>
      </c>
    </row>
    <row r="1248" spans="1:21">
      <c r="A1248" t="s">
        <v>2396</v>
      </c>
      <c r="B1248" s="20">
        <v>45719</v>
      </c>
      <c r="C1248" s="20">
        <v>45695</v>
      </c>
      <c r="D1248" t="s">
        <v>169</v>
      </c>
      <c r="E1248" t="s">
        <v>170</v>
      </c>
      <c r="G1248" t="s">
        <v>2921</v>
      </c>
      <c r="H1248" t="s">
        <v>3096</v>
      </c>
      <c r="I1248" t="s">
        <v>3311</v>
      </c>
      <c r="J1248" s="8" t="str">
        <f>+LEFT(U1248,4)</f>
        <v>U&amp;C-</v>
      </c>
      <c r="K1248" t="s">
        <v>10</v>
      </c>
      <c r="L1248" s="47">
        <v>9100</v>
      </c>
      <c r="M1248" t="s">
        <v>1472</v>
      </c>
      <c r="N1248" t="s">
        <v>11</v>
      </c>
      <c r="O1248" s="50">
        <v>0.23799999999999999</v>
      </c>
      <c r="P1248" s="9">
        <f>ROUND(O1248*L1248,2)</f>
        <v>2165.8000000000002</v>
      </c>
      <c r="Q1248" s="10">
        <f>IF(N1248="HKD",7.8,IF(N1248="CNY",7.30034,1))</f>
        <v>7.3003400000000003</v>
      </c>
      <c r="R1248" s="10">
        <f>+ROUND(O1248/Q1248,4)</f>
        <v>3.2599999999999997E-2</v>
      </c>
      <c r="S1248" s="11">
        <f>ROUND(R1248*L1248,2)</f>
        <v>296.66000000000003</v>
      </c>
      <c r="T1248" s="10" t="s">
        <v>349</v>
      </c>
      <c r="U1248" t="s">
        <v>177</v>
      </c>
    </row>
    <row r="1249" spans="1:21">
      <c r="A1249" t="s">
        <v>2520</v>
      </c>
      <c r="B1249" s="20">
        <v>45719</v>
      </c>
      <c r="C1249" s="20">
        <v>45713</v>
      </c>
      <c r="D1249" t="s">
        <v>169</v>
      </c>
      <c r="E1249" t="s">
        <v>170</v>
      </c>
      <c r="G1249" t="s">
        <v>2959</v>
      </c>
      <c r="H1249" t="s">
        <v>3159</v>
      </c>
      <c r="I1249" t="s">
        <v>3369</v>
      </c>
      <c r="J1249" s="8" t="str">
        <f>+LEFT(U1249,4)</f>
        <v>U&amp;C-</v>
      </c>
      <c r="K1249" t="s">
        <v>10</v>
      </c>
      <c r="L1249" s="47">
        <v>5530</v>
      </c>
      <c r="M1249" t="s">
        <v>1472</v>
      </c>
      <c r="N1249" t="s">
        <v>11</v>
      </c>
      <c r="O1249" s="50">
        <v>0.252</v>
      </c>
      <c r="P1249" s="9">
        <f>ROUND(O1249*L1249,2)</f>
        <v>1393.56</v>
      </c>
      <c r="Q1249" s="10">
        <f>IF(N1249="HKD",7.8,IF(N1249="CNY",7.30034,1))</f>
        <v>7.3003400000000003</v>
      </c>
      <c r="R1249" s="10">
        <f>+ROUND(O1249/Q1249,4)</f>
        <v>3.4500000000000003E-2</v>
      </c>
      <c r="S1249" s="11">
        <f>ROUND(R1249*L1249,2)</f>
        <v>190.79</v>
      </c>
      <c r="T1249" s="10" t="s">
        <v>349</v>
      </c>
      <c r="U1249" t="s">
        <v>177</v>
      </c>
    </row>
    <row r="1250" spans="1:21">
      <c r="A1250" t="s">
        <v>2395</v>
      </c>
      <c r="B1250" s="20">
        <v>45719</v>
      </c>
      <c r="C1250" s="20">
        <v>45695</v>
      </c>
      <c r="D1250" t="s">
        <v>169</v>
      </c>
      <c r="E1250" t="s">
        <v>170</v>
      </c>
      <c r="G1250" t="s">
        <v>2889</v>
      </c>
      <c r="H1250" t="s">
        <v>1619</v>
      </c>
      <c r="I1250" t="s">
        <v>1620</v>
      </c>
      <c r="J1250" s="8" t="str">
        <f>+LEFT(U1250,4)</f>
        <v>U&amp;C-</v>
      </c>
      <c r="K1250" t="s">
        <v>10</v>
      </c>
      <c r="L1250" s="47">
        <v>200</v>
      </c>
      <c r="M1250" t="s">
        <v>1472</v>
      </c>
      <c r="N1250" t="s">
        <v>11</v>
      </c>
      <c r="O1250" s="50">
        <v>0.27500000000000002</v>
      </c>
      <c r="P1250" s="9">
        <f>ROUND(O1250*L1250,2)</f>
        <v>55</v>
      </c>
      <c r="Q1250" s="10">
        <f>IF(N1250="HKD",7.8,IF(N1250="CNY",7.30034,1))</f>
        <v>7.3003400000000003</v>
      </c>
      <c r="R1250" s="10">
        <f>+ROUND(O1250/Q1250,4)</f>
        <v>3.7699999999999997E-2</v>
      </c>
      <c r="S1250" s="11">
        <f>ROUND(R1250*L1250,2)</f>
        <v>7.54</v>
      </c>
      <c r="T1250" s="10" t="s">
        <v>349</v>
      </c>
      <c r="U1250" t="s">
        <v>177</v>
      </c>
    </row>
    <row r="1251" spans="1:21">
      <c r="A1251" t="s">
        <v>2395</v>
      </c>
      <c r="B1251" s="20">
        <v>45719</v>
      </c>
      <c r="C1251" s="20">
        <v>45695</v>
      </c>
      <c r="D1251" t="s">
        <v>169</v>
      </c>
      <c r="E1251" t="s">
        <v>170</v>
      </c>
      <c r="G1251" t="s">
        <v>2921</v>
      </c>
      <c r="H1251" t="s">
        <v>1619</v>
      </c>
      <c r="I1251" t="s">
        <v>1620</v>
      </c>
      <c r="J1251" s="8" t="str">
        <f>+LEFT(U1251,4)</f>
        <v>U&amp;C-</v>
      </c>
      <c r="K1251" t="s">
        <v>10</v>
      </c>
      <c r="L1251" s="47">
        <v>1000</v>
      </c>
      <c r="M1251" t="s">
        <v>1472</v>
      </c>
      <c r="N1251" t="s">
        <v>11</v>
      </c>
      <c r="O1251" s="50">
        <v>0.27500000000000002</v>
      </c>
      <c r="P1251" s="9">
        <f>ROUND(O1251*L1251,2)</f>
        <v>275</v>
      </c>
      <c r="Q1251" s="10">
        <f>IF(N1251="HKD",7.8,IF(N1251="CNY",7.30034,1))</f>
        <v>7.3003400000000003</v>
      </c>
      <c r="R1251" s="10">
        <f>+ROUND(O1251/Q1251,4)</f>
        <v>3.7699999999999997E-2</v>
      </c>
      <c r="S1251" s="11">
        <f>ROUND(R1251*L1251,2)</f>
        <v>37.700000000000003</v>
      </c>
      <c r="T1251" s="10" t="s">
        <v>349</v>
      </c>
      <c r="U1251" t="s">
        <v>177</v>
      </c>
    </row>
    <row r="1252" spans="1:21">
      <c r="A1252" t="s">
        <v>2509</v>
      </c>
      <c r="B1252" s="20">
        <v>45719</v>
      </c>
      <c r="C1252" s="20">
        <v>45713</v>
      </c>
      <c r="D1252" t="s">
        <v>169</v>
      </c>
      <c r="E1252" t="s">
        <v>170</v>
      </c>
      <c r="G1252" t="s">
        <v>2921</v>
      </c>
      <c r="H1252" t="s">
        <v>1117</v>
      </c>
      <c r="I1252" t="s">
        <v>1118</v>
      </c>
      <c r="J1252" s="8" t="str">
        <f>+LEFT(U1252,4)</f>
        <v>U&amp;C-</v>
      </c>
      <c r="K1252" t="s">
        <v>10</v>
      </c>
      <c r="L1252" s="47">
        <v>2030</v>
      </c>
      <c r="M1252" t="s">
        <v>1472</v>
      </c>
      <c r="N1252" t="s">
        <v>11</v>
      </c>
      <c r="O1252" s="50">
        <v>0.28499999999999998</v>
      </c>
      <c r="P1252" s="9">
        <f>ROUND(O1252*L1252,2)</f>
        <v>578.54999999999995</v>
      </c>
      <c r="Q1252" s="10">
        <f>IF(N1252="HKD",7.8,IF(N1252="CNY",7.30034,1))</f>
        <v>7.3003400000000003</v>
      </c>
      <c r="R1252" s="10">
        <f>+ROUND(O1252/Q1252,4)</f>
        <v>3.9E-2</v>
      </c>
      <c r="S1252" s="11">
        <f>ROUND(R1252*L1252,2)</f>
        <v>79.17</v>
      </c>
      <c r="T1252" s="10" t="s">
        <v>349</v>
      </c>
      <c r="U1252" t="s">
        <v>177</v>
      </c>
    </row>
    <row r="1253" spans="1:21">
      <c r="A1253" t="s">
        <v>2521</v>
      </c>
      <c r="B1253" s="20">
        <v>45719</v>
      </c>
      <c r="C1253" s="20">
        <v>45713</v>
      </c>
      <c r="D1253" t="s">
        <v>169</v>
      </c>
      <c r="E1253" t="s">
        <v>170</v>
      </c>
      <c r="G1253" t="s">
        <v>2959</v>
      </c>
      <c r="H1253" t="s">
        <v>3160</v>
      </c>
      <c r="I1253" t="s">
        <v>3370</v>
      </c>
      <c r="J1253" s="8" t="str">
        <f>+LEFT(U1253,4)</f>
        <v>U&amp;C-</v>
      </c>
      <c r="K1253" t="s">
        <v>10</v>
      </c>
      <c r="L1253" s="47">
        <v>1600</v>
      </c>
      <c r="M1253" t="s">
        <v>1472</v>
      </c>
      <c r="N1253" t="s">
        <v>11</v>
      </c>
      <c r="O1253" s="50">
        <v>0.29499999999999998</v>
      </c>
      <c r="P1253" s="9">
        <f>ROUND(O1253*L1253,2)</f>
        <v>472</v>
      </c>
      <c r="Q1253" s="10">
        <f>IF(N1253="HKD",7.8,IF(N1253="CNY",7.30034,1))</f>
        <v>7.3003400000000003</v>
      </c>
      <c r="R1253" s="10">
        <f>+ROUND(O1253/Q1253,4)</f>
        <v>4.0399999999999998E-2</v>
      </c>
      <c r="S1253" s="11">
        <f>ROUND(R1253*L1253,2)</f>
        <v>64.64</v>
      </c>
      <c r="T1253" s="10" t="s">
        <v>349</v>
      </c>
      <c r="U1253" t="s">
        <v>177</v>
      </c>
    </row>
    <row r="1254" spans="1:21">
      <c r="A1254" t="s">
        <v>2522</v>
      </c>
      <c r="B1254" s="20">
        <v>45719</v>
      </c>
      <c r="C1254" s="20">
        <v>45713</v>
      </c>
      <c r="D1254" t="s">
        <v>169</v>
      </c>
      <c r="E1254" t="s">
        <v>170</v>
      </c>
      <c r="G1254" t="s">
        <v>2921</v>
      </c>
      <c r="H1254" t="s">
        <v>3161</v>
      </c>
      <c r="I1254" t="s">
        <v>3371</v>
      </c>
      <c r="J1254" s="8" t="str">
        <f>+LEFT(U1254,4)</f>
        <v>U&amp;C-</v>
      </c>
      <c r="K1254" t="s">
        <v>10</v>
      </c>
      <c r="L1254" s="47">
        <v>3100</v>
      </c>
      <c r="M1254" t="s">
        <v>1472</v>
      </c>
      <c r="N1254" t="s">
        <v>11</v>
      </c>
      <c r="O1254" s="50">
        <v>0.30759999999999998</v>
      </c>
      <c r="P1254" s="9">
        <f>ROUND(O1254*L1254,2)</f>
        <v>953.56</v>
      </c>
      <c r="Q1254" s="10">
        <f>IF(N1254="HKD",7.8,IF(N1254="CNY",7.30034,1))</f>
        <v>7.3003400000000003</v>
      </c>
      <c r="R1254" s="10">
        <f>+ROUND(O1254/Q1254,4)</f>
        <v>4.2099999999999999E-2</v>
      </c>
      <c r="S1254" s="11">
        <f>ROUND(R1254*L1254,2)</f>
        <v>130.51</v>
      </c>
      <c r="T1254" s="10" t="s">
        <v>349</v>
      </c>
      <c r="U1254" t="s">
        <v>177</v>
      </c>
    </row>
    <row r="1255" spans="1:21">
      <c r="A1255" t="s">
        <v>2510</v>
      </c>
      <c r="B1255" s="20">
        <v>45719</v>
      </c>
      <c r="C1255" s="20">
        <v>45713</v>
      </c>
      <c r="D1255" t="s">
        <v>169</v>
      </c>
      <c r="E1255" t="s">
        <v>170</v>
      </c>
      <c r="G1255" t="s">
        <v>2959</v>
      </c>
      <c r="H1255" t="s">
        <v>3153</v>
      </c>
      <c r="I1255" t="s">
        <v>3363</v>
      </c>
      <c r="J1255" s="8" t="str">
        <f>+LEFT(U1255,4)</f>
        <v>U&amp;C-</v>
      </c>
      <c r="K1255" t="s">
        <v>10</v>
      </c>
      <c r="L1255" s="47">
        <v>1010</v>
      </c>
      <c r="M1255" t="s">
        <v>1472</v>
      </c>
      <c r="N1255" t="s">
        <v>11</v>
      </c>
      <c r="O1255" s="50">
        <v>0.65</v>
      </c>
      <c r="P1255" s="9">
        <f>ROUND(O1255*L1255,2)</f>
        <v>656.5</v>
      </c>
      <c r="Q1255" s="10">
        <f>IF(N1255="HKD",7.8,IF(N1255="CNY",7.30034,1))</f>
        <v>7.3003400000000003</v>
      </c>
      <c r="R1255" s="10">
        <f>+ROUND(O1255/Q1255,4)</f>
        <v>8.8999999999999996E-2</v>
      </c>
      <c r="S1255" s="11">
        <f>ROUND(R1255*L1255,2)</f>
        <v>89.89</v>
      </c>
      <c r="T1255" s="10" t="s">
        <v>349</v>
      </c>
      <c r="U1255" t="s">
        <v>177</v>
      </c>
    </row>
    <row r="1256" spans="1:21">
      <c r="A1256" t="s">
        <v>2337</v>
      </c>
      <c r="B1256" s="20">
        <v>45719</v>
      </c>
      <c r="C1256" s="20">
        <v>45674</v>
      </c>
      <c r="D1256" t="s">
        <v>169</v>
      </c>
      <c r="E1256" t="s">
        <v>170</v>
      </c>
      <c r="G1256" t="s">
        <v>2894</v>
      </c>
      <c r="H1256" t="s">
        <v>1659</v>
      </c>
      <c r="I1256" t="s">
        <v>643</v>
      </c>
      <c r="J1256" s="8" t="str">
        <f>+LEFT(U1256,4)</f>
        <v>U&amp;C-</v>
      </c>
      <c r="K1256" t="s">
        <v>10</v>
      </c>
      <c r="L1256" s="47">
        <v>4600</v>
      </c>
      <c r="M1256" t="s">
        <v>1472</v>
      </c>
      <c r="N1256" t="s">
        <v>11</v>
      </c>
      <c r="O1256" s="50">
        <v>1.53</v>
      </c>
      <c r="P1256" s="9">
        <f>ROUND(O1256*L1256,2)</f>
        <v>7038</v>
      </c>
      <c r="Q1256" s="10">
        <f>IF(N1256="HKD",7.8,IF(N1256="CNY",7.30034,1))</f>
        <v>7.3003400000000003</v>
      </c>
      <c r="R1256" s="10">
        <f>+ROUND(O1256/Q1256,4)</f>
        <v>0.20960000000000001</v>
      </c>
      <c r="S1256" s="11">
        <f>ROUND(R1256*L1256,2)</f>
        <v>964.16</v>
      </c>
      <c r="T1256" s="10" t="s">
        <v>349</v>
      </c>
      <c r="U1256" t="s">
        <v>177</v>
      </c>
    </row>
    <row r="1257" spans="1:21">
      <c r="A1257" t="s">
        <v>2335</v>
      </c>
      <c r="B1257" s="20">
        <v>45719</v>
      </c>
      <c r="C1257" s="20">
        <v>45674</v>
      </c>
      <c r="D1257" t="s">
        <v>545</v>
      </c>
      <c r="E1257" t="s">
        <v>546</v>
      </c>
      <c r="G1257" t="s">
        <v>2892</v>
      </c>
      <c r="H1257" t="s">
        <v>557</v>
      </c>
      <c r="I1257" t="s">
        <v>558</v>
      </c>
      <c r="J1257" s="8" t="str">
        <f>+LEFT(U1257,4)</f>
        <v>WHR-</v>
      </c>
      <c r="K1257" t="s">
        <v>10</v>
      </c>
      <c r="L1257" s="47">
        <v>1000</v>
      </c>
      <c r="M1257" t="s">
        <v>1472</v>
      </c>
      <c r="N1257" t="s">
        <v>11</v>
      </c>
      <c r="O1257" s="50">
        <v>3.9800000000000002E-2</v>
      </c>
      <c r="P1257" s="9">
        <f>ROUND(O1257*L1257,2)</f>
        <v>39.799999999999997</v>
      </c>
      <c r="Q1257" s="10">
        <f>IF(N1257="HKD",7.8,IF(N1257="CNY",7.30034,1))</f>
        <v>7.3003400000000003</v>
      </c>
      <c r="R1257" s="10">
        <f>+ROUND(O1257/Q1257,4)</f>
        <v>5.4999999999999997E-3</v>
      </c>
      <c r="S1257" s="11">
        <f>ROUND(R1257*L1257,2)</f>
        <v>5.5</v>
      </c>
      <c r="T1257" s="10" t="s">
        <v>349</v>
      </c>
      <c r="U1257" t="s">
        <v>248</v>
      </c>
    </row>
    <row r="1258" spans="1:21">
      <c r="A1258" t="s">
        <v>2475</v>
      </c>
      <c r="B1258" s="20">
        <v>45719</v>
      </c>
      <c r="C1258" s="20">
        <v>45709</v>
      </c>
      <c r="D1258" t="s">
        <v>545</v>
      </c>
      <c r="E1258" t="s">
        <v>546</v>
      </c>
      <c r="G1258" t="s">
        <v>2892</v>
      </c>
      <c r="H1258" t="s">
        <v>557</v>
      </c>
      <c r="I1258" t="s">
        <v>558</v>
      </c>
      <c r="J1258" s="8" t="str">
        <f>+LEFT(U1258,4)</f>
        <v>WHR-</v>
      </c>
      <c r="K1258" t="s">
        <v>10</v>
      </c>
      <c r="L1258" s="47">
        <v>6000</v>
      </c>
      <c r="M1258" t="s">
        <v>1472</v>
      </c>
      <c r="N1258" t="s">
        <v>11</v>
      </c>
      <c r="O1258" s="50">
        <v>3.9800000000000002E-2</v>
      </c>
      <c r="P1258" s="9">
        <f>ROUND(O1258*L1258,2)</f>
        <v>238.8</v>
      </c>
      <c r="Q1258" s="10">
        <f>IF(N1258="HKD",7.8,IF(N1258="CNY",7.30034,1))</f>
        <v>7.3003400000000003</v>
      </c>
      <c r="R1258" s="10">
        <f>+ROUND(O1258/Q1258,4)</f>
        <v>5.4999999999999997E-3</v>
      </c>
      <c r="S1258" s="11">
        <f>ROUND(R1258*L1258,2)</f>
        <v>33</v>
      </c>
      <c r="T1258" s="10" t="s">
        <v>349</v>
      </c>
      <c r="U1258" t="s">
        <v>248</v>
      </c>
    </row>
    <row r="1259" spans="1:21">
      <c r="A1259" t="s">
        <v>2481</v>
      </c>
      <c r="B1259" s="20">
        <v>45719</v>
      </c>
      <c r="C1259" s="20">
        <v>45709</v>
      </c>
      <c r="D1259" t="s">
        <v>545</v>
      </c>
      <c r="E1259" t="s">
        <v>546</v>
      </c>
      <c r="G1259" t="s">
        <v>2892</v>
      </c>
      <c r="H1259" t="s">
        <v>543</v>
      </c>
      <c r="I1259" t="s">
        <v>544</v>
      </c>
      <c r="J1259" s="8" t="str">
        <f>+LEFT(U1259,4)</f>
        <v>WHR-</v>
      </c>
      <c r="K1259" t="s">
        <v>10</v>
      </c>
      <c r="L1259" s="47">
        <v>5000</v>
      </c>
      <c r="M1259" t="s">
        <v>1472</v>
      </c>
      <c r="N1259" t="s">
        <v>11</v>
      </c>
      <c r="O1259" s="50">
        <v>4.2999999999999997E-2</v>
      </c>
      <c r="P1259" s="9">
        <f>ROUND(O1259*L1259,2)</f>
        <v>215</v>
      </c>
      <c r="Q1259" s="10">
        <f>IF(N1259="HKD",7.8,IF(N1259="CNY",7.30034,1))</f>
        <v>7.3003400000000003</v>
      </c>
      <c r="R1259" s="10">
        <f>+ROUND(O1259/Q1259,4)</f>
        <v>5.8999999999999999E-3</v>
      </c>
      <c r="S1259" s="11">
        <f>ROUND(R1259*L1259,2)</f>
        <v>29.5</v>
      </c>
      <c r="T1259" s="10" t="s">
        <v>349</v>
      </c>
      <c r="U1259" t="s">
        <v>248</v>
      </c>
    </row>
    <row r="1260" spans="1:21">
      <c r="A1260" t="s">
        <v>1906</v>
      </c>
      <c r="B1260" s="20">
        <v>45716</v>
      </c>
      <c r="C1260" s="20">
        <v>45715</v>
      </c>
      <c r="D1260" t="s">
        <v>128</v>
      </c>
      <c r="E1260" t="s">
        <v>129</v>
      </c>
      <c r="G1260" t="s">
        <v>2164</v>
      </c>
      <c r="H1260" s="15" t="s">
        <v>1639</v>
      </c>
      <c r="I1260" s="15" t="s">
        <v>1640</v>
      </c>
      <c r="J1260" s="8" t="str">
        <f>+LEFT(U1260,4)</f>
        <v>FG--</v>
      </c>
      <c r="K1260" t="s">
        <v>10</v>
      </c>
      <c r="L1260" s="46">
        <v>50</v>
      </c>
      <c r="M1260" t="s">
        <v>1472</v>
      </c>
      <c r="N1260" t="s">
        <v>11</v>
      </c>
      <c r="O1260" s="49">
        <v>0.71950000000000003</v>
      </c>
      <c r="P1260" s="9">
        <f>ROUND(O1260*L1260,2)</f>
        <v>35.979999999999997</v>
      </c>
      <c r="Q1260" s="10">
        <f>IF(N1260="HKD",7.8,IF(N1260="CNY",7.30034,1))</f>
        <v>7.3003400000000003</v>
      </c>
      <c r="R1260" s="10">
        <f>+ROUND(O1260/Q1260,4)</f>
        <v>9.8599999999999993E-2</v>
      </c>
      <c r="S1260" s="11">
        <f>ROUND(R1260*L1260,2)</f>
        <v>4.93</v>
      </c>
      <c r="T1260" s="10" t="s">
        <v>349</v>
      </c>
      <c r="U1260" t="s">
        <v>64</v>
      </c>
    </row>
    <row r="1261" spans="1:21">
      <c r="A1261" t="s">
        <v>2054</v>
      </c>
      <c r="B1261" s="20">
        <v>45716</v>
      </c>
      <c r="C1261" s="20">
        <v>45656</v>
      </c>
      <c r="D1261" t="s">
        <v>128</v>
      </c>
      <c r="E1261" t="s">
        <v>129</v>
      </c>
      <c r="G1261" t="s">
        <v>2164</v>
      </c>
      <c r="H1261" s="15" t="s">
        <v>1762</v>
      </c>
      <c r="I1261" s="15" t="s">
        <v>1763</v>
      </c>
      <c r="J1261" s="8" t="str">
        <f>+LEFT(U1261,4)</f>
        <v>HDL-</v>
      </c>
      <c r="K1261" t="s">
        <v>10</v>
      </c>
      <c r="L1261" s="46">
        <v>1050</v>
      </c>
      <c r="M1261" t="s">
        <v>1472</v>
      </c>
      <c r="N1261" t="s">
        <v>11</v>
      </c>
      <c r="O1261" s="49">
        <v>4.5491999999999999</v>
      </c>
      <c r="P1261" s="9">
        <f>ROUND(O1261*L1261,2)</f>
        <v>4776.66</v>
      </c>
      <c r="Q1261" s="10">
        <f>IF(N1261="HKD",7.8,IF(N1261="CNY",7.30034,1))</f>
        <v>7.3003400000000003</v>
      </c>
      <c r="R1261" s="10">
        <f>+ROUND(O1261/Q1261,4)</f>
        <v>0.62309999999999999</v>
      </c>
      <c r="S1261" s="11">
        <f>ROUND(R1261*L1261,2)</f>
        <v>654.26</v>
      </c>
      <c r="T1261" s="10" t="s">
        <v>349</v>
      </c>
      <c r="U1261" t="s">
        <v>228</v>
      </c>
    </row>
    <row r="1262" spans="1:21">
      <c r="A1262" t="s">
        <v>2013</v>
      </c>
      <c r="B1262" s="20">
        <v>45716</v>
      </c>
      <c r="C1262" s="20">
        <v>45576</v>
      </c>
      <c r="D1262" t="s">
        <v>94</v>
      </c>
      <c r="E1262" t="s">
        <v>95</v>
      </c>
      <c r="G1262" t="s">
        <v>2191</v>
      </c>
      <c r="H1262" s="15" t="s">
        <v>1728</v>
      </c>
      <c r="I1262" s="15" t="s">
        <v>1729</v>
      </c>
      <c r="J1262" s="8" t="str">
        <f>+LEFT(U1262,4)</f>
        <v>LID-</v>
      </c>
      <c r="K1262" t="s">
        <v>98</v>
      </c>
      <c r="L1262" s="46">
        <v>765</v>
      </c>
      <c r="M1262" t="s">
        <v>1472</v>
      </c>
      <c r="N1262" t="s">
        <v>11</v>
      </c>
      <c r="O1262" s="49">
        <v>3.3</v>
      </c>
      <c r="P1262" s="9">
        <f>ROUND(O1262*L1262,2)</f>
        <v>2524.5</v>
      </c>
      <c r="Q1262" s="10">
        <f>IF(N1262="HKD",7.8,IF(N1262="CNY",7.30034,1))</f>
        <v>7.3003400000000003</v>
      </c>
      <c r="R1262" s="10">
        <f>+ROUND(O1262/Q1262,4)</f>
        <v>0.45200000000000001</v>
      </c>
      <c r="S1262" s="11">
        <f>ROUND(R1262*L1262,2)</f>
        <v>345.78</v>
      </c>
      <c r="T1262" s="10" t="s">
        <v>349</v>
      </c>
      <c r="U1262" t="s">
        <v>368</v>
      </c>
    </row>
    <row r="1263" spans="1:21">
      <c r="A1263" t="s">
        <v>2019</v>
      </c>
      <c r="B1263" s="20">
        <v>45716</v>
      </c>
      <c r="C1263" s="20">
        <v>45700</v>
      </c>
      <c r="D1263" t="s">
        <v>94</v>
      </c>
      <c r="E1263" t="s">
        <v>95</v>
      </c>
      <c r="G1263" t="s">
        <v>2191</v>
      </c>
      <c r="H1263" s="15" t="s">
        <v>1001</v>
      </c>
      <c r="I1263" s="15" t="s">
        <v>1002</v>
      </c>
      <c r="J1263" s="8" t="str">
        <f>+LEFT(U1263,4)</f>
        <v>LID-</v>
      </c>
      <c r="K1263" t="s">
        <v>369</v>
      </c>
      <c r="L1263" s="46">
        <v>331</v>
      </c>
      <c r="M1263" t="s">
        <v>1472</v>
      </c>
      <c r="N1263" t="s">
        <v>11</v>
      </c>
      <c r="O1263" s="49">
        <v>3.42</v>
      </c>
      <c r="P1263" s="9">
        <f>ROUND(O1263*L1263,2)</f>
        <v>1132.02</v>
      </c>
      <c r="Q1263" s="10">
        <f>IF(N1263="HKD",7.8,IF(N1263="CNY",7.30034,1))</f>
        <v>7.3003400000000003</v>
      </c>
      <c r="R1263" s="10">
        <f>+ROUND(O1263/Q1263,4)</f>
        <v>0.46850000000000003</v>
      </c>
      <c r="S1263" s="11">
        <f>ROUND(R1263*L1263,2)</f>
        <v>155.07</v>
      </c>
      <c r="T1263" s="10" t="s">
        <v>349</v>
      </c>
      <c r="U1263" t="s">
        <v>368</v>
      </c>
    </row>
    <row r="1264" spans="1:21">
      <c r="A1264" t="s">
        <v>2040</v>
      </c>
      <c r="B1264" s="20">
        <v>45716</v>
      </c>
      <c r="C1264" s="20">
        <v>45636</v>
      </c>
      <c r="D1264" t="s">
        <v>94</v>
      </c>
      <c r="E1264" t="s">
        <v>95</v>
      </c>
      <c r="G1264" t="s">
        <v>2201</v>
      </c>
      <c r="H1264" s="15" t="s">
        <v>1750</v>
      </c>
      <c r="I1264" s="15" t="s">
        <v>1751</v>
      </c>
      <c r="J1264" s="8" t="str">
        <f>+LEFT(U1264,4)</f>
        <v>LID-</v>
      </c>
      <c r="K1264" t="s">
        <v>369</v>
      </c>
      <c r="L1264" s="46">
        <v>2060</v>
      </c>
      <c r="M1264" t="s">
        <v>1472</v>
      </c>
      <c r="N1264" t="s">
        <v>11</v>
      </c>
      <c r="O1264" s="49">
        <v>3.92</v>
      </c>
      <c r="P1264" s="9">
        <f>ROUND(O1264*L1264,2)</f>
        <v>8075.2</v>
      </c>
      <c r="Q1264" s="10">
        <f>IF(N1264="HKD",7.8,IF(N1264="CNY",7.30034,1))</f>
        <v>7.3003400000000003</v>
      </c>
      <c r="R1264" s="10">
        <f>+ROUND(O1264/Q1264,4)</f>
        <v>0.53700000000000003</v>
      </c>
      <c r="S1264" s="11">
        <f>ROUND(R1264*L1264,2)</f>
        <v>1106.22</v>
      </c>
      <c r="T1264" s="10" t="s">
        <v>349</v>
      </c>
      <c r="U1264" t="s">
        <v>368</v>
      </c>
    </row>
    <row r="1265" spans="1:21">
      <c r="A1265" t="s">
        <v>2041</v>
      </c>
      <c r="B1265" s="20">
        <v>45716</v>
      </c>
      <c r="C1265" s="20">
        <v>45636</v>
      </c>
      <c r="D1265" t="s">
        <v>94</v>
      </c>
      <c r="E1265" t="s">
        <v>95</v>
      </c>
      <c r="G1265" t="s">
        <v>2191</v>
      </c>
      <c r="H1265" s="15" t="s">
        <v>1750</v>
      </c>
      <c r="I1265" s="15" t="s">
        <v>1751</v>
      </c>
      <c r="J1265" s="8" t="str">
        <f>+LEFT(U1265,4)</f>
        <v>LID-</v>
      </c>
      <c r="K1265" t="s">
        <v>369</v>
      </c>
      <c r="L1265" s="46">
        <v>484</v>
      </c>
      <c r="M1265" t="s">
        <v>1472</v>
      </c>
      <c r="N1265" t="s">
        <v>11</v>
      </c>
      <c r="O1265" s="49">
        <v>3.92</v>
      </c>
      <c r="P1265" s="9">
        <f>ROUND(O1265*L1265,2)</f>
        <v>1897.28</v>
      </c>
      <c r="Q1265" s="10">
        <f>IF(N1265="HKD",7.8,IF(N1265="CNY",7.30034,1))</f>
        <v>7.3003400000000003</v>
      </c>
      <c r="R1265" s="10">
        <f>+ROUND(O1265/Q1265,4)</f>
        <v>0.53700000000000003</v>
      </c>
      <c r="S1265" s="11">
        <f>ROUND(R1265*L1265,2)</f>
        <v>259.91000000000003</v>
      </c>
      <c r="T1265" s="10" t="s">
        <v>349</v>
      </c>
      <c r="U1265" t="s">
        <v>368</v>
      </c>
    </row>
    <row r="1266" spans="1:21">
      <c r="A1266" t="s">
        <v>2041</v>
      </c>
      <c r="B1266" s="20">
        <v>45716</v>
      </c>
      <c r="C1266" s="20">
        <v>45636</v>
      </c>
      <c r="D1266" t="s">
        <v>94</v>
      </c>
      <c r="E1266" t="s">
        <v>95</v>
      </c>
      <c r="G1266" t="s">
        <v>2201</v>
      </c>
      <c r="H1266" s="15" t="s">
        <v>1750</v>
      </c>
      <c r="I1266" s="15" t="s">
        <v>1751</v>
      </c>
      <c r="J1266" s="8" t="str">
        <f>+LEFT(U1266,4)</f>
        <v>LID-</v>
      </c>
      <c r="K1266" t="s">
        <v>369</v>
      </c>
      <c r="L1266" s="46">
        <v>500</v>
      </c>
      <c r="M1266" t="s">
        <v>1472</v>
      </c>
      <c r="N1266" t="s">
        <v>11</v>
      </c>
      <c r="O1266" s="49">
        <v>3.92</v>
      </c>
      <c r="P1266" s="9">
        <f>ROUND(O1266*L1266,2)</f>
        <v>1960</v>
      </c>
      <c r="Q1266" s="10">
        <f>IF(N1266="HKD",7.8,IF(N1266="CNY",7.30034,1))</f>
        <v>7.3003400000000003</v>
      </c>
      <c r="R1266" s="10">
        <f>+ROUND(O1266/Q1266,4)</f>
        <v>0.53700000000000003</v>
      </c>
      <c r="S1266" s="11">
        <f>ROUND(R1266*L1266,2)</f>
        <v>268.5</v>
      </c>
      <c r="T1266" s="10" t="s">
        <v>349</v>
      </c>
      <c r="U1266" t="s">
        <v>368</v>
      </c>
    </row>
    <row r="1267" spans="1:21">
      <c r="A1267" t="s">
        <v>2064</v>
      </c>
      <c r="B1267" s="20">
        <v>45716</v>
      </c>
      <c r="C1267" s="20">
        <v>45630</v>
      </c>
      <c r="D1267" t="s">
        <v>830</v>
      </c>
      <c r="E1267" t="s">
        <v>831</v>
      </c>
      <c r="G1267" t="s">
        <v>2207</v>
      </c>
      <c r="H1267" s="15" t="s">
        <v>828</v>
      </c>
      <c r="I1267" s="15" t="s">
        <v>829</v>
      </c>
      <c r="J1267" s="8" t="str">
        <f>+LEFT(U1267,4)</f>
        <v>SKU-</v>
      </c>
      <c r="K1267" t="s">
        <v>98</v>
      </c>
      <c r="L1267" s="46">
        <v>4600</v>
      </c>
      <c r="M1267" t="s">
        <v>1472</v>
      </c>
      <c r="N1267" t="s">
        <v>11</v>
      </c>
      <c r="O1267" s="49">
        <v>5.0862999999999996</v>
      </c>
      <c r="P1267" s="9">
        <f>ROUND(O1267*L1267,2)</f>
        <v>23396.98</v>
      </c>
      <c r="Q1267" s="10">
        <f>IF(N1267="HKD",7.8,IF(N1267="CNY",7.30034,1))</f>
        <v>7.3003400000000003</v>
      </c>
      <c r="R1267" s="10">
        <f>+ROUND(O1267/Q1267,4)</f>
        <v>0.69669999999999999</v>
      </c>
      <c r="S1267" s="11">
        <f>ROUND(R1267*L1267,2)</f>
        <v>3204.82</v>
      </c>
      <c r="T1267" s="10" t="s">
        <v>349</v>
      </c>
      <c r="U1267" t="s">
        <v>2</v>
      </c>
    </row>
    <row r="1268" spans="1:21">
      <c r="A1268" t="s">
        <v>1976</v>
      </c>
      <c r="B1268" s="20">
        <v>45715</v>
      </c>
      <c r="C1268" s="20">
        <v>45695</v>
      </c>
      <c r="D1268" t="s">
        <v>1006</v>
      </c>
      <c r="E1268" t="s">
        <v>1007</v>
      </c>
      <c r="G1268" t="s">
        <v>2184</v>
      </c>
      <c r="H1268" s="15" t="s">
        <v>1697</v>
      </c>
      <c r="I1268" s="15" t="s">
        <v>1698</v>
      </c>
      <c r="J1268" s="8" t="str">
        <f>+LEFT(U1268,4)</f>
        <v>ALM-</v>
      </c>
      <c r="K1268" t="s">
        <v>98</v>
      </c>
      <c r="L1268" s="46">
        <v>672</v>
      </c>
      <c r="M1268" t="s">
        <v>186</v>
      </c>
      <c r="N1268" t="s">
        <v>11</v>
      </c>
      <c r="O1268" s="49">
        <v>2.9203999999999999</v>
      </c>
      <c r="P1268" s="9">
        <f>ROUND(O1268*L1268,2)</f>
        <v>1962.51</v>
      </c>
      <c r="Q1268" s="10">
        <f>IF(N1268="HKD",7.8,IF(N1268="CNY",7.30034,1))</f>
        <v>7.3003400000000003</v>
      </c>
      <c r="R1268" s="10">
        <f>+ROUND(O1268/Q1268,4)</f>
        <v>0.4</v>
      </c>
      <c r="S1268" s="11">
        <f>ROUND(R1268*L1268,2)</f>
        <v>268.8</v>
      </c>
      <c r="T1268" s="10" t="s">
        <v>349</v>
      </c>
      <c r="U1268" t="s">
        <v>191</v>
      </c>
    </row>
    <row r="1269" spans="1:21">
      <c r="A1269" t="s">
        <v>1977</v>
      </c>
      <c r="B1269" s="20">
        <v>45715</v>
      </c>
      <c r="C1269" s="20">
        <v>45695</v>
      </c>
      <c r="D1269" t="s">
        <v>1006</v>
      </c>
      <c r="E1269" t="s">
        <v>1007</v>
      </c>
      <c r="G1269" t="s">
        <v>2184</v>
      </c>
      <c r="H1269" s="15" t="s">
        <v>1019</v>
      </c>
      <c r="I1269" s="15" t="s">
        <v>1020</v>
      </c>
      <c r="J1269" s="8" t="str">
        <f>+LEFT(U1269,4)</f>
        <v>ALM-</v>
      </c>
      <c r="K1269" t="s">
        <v>98</v>
      </c>
      <c r="L1269" s="46">
        <v>2032</v>
      </c>
      <c r="M1269" t="s">
        <v>186</v>
      </c>
      <c r="N1269" t="s">
        <v>11</v>
      </c>
      <c r="O1269" s="49">
        <v>2.9203999999999999</v>
      </c>
      <c r="P1269" s="9">
        <f>ROUND(O1269*L1269,2)</f>
        <v>5934.25</v>
      </c>
      <c r="Q1269" s="10">
        <f>IF(N1269="HKD",7.8,IF(N1269="CNY",7.30034,1))</f>
        <v>7.3003400000000003</v>
      </c>
      <c r="R1269" s="10">
        <f>+ROUND(O1269/Q1269,4)</f>
        <v>0.4</v>
      </c>
      <c r="S1269" s="11">
        <f>ROUND(R1269*L1269,2)</f>
        <v>812.8</v>
      </c>
      <c r="T1269" s="10" t="s">
        <v>349</v>
      </c>
      <c r="U1269" t="s">
        <v>191</v>
      </c>
    </row>
    <row r="1270" spans="1:21">
      <c r="A1270" t="s">
        <v>1978</v>
      </c>
      <c r="B1270" s="20">
        <v>45715</v>
      </c>
      <c r="C1270" s="20">
        <v>45695</v>
      </c>
      <c r="D1270" t="s">
        <v>1006</v>
      </c>
      <c r="E1270" t="s">
        <v>1007</v>
      </c>
      <c r="G1270" t="s">
        <v>2184</v>
      </c>
      <c r="H1270" s="15" t="s">
        <v>1699</v>
      </c>
      <c r="I1270" s="15" t="s">
        <v>1700</v>
      </c>
      <c r="J1270" s="8" t="str">
        <f>+LEFT(U1270,4)</f>
        <v>ALM-</v>
      </c>
      <c r="K1270" t="s">
        <v>98</v>
      </c>
      <c r="L1270" s="46">
        <v>1564</v>
      </c>
      <c r="M1270" t="s">
        <v>186</v>
      </c>
      <c r="N1270" t="s">
        <v>11</v>
      </c>
      <c r="O1270" s="49">
        <v>2.9203999999999999</v>
      </c>
      <c r="P1270" s="9">
        <f>ROUND(O1270*L1270,2)</f>
        <v>4567.51</v>
      </c>
      <c r="Q1270" s="10">
        <f>IF(N1270="HKD",7.8,IF(N1270="CNY",7.30034,1))</f>
        <v>7.3003400000000003</v>
      </c>
      <c r="R1270" s="10">
        <f>+ROUND(O1270/Q1270,4)</f>
        <v>0.4</v>
      </c>
      <c r="S1270" s="11">
        <f>ROUND(R1270*L1270,2)</f>
        <v>625.6</v>
      </c>
      <c r="T1270" s="10" t="s">
        <v>349</v>
      </c>
      <c r="U1270" t="s">
        <v>191</v>
      </c>
    </row>
    <row r="1271" spans="1:21">
      <c r="A1271" t="s">
        <v>1979</v>
      </c>
      <c r="B1271" s="20">
        <v>45715</v>
      </c>
      <c r="C1271" s="20">
        <v>45695</v>
      </c>
      <c r="D1271" t="s">
        <v>1006</v>
      </c>
      <c r="E1271" t="s">
        <v>1007</v>
      </c>
      <c r="G1271" t="s">
        <v>2184</v>
      </c>
      <c r="H1271" s="15" t="s">
        <v>1701</v>
      </c>
      <c r="I1271" s="15" t="s">
        <v>1702</v>
      </c>
      <c r="J1271" s="8" t="str">
        <f>+LEFT(U1271,4)</f>
        <v>ALM-</v>
      </c>
      <c r="K1271" t="s">
        <v>98</v>
      </c>
      <c r="L1271" s="46">
        <v>1254</v>
      </c>
      <c r="M1271" t="s">
        <v>186</v>
      </c>
      <c r="N1271" t="s">
        <v>11</v>
      </c>
      <c r="O1271" s="49">
        <v>2.9203999999999999</v>
      </c>
      <c r="P1271" s="9">
        <f>ROUND(O1271*L1271,2)</f>
        <v>3662.18</v>
      </c>
      <c r="Q1271" s="10">
        <f>IF(N1271="HKD",7.8,IF(N1271="CNY",7.30034,1))</f>
        <v>7.3003400000000003</v>
      </c>
      <c r="R1271" s="10">
        <f>+ROUND(O1271/Q1271,4)</f>
        <v>0.4</v>
      </c>
      <c r="S1271" s="11">
        <f>ROUND(R1271*L1271,2)</f>
        <v>501.6</v>
      </c>
      <c r="T1271" s="10" t="s">
        <v>349</v>
      </c>
      <c r="U1271" t="s">
        <v>191</v>
      </c>
    </row>
    <row r="1272" spans="1:21">
      <c r="A1272" t="s">
        <v>1980</v>
      </c>
      <c r="B1272" s="20">
        <v>45715</v>
      </c>
      <c r="C1272" s="20">
        <v>45698</v>
      </c>
      <c r="D1272" t="s">
        <v>1006</v>
      </c>
      <c r="E1272" t="s">
        <v>1007</v>
      </c>
      <c r="G1272" t="s">
        <v>2184</v>
      </c>
      <c r="H1272" s="15" t="s">
        <v>1703</v>
      </c>
      <c r="I1272" s="15" t="s">
        <v>1704</v>
      </c>
      <c r="J1272" s="8" t="str">
        <f>+LEFT(U1272,4)</f>
        <v>ALM-</v>
      </c>
      <c r="K1272" t="s">
        <v>98</v>
      </c>
      <c r="L1272" s="46">
        <v>628</v>
      </c>
      <c r="M1272" t="s">
        <v>186</v>
      </c>
      <c r="N1272" t="s">
        <v>11</v>
      </c>
      <c r="O1272" s="49">
        <v>2.9203999999999999</v>
      </c>
      <c r="P1272" s="9">
        <f>ROUND(O1272*L1272,2)</f>
        <v>1834.01</v>
      </c>
      <c r="Q1272" s="10">
        <f>IF(N1272="HKD",7.8,IF(N1272="CNY",7.30034,1))</f>
        <v>7.3003400000000003</v>
      </c>
      <c r="R1272" s="10">
        <f>+ROUND(O1272/Q1272,4)</f>
        <v>0.4</v>
      </c>
      <c r="S1272" s="11">
        <f>ROUND(R1272*L1272,2)</f>
        <v>251.2</v>
      </c>
      <c r="T1272" s="10" t="s">
        <v>349</v>
      </c>
      <c r="U1272" t="s">
        <v>191</v>
      </c>
    </row>
    <row r="1273" spans="1:21">
      <c r="A1273" t="s">
        <v>1981</v>
      </c>
      <c r="B1273" s="20">
        <v>45715</v>
      </c>
      <c r="C1273" s="20">
        <v>45698</v>
      </c>
      <c r="D1273" t="s">
        <v>1006</v>
      </c>
      <c r="E1273" t="s">
        <v>1007</v>
      </c>
      <c r="G1273" t="s">
        <v>2184</v>
      </c>
      <c r="H1273" s="15" t="s">
        <v>1705</v>
      </c>
      <c r="I1273" s="15" t="s">
        <v>1706</v>
      </c>
      <c r="J1273" s="8" t="str">
        <f>+LEFT(U1273,4)</f>
        <v>ALM-</v>
      </c>
      <c r="K1273" t="s">
        <v>98</v>
      </c>
      <c r="L1273" s="46">
        <v>1387</v>
      </c>
      <c r="M1273" t="s">
        <v>186</v>
      </c>
      <c r="N1273" t="s">
        <v>11</v>
      </c>
      <c r="O1273" s="49">
        <v>2.9203999999999999</v>
      </c>
      <c r="P1273" s="9">
        <f>ROUND(O1273*L1273,2)</f>
        <v>4050.59</v>
      </c>
      <c r="Q1273" s="10">
        <f>IF(N1273="HKD",7.8,IF(N1273="CNY",7.30034,1))</f>
        <v>7.3003400000000003</v>
      </c>
      <c r="R1273" s="10">
        <f>+ROUND(O1273/Q1273,4)</f>
        <v>0.4</v>
      </c>
      <c r="S1273" s="11">
        <f>ROUND(R1273*L1273,2)</f>
        <v>554.79999999999995</v>
      </c>
      <c r="T1273" s="10" t="s">
        <v>349</v>
      </c>
      <c r="U1273" t="s">
        <v>191</v>
      </c>
    </row>
    <row r="1274" spans="1:21">
      <c r="A1274" t="s">
        <v>1982</v>
      </c>
      <c r="B1274" s="20">
        <v>45715</v>
      </c>
      <c r="C1274" s="20">
        <v>45698</v>
      </c>
      <c r="D1274" t="s">
        <v>1006</v>
      </c>
      <c r="E1274" t="s">
        <v>1007</v>
      </c>
      <c r="G1274" t="s">
        <v>2184</v>
      </c>
      <c r="H1274" s="15" t="s">
        <v>1699</v>
      </c>
      <c r="I1274" s="15" t="s">
        <v>1700</v>
      </c>
      <c r="J1274" s="8" t="str">
        <f>+LEFT(U1274,4)</f>
        <v>ALM-</v>
      </c>
      <c r="K1274" t="s">
        <v>98</v>
      </c>
      <c r="L1274" s="46">
        <v>756</v>
      </c>
      <c r="M1274" t="s">
        <v>186</v>
      </c>
      <c r="N1274" t="s">
        <v>11</v>
      </c>
      <c r="O1274" s="49">
        <v>2.9203999999999999</v>
      </c>
      <c r="P1274" s="9">
        <f>ROUND(O1274*L1274,2)</f>
        <v>2207.8200000000002</v>
      </c>
      <c r="Q1274" s="10">
        <f>IF(N1274="HKD",7.8,IF(N1274="CNY",7.30034,1))</f>
        <v>7.3003400000000003</v>
      </c>
      <c r="R1274" s="10">
        <f>+ROUND(O1274/Q1274,4)</f>
        <v>0.4</v>
      </c>
      <c r="S1274" s="11">
        <f>ROUND(R1274*L1274,2)</f>
        <v>302.39999999999998</v>
      </c>
      <c r="T1274" s="10" t="s">
        <v>349</v>
      </c>
      <c r="U1274" t="s">
        <v>191</v>
      </c>
    </row>
    <row r="1275" spans="1:21">
      <c r="A1275" t="s">
        <v>1989</v>
      </c>
      <c r="B1275" s="20">
        <v>45715</v>
      </c>
      <c r="C1275" s="20">
        <v>45695</v>
      </c>
      <c r="D1275" t="s">
        <v>1006</v>
      </c>
      <c r="E1275" t="s">
        <v>1007</v>
      </c>
      <c r="G1275" t="s">
        <v>2184</v>
      </c>
      <c r="H1275" s="15" t="s">
        <v>1713</v>
      </c>
      <c r="I1275" s="15" t="s">
        <v>1714</v>
      </c>
      <c r="J1275" s="8" t="str">
        <f>+LEFT(U1275,4)</f>
        <v>ALM-</v>
      </c>
      <c r="K1275" t="s">
        <v>98</v>
      </c>
      <c r="L1275" s="46">
        <v>585</v>
      </c>
      <c r="M1275" t="s">
        <v>186</v>
      </c>
      <c r="N1275" t="s">
        <v>11</v>
      </c>
      <c r="O1275" s="49">
        <v>3.0973000000000002</v>
      </c>
      <c r="P1275" s="9">
        <f>ROUND(O1275*L1275,2)</f>
        <v>1811.92</v>
      </c>
      <c r="Q1275" s="10">
        <f>IF(N1275="HKD",7.8,IF(N1275="CNY",7.30034,1))</f>
        <v>7.3003400000000003</v>
      </c>
      <c r="R1275" s="10">
        <f>+ROUND(O1275/Q1275,4)</f>
        <v>0.42430000000000001</v>
      </c>
      <c r="S1275" s="11">
        <f>ROUND(R1275*L1275,2)</f>
        <v>248.22</v>
      </c>
      <c r="T1275" s="10" t="s">
        <v>349</v>
      </c>
      <c r="U1275" t="s">
        <v>191</v>
      </c>
    </row>
    <row r="1276" spans="1:21">
      <c r="A1276" t="s">
        <v>1990</v>
      </c>
      <c r="B1276" s="20">
        <v>45715</v>
      </c>
      <c r="C1276" s="20">
        <v>45698</v>
      </c>
      <c r="D1276" t="s">
        <v>1006</v>
      </c>
      <c r="E1276" t="s">
        <v>1007</v>
      </c>
      <c r="G1276" t="s">
        <v>2184</v>
      </c>
      <c r="H1276" s="15" t="s">
        <v>1016</v>
      </c>
      <c r="I1276" s="15" t="s">
        <v>1017</v>
      </c>
      <c r="J1276" s="8" t="str">
        <f>+LEFT(U1276,4)</f>
        <v>ALM-</v>
      </c>
      <c r="K1276" t="s">
        <v>98</v>
      </c>
      <c r="L1276" s="46">
        <v>484</v>
      </c>
      <c r="M1276" t="s">
        <v>186</v>
      </c>
      <c r="N1276" t="s">
        <v>11</v>
      </c>
      <c r="O1276" s="49">
        <v>3.0973000000000002</v>
      </c>
      <c r="P1276" s="9">
        <f>ROUND(O1276*L1276,2)</f>
        <v>1499.09</v>
      </c>
      <c r="Q1276" s="10">
        <f>IF(N1276="HKD",7.8,IF(N1276="CNY",7.30034,1))</f>
        <v>7.3003400000000003</v>
      </c>
      <c r="R1276" s="10">
        <f>+ROUND(O1276/Q1276,4)</f>
        <v>0.42430000000000001</v>
      </c>
      <c r="S1276" s="11">
        <f>ROUND(R1276*L1276,2)</f>
        <v>205.36</v>
      </c>
      <c r="T1276" s="10" t="s">
        <v>349</v>
      </c>
      <c r="U1276" t="s">
        <v>191</v>
      </c>
    </row>
    <row r="1277" spans="1:21">
      <c r="A1277" t="s">
        <v>2010</v>
      </c>
      <c r="B1277" s="20">
        <v>45715</v>
      </c>
      <c r="C1277" s="20">
        <v>45714</v>
      </c>
      <c r="D1277" t="s">
        <v>5</v>
      </c>
      <c r="E1277" t="s">
        <v>6</v>
      </c>
      <c r="G1277" t="s">
        <v>2190</v>
      </c>
      <c r="H1277" s="15" t="s">
        <v>1724</v>
      </c>
      <c r="I1277" s="15" t="s">
        <v>1725</v>
      </c>
      <c r="J1277" s="8" t="str">
        <f>+LEFT(U1277,4)</f>
        <v>BOX-</v>
      </c>
      <c r="K1277" t="s">
        <v>10</v>
      </c>
      <c r="L1277" s="46">
        <v>1500</v>
      </c>
      <c r="M1277" t="s">
        <v>1472</v>
      </c>
      <c r="N1277" t="s">
        <v>11</v>
      </c>
      <c r="O1277" s="49">
        <v>3.16</v>
      </c>
      <c r="P1277" s="9">
        <f>ROUND(O1277*L1277,2)</f>
        <v>4740</v>
      </c>
      <c r="Q1277" s="10">
        <f>IF(N1277="HKD",7.8,IF(N1277="CNY",7.30034,1))</f>
        <v>7.3003400000000003</v>
      </c>
      <c r="R1277" s="10">
        <f>+ROUND(O1277/Q1277,4)</f>
        <v>0.43290000000000001</v>
      </c>
      <c r="S1277" s="11">
        <f>ROUND(R1277*L1277,2)</f>
        <v>649.35</v>
      </c>
      <c r="T1277" s="10" t="s">
        <v>349</v>
      </c>
      <c r="U1277" t="s">
        <v>1</v>
      </c>
    </row>
    <row r="1278" spans="1:21">
      <c r="A1278" t="s">
        <v>1969</v>
      </c>
      <c r="B1278" s="20">
        <v>45715</v>
      </c>
      <c r="C1278" s="20">
        <v>45664</v>
      </c>
      <c r="D1278" t="s">
        <v>149</v>
      </c>
      <c r="E1278" t="s">
        <v>150</v>
      </c>
      <c r="G1278" t="s">
        <v>2180</v>
      </c>
      <c r="H1278" s="15" t="s">
        <v>1689</v>
      </c>
      <c r="I1278" s="15" t="s">
        <v>1690</v>
      </c>
      <c r="J1278" s="8" t="str">
        <f>+LEFT(U1278,4)</f>
        <v>GLID</v>
      </c>
      <c r="K1278" t="s">
        <v>10</v>
      </c>
      <c r="L1278" s="46">
        <v>330</v>
      </c>
      <c r="M1278" t="s">
        <v>1472</v>
      </c>
      <c r="N1278" t="s">
        <v>11</v>
      </c>
      <c r="O1278" s="49">
        <v>2.7103999999999999</v>
      </c>
      <c r="P1278" s="9">
        <f>ROUND(O1278*L1278,2)</f>
        <v>894.43</v>
      </c>
      <c r="Q1278" s="10">
        <f>IF(N1278="HKD",7.8,IF(N1278="CNY",7.30034,1))</f>
        <v>7.3003400000000003</v>
      </c>
      <c r="R1278" s="10">
        <f>+ROUND(O1278/Q1278,4)</f>
        <v>0.37130000000000002</v>
      </c>
      <c r="S1278" s="11">
        <f>ROUND(R1278*L1278,2)</f>
        <v>122.53</v>
      </c>
      <c r="T1278" s="10" t="s">
        <v>349</v>
      </c>
      <c r="U1278" t="s">
        <v>78</v>
      </c>
    </row>
    <row r="1279" spans="1:21">
      <c r="A1279" t="s">
        <v>2014</v>
      </c>
      <c r="B1279" s="20">
        <v>45715</v>
      </c>
      <c r="C1279" s="20">
        <v>45664</v>
      </c>
      <c r="D1279" t="s">
        <v>149</v>
      </c>
      <c r="E1279" t="s">
        <v>150</v>
      </c>
      <c r="G1279" t="s">
        <v>2180</v>
      </c>
      <c r="H1279" s="15" t="s">
        <v>1730</v>
      </c>
      <c r="I1279" s="15" t="s">
        <v>1731</v>
      </c>
      <c r="J1279" s="8" t="str">
        <f>+LEFT(U1279,4)</f>
        <v>GLID</v>
      </c>
      <c r="K1279" t="s">
        <v>10</v>
      </c>
      <c r="L1279" s="46">
        <v>1510</v>
      </c>
      <c r="M1279" t="s">
        <v>1472</v>
      </c>
      <c r="N1279" t="s">
        <v>11</v>
      </c>
      <c r="O1279" s="49">
        <v>3.3490000000000002</v>
      </c>
      <c r="P1279" s="9">
        <f>ROUND(O1279*L1279,2)</f>
        <v>5056.99</v>
      </c>
      <c r="Q1279" s="10">
        <f>IF(N1279="HKD",7.8,IF(N1279="CNY",7.30034,1))</f>
        <v>7.3003400000000003</v>
      </c>
      <c r="R1279" s="10">
        <f>+ROUND(O1279/Q1279,4)</f>
        <v>0.4587</v>
      </c>
      <c r="S1279" s="11">
        <f>ROUND(R1279*L1279,2)</f>
        <v>692.64</v>
      </c>
      <c r="T1279" s="10" t="s">
        <v>349</v>
      </c>
      <c r="U1279" t="s">
        <v>78</v>
      </c>
    </row>
    <row r="1280" spans="1:21">
      <c r="A1280" t="s">
        <v>2047</v>
      </c>
      <c r="B1280" s="20">
        <v>45715</v>
      </c>
      <c r="C1280" s="20">
        <v>45664</v>
      </c>
      <c r="D1280" t="s">
        <v>149</v>
      </c>
      <c r="E1280" t="s">
        <v>150</v>
      </c>
      <c r="G1280" t="s">
        <v>2180</v>
      </c>
      <c r="H1280" s="15" t="s">
        <v>1758</v>
      </c>
      <c r="I1280" s="15" t="s">
        <v>1759</v>
      </c>
      <c r="J1280" s="8" t="str">
        <f>+LEFT(U1280,4)</f>
        <v>GLID</v>
      </c>
      <c r="K1280" t="s">
        <v>10</v>
      </c>
      <c r="L1280" s="46">
        <v>1020</v>
      </c>
      <c r="M1280" t="s">
        <v>1472</v>
      </c>
      <c r="N1280" t="s">
        <v>11</v>
      </c>
      <c r="O1280" s="49">
        <v>4.1127000000000002</v>
      </c>
      <c r="P1280" s="9">
        <f>ROUND(O1280*L1280,2)</f>
        <v>4194.95</v>
      </c>
      <c r="Q1280" s="10">
        <f>IF(N1280="HKD",7.8,IF(N1280="CNY",7.30034,1))</f>
        <v>7.3003400000000003</v>
      </c>
      <c r="R1280" s="10">
        <f>+ROUND(O1280/Q1280,4)</f>
        <v>0.56340000000000001</v>
      </c>
      <c r="S1280" s="11">
        <f>ROUND(R1280*L1280,2)</f>
        <v>574.66999999999996</v>
      </c>
      <c r="T1280" s="10" t="s">
        <v>349</v>
      </c>
      <c r="U1280" t="s">
        <v>78</v>
      </c>
    </row>
    <row r="1281" spans="1:21">
      <c r="A1281" t="s">
        <v>2040</v>
      </c>
      <c r="B1281" s="20">
        <v>45715</v>
      </c>
      <c r="C1281" s="20">
        <v>45636</v>
      </c>
      <c r="D1281" t="s">
        <v>94</v>
      </c>
      <c r="E1281" t="s">
        <v>95</v>
      </c>
      <c r="G1281" t="s">
        <v>2202</v>
      </c>
      <c r="H1281" s="15" t="s">
        <v>1750</v>
      </c>
      <c r="I1281" s="15" t="s">
        <v>1751</v>
      </c>
      <c r="J1281" s="8" t="str">
        <f>+LEFT(U1281,4)</f>
        <v>LID-</v>
      </c>
      <c r="K1281" t="s">
        <v>369</v>
      </c>
      <c r="L1281" s="46">
        <v>2450</v>
      </c>
      <c r="M1281" t="s">
        <v>1472</v>
      </c>
      <c r="N1281" t="s">
        <v>11</v>
      </c>
      <c r="O1281" s="49">
        <v>3.92</v>
      </c>
      <c r="P1281" s="9">
        <f>ROUND(O1281*L1281,2)</f>
        <v>9604</v>
      </c>
      <c r="Q1281" s="10">
        <f>IF(N1281="HKD",7.8,IF(N1281="CNY",7.30034,1))</f>
        <v>7.3003400000000003</v>
      </c>
      <c r="R1281" s="10">
        <f>+ROUND(O1281/Q1281,4)</f>
        <v>0.53700000000000003</v>
      </c>
      <c r="S1281" s="11">
        <f>ROUND(R1281*L1281,2)</f>
        <v>1315.65</v>
      </c>
      <c r="T1281" s="10" t="s">
        <v>349</v>
      </c>
      <c r="U1281" t="s">
        <v>368</v>
      </c>
    </row>
    <row r="1282" spans="1:21">
      <c r="A1282" t="s">
        <v>1954</v>
      </c>
      <c r="B1282" s="20">
        <v>45715</v>
      </c>
      <c r="C1282" s="20">
        <v>45677</v>
      </c>
      <c r="D1282" t="s">
        <v>5</v>
      </c>
      <c r="E1282" t="s">
        <v>6</v>
      </c>
      <c r="G1282" t="s">
        <v>2176</v>
      </c>
      <c r="H1282" s="15" t="s">
        <v>1670</v>
      </c>
      <c r="I1282" s="15" t="s">
        <v>1671</v>
      </c>
      <c r="J1282" s="8" t="str">
        <f>+LEFT(U1282,4)</f>
        <v>SHTS</v>
      </c>
      <c r="K1282" t="s">
        <v>10</v>
      </c>
      <c r="L1282" s="46">
        <v>1010</v>
      </c>
      <c r="M1282" t="s">
        <v>1472</v>
      </c>
      <c r="N1282" t="s">
        <v>11</v>
      </c>
      <c r="O1282" s="49">
        <v>2.02</v>
      </c>
      <c r="P1282" s="9">
        <f>ROUND(O1282*L1282,2)</f>
        <v>2040.2</v>
      </c>
      <c r="Q1282" s="10">
        <f>IF(N1282="HKD",7.8,IF(N1282="CNY",7.30034,1))</f>
        <v>7.3003400000000003</v>
      </c>
      <c r="R1282" s="10">
        <f>+ROUND(O1282/Q1282,4)</f>
        <v>0.2767</v>
      </c>
      <c r="S1282" s="11">
        <f>ROUND(R1282*L1282,2)</f>
        <v>279.47000000000003</v>
      </c>
      <c r="T1282" s="10" t="s">
        <v>349</v>
      </c>
      <c r="U1282" t="s">
        <v>9</v>
      </c>
    </row>
    <row r="1283" spans="1:21">
      <c r="A1283" t="s">
        <v>1987</v>
      </c>
      <c r="B1283" s="20">
        <v>45715</v>
      </c>
      <c r="C1283" s="20">
        <v>45714</v>
      </c>
      <c r="D1283" t="s">
        <v>5</v>
      </c>
      <c r="E1283" t="s">
        <v>6</v>
      </c>
      <c r="G1283" t="s">
        <v>2176</v>
      </c>
      <c r="H1283" s="15" t="s">
        <v>518</v>
      </c>
      <c r="I1283" s="15" t="s">
        <v>519</v>
      </c>
      <c r="J1283" s="8" t="str">
        <f>+LEFT(U1283,4)</f>
        <v>SHTS</v>
      </c>
      <c r="K1283" t="s">
        <v>10</v>
      </c>
      <c r="L1283" s="46">
        <v>505</v>
      </c>
      <c r="M1283" t="s">
        <v>1472</v>
      </c>
      <c r="N1283" t="s">
        <v>11</v>
      </c>
      <c r="O1283" s="49">
        <v>3.08</v>
      </c>
      <c r="P1283" s="9">
        <f>ROUND(O1283*L1283,2)</f>
        <v>1555.4</v>
      </c>
      <c r="Q1283" s="10">
        <f>IF(N1283="HKD",7.8,IF(N1283="CNY",7.30034,1))</f>
        <v>7.3003400000000003</v>
      </c>
      <c r="R1283" s="10">
        <f>+ROUND(O1283/Q1283,4)</f>
        <v>0.4219</v>
      </c>
      <c r="S1283" s="11">
        <f>ROUND(R1283*L1283,2)</f>
        <v>213.06</v>
      </c>
      <c r="T1283" s="10" t="s">
        <v>349</v>
      </c>
      <c r="U1283" t="s">
        <v>9</v>
      </c>
    </row>
    <row r="1284" spans="1:21">
      <c r="A1284" t="s">
        <v>2016</v>
      </c>
      <c r="B1284" s="20">
        <v>45715</v>
      </c>
      <c r="C1284" s="20">
        <v>45714</v>
      </c>
      <c r="D1284" t="s">
        <v>5</v>
      </c>
      <c r="E1284" t="s">
        <v>6</v>
      </c>
      <c r="G1284" t="s">
        <v>2176</v>
      </c>
      <c r="H1284" s="15" t="s">
        <v>1732</v>
      </c>
      <c r="I1284" s="15" t="s">
        <v>1733</v>
      </c>
      <c r="J1284" s="8" t="str">
        <f>+LEFT(U1284,4)</f>
        <v>SHTS</v>
      </c>
      <c r="K1284" t="s">
        <v>10</v>
      </c>
      <c r="L1284" s="46">
        <v>505</v>
      </c>
      <c r="M1284" t="s">
        <v>1472</v>
      </c>
      <c r="N1284" t="s">
        <v>11</v>
      </c>
      <c r="O1284" s="49">
        <v>3.4</v>
      </c>
      <c r="P1284" s="9">
        <f>ROUND(O1284*L1284,2)</f>
        <v>1717</v>
      </c>
      <c r="Q1284" s="10">
        <f>IF(N1284="HKD",7.8,IF(N1284="CNY",7.30034,1))</f>
        <v>7.3003400000000003</v>
      </c>
      <c r="R1284" s="10">
        <f>+ROUND(O1284/Q1284,4)</f>
        <v>0.4657</v>
      </c>
      <c r="S1284" s="11">
        <f>ROUND(R1284*L1284,2)</f>
        <v>235.18</v>
      </c>
      <c r="T1284" s="10" t="s">
        <v>349</v>
      </c>
      <c r="U1284" t="s">
        <v>9</v>
      </c>
    </row>
    <row r="1285" spans="1:21">
      <c r="A1285" t="s">
        <v>2094</v>
      </c>
      <c r="B1285" s="20">
        <v>45715</v>
      </c>
      <c r="C1285" s="20">
        <v>45639</v>
      </c>
      <c r="D1285" t="s">
        <v>149</v>
      </c>
      <c r="E1285" t="s">
        <v>150</v>
      </c>
      <c r="G1285" t="s">
        <v>2220</v>
      </c>
      <c r="H1285" s="15" t="s">
        <v>345</v>
      </c>
      <c r="I1285" s="15" t="s">
        <v>346</v>
      </c>
      <c r="J1285" s="8" t="str">
        <f>+LEFT(U1285,4)</f>
        <v>SKU-</v>
      </c>
      <c r="K1285" t="s">
        <v>98</v>
      </c>
      <c r="L1285" s="46">
        <v>2980</v>
      </c>
      <c r="M1285" t="s">
        <v>1472</v>
      </c>
      <c r="N1285" t="s">
        <v>11</v>
      </c>
      <c r="O1285" s="49">
        <v>7.4157999999999999</v>
      </c>
      <c r="P1285" s="9">
        <f>ROUND(O1285*L1285,2)</f>
        <v>22099.08</v>
      </c>
      <c r="Q1285" s="10">
        <f>IF(N1285="HKD",7.8,IF(N1285="CNY",7.30034,1))</f>
        <v>7.3003400000000003</v>
      </c>
      <c r="R1285" s="10">
        <f>+ROUND(O1285/Q1285,4)</f>
        <v>1.0158</v>
      </c>
      <c r="S1285" s="11">
        <f>ROUND(R1285*L1285,2)</f>
        <v>3027.08</v>
      </c>
      <c r="T1285" s="10" t="s">
        <v>349</v>
      </c>
      <c r="U1285" t="s">
        <v>2</v>
      </c>
    </row>
    <row r="1286" spans="1:21">
      <c r="A1286" t="s">
        <v>1887</v>
      </c>
      <c r="B1286" s="20">
        <v>45715</v>
      </c>
      <c r="C1286" s="20">
        <v>45712</v>
      </c>
      <c r="D1286" t="s">
        <v>5</v>
      </c>
      <c r="E1286" t="s">
        <v>6</v>
      </c>
      <c r="G1286" t="s">
        <v>2157</v>
      </c>
      <c r="H1286" s="15" t="s">
        <v>1621</v>
      </c>
      <c r="I1286" s="15" t="s">
        <v>1622</v>
      </c>
      <c r="J1286" s="8" t="str">
        <f>+LEFT(U1286,4)</f>
        <v>STKR</v>
      </c>
      <c r="K1286" t="s">
        <v>10</v>
      </c>
      <c r="L1286" s="46">
        <v>3530</v>
      </c>
      <c r="M1286" t="s">
        <v>1472</v>
      </c>
      <c r="N1286" t="s">
        <v>11</v>
      </c>
      <c r="O1286" s="49">
        <v>0.28999999999999998</v>
      </c>
      <c r="P1286" s="9">
        <f>ROUND(O1286*L1286,2)</f>
        <v>1023.7</v>
      </c>
      <c r="Q1286" s="10">
        <f>IF(N1286="HKD",7.8,IF(N1286="CNY",7.30034,1))</f>
        <v>7.3003400000000003</v>
      </c>
      <c r="R1286" s="10">
        <f>+ROUND(O1286/Q1286,4)</f>
        <v>3.9699999999999999E-2</v>
      </c>
      <c r="S1286" s="11">
        <f>ROUND(R1286*L1286,2)</f>
        <v>140.13999999999999</v>
      </c>
      <c r="T1286" s="10" t="s">
        <v>349</v>
      </c>
      <c r="U1286" t="s">
        <v>18</v>
      </c>
    </row>
    <row r="1287" spans="1:21">
      <c r="A1287" t="s">
        <v>1905</v>
      </c>
      <c r="B1287" s="20">
        <v>45715</v>
      </c>
      <c r="C1287" s="20">
        <v>45715</v>
      </c>
      <c r="D1287" t="s">
        <v>5</v>
      </c>
      <c r="E1287" t="s">
        <v>6</v>
      </c>
      <c r="G1287" t="s">
        <v>2163</v>
      </c>
      <c r="H1287" s="15" t="s">
        <v>1637</v>
      </c>
      <c r="I1287" s="15" t="s">
        <v>1638</v>
      </c>
      <c r="J1287" s="8" t="str">
        <f>+LEFT(U1287,4)</f>
        <v>U&amp;C-</v>
      </c>
      <c r="K1287" t="s">
        <v>10</v>
      </c>
      <c r="L1287" s="46">
        <v>1000</v>
      </c>
      <c r="M1287" t="s">
        <v>1472</v>
      </c>
      <c r="N1287" t="s">
        <v>11</v>
      </c>
      <c r="O1287" s="49">
        <v>0.69</v>
      </c>
      <c r="P1287" s="9">
        <f>ROUND(O1287*L1287,2)</f>
        <v>690</v>
      </c>
      <c r="Q1287" s="10">
        <f>IF(N1287="HKD",7.8,IF(N1287="CNY",7.30034,1))</f>
        <v>7.3003400000000003</v>
      </c>
      <c r="R1287" s="10">
        <f>+ROUND(O1287/Q1287,4)</f>
        <v>9.4500000000000001E-2</v>
      </c>
      <c r="S1287" s="11">
        <f>ROUND(R1287*L1287,2)</f>
        <v>94.5</v>
      </c>
      <c r="T1287" s="10" t="s">
        <v>349</v>
      </c>
      <c r="U1287" t="s">
        <v>177</v>
      </c>
    </row>
    <row r="1288" spans="1:21">
      <c r="A1288" t="s">
        <v>1992</v>
      </c>
      <c r="B1288" s="20">
        <v>45714</v>
      </c>
      <c r="C1288" s="20">
        <v>45671</v>
      </c>
      <c r="D1288" t="s">
        <v>187</v>
      </c>
      <c r="E1288" t="s">
        <v>188</v>
      </c>
      <c r="G1288" t="s">
        <v>2187</v>
      </c>
      <c r="H1288" s="15" t="s">
        <v>211</v>
      </c>
      <c r="I1288" s="15" t="s">
        <v>212</v>
      </c>
      <c r="J1288" s="8" t="str">
        <f>+LEFT(U1288,4)</f>
        <v>ALM-</v>
      </c>
      <c r="K1288" t="s">
        <v>98</v>
      </c>
      <c r="L1288" s="46">
        <v>1200</v>
      </c>
      <c r="M1288" t="s">
        <v>186</v>
      </c>
      <c r="N1288" t="s">
        <v>11</v>
      </c>
      <c r="O1288" s="49">
        <v>3.1415999999999999</v>
      </c>
      <c r="P1288" s="9">
        <f>ROUND(O1288*L1288,2)</f>
        <v>3769.92</v>
      </c>
      <c r="Q1288" s="10">
        <f>IF(N1288="HKD",7.8,IF(N1288="CNY",7.30034,1))</f>
        <v>7.3003400000000003</v>
      </c>
      <c r="R1288" s="10">
        <f>+ROUND(O1288/Q1288,4)</f>
        <v>0.43030000000000002</v>
      </c>
      <c r="S1288" s="11">
        <f>ROUND(R1288*L1288,2)</f>
        <v>516.36</v>
      </c>
      <c r="T1288" s="10" t="s">
        <v>349</v>
      </c>
      <c r="U1288" t="s">
        <v>191</v>
      </c>
    </row>
    <row r="1289" spans="1:21">
      <c r="A1289" t="s">
        <v>1993</v>
      </c>
      <c r="B1289" s="20">
        <v>45714</v>
      </c>
      <c r="C1289" s="20">
        <v>45671</v>
      </c>
      <c r="D1289" t="s">
        <v>187</v>
      </c>
      <c r="E1289" t="s">
        <v>188</v>
      </c>
      <c r="G1289" t="s">
        <v>2187</v>
      </c>
      <c r="H1289" s="15" t="s">
        <v>214</v>
      </c>
      <c r="I1289" s="15" t="s">
        <v>215</v>
      </c>
      <c r="J1289" s="8" t="str">
        <f>+LEFT(U1289,4)</f>
        <v>ALM-</v>
      </c>
      <c r="K1289" t="s">
        <v>98</v>
      </c>
      <c r="L1289" s="46">
        <v>500</v>
      </c>
      <c r="M1289" t="s">
        <v>186</v>
      </c>
      <c r="N1289" t="s">
        <v>11</v>
      </c>
      <c r="O1289" s="49">
        <v>3.1415999999999999</v>
      </c>
      <c r="P1289" s="9">
        <f>ROUND(O1289*L1289,2)</f>
        <v>1570.8</v>
      </c>
      <c r="Q1289" s="10">
        <f>IF(N1289="HKD",7.8,IF(N1289="CNY",7.30034,1))</f>
        <v>7.3003400000000003</v>
      </c>
      <c r="R1289" s="10">
        <f>+ROUND(O1289/Q1289,4)</f>
        <v>0.43030000000000002</v>
      </c>
      <c r="S1289" s="11">
        <f>ROUND(R1289*L1289,2)</f>
        <v>215.15</v>
      </c>
      <c r="T1289" s="10" t="s">
        <v>349</v>
      </c>
      <c r="U1289" t="s">
        <v>191</v>
      </c>
    </row>
    <row r="1290" spans="1:21">
      <c r="A1290" t="s">
        <v>1994</v>
      </c>
      <c r="B1290" s="20">
        <v>45714</v>
      </c>
      <c r="C1290" s="20">
        <v>45671</v>
      </c>
      <c r="D1290" t="s">
        <v>187</v>
      </c>
      <c r="E1290" t="s">
        <v>188</v>
      </c>
      <c r="G1290" t="s">
        <v>2187</v>
      </c>
      <c r="H1290" s="15" t="s">
        <v>199</v>
      </c>
      <c r="I1290" s="15" t="s">
        <v>200</v>
      </c>
      <c r="J1290" s="8" t="str">
        <f>+LEFT(U1290,4)</f>
        <v>ALM-</v>
      </c>
      <c r="K1290" t="s">
        <v>98</v>
      </c>
      <c r="L1290" s="46">
        <v>1000</v>
      </c>
      <c r="M1290" t="s">
        <v>186</v>
      </c>
      <c r="N1290" t="s">
        <v>11</v>
      </c>
      <c r="O1290" s="49">
        <v>3.1415999999999999</v>
      </c>
      <c r="P1290" s="9">
        <f>ROUND(O1290*L1290,2)</f>
        <v>3141.6</v>
      </c>
      <c r="Q1290" s="10">
        <f>IF(N1290="HKD",7.8,IF(N1290="CNY",7.30034,1))</f>
        <v>7.3003400000000003</v>
      </c>
      <c r="R1290" s="10">
        <f>+ROUND(O1290/Q1290,4)</f>
        <v>0.43030000000000002</v>
      </c>
      <c r="S1290" s="11">
        <f>ROUND(R1290*L1290,2)</f>
        <v>430.3</v>
      </c>
      <c r="T1290" s="10" t="s">
        <v>349</v>
      </c>
      <c r="U1290" t="s">
        <v>191</v>
      </c>
    </row>
    <row r="1291" spans="1:21">
      <c r="A1291" t="s">
        <v>1995</v>
      </c>
      <c r="B1291" s="20">
        <v>45714</v>
      </c>
      <c r="C1291" s="20">
        <v>45675</v>
      </c>
      <c r="D1291" t="s">
        <v>187</v>
      </c>
      <c r="E1291" t="s">
        <v>188</v>
      </c>
      <c r="G1291" t="s">
        <v>2187</v>
      </c>
      <c r="H1291" s="15" t="s">
        <v>208</v>
      </c>
      <c r="I1291" s="15" t="s">
        <v>209</v>
      </c>
      <c r="J1291" s="8" t="str">
        <f>+LEFT(U1291,4)</f>
        <v>ALM-</v>
      </c>
      <c r="K1291" t="s">
        <v>98</v>
      </c>
      <c r="L1291" s="46">
        <v>500</v>
      </c>
      <c r="M1291" t="s">
        <v>186</v>
      </c>
      <c r="N1291" t="s">
        <v>11</v>
      </c>
      <c r="O1291" s="49">
        <v>3.1415999999999999</v>
      </c>
      <c r="P1291" s="9">
        <f>ROUND(O1291*L1291,2)</f>
        <v>1570.8</v>
      </c>
      <c r="Q1291" s="10">
        <f>IF(N1291="HKD",7.8,IF(N1291="CNY",7.30034,1))</f>
        <v>7.3003400000000003</v>
      </c>
      <c r="R1291" s="10">
        <f>+ROUND(O1291/Q1291,4)</f>
        <v>0.43030000000000002</v>
      </c>
      <c r="S1291" s="11">
        <f>ROUND(R1291*L1291,2)</f>
        <v>215.15</v>
      </c>
      <c r="T1291" s="10" t="s">
        <v>349</v>
      </c>
      <c r="U1291" t="s">
        <v>191</v>
      </c>
    </row>
    <row r="1292" spans="1:21">
      <c r="A1292" t="s">
        <v>1996</v>
      </c>
      <c r="B1292" s="20">
        <v>45714</v>
      </c>
      <c r="C1292" s="20">
        <v>45675</v>
      </c>
      <c r="D1292" t="s">
        <v>187</v>
      </c>
      <c r="E1292" t="s">
        <v>188</v>
      </c>
      <c r="G1292" t="s">
        <v>2187</v>
      </c>
      <c r="H1292" s="15" t="s">
        <v>202</v>
      </c>
      <c r="I1292" s="15" t="s">
        <v>203</v>
      </c>
      <c r="J1292" s="8" t="str">
        <f>+LEFT(U1292,4)</f>
        <v>ALM-</v>
      </c>
      <c r="K1292" t="s">
        <v>98</v>
      </c>
      <c r="L1292" s="46">
        <v>300</v>
      </c>
      <c r="M1292" t="s">
        <v>186</v>
      </c>
      <c r="N1292" t="s">
        <v>11</v>
      </c>
      <c r="O1292" s="49">
        <v>3.1415999999999999</v>
      </c>
      <c r="P1292" s="9">
        <f>ROUND(O1292*L1292,2)</f>
        <v>942.48</v>
      </c>
      <c r="Q1292" s="10">
        <f>IF(N1292="HKD",7.8,IF(N1292="CNY",7.30034,1))</f>
        <v>7.3003400000000003</v>
      </c>
      <c r="R1292" s="10">
        <f>+ROUND(O1292/Q1292,4)</f>
        <v>0.43030000000000002</v>
      </c>
      <c r="S1292" s="11">
        <f>ROUND(R1292*L1292,2)</f>
        <v>129.09</v>
      </c>
      <c r="T1292" s="10" t="s">
        <v>349</v>
      </c>
      <c r="U1292" t="s">
        <v>191</v>
      </c>
    </row>
    <row r="1293" spans="1:21">
      <c r="A1293" t="s">
        <v>1997</v>
      </c>
      <c r="B1293" s="20">
        <v>45714</v>
      </c>
      <c r="C1293" s="20">
        <v>45675</v>
      </c>
      <c r="D1293" t="s">
        <v>187</v>
      </c>
      <c r="E1293" t="s">
        <v>188</v>
      </c>
      <c r="G1293" t="s">
        <v>2187</v>
      </c>
      <c r="H1293" s="15" t="s">
        <v>1217</v>
      </c>
      <c r="I1293" s="15" t="s">
        <v>1218</v>
      </c>
      <c r="J1293" s="8" t="str">
        <f>+LEFT(U1293,4)</f>
        <v>ALM-</v>
      </c>
      <c r="K1293" t="s">
        <v>98</v>
      </c>
      <c r="L1293" s="46">
        <v>250</v>
      </c>
      <c r="M1293" t="s">
        <v>186</v>
      </c>
      <c r="N1293" t="s">
        <v>11</v>
      </c>
      <c r="O1293" s="49">
        <v>3.1415999999999999</v>
      </c>
      <c r="P1293" s="9">
        <f>ROUND(O1293*L1293,2)</f>
        <v>785.4</v>
      </c>
      <c r="Q1293" s="10">
        <f>IF(N1293="HKD",7.8,IF(N1293="CNY",7.30034,1))</f>
        <v>7.3003400000000003</v>
      </c>
      <c r="R1293" s="10">
        <f>+ROUND(O1293/Q1293,4)</f>
        <v>0.43030000000000002</v>
      </c>
      <c r="S1293" s="11">
        <f>ROUND(R1293*L1293,2)</f>
        <v>107.58</v>
      </c>
      <c r="T1293" s="10" t="s">
        <v>349</v>
      </c>
      <c r="U1293" t="s">
        <v>191</v>
      </c>
    </row>
    <row r="1294" spans="1:21">
      <c r="A1294" t="s">
        <v>1998</v>
      </c>
      <c r="B1294" s="20">
        <v>45714</v>
      </c>
      <c r="C1294" s="20">
        <v>45675</v>
      </c>
      <c r="D1294" t="s">
        <v>187</v>
      </c>
      <c r="E1294" t="s">
        <v>188</v>
      </c>
      <c r="G1294" t="s">
        <v>2188</v>
      </c>
      <c r="H1294" s="15" t="s">
        <v>214</v>
      </c>
      <c r="I1294" s="15" t="s">
        <v>215</v>
      </c>
      <c r="J1294" s="8" t="str">
        <f>+LEFT(U1294,4)</f>
        <v>ALM-</v>
      </c>
      <c r="K1294" t="s">
        <v>98</v>
      </c>
      <c r="L1294" s="46">
        <v>150</v>
      </c>
      <c r="M1294" t="s">
        <v>186</v>
      </c>
      <c r="N1294" t="s">
        <v>11</v>
      </c>
      <c r="O1294" s="49">
        <v>3.1415999999999999</v>
      </c>
      <c r="P1294" s="9">
        <f>ROUND(O1294*L1294,2)</f>
        <v>471.24</v>
      </c>
      <c r="Q1294" s="10">
        <f>IF(N1294="HKD",7.8,IF(N1294="CNY",7.30034,1))</f>
        <v>7.3003400000000003</v>
      </c>
      <c r="R1294" s="10">
        <f>+ROUND(O1294/Q1294,4)</f>
        <v>0.43030000000000002</v>
      </c>
      <c r="S1294" s="11">
        <f>ROUND(R1294*L1294,2)</f>
        <v>64.55</v>
      </c>
      <c r="T1294" s="10" t="s">
        <v>349</v>
      </c>
      <c r="U1294" t="s">
        <v>191</v>
      </c>
    </row>
    <row r="1295" spans="1:21">
      <c r="A1295" t="s">
        <v>1999</v>
      </c>
      <c r="B1295" s="20">
        <v>45714</v>
      </c>
      <c r="C1295" s="20">
        <v>45698</v>
      </c>
      <c r="D1295" t="s">
        <v>187</v>
      </c>
      <c r="E1295" t="s">
        <v>188</v>
      </c>
      <c r="G1295" t="s">
        <v>2187</v>
      </c>
      <c r="H1295" s="15" t="s">
        <v>205</v>
      </c>
      <c r="I1295" s="15" t="s">
        <v>206</v>
      </c>
      <c r="J1295" s="8" t="str">
        <f>+LEFT(U1295,4)</f>
        <v>ALM-</v>
      </c>
      <c r="K1295" t="s">
        <v>98</v>
      </c>
      <c r="L1295" s="46">
        <v>550</v>
      </c>
      <c r="M1295" t="s">
        <v>186</v>
      </c>
      <c r="N1295" t="s">
        <v>11</v>
      </c>
      <c r="O1295" s="49">
        <v>3.1415999999999999</v>
      </c>
      <c r="P1295" s="9">
        <f>ROUND(O1295*L1295,2)</f>
        <v>1727.88</v>
      </c>
      <c r="Q1295" s="10">
        <f>IF(N1295="HKD",7.8,IF(N1295="CNY",7.30034,1))</f>
        <v>7.3003400000000003</v>
      </c>
      <c r="R1295" s="10">
        <f>+ROUND(O1295/Q1295,4)</f>
        <v>0.43030000000000002</v>
      </c>
      <c r="S1295" s="11">
        <f>ROUND(R1295*L1295,2)</f>
        <v>236.67</v>
      </c>
      <c r="T1295" s="10" t="s">
        <v>349</v>
      </c>
      <c r="U1295" t="s">
        <v>191</v>
      </c>
    </row>
    <row r="1296" spans="1:21">
      <c r="A1296" t="s">
        <v>2000</v>
      </c>
      <c r="B1296" s="20">
        <v>45714</v>
      </c>
      <c r="C1296" s="20">
        <v>45698</v>
      </c>
      <c r="D1296" t="s">
        <v>187</v>
      </c>
      <c r="E1296" t="s">
        <v>188</v>
      </c>
      <c r="G1296" t="s">
        <v>2187</v>
      </c>
      <c r="H1296" s="15" t="s">
        <v>214</v>
      </c>
      <c r="I1296" s="15" t="s">
        <v>215</v>
      </c>
      <c r="J1296" s="8" t="str">
        <f>+LEFT(U1296,4)</f>
        <v>ALM-</v>
      </c>
      <c r="K1296" t="s">
        <v>98</v>
      </c>
      <c r="L1296" s="46">
        <v>300</v>
      </c>
      <c r="M1296" t="s">
        <v>186</v>
      </c>
      <c r="N1296" t="s">
        <v>11</v>
      </c>
      <c r="O1296" s="49">
        <v>3.1415999999999999</v>
      </c>
      <c r="P1296" s="9">
        <f>ROUND(O1296*L1296,2)</f>
        <v>942.48</v>
      </c>
      <c r="Q1296" s="10">
        <f>IF(N1296="HKD",7.8,IF(N1296="CNY",7.30034,1))</f>
        <v>7.3003400000000003</v>
      </c>
      <c r="R1296" s="10">
        <f>+ROUND(O1296/Q1296,4)</f>
        <v>0.43030000000000002</v>
      </c>
      <c r="S1296" s="11">
        <f>ROUND(R1296*L1296,2)</f>
        <v>129.09</v>
      </c>
      <c r="T1296" s="10" t="s">
        <v>349</v>
      </c>
      <c r="U1296" t="s">
        <v>191</v>
      </c>
    </row>
    <row r="1297" spans="1:21">
      <c r="A1297" t="s">
        <v>2001</v>
      </c>
      <c r="B1297" s="20">
        <v>45714</v>
      </c>
      <c r="C1297" s="20">
        <v>45698</v>
      </c>
      <c r="D1297" t="s">
        <v>187</v>
      </c>
      <c r="E1297" t="s">
        <v>188</v>
      </c>
      <c r="G1297" t="s">
        <v>2187</v>
      </c>
      <c r="H1297" s="15" t="s">
        <v>211</v>
      </c>
      <c r="I1297" s="15" t="s">
        <v>212</v>
      </c>
      <c r="J1297" s="8" t="str">
        <f>+LEFT(U1297,4)</f>
        <v>ALM-</v>
      </c>
      <c r="K1297" t="s">
        <v>98</v>
      </c>
      <c r="L1297" s="46">
        <v>1000</v>
      </c>
      <c r="M1297" t="s">
        <v>186</v>
      </c>
      <c r="N1297" t="s">
        <v>11</v>
      </c>
      <c r="O1297" s="49">
        <v>3.1415999999999999</v>
      </c>
      <c r="P1297" s="9">
        <f>ROUND(O1297*L1297,2)</f>
        <v>3141.6</v>
      </c>
      <c r="Q1297" s="10">
        <f>IF(N1297="HKD",7.8,IF(N1297="CNY",7.30034,1))</f>
        <v>7.3003400000000003</v>
      </c>
      <c r="R1297" s="10">
        <f>+ROUND(O1297/Q1297,4)</f>
        <v>0.43030000000000002</v>
      </c>
      <c r="S1297" s="11">
        <f>ROUND(R1297*L1297,2)</f>
        <v>430.3</v>
      </c>
      <c r="T1297" s="10" t="s">
        <v>349</v>
      </c>
      <c r="U1297" t="s">
        <v>191</v>
      </c>
    </row>
    <row r="1298" spans="1:21">
      <c r="A1298" t="s">
        <v>2002</v>
      </c>
      <c r="B1298" s="20">
        <v>45714</v>
      </c>
      <c r="C1298" s="20">
        <v>45698</v>
      </c>
      <c r="D1298" t="s">
        <v>187</v>
      </c>
      <c r="E1298" t="s">
        <v>188</v>
      </c>
      <c r="G1298" t="s">
        <v>2187</v>
      </c>
      <c r="H1298" s="15" t="s">
        <v>1715</v>
      </c>
      <c r="I1298" s="15" t="s">
        <v>1716</v>
      </c>
      <c r="J1298" s="8" t="str">
        <f>+LEFT(U1298,4)</f>
        <v>ALM-</v>
      </c>
      <c r="K1298" t="s">
        <v>98</v>
      </c>
      <c r="L1298" s="46">
        <v>100</v>
      </c>
      <c r="M1298" t="s">
        <v>186</v>
      </c>
      <c r="N1298" t="s">
        <v>11</v>
      </c>
      <c r="O1298" s="49">
        <v>3.1415999999999999</v>
      </c>
      <c r="P1298" s="9">
        <f>ROUND(O1298*L1298,2)</f>
        <v>314.16000000000003</v>
      </c>
      <c r="Q1298" s="10">
        <f>IF(N1298="HKD",7.8,IF(N1298="CNY",7.30034,1))</f>
        <v>7.3003400000000003</v>
      </c>
      <c r="R1298" s="10">
        <f>+ROUND(O1298/Q1298,4)</f>
        <v>0.43030000000000002</v>
      </c>
      <c r="S1298" s="11">
        <f>ROUND(R1298*L1298,2)</f>
        <v>43.03</v>
      </c>
      <c r="T1298" s="10" t="s">
        <v>349</v>
      </c>
      <c r="U1298" t="s">
        <v>191</v>
      </c>
    </row>
    <row r="1299" spans="1:21">
      <c r="A1299" t="s">
        <v>2003</v>
      </c>
      <c r="B1299" s="20">
        <v>45714</v>
      </c>
      <c r="C1299" s="20">
        <v>45698</v>
      </c>
      <c r="D1299" t="s">
        <v>187</v>
      </c>
      <c r="E1299" t="s">
        <v>188</v>
      </c>
      <c r="G1299" t="s">
        <v>2187</v>
      </c>
      <c r="H1299" s="15" t="s">
        <v>1717</v>
      </c>
      <c r="I1299" s="15" t="s">
        <v>1214</v>
      </c>
      <c r="J1299" s="8" t="str">
        <f>+LEFT(U1299,4)</f>
        <v>ALM-</v>
      </c>
      <c r="K1299" t="s">
        <v>98</v>
      </c>
      <c r="L1299" s="46">
        <v>50</v>
      </c>
      <c r="M1299" t="s">
        <v>186</v>
      </c>
      <c r="N1299" t="s">
        <v>11</v>
      </c>
      <c r="O1299" s="49">
        <v>3.1415999999999999</v>
      </c>
      <c r="P1299" s="9">
        <f>ROUND(O1299*L1299,2)</f>
        <v>157.08000000000001</v>
      </c>
      <c r="Q1299" s="10">
        <f>IF(N1299="HKD",7.8,IF(N1299="CNY",7.30034,1))</f>
        <v>7.3003400000000003</v>
      </c>
      <c r="R1299" s="10">
        <f>+ROUND(O1299/Q1299,4)</f>
        <v>0.43030000000000002</v>
      </c>
      <c r="S1299" s="11">
        <f>ROUND(R1299*L1299,2)</f>
        <v>21.52</v>
      </c>
      <c r="T1299" s="10" t="s">
        <v>349</v>
      </c>
      <c r="U1299" t="s">
        <v>191</v>
      </c>
    </row>
    <row r="1300" spans="1:21">
      <c r="A1300" t="s">
        <v>2004</v>
      </c>
      <c r="B1300" s="20">
        <v>45714</v>
      </c>
      <c r="C1300" s="20">
        <v>45698</v>
      </c>
      <c r="D1300" t="s">
        <v>187</v>
      </c>
      <c r="E1300" t="s">
        <v>188</v>
      </c>
      <c r="G1300" t="s">
        <v>2187</v>
      </c>
      <c r="H1300" s="15" t="s">
        <v>1718</v>
      </c>
      <c r="I1300" s="15" t="s">
        <v>1719</v>
      </c>
      <c r="J1300" s="8" t="str">
        <f>+LEFT(U1300,4)</f>
        <v>ALM-</v>
      </c>
      <c r="K1300" t="s">
        <v>98</v>
      </c>
      <c r="L1300" s="46">
        <v>300</v>
      </c>
      <c r="M1300" t="s">
        <v>186</v>
      </c>
      <c r="N1300" t="s">
        <v>11</v>
      </c>
      <c r="O1300" s="49">
        <v>3.1415999999999999</v>
      </c>
      <c r="P1300" s="9">
        <f>ROUND(O1300*L1300,2)</f>
        <v>942.48</v>
      </c>
      <c r="Q1300" s="10">
        <f>IF(N1300="HKD",7.8,IF(N1300="CNY",7.30034,1))</f>
        <v>7.3003400000000003</v>
      </c>
      <c r="R1300" s="10">
        <f>+ROUND(O1300/Q1300,4)</f>
        <v>0.43030000000000002</v>
      </c>
      <c r="S1300" s="11">
        <f>ROUND(R1300*L1300,2)</f>
        <v>129.09</v>
      </c>
      <c r="T1300" s="10" t="s">
        <v>349</v>
      </c>
      <c r="U1300" t="s">
        <v>191</v>
      </c>
    </row>
    <row r="1301" spans="1:21">
      <c r="A1301" t="s">
        <v>2005</v>
      </c>
      <c r="B1301" s="20">
        <v>45714</v>
      </c>
      <c r="C1301" s="20">
        <v>45698</v>
      </c>
      <c r="D1301" t="s">
        <v>187</v>
      </c>
      <c r="E1301" t="s">
        <v>188</v>
      </c>
      <c r="G1301" t="s">
        <v>2187</v>
      </c>
      <c r="H1301" s="15" t="s">
        <v>199</v>
      </c>
      <c r="I1301" s="15" t="s">
        <v>200</v>
      </c>
      <c r="J1301" s="8" t="str">
        <f>+LEFT(U1301,4)</f>
        <v>ALM-</v>
      </c>
      <c r="K1301" t="s">
        <v>98</v>
      </c>
      <c r="L1301" s="46">
        <v>1500</v>
      </c>
      <c r="M1301" t="s">
        <v>186</v>
      </c>
      <c r="N1301" t="s">
        <v>11</v>
      </c>
      <c r="O1301" s="49">
        <v>3.1415999999999999</v>
      </c>
      <c r="P1301" s="9">
        <f>ROUND(O1301*L1301,2)</f>
        <v>4712.3999999999996</v>
      </c>
      <c r="Q1301" s="10">
        <f>IF(N1301="HKD",7.8,IF(N1301="CNY",7.30034,1))</f>
        <v>7.3003400000000003</v>
      </c>
      <c r="R1301" s="10">
        <f>+ROUND(O1301/Q1301,4)</f>
        <v>0.43030000000000002</v>
      </c>
      <c r="S1301" s="11">
        <f>ROUND(R1301*L1301,2)</f>
        <v>645.45000000000005</v>
      </c>
      <c r="T1301" s="10" t="s">
        <v>349</v>
      </c>
      <c r="U1301" t="s">
        <v>191</v>
      </c>
    </row>
    <row r="1302" spans="1:21">
      <c r="A1302" t="s">
        <v>2006</v>
      </c>
      <c r="B1302" s="20">
        <v>45714</v>
      </c>
      <c r="C1302" s="20">
        <v>45698</v>
      </c>
      <c r="D1302" t="s">
        <v>187</v>
      </c>
      <c r="E1302" t="s">
        <v>188</v>
      </c>
      <c r="G1302" t="s">
        <v>2187</v>
      </c>
      <c r="H1302" s="15" t="s">
        <v>1720</v>
      </c>
      <c r="I1302" s="15" t="s">
        <v>1721</v>
      </c>
      <c r="J1302" s="8" t="str">
        <f>+LEFT(U1302,4)</f>
        <v>ALM-</v>
      </c>
      <c r="K1302" t="s">
        <v>98</v>
      </c>
      <c r="L1302" s="46">
        <v>400</v>
      </c>
      <c r="M1302" t="s">
        <v>186</v>
      </c>
      <c r="N1302" t="s">
        <v>11</v>
      </c>
      <c r="O1302" s="49">
        <v>3.1415999999999999</v>
      </c>
      <c r="P1302" s="9">
        <f>ROUND(O1302*L1302,2)</f>
        <v>1256.6400000000001</v>
      </c>
      <c r="Q1302" s="10">
        <f>IF(N1302="HKD",7.8,IF(N1302="CNY",7.30034,1))</f>
        <v>7.3003400000000003</v>
      </c>
      <c r="R1302" s="10">
        <f>+ROUND(O1302/Q1302,4)</f>
        <v>0.43030000000000002</v>
      </c>
      <c r="S1302" s="11">
        <f>ROUND(R1302*L1302,2)</f>
        <v>172.12</v>
      </c>
      <c r="T1302" s="10" t="s">
        <v>349</v>
      </c>
      <c r="U1302" t="s">
        <v>191</v>
      </c>
    </row>
    <row r="1303" spans="1:21">
      <c r="A1303" t="s">
        <v>2007</v>
      </c>
      <c r="B1303" s="20">
        <v>45714</v>
      </c>
      <c r="C1303" s="20">
        <v>45698</v>
      </c>
      <c r="D1303" t="s">
        <v>187</v>
      </c>
      <c r="E1303" t="s">
        <v>188</v>
      </c>
      <c r="G1303" t="s">
        <v>2187</v>
      </c>
      <c r="H1303" s="15" t="s">
        <v>1722</v>
      </c>
      <c r="I1303" s="15" t="s">
        <v>1723</v>
      </c>
      <c r="J1303" s="8" t="str">
        <f>+LEFT(U1303,4)</f>
        <v>ALM-</v>
      </c>
      <c r="K1303" t="s">
        <v>98</v>
      </c>
      <c r="L1303" s="46">
        <v>350</v>
      </c>
      <c r="M1303" t="s">
        <v>186</v>
      </c>
      <c r="N1303" t="s">
        <v>11</v>
      </c>
      <c r="O1303" s="49">
        <v>3.1415999999999999</v>
      </c>
      <c r="P1303" s="9">
        <f>ROUND(O1303*L1303,2)</f>
        <v>1099.56</v>
      </c>
      <c r="Q1303" s="10">
        <f>IF(N1303="HKD",7.8,IF(N1303="CNY",7.30034,1))</f>
        <v>7.3003400000000003</v>
      </c>
      <c r="R1303" s="10">
        <f>+ROUND(O1303/Q1303,4)</f>
        <v>0.43030000000000002</v>
      </c>
      <c r="S1303" s="11">
        <f>ROUND(R1303*L1303,2)</f>
        <v>150.61000000000001</v>
      </c>
      <c r="T1303" s="10" t="s">
        <v>349</v>
      </c>
      <c r="U1303" t="s">
        <v>191</v>
      </c>
    </row>
    <row r="1304" spans="1:21">
      <c r="A1304" t="s">
        <v>2008</v>
      </c>
      <c r="B1304" s="20">
        <v>45714</v>
      </c>
      <c r="C1304" s="20">
        <v>45701</v>
      </c>
      <c r="D1304" t="s">
        <v>187</v>
      </c>
      <c r="E1304" t="s">
        <v>188</v>
      </c>
      <c r="G1304" t="s">
        <v>2189</v>
      </c>
      <c r="H1304" s="15" t="s">
        <v>202</v>
      </c>
      <c r="I1304" s="15" t="s">
        <v>203</v>
      </c>
      <c r="J1304" s="8" t="str">
        <f>+LEFT(U1304,4)</f>
        <v>ALM-</v>
      </c>
      <c r="K1304" t="s">
        <v>98</v>
      </c>
      <c r="L1304" s="46">
        <v>500</v>
      </c>
      <c r="M1304" t="s">
        <v>186</v>
      </c>
      <c r="N1304" t="s">
        <v>11</v>
      </c>
      <c r="O1304" s="49">
        <v>3.1415999999999999</v>
      </c>
      <c r="P1304" s="9">
        <f>ROUND(O1304*L1304,2)</f>
        <v>1570.8</v>
      </c>
      <c r="Q1304" s="10">
        <f>IF(N1304="HKD",7.8,IF(N1304="CNY",7.30034,1))</f>
        <v>7.3003400000000003</v>
      </c>
      <c r="R1304" s="10">
        <f>+ROUND(O1304/Q1304,4)</f>
        <v>0.43030000000000002</v>
      </c>
      <c r="S1304" s="11">
        <f>ROUND(R1304*L1304,2)</f>
        <v>215.15</v>
      </c>
      <c r="T1304" s="10" t="s">
        <v>349</v>
      </c>
      <c r="U1304" t="s">
        <v>191</v>
      </c>
    </row>
    <row r="1305" spans="1:21">
      <c r="A1305" t="s">
        <v>2009</v>
      </c>
      <c r="B1305" s="20">
        <v>45714</v>
      </c>
      <c r="C1305" s="20">
        <v>45701</v>
      </c>
      <c r="D1305" t="s">
        <v>187</v>
      </c>
      <c r="E1305" t="s">
        <v>188</v>
      </c>
      <c r="G1305" t="s">
        <v>2187</v>
      </c>
      <c r="H1305" s="15" t="s">
        <v>205</v>
      </c>
      <c r="I1305" s="15" t="s">
        <v>206</v>
      </c>
      <c r="J1305" s="8" t="str">
        <f>+LEFT(U1305,4)</f>
        <v>ALM-</v>
      </c>
      <c r="K1305" t="s">
        <v>98</v>
      </c>
      <c r="L1305" s="46">
        <v>550</v>
      </c>
      <c r="M1305" t="s">
        <v>186</v>
      </c>
      <c r="N1305" t="s">
        <v>11</v>
      </c>
      <c r="O1305" s="49">
        <v>3.1415999999999999</v>
      </c>
      <c r="P1305" s="9">
        <f>ROUND(O1305*L1305,2)</f>
        <v>1727.88</v>
      </c>
      <c r="Q1305" s="10">
        <f>IF(N1305="HKD",7.8,IF(N1305="CNY",7.30034,1))</f>
        <v>7.3003400000000003</v>
      </c>
      <c r="R1305" s="10">
        <f>+ROUND(O1305/Q1305,4)</f>
        <v>0.43030000000000002</v>
      </c>
      <c r="S1305" s="11">
        <f>ROUND(R1305*L1305,2)</f>
        <v>236.67</v>
      </c>
      <c r="T1305" s="10" t="s">
        <v>349</v>
      </c>
      <c r="U1305" t="s">
        <v>191</v>
      </c>
    </row>
    <row r="1306" spans="1:21">
      <c r="A1306" t="s">
        <v>2023</v>
      </c>
      <c r="B1306" s="20">
        <v>45714</v>
      </c>
      <c r="C1306" s="20">
        <v>45675</v>
      </c>
      <c r="D1306" t="s">
        <v>187</v>
      </c>
      <c r="E1306" t="s">
        <v>188</v>
      </c>
      <c r="G1306" t="s">
        <v>2187</v>
      </c>
      <c r="H1306" s="15" t="s">
        <v>192</v>
      </c>
      <c r="I1306" s="15" t="s">
        <v>193</v>
      </c>
      <c r="J1306" s="8" t="str">
        <f>+LEFT(U1306,4)</f>
        <v>ALM-</v>
      </c>
      <c r="K1306" t="s">
        <v>98</v>
      </c>
      <c r="L1306" s="46">
        <v>50</v>
      </c>
      <c r="M1306" t="s">
        <v>186</v>
      </c>
      <c r="N1306" t="s">
        <v>11</v>
      </c>
      <c r="O1306" s="49">
        <v>3.6282999999999999</v>
      </c>
      <c r="P1306" s="9">
        <f>ROUND(O1306*L1306,2)</f>
        <v>181.42</v>
      </c>
      <c r="Q1306" s="10">
        <f>IF(N1306="HKD",7.8,IF(N1306="CNY",7.30034,1))</f>
        <v>7.3003400000000003</v>
      </c>
      <c r="R1306" s="10">
        <f>+ROUND(O1306/Q1306,4)</f>
        <v>0.497</v>
      </c>
      <c r="S1306" s="11">
        <f>ROUND(R1306*L1306,2)</f>
        <v>24.85</v>
      </c>
      <c r="T1306" s="10" t="s">
        <v>349</v>
      </c>
      <c r="U1306" t="s">
        <v>191</v>
      </c>
    </row>
    <row r="1307" spans="1:21">
      <c r="A1307" t="s">
        <v>2024</v>
      </c>
      <c r="B1307" s="20">
        <v>45714</v>
      </c>
      <c r="C1307" s="20">
        <v>45675</v>
      </c>
      <c r="D1307" t="s">
        <v>187</v>
      </c>
      <c r="E1307" t="s">
        <v>188</v>
      </c>
      <c r="G1307" t="s">
        <v>2187</v>
      </c>
      <c r="H1307" s="15" t="s">
        <v>1736</v>
      </c>
      <c r="I1307" s="15" t="s">
        <v>1737</v>
      </c>
      <c r="J1307" s="8" t="str">
        <f>+LEFT(U1307,4)</f>
        <v>ALM-</v>
      </c>
      <c r="K1307" t="s">
        <v>98</v>
      </c>
      <c r="L1307" s="46">
        <v>50</v>
      </c>
      <c r="M1307" t="s">
        <v>186</v>
      </c>
      <c r="N1307" t="s">
        <v>11</v>
      </c>
      <c r="O1307" s="49">
        <v>3.6282999999999999</v>
      </c>
      <c r="P1307" s="9">
        <f>ROUND(O1307*L1307,2)</f>
        <v>181.42</v>
      </c>
      <c r="Q1307" s="10">
        <f>IF(N1307="HKD",7.8,IF(N1307="CNY",7.30034,1))</f>
        <v>7.3003400000000003</v>
      </c>
      <c r="R1307" s="10">
        <f>+ROUND(O1307/Q1307,4)</f>
        <v>0.497</v>
      </c>
      <c r="S1307" s="11">
        <f>ROUND(R1307*L1307,2)</f>
        <v>24.85</v>
      </c>
      <c r="T1307" s="10" t="s">
        <v>349</v>
      </c>
      <c r="U1307" t="s">
        <v>191</v>
      </c>
    </row>
    <row r="1308" spans="1:21">
      <c r="A1308" t="s">
        <v>2025</v>
      </c>
      <c r="B1308" s="20">
        <v>45714</v>
      </c>
      <c r="C1308" s="20">
        <v>45675</v>
      </c>
      <c r="D1308" t="s">
        <v>187</v>
      </c>
      <c r="E1308" t="s">
        <v>188</v>
      </c>
      <c r="G1308" t="s">
        <v>2187</v>
      </c>
      <c r="H1308" s="15" t="s">
        <v>1200</v>
      </c>
      <c r="I1308" s="15" t="s">
        <v>1201</v>
      </c>
      <c r="J1308" s="8" t="str">
        <f>+LEFT(U1308,4)</f>
        <v>ALM-</v>
      </c>
      <c r="K1308" t="s">
        <v>98</v>
      </c>
      <c r="L1308" s="46">
        <v>80</v>
      </c>
      <c r="M1308" t="s">
        <v>186</v>
      </c>
      <c r="N1308" t="s">
        <v>11</v>
      </c>
      <c r="O1308" s="49">
        <v>3.6282999999999999</v>
      </c>
      <c r="P1308" s="9">
        <f>ROUND(O1308*L1308,2)</f>
        <v>290.26</v>
      </c>
      <c r="Q1308" s="10">
        <f>IF(N1308="HKD",7.8,IF(N1308="CNY",7.30034,1))</f>
        <v>7.3003400000000003</v>
      </c>
      <c r="R1308" s="10">
        <f>+ROUND(O1308/Q1308,4)</f>
        <v>0.497</v>
      </c>
      <c r="S1308" s="11">
        <f>ROUND(R1308*L1308,2)</f>
        <v>39.76</v>
      </c>
      <c r="T1308" s="10" t="s">
        <v>349</v>
      </c>
      <c r="U1308" t="s">
        <v>191</v>
      </c>
    </row>
    <row r="1309" spans="1:21">
      <c r="A1309" t="s">
        <v>2026</v>
      </c>
      <c r="B1309" s="20">
        <v>45714</v>
      </c>
      <c r="C1309" s="20">
        <v>45675</v>
      </c>
      <c r="D1309" t="s">
        <v>187</v>
      </c>
      <c r="E1309" t="s">
        <v>188</v>
      </c>
      <c r="G1309" t="s">
        <v>2187</v>
      </c>
      <c r="H1309" s="15" t="s">
        <v>1226</v>
      </c>
      <c r="I1309" s="15" t="s">
        <v>1227</v>
      </c>
      <c r="J1309" s="8" t="str">
        <f>+LEFT(U1309,4)</f>
        <v>ALM-</v>
      </c>
      <c r="K1309" t="s">
        <v>98</v>
      </c>
      <c r="L1309" s="46">
        <v>170</v>
      </c>
      <c r="M1309" t="s">
        <v>186</v>
      </c>
      <c r="N1309" t="s">
        <v>11</v>
      </c>
      <c r="O1309" s="49">
        <v>3.6282999999999999</v>
      </c>
      <c r="P1309" s="9">
        <f>ROUND(O1309*L1309,2)</f>
        <v>616.80999999999995</v>
      </c>
      <c r="Q1309" s="10">
        <f>IF(N1309="HKD",7.8,IF(N1309="CNY",7.30034,1))</f>
        <v>7.3003400000000003</v>
      </c>
      <c r="R1309" s="10">
        <f>+ROUND(O1309/Q1309,4)</f>
        <v>0.497</v>
      </c>
      <c r="S1309" s="11">
        <f>ROUND(R1309*L1309,2)</f>
        <v>84.49</v>
      </c>
      <c r="T1309" s="10" t="s">
        <v>349</v>
      </c>
      <c r="U1309" t="s">
        <v>191</v>
      </c>
    </row>
    <row r="1310" spans="1:21">
      <c r="A1310" t="s">
        <v>2027</v>
      </c>
      <c r="B1310" s="20">
        <v>45714</v>
      </c>
      <c r="C1310" s="20">
        <v>45698</v>
      </c>
      <c r="D1310" t="s">
        <v>187</v>
      </c>
      <c r="E1310" t="s">
        <v>188</v>
      </c>
      <c r="G1310" t="s">
        <v>2187</v>
      </c>
      <c r="H1310" s="15" t="s">
        <v>1736</v>
      </c>
      <c r="I1310" s="15" t="s">
        <v>1737</v>
      </c>
      <c r="J1310" s="8" t="str">
        <f>+LEFT(U1310,4)</f>
        <v>ALM-</v>
      </c>
      <c r="K1310" t="s">
        <v>98</v>
      </c>
      <c r="L1310" s="46">
        <v>50</v>
      </c>
      <c r="M1310" t="s">
        <v>186</v>
      </c>
      <c r="N1310" t="s">
        <v>11</v>
      </c>
      <c r="O1310" s="49">
        <v>3.6282999999999999</v>
      </c>
      <c r="P1310" s="9">
        <f>ROUND(O1310*L1310,2)</f>
        <v>181.42</v>
      </c>
      <c r="Q1310" s="10">
        <f>IF(N1310="HKD",7.8,IF(N1310="CNY",7.30034,1))</f>
        <v>7.3003400000000003</v>
      </c>
      <c r="R1310" s="10">
        <f>+ROUND(O1310/Q1310,4)</f>
        <v>0.497</v>
      </c>
      <c r="S1310" s="11">
        <f>ROUND(R1310*L1310,2)</f>
        <v>24.85</v>
      </c>
      <c r="T1310" s="10" t="s">
        <v>349</v>
      </c>
      <c r="U1310" t="s">
        <v>191</v>
      </c>
    </row>
    <row r="1311" spans="1:21">
      <c r="A1311" t="s">
        <v>2028</v>
      </c>
      <c r="B1311" s="20">
        <v>45714</v>
      </c>
      <c r="C1311" s="20">
        <v>45698</v>
      </c>
      <c r="D1311" t="s">
        <v>187</v>
      </c>
      <c r="E1311" t="s">
        <v>188</v>
      </c>
      <c r="G1311" t="s">
        <v>2187</v>
      </c>
      <c r="H1311" s="15" t="s">
        <v>1738</v>
      </c>
      <c r="I1311" s="15" t="s">
        <v>1739</v>
      </c>
      <c r="J1311" s="8" t="str">
        <f>+LEFT(U1311,4)</f>
        <v>ALM-</v>
      </c>
      <c r="K1311" t="s">
        <v>98</v>
      </c>
      <c r="L1311" s="46">
        <v>100</v>
      </c>
      <c r="M1311" t="s">
        <v>186</v>
      </c>
      <c r="N1311" t="s">
        <v>11</v>
      </c>
      <c r="O1311" s="49">
        <v>3.6282999999999999</v>
      </c>
      <c r="P1311" s="9">
        <f>ROUND(O1311*L1311,2)</f>
        <v>362.83</v>
      </c>
      <c r="Q1311" s="10">
        <f>IF(N1311="HKD",7.8,IF(N1311="CNY",7.30034,1))</f>
        <v>7.3003400000000003</v>
      </c>
      <c r="R1311" s="10">
        <f>+ROUND(O1311/Q1311,4)</f>
        <v>0.497</v>
      </c>
      <c r="S1311" s="11">
        <f>ROUND(R1311*L1311,2)</f>
        <v>49.7</v>
      </c>
      <c r="T1311" s="10" t="s">
        <v>349</v>
      </c>
      <c r="U1311" t="s">
        <v>191</v>
      </c>
    </row>
    <row r="1312" spans="1:21">
      <c r="A1312" t="s">
        <v>2029</v>
      </c>
      <c r="B1312" s="20">
        <v>45714</v>
      </c>
      <c r="C1312" s="20">
        <v>45698</v>
      </c>
      <c r="D1312" t="s">
        <v>187</v>
      </c>
      <c r="E1312" t="s">
        <v>188</v>
      </c>
      <c r="G1312" t="s">
        <v>2187</v>
      </c>
      <c r="H1312" s="15" t="s">
        <v>1740</v>
      </c>
      <c r="I1312" s="15" t="s">
        <v>1741</v>
      </c>
      <c r="J1312" s="8" t="str">
        <f>+LEFT(U1312,4)</f>
        <v>ALM-</v>
      </c>
      <c r="K1312" t="s">
        <v>98</v>
      </c>
      <c r="L1312" s="46">
        <v>150</v>
      </c>
      <c r="M1312" t="s">
        <v>186</v>
      </c>
      <c r="N1312" t="s">
        <v>11</v>
      </c>
      <c r="O1312" s="49">
        <v>3.6282999999999999</v>
      </c>
      <c r="P1312" s="9">
        <f>ROUND(O1312*L1312,2)</f>
        <v>544.25</v>
      </c>
      <c r="Q1312" s="10">
        <f>IF(N1312="HKD",7.8,IF(N1312="CNY",7.30034,1))</f>
        <v>7.3003400000000003</v>
      </c>
      <c r="R1312" s="10">
        <f>+ROUND(O1312/Q1312,4)</f>
        <v>0.497</v>
      </c>
      <c r="S1312" s="11">
        <f>ROUND(R1312*L1312,2)</f>
        <v>74.55</v>
      </c>
      <c r="T1312" s="10" t="s">
        <v>349</v>
      </c>
      <c r="U1312" t="s">
        <v>191</v>
      </c>
    </row>
    <row r="1313" spans="1:21">
      <c r="A1313" t="s">
        <v>2066</v>
      </c>
      <c r="B1313" s="20">
        <v>45714</v>
      </c>
      <c r="C1313" s="20">
        <v>45713</v>
      </c>
      <c r="D1313" t="s">
        <v>5</v>
      </c>
      <c r="E1313" t="s">
        <v>6</v>
      </c>
      <c r="G1313" t="s">
        <v>2209</v>
      </c>
      <c r="H1313" s="15" t="s">
        <v>1772</v>
      </c>
      <c r="I1313" s="15" t="s">
        <v>1773</v>
      </c>
      <c r="J1313" s="8" t="str">
        <f>+LEFT(U1313,4)</f>
        <v>BOX-</v>
      </c>
      <c r="K1313" t="s">
        <v>10</v>
      </c>
      <c r="L1313" s="46">
        <v>505</v>
      </c>
      <c r="M1313" t="s">
        <v>1472</v>
      </c>
      <c r="N1313" t="s">
        <v>11</v>
      </c>
      <c r="O1313" s="49">
        <v>5.17</v>
      </c>
      <c r="P1313" s="9">
        <f>ROUND(O1313*L1313,2)</f>
        <v>2610.85</v>
      </c>
      <c r="Q1313" s="10">
        <f>IF(N1313="HKD",7.8,IF(N1313="CNY",7.30034,1))</f>
        <v>7.3003400000000003</v>
      </c>
      <c r="R1313" s="10">
        <f>+ROUND(O1313/Q1313,4)</f>
        <v>0.70820000000000005</v>
      </c>
      <c r="S1313" s="11">
        <f>ROUND(R1313*L1313,2)</f>
        <v>357.64</v>
      </c>
      <c r="T1313" s="10" t="s">
        <v>349</v>
      </c>
      <c r="U1313" t="s">
        <v>1</v>
      </c>
    </row>
    <row r="1314" spans="1:21">
      <c r="A1314" t="s">
        <v>1912</v>
      </c>
      <c r="B1314" s="20">
        <v>45714</v>
      </c>
      <c r="C1314" s="20">
        <v>45671</v>
      </c>
      <c r="D1314" t="s">
        <v>128</v>
      </c>
      <c r="E1314" t="s">
        <v>129</v>
      </c>
      <c r="G1314" t="s">
        <v>2167</v>
      </c>
      <c r="H1314" s="15" t="s">
        <v>443</v>
      </c>
      <c r="I1314" s="15" t="s">
        <v>444</v>
      </c>
      <c r="J1314" s="8" t="str">
        <f>+LEFT(U1314,4)</f>
        <v>FG--</v>
      </c>
      <c r="K1314" t="s">
        <v>10</v>
      </c>
      <c r="L1314" s="46">
        <v>1000</v>
      </c>
      <c r="M1314" t="s">
        <v>1472</v>
      </c>
      <c r="N1314" t="s">
        <v>11</v>
      </c>
      <c r="O1314" s="49">
        <v>1.0021</v>
      </c>
      <c r="P1314" s="9">
        <f>ROUND(O1314*L1314,2)</f>
        <v>1002.1</v>
      </c>
      <c r="Q1314" s="10">
        <f>IF(N1314="HKD",7.8,IF(N1314="CNY",7.30034,1))</f>
        <v>7.3003400000000003</v>
      </c>
      <c r="R1314" s="10">
        <f>+ROUND(O1314/Q1314,4)</f>
        <v>0.13730000000000001</v>
      </c>
      <c r="S1314" s="11">
        <f>ROUND(R1314*L1314,2)</f>
        <v>137.30000000000001</v>
      </c>
      <c r="T1314" s="10" t="s">
        <v>349</v>
      </c>
      <c r="U1314" t="s">
        <v>64</v>
      </c>
    </row>
    <row r="1315" spans="1:21">
      <c r="A1315" t="s">
        <v>1913</v>
      </c>
      <c r="B1315" s="20">
        <v>45714</v>
      </c>
      <c r="C1315" s="20">
        <v>45670</v>
      </c>
      <c r="D1315" t="s">
        <v>128</v>
      </c>
      <c r="E1315" t="s">
        <v>129</v>
      </c>
      <c r="G1315" t="s">
        <v>2167</v>
      </c>
      <c r="H1315" s="15" t="s">
        <v>443</v>
      </c>
      <c r="I1315" s="15" t="s">
        <v>444</v>
      </c>
      <c r="J1315" s="8" t="str">
        <f>+LEFT(U1315,4)</f>
        <v>FG--</v>
      </c>
      <c r="K1315" t="s">
        <v>10</v>
      </c>
      <c r="L1315" s="46">
        <v>4020</v>
      </c>
      <c r="M1315" t="s">
        <v>1472</v>
      </c>
      <c r="N1315" t="s">
        <v>11</v>
      </c>
      <c r="O1315" s="49">
        <v>1.0124</v>
      </c>
      <c r="P1315" s="9">
        <f>ROUND(O1315*L1315,2)</f>
        <v>4069.85</v>
      </c>
      <c r="Q1315" s="10">
        <f>IF(N1315="HKD",7.8,IF(N1315="CNY",7.30034,1))</f>
        <v>7.3003400000000003</v>
      </c>
      <c r="R1315" s="10">
        <f>+ROUND(O1315/Q1315,4)</f>
        <v>0.13869999999999999</v>
      </c>
      <c r="S1315" s="11">
        <f>ROUND(R1315*L1315,2)</f>
        <v>557.57000000000005</v>
      </c>
      <c r="T1315" s="10" t="s">
        <v>349</v>
      </c>
      <c r="U1315" t="s">
        <v>64</v>
      </c>
    </row>
    <row r="1316" spans="1:21">
      <c r="A1316" t="s">
        <v>1968</v>
      </c>
      <c r="B1316" s="20">
        <v>45714</v>
      </c>
      <c r="C1316" s="20">
        <v>45714</v>
      </c>
      <c r="D1316" t="s">
        <v>898</v>
      </c>
      <c r="E1316" t="s">
        <v>899</v>
      </c>
      <c r="G1316" t="s">
        <v>2179</v>
      </c>
      <c r="H1316" s="15" t="s">
        <v>1688</v>
      </c>
      <c r="I1316" s="15" t="s">
        <v>1188</v>
      </c>
      <c r="J1316" s="8" t="str">
        <f>+LEFT(U1316,4)</f>
        <v>GLID</v>
      </c>
      <c r="K1316" t="s">
        <v>10</v>
      </c>
      <c r="L1316" s="46">
        <v>50</v>
      </c>
      <c r="M1316" t="s">
        <v>1472</v>
      </c>
      <c r="N1316" t="s">
        <v>11</v>
      </c>
      <c r="O1316" s="49">
        <v>2.6817000000000002</v>
      </c>
      <c r="P1316" s="9">
        <f>ROUND(O1316*L1316,2)</f>
        <v>134.09</v>
      </c>
      <c r="Q1316" s="10">
        <f>IF(N1316="HKD",7.8,IF(N1316="CNY",7.30034,1))</f>
        <v>7.3003400000000003</v>
      </c>
      <c r="R1316" s="10">
        <f>+ROUND(O1316/Q1316,4)</f>
        <v>0.36730000000000002</v>
      </c>
      <c r="S1316" s="11">
        <f>ROUND(R1316*L1316,2)</f>
        <v>18.37</v>
      </c>
      <c r="T1316" s="10" t="s">
        <v>349</v>
      </c>
      <c r="U1316" t="s">
        <v>78</v>
      </c>
    </row>
    <row r="1317" spans="1:21">
      <c r="A1317" t="s">
        <v>2012</v>
      </c>
      <c r="B1317" s="20">
        <v>45714</v>
      </c>
      <c r="C1317" s="20">
        <v>45714</v>
      </c>
      <c r="D1317" t="s">
        <v>898</v>
      </c>
      <c r="E1317" t="s">
        <v>899</v>
      </c>
      <c r="G1317" t="s">
        <v>2179</v>
      </c>
      <c r="H1317" s="15" t="s">
        <v>1726</v>
      </c>
      <c r="I1317" s="15" t="s">
        <v>1727</v>
      </c>
      <c r="J1317" s="8" t="str">
        <f>+LEFT(U1317,4)</f>
        <v>GLID</v>
      </c>
      <c r="K1317" t="s">
        <v>10</v>
      </c>
      <c r="L1317" s="46">
        <v>75</v>
      </c>
      <c r="M1317" t="s">
        <v>1472</v>
      </c>
      <c r="N1317" t="s">
        <v>11</v>
      </c>
      <c r="O1317" s="49">
        <v>3.1972</v>
      </c>
      <c r="P1317" s="9">
        <f>ROUND(O1317*L1317,2)</f>
        <v>239.79</v>
      </c>
      <c r="Q1317" s="10">
        <f>IF(N1317="HKD",7.8,IF(N1317="CNY",7.30034,1))</f>
        <v>7.3003400000000003</v>
      </c>
      <c r="R1317" s="10">
        <f>+ROUND(O1317/Q1317,4)</f>
        <v>0.438</v>
      </c>
      <c r="S1317" s="11">
        <f>ROUND(R1317*L1317,2)</f>
        <v>32.85</v>
      </c>
      <c r="T1317" s="10" t="s">
        <v>349</v>
      </c>
      <c r="U1317" t="s">
        <v>78</v>
      </c>
    </row>
    <row r="1318" spans="1:21">
      <c r="A1318" t="s">
        <v>2054</v>
      </c>
      <c r="B1318" s="20">
        <v>45714</v>
      </c>
      <c r="C1318" s="20">
        <v>45656</v>
      </c>
      <c r="D1318" t="s">
        <v>128</v>
      </c>
      <c r="E1318" t="s">
        <v>129</v>
      </c>
      <c r="G1318" t="s">
        <v>2167</v>
      </c>
      <c r="H1318" s="15" t="s">
        <v>1762</v>
      </c>
      <c r="I1318" s="15" t="s">
        <v>1763</v>
      </c>
      <c r="J1318" s="8" t="str">
        <f>+LEFT(U1318,4)</f>
        <v>HDL-</v>
      </c>
      <c r="K1318" t="s">
        <v>10</v>
      </c>
      <c r="L1318" s="46">
        <v>1050</v>
      </c>
      <c r="M1318" t="s">
        <v>1472</v>
      </c>
      <c r="N1318" t="s">
        <v>11</v>
      </c>
      <c r="O1318" s="49">
        <v>4.5491999999999999</v>
      </c>
      <c r="P1318" s="9">
        <f>ROUND(O1318*L1318,2)</f>
        <v>4776.66</v>
      </c>
      <c r="Q1318" s="10">
        <f>IF(N1318="HKD",7.8,IF(N1318="CNY",7.30034,1))</f>
        <v>7.3003400000000003</v>
      </c>
      <c r="R1318" s="10">
        <f>+ROUND(O1318/Q1318,4)</f>
        <v>0.62309999999999999</v>
      </c>
      <c r="S1318" s="11">
        <f>ROUND(R1318*L1318,2)</f>
        <v>654.26</v>
      </c>
      <c r="T1318" s="10" t="s">
        <v>349</v>
      </c>
      <c r="U1318" t="s">
        <v>228</v>
      </c>
    </row>
    <row r="1319" spans="1:21">
      <c r="A1319" t="s">
        <v>2098</v>
      </c>
      <c r="B1319" s="20">
        <v>45714</v>
      </c>
      <c r="C1319" s="20">
        <v>45713</v>
      </c>
      <c r="D1319" t="s">
        <v>2257</v>
      </c>
      <c r="E1319" t="s">
        <v>2258</v>
      </c>
      <c r="G1319" t="s">
        <v>2224</v>
      </c>
      <c r="H1319" s="15" t="s">
        <v>1798</v>
      </c>
      <c r="I1319" s="15" t="s">
        <v>1799</v>
      </c>
      <c r="J1319" s="8" t="str">
        <f>+LEFT(U1319,4)</f>
        <v>HDL-</v>
      </c>
      <c r="K1319" t="s">
        <v>10</v>
      </c>
      <c r="L1319" s="46">
        <v>2700</v>
      </c>
      <c r="M1319" t="s">
        <v>1472</v>
      </c>
      <c r="N1319" t="s">
        <v>11</v>
      </c>
      <c r="O1319" s="49">
        <v>7.4931000000000001</v>
      </c>
      <c r="P1319" s="9">
        <f>ROUND(O1319*L1319,2)</f>
        <v>20231.37</v>
      </c>
      <c r="Q1319" s="10">
        <f>IF(N1319="HKD",7.8,IF(N1319="CNY",7.30034,1))</f>
        <v>7.3003400000000003</v>
      </c>
      <c r="R1319" s="10">
        <f>+ROUND(O1319/Q1319,4)</f>
        <v>1.0264</v>
      </c>
      <c r="S1319" s="11">
        <f>ROUND(R1319*L1319,2)</f>
        <v>2771.28</v>
      </c>
      <c r="T1319" s="10" t="s">
        <v>349</v>
      </c>
      <c r="U1319" t="s">
        <v>228</v>
      </c>
    </row>
    <row r="1320" spans="1:21">
      <c r="A1320" t="s">
        <v>2099</v>
      </c>
      <c r="B1320" s="20">
        <v>45714</v>
      </c>
      <c r="C1320" s="20">
        <v>45713</v>
      </c>
      <c r="D1320" t="s">
        <v>2257</v>
      </c>
      <c r="E1320" t="s">
        <v>2258</v>
      </c>
      <c r="G1320" t="s">
        <v>2224</v>
      </c>
      <c r="H1320" s="15" t="s">
        <v>1798</v>
      </c>
      <c r="I1320" s="15" t="s">
        <v>1799</v>
      </c>
      <c r="J1320" s="8" t="str">
        <f>+LEFT(U1320,4)</f>
        <v>HDL-</v>
      </c>
      <c r="K1320" t="s">
        <v>10</v>
      </c>
      <c r="L1320" s="46">
        <v>2200</v>
      </c>
      <c r="M1320" t="s">
        <v>1472</v>
      </c>
      <c r="N1320" t="s">
        <v>11</v>
      </c>
      <c r="O1320" s="49">
        <v>7.4931000000000001</v>
      </c>
      <c r="P1320" s="9">
        <f>ROUND(O1320*L1320,2)</f>
        <v>16484.82</v>
      </c>
      <c r="Q1320" s="10">
        <f>IF(N1320="HKD",7.8,IF(N1320="CNY",7.30034,1))</f>
        <v>7.3003400000000003</v>
      </c>
      <c r="R1320" s="10">
        <f>+ROUND(O1320/Q1320,4)</f>
        <v>1.0264</v>
      </c>
      <c r="S1320" s="11">
        <f>ROUND(R1320*L1320,2)</f>
        <v>2258.08</v>
      </c>
      <c r="T1320" s="10" t="s">
        <v>349</v>
      </c>
      <c r="U1320" t="s">
        <v>228</v>
      </c>
    </row>
    <row r="1321" spans="1:21">
      <c r="A1321" t="s">
        <v>2100</v>
      </c>
      <c r="B1321" s="20">
        <v>45714</v>
      </c>
      <c r="C1321" s="20">
        <v>45713</v>
      </c>
      <c r="D1321" t="s">
        <v>2257</v>
      </c>
      <c r="E1321" t="s">
        <v>2258</v>
      </c>
      <c r="G1321" t="s">
        <v>2224</v>
      </c>
      <c r="H1321" s="15" t="s">
        <v>1800</v>
      </c>
      <c r="I1321" s="15" t="s">
        <v>1801</v>
      </c>
      <c r="J1321" s="8" t="str">
        <f>+LEFT(U1321,4)</f>
        <v>HDL-</v>
      </c>
      <c r="K1321" t="s">
        <v>10</v>
      </c>
      <c r="L1321" s="46">
        <v>200</v>
      </c>
      <c r="M1321" t="s">
        <v>1472</v>
      </c>
      <c r="N1321" t="s">
        <v>11</v>
      </c>
      <c r="O1321" s="49">
        <v>7.4931000000000001</v>
      </c>
      <c r="P1321" s="9">
        <f>ROUND(O1321*L1321,2)</f>
        <v>1498.62</v>
      </c>
      <c r="Q1321" s="10">
        <f>IF(N1321="HKD",7.8,IF(N1321="CNY",7.30034,1))</f>
        <v>7.3003400000000003</v>
      </c>
      <c r="R1321" s="10">
        <f>+ROUND(O1321/Q1321,4)</f>
        <v>1.0264</v>
      </c>
      <c r="S1321" s="11">
        <f>ROUND(R1321*L1321,2)</f>
        <v>205.28</v>
      </c>
      <c r="T1321" s="10" t="s">
        <v>349</v>
      </c>
      <c r="U1321" t="s">
        <v>228</v>
      </c>
    </row>
    <row r="1322" spans="1:21">
      <c r="A1322" t="s">
        <v>2101</v>
      </c>
      <c r="B1322" s="20">
        <v>45714</v>
      </c>
      <c r="C1322" s="20">
        <v>45713</v>
      </c>
      <c r="D1322" t="s">
        <v>2257</v>
      </c>
      <c r="E1322" t="s">
        <v>2258</v>
      </c>
      <c r="G1322" t="s">
        <v>2225</v>
      </c>
      <c r="H1322" s="15" t="s">
        <v>1800</v>
      </c>
      <c r="I1322" s="15" t="s">
        <v>1801</v>
      </c>
      <c r="J1322" s="8" t="str">
        <f>+LEFT(U1322,4)</f>
        <v>HDL-</v>
      </c>
      <c r="K1322" t="s">
        <v>10</v>
      </c>
      <c r="L1322" s="46">
        <v>3100</v>
      </c>
      <c r="M1322" t="s">
        <v>1472</v>
      </c>
      <c r="N1322" t="s">
        <v>11</v>
      </c>
      <c r="O1322" s="49">
        <v>7.4931000000000001</v>
      </c>
      <c r="P1322" s="9">
        <f>ROUND(O1322*L1322,2)</f>
        <v>23228.61</v>
      </c>
      <c r="Q1322" s="10">
        <f>IF(N1322="HKD",7.8,IF(N1322="CNY",7.30034,1))</f>
        <v>7.3003400000000003</v>
      </c>
      <c r="R1322" s="10">
        <f>+ROUND(O1322/Q1322,4)</f>
        <v>1.0264</v>
      </c>
      <c r="S1322" s="11">
        <f>ROUND(R1322*L1322,2)</f>
        <v>3181.84</v>
      </c>
      <c r="T1322" s="10" t="s">
        <v>349</v>
      </c>
      <c r="U1322" t="s">
        <v>228</v>
      </c>
    </row>
    <row r="1323" spans="1:21">
      <c r="A1323" t="s">
        <v>2102</v>
      </c>
      <c r="B1323" s="20">
        <v>45714</v>
      </c>
      <c r="C1323" s="20">
        <v>45713</v>
      </c>
      <c r="D1323" t="s">
        <v>2257</v>
      </c>
      <c r="E1323" t="s">
        <v>2258</v>
      </c>
      <c r="G1323" t="s">
        <v>2225</v>
      </c>
      <c r="H1323" s="15" t="s">
        <v>1800</v>
      </c>
      <c r="I1323" s="15" t="s">
        <v>1801</v>
      </c>
      <c r="J1323" s="8" t="str">
        <f>+LEFT(U1323,4)</f>
        <v>HDL-</v>
      </c>
      <c r="K1323" t="s">
        <v>10</v>
      </c>
      <c r="L1323" s="46">
        <v>2200</v>
      </c>
      <c r="M1323" t="s">
        <v>1472</v>
      </c>
      <c r="N1323" t="s">
        <v>11</v>
      </c>
      <c r="O1323" s="49">
        <v>7.4931000000000001</v>
      </c>
      <c r="P1323" s="9">
        <f>ROUND(O1323*L1323,2)</f>
        <v>16484.82</v>
      </c>
      <c r="Q1323" s="10">
        <f>IF(N1323="HKD",7.8,IF(N1323="CNY",7.30034,1))</f>
        <v>7.3003400000000003</v>
      </c>
      <c r="R1323" s="10">
        <f>+ROUND(O1323/Q1323,4)</f>
        <v>1.0264</v>
      </c>
      <c r="S1323" s="11">
        <f>ROUND(R1323*L1323,2)</f>
        <v>2258.08</v>
      </c>
      <c r="T1323" s="10" t="s">
        <v>349</v>
      </c>
      <c r="U1323" t="s">
        <v>228</v>
      </c>
    </row>
    <row r="1324" spans="1:21">
      <c r="A1324" t="s">
        <v>2103</v>
      </c>
      <c r="B1324" s="20">
        <v>45714</v>
      </c>
      <c r="C1324" s="20">
        <v>45713</v>
      </c>
      <c r="D1324" t="s">
        <v>2257</v>
      </c>
      <c r="E1324" t="s">
        <v>2258</v>
      </c>
      <c r="G1324" t="s">
        <v>2225</v>
      </c>
      <c r="H1324" s="15" t="s">
        <v>1802</v>
      </c>
      <c r="I1324" s="15" t="s">
        <v>1803</v>
      </c>
      <c r="J1324" s="8" t="str">
        <f>+LEFT(U1324,4)</f>
        <v>HDL-</v>
      </c>
      <c r="K1324" t="s">
        <v>10</v>
      </c>
      <c r="L1324" s="46">
        <v>2600</v>
      </c>
      <c r="M1324" t="s">
        <v>1472</v>
      </c>
      <c r="N1324" t="s">
        <v>11</v>
      </c>
      <c r="O1324" s="49">
        <v>7.4931000000000001</v>
      </c>
      <c r="P1324" s="9">
        <f>ROUND(O1324*L1324,2)</f>
        <v>19482.060000000001</v>
      </c>
      <c r="Q1324" s="10">
        <f>IF(N1324="HKD",7.8,IF(N1324="CNY",7.30034,1))</f>
        <v>7.3003400000000003</v>
      </c>
      <c r="R1324" s="10">
        <f>+ROUND(O1324/Q1324,4)</f>
        <v>1.0264</v>
      </c>
      <c r="S1324" s="11">
        <f>ROUND(R1324*L1324,2)</f>
        <v>2668.64</v>
      </c>
      <c r="T1324" s="10" t="s">
        <v>349</v>
      </c>
      <c r="U1324" t="s">
        <v>228</v>
      </c>
    </row>
    <row r="1325" spans="1:21">
      <c r="A1325" t="s">
        <v>2104</v>
      </c>
      <c r="B1325" s="20">
        <v>45714</v>
      </c>
      <c r="C1325" s="20">
        <v>45713</v>
      </c>
      <c r="D1325" t="s">
        <v>2257</v>
      </c>
      <c r="E1325" t="s">
        <v>2258</v>
      </c>
      <c r="G1325" t="s">
        <v>2225</v>
      </c>
      <c r="H1325" s="15" t="s">
        <v>1802</v>
      </c>
      <c r="I1325" s="15" t="s">
        <v>1803</v>
      </c>
      <c r="J1325" s="8" t="str">
        <f>+LEFT(U1325,4)</f>
        <v>HDL-</v>
      </c>
      <c r="K1325" t="s">
        <v>10</v>
      </c>
      <c r="L1325" s="46">
        <v>2600</v>
      </c>
      <c r="M1325" t="s">
        <v>1472</v>
      </c>
      <c r="N1325" t="s">
        <v>11</v>
      </c>
      <c r="O1325" s="49">
        <v>7.4931000000000001</v>
      </c>
      <c r="P1325" s="9">
        <f>ROUND(O1325*L1325,2)</f>
        <v>19482.060000000001</v>
      </c>
      <c r="Q1325" s="10">
        <f>IF(N1325="HKD",7.8,IF(N1325="CNY",7.30034,1))</f>
        <v>7.3003400000000003</v>
      </c>
      <c r="R1325" s="10">
        <f>+ROUND(O1325/Q1325,4)</f>
        <v>1.0264</v>
      </c>
      <c r="S1325" s="11">
        <f>ROUND(R1325*L1325,2)</f>
        <v>2668.64</v>
      </c>
      <c r="T1325" s="10" t="s">
        <v>349</v>
      </c>
      <c r="U1325" t="s">
        <v>228</v>
      </c>
    </row>
    <row r="1326" spans="1:21">
      <c r="A1326" t="s">
        <v>2105</v>
      </c>
      <c r="B1326" s="20">
        <v>45714</v>
      </c>
      <c r="C1326" s="20">
        <v>45713</v>
      </c>
      <c r="D1326" t="s">
        <v>2257</v>
      </c>
      <c r="E1326" t="s">
        <v>2258</v>
      </c>
      <c r="G1326" t="s">
        <v>2225</v>
      </c>
      <c r="H1326" s="15" t="s">
        <v>1802</v>
      </c>
      <c r="I1326" s="15" t="s">
        <v>1803</v>
      </c>
      <c r="J1326" s="8" t="str">
        <f>+LEFT(U1326,4)</f>
        <v>HDL-</v>
      </c>
      <c r="K1326" t="s">
        <v>10</v>
      </c>
      <c r="L1326" s="46">
        <v>1400</v>
      </c>
      <c r="M1326" t="s">
        <v>1472</v>
      </c>
      <c r="N1326" t="s">
        <v>11</v>
      </c>
      <c r="O1326" s="49">
        <v>7.4931000000000001</v>
      </c>
      <c r="P1326" s="9">
        <f>ROUND(O1326*L1326,2)</f>
        <v>10490.34</v>
      </c>
      <c r="Q1326" s="10">
        <f>IF(N1326="HKD",7.8,IF(N1326="CNY",7.30034,1))</f>
        <v>7.3003400000000003</v>
      </c>
      <c r="R1326" s="10">
        <f>+ROUND(O1326/Q1326,4)</f>
        <v>1.0264</v>
      </c>
      <c r="S1326" s="11">
        <f>ROUND(R1326*L1326,2)</f>
        <v>1436.96</v>
      </c>
      <c r="T1326" s="10" t="s">
        <v>349</v>
      </c>
      <c r="U1326" t="s">
        <v>228</v>
      </c>
    </row>
    <row r="1327" spans="1:21">
      <c r="A1327" t="s">
        <v>2040</v>
      </c>
      <c r="B1327" s="20">
        <v>45714</v>
      </c>
      <c r="C1327" s="20">
        <v>45636</v>
      </c>
      <c r="D1327" t="s">
        <v>94</v>
      </c>
      <c r="E1327" t="s">
        <v>95</v>
      </c>
      <c r="G1327" t="s">
        <v>2203</v>
      </c>
      <c r="H1327" s="15" t="s">
        <v>1750</v>
      </c>
      <c r="I1327" s="15" t="s">
        <v>1751</v>
      </c>
      <c r="J1327" s="8" t="str">
        <f>+LEFT(U1327,4)</f>
        <v>LID-</v>
      </c>
      <c r="K1327" t="s">
        <v>369</v>
      </c>
      <c r="L1327" s="46">
        <v>640</v>
      </c>
      <c r="M1327" t="s">
        <v>1472</v>
      </c>
      <c r="N1327" t="s">
        <v>11</v>
      </c>
      <c r="O1327" s="49">
        <v>3.92</v>
      </c>
      <c r="P1327" s="9">
        <f>ROUND(O1327*L1327,2)</f>
        <v>2508.8000000000002</v>
      </c>
      <c r="Q1327" s="10">
        <f>IF(N1327="HKD",7.8,IF(N1327="CNY",7.30034,1))</f>
        <v>7.3003400000000003</v>
      </c>
      <c r="R1327" s="10">
        <f>+ROUND(O1327/Q1327,4)</f>
        <v>0.53700000000000003</v>
      </c>
      <c r="S1327" s="11">
        <f>ROUND(R1327*L1327,2)</f>
        <v>343.68</v>
      </c>
      <c r="T1327" s="10" t="s">
        <v>349</v>
      </c>
      <c r="U1327" t="s">
        <v>368</v>
      </c>
    </row>
    <row r="1328" spans="1:21">
      <c r="A1328" t="s">
        <v>2042</v>
      </c>
      <c r="B1328" s="20">
        <v>45714</v>
      </c>
      <c r="C1328" s="20">
        <v>45576</v>
      </c>
      <c r="D1328" t="s">
        <v>94</v>
      </c>
      <c r="E1328" t="s">
        <v>95</v>
      </c>
      <c r="G1328" t="s">
        <v>2203</v>
      </c>
      <c r="H1328" s="15" t="s">
        <v>1752</v>
      </c>
      <c r="I1328" s="15" t="s">
        <v>1753</v>
      </c>
      <c r="J1328" s="8" t="str">
        <f>+LEFT(U1328,4)</f>
        <v>LID-</v>
      </c>
      <c r="K1328" t="s">
        <v>98</v>
      </c>
      <c r="L1328" s="46">
        <v>427</v>
      </c>
      <c r="M1328" t="s">
        <v>1472</v>
      </c>
      <c r="N1328" t="s">
        <v>11</v>
      </c>
      <c r="O1328" s="49">
        <v>4</v>
      </c>
      <c r="P1328" s="9">
        <f>ROUND(O1328*L1328,2)</f>
        <v>1708</v>
      </c>
      <c r="Q1328" s="10">
        <f>IF(N1328="HKD",7.8,IF(N1328="CNY",7.30034,1))</f>
        <v>7.3003400000000003</v>
      </c>
      <c r="R1328" s="10">
        <f>+ROUND(O1328/Q1328,4)</f>
        <v>0.54790000000000005</v>
      </c>
      <c r="S1328" s="11">
        <f>ROUND(R1328*L1328,2)</f>
        <v>233.95</v>
      </c>
      <c r="T1328" s="10" t="s">
        <v>349</v>
      </c>
      <c r="U1328" t="s">
        <v>368</v>
      </c>
    </row>
    <row r="1329" spans="1:21">
      <c r="A1329" t="s">
        <v>2116</v>
      </c>
      <c r="B1329" s="20">
        <v>45713</v>
      </c>
      <c r="C1329" s="20">
        <v>45709</v>
      </c>
      <c r="D1329" t="s">
        <v>5</v>
      </c>
      <c r="E1329" t="s">
        <v>6</v>
      </c>
      <c r="G1329" t="s">
        <v>2232</v>
      </c>
      <c r="H1329" s="15" t="s">
        <v>1812</v>
      </c>
      <c r="I1329" s="15" t="s">
        <v>1813</v>
      </c>
      <c r="J1329" s="8" t="str">
        <f>+LEFT(U1329,4)</f>
        <v>BOX-</v>
      </c>
      <c r="K1329" t="s">
        <v>10</v>
      </c>
      <c r="L1329" s="46">
        <v>505</v>
      </c>
      <c r="M1329" t="s">
        <v>1472</v>
      </c>
      <c r="N1329" t="s">
        <v>11</v>
      </c>
      <c r="O1329" s="49">
        <v>12.21</v>
      </c>
      <c r="P1329" s="9">
        <f>ROUND(O1329*L1329,2)</f>
        <v>6166.05</v>
      </c>
      <c r="Q1329" s="10">
        <f>IF(N1329="HKD",7.8,IF(N1329="CNY",7.30034,1))</f>
        <v>7.3003400000000003</v>
      </c>
      <c r="R1329" s="10">
        <f>+ROUND(O1329/Q1329,4)</f>
        <v>1.6725000000000001</v>
      </c>
      <c r="S1329" s="11">
        <f>ROUND(R1329*L1329,2)</f>
        <v>844.61</v>
      </c>
      <c r="T1329" s="10" t="s">
        <v>349</v>
      </c>
      <c r="U1329" t="s">
        <v>1</v>
      </c>
    </row>
    <row r="1330" spans="1:21">
      <c r="A1330" t="s">
        <v>1969</v>
      </c>
      <c r="B1330" s="20">
        <v>45713</v>
      </c>
      <c r="C1330" s="20">
        <v>45664</v>
      </c>
      <c r="D1330" t="s">
        <v>149</v>
      </c>
      <c r="E1330" t="s">
        <v>150</v>
      </c>
      <c r="G1330" t="s">
        <v>2181</v>
      </c>
      <c r="H1330" s="15" t="s">
        <v>1689</v>
      </c>
      <c r="I1330" s="15" t="s">
        <v>1690</v>
      </c>
      <c r="J1330" s="8" t="str">
        <f>+LEFT(U1330,4)</f>
        <v>GLID</v>
      </c>
      <c r="K1330" t="s">
        <v>10</v>
      </c>
      <c r="L1330" s="46">
        <v>1200</v>
      </c>
      <c r="M1330" t="s">
        <v>1472</v>
      </c>
      <c r="N1330" t="s">
        <v>11</v>
      </c>
      <c r="O1330" s="49">
        <v>2.7103999999999999</v>
      </c>
      <c r="P1330" s="9">
        <f>ROUND(O1330*L1330,2)</f>
        <v>3252.48</v>
      </c>
      <c r="Q1330" s="10">
        <f>IF(N1330="HKD",7.8,IF(N1330="CNY",7.30034,1))</f>
        <v>7.3003400000000003</v>
      </c>
      <c r="R1330" s="10">
        <f>+ROUND(O1330/Q1330,4)</f>
        <v>0.37130000000000002</v>
      </c>
      <c r="S1330" s="11">
        <f>ROUND(R1330*L1330,2)</f>
        <v>445.56</v>
      </c>
      <c r="T1330" s="10" t="s">
        <v>349</v>
      </c>
      <c r="U1330" t="s">
        <v>78</v>
      </c>
    </row>
    <row r="1331" spans="1:21">
      <c r="A1331" t="s">
        <v>1970</v>
      </c>
      <c r="B1331" s="20">
        <v>45713</v>
      </c>
      <c r="C1331" s="20">
        <v>45698</v>
      </c>
      <c r="D1331" t="s">
        <v>149</v>
      </c>
      <c r="E1331" t="s">
        <v>150</v>
      </c>
      <c r="G1331" t="s">
        <v>2181</v>
      </c>
      <c r="H1331" s="15" t="s">
        <v>786</v>
      </c>
      <c r="I1331" s="15" t="s">
        <v>787</v>
      </c>
      <c r="J1331" s="8" t="str">
        <f>+LEFT(U1331,4)</f>
        <v>GLID</v>
      </c>
      <c r="K1331" t="s">
        <v>10</v>
      </c>
      <c r="L1331" s="46">
        <v>1530</v>
      </c>
      <c r="M1331" t="s">
        <v>1472</v>
      </c>
      <c r="N1331" t="s">
        <v>11</v>
      </c>
      <c r="O1331" s="49">
        <v>2.7494000000000001</v>
      </c>
      <c r="P1331" s="9">
        <f>ROUND(O1331*L1331,2)</f>
        <v>4206.58</v>
      </c>
      <c r="Q1331" s="10">
        <f>IF(N1331="HKD",7.8,IF(N1331="CNY",7.30034,1))</f>
        <v>7.3003400000000003</v>
      </c>
      <c r="R1331" s="10">
        <f>+ROUND(O1331/Q1331,4)</f>
        <v>0.37659999999999999</v>
      </c>
      <c r="S1331" s="11">
        <f>ROUND(R1331*L1331,2)</f>
        <v>576.20000000000005</v>
      </c>
      <c r="T1331" s="10" t="s">
        <v>349</v>
      </c>
      <c r="U1331" t="s">
        <v>78</v>
      </c>
    </row>
    <row r="1332" spans="1:21">
      <c r="A1332" t="s">
        <v>1975</v>
      </c>
      <c r="B1332" s="20">
        <v>45713</v>
      </c>
      <c r="C1332" s="20">
        <v>45700</v>
      </c>
      <c r="D1332" t="s">
        <v>149</v>
      </c>
      <c r="E1332" t="s">
        <v>150</v>
      </c>
      <c r="G1332" t="s">
        <v>2181</v>
      </c>
      <c r="H1332" s="15" t="s">
        <v>1695</v>
      </c>
      <c r="I1332" s="15" t="s">
        <v>1696</v>
      </c>
      <c r="J1332" s="8" t="str">
        <f>+LEFT(U1332,4)</f>
        <v>GLID</v>
      </c>
      <c r="K1332" t="s">
        <v>10</v>
      </c>
      <c r="L1332" s="46">
        <v>450</v>
      </c>
      <c r="M1332" t="s">
        <v>1472</v>
      </c>
      <c r="N1332" t="s">
        <v>11</v>
      </c>
      <c r="O1332" s="49">
        <v>2.9073000000000002</v>
      </c>
      <c r="P1332" s="9">
        <f>ROUND(O1332*L1332,2)</f>
        <v>1308.29</v>
      </c>
      <c r="Q1332" s="10">
        <f>IF(N1332="HKD",7.8,IF(N1332="CNY",7.30034,1))</f>
        <v>7.3003400000000003</v>
      </c>
      <c r="R1332" s="10">
        <f>+ROUND(O1332/Q1332,4)</f>
        <v>0.3982</v>
      </c>
      <c r="S1332" s="11">
        <f>ROUND(R1332*L1332,2)</f>
        <v>179.19</v>
      </c>
      <c r="T1332" s="10" t="s">
        <v>349</v>
      </c>
      <c r="U1332" t="s">
        <v>78</v>
      </c>
    </row>
    <row r="1333" spans="1:21">
      <c r="A1333" t="s">
        <v>1985</v>
      </c>
      <c r="B1333" s="20">
        <v>45713</v>
      </c>
      <c r="C1333" s="20">
        <v>45664</v>
      </c>
      <c r="D1333" t="s">
        <v>149</v>
      </c>
      <c r="E1333" t="s">
        <v>150</v>
      </c>
      <c r="G1333" t="s">
        <v>2181</v>
      </c>
      <c r="H1333" s="15" t="s">
        <v>1709</v>
      </c>
      <c r="I1333" s="15" t="s">
        <v>1710</v>
      </c>
      <c r="J1333" s="8" t="str">
        <f>+LEFT(U1333,4)</f>
        <v>GLID</v>
      </c>
      <c r="K1333" t="s">
        <v>10</v>
      </c>
      <c r="L1333" s="46">
        <v>520</v>
      </c>
      <c r="M1333" t="s">
        <v>1472</v>
      </c>
      <c r="N1333" t="s">
        <v>11</v>
      </c>
      <c r="O1333" s="49">
        <v>3.0331000000000001</v>
      </c>
      <c r="P1333" s="9">
        <f>ROUND(O1333*L1333,2)</f>
        <v>1577.21</v>
      </c>
      <c r="Q1333" s="10">
        <f>IF(N1333="HKD",7.8,IF(N1333="CNY",7.30034,1))</f>
        <v>7.3003400000000003</v>
      </c>
      <c r="R1333" s="10">
        <f>+ROUND(O1333/Q1333,4)</f>
        <v>0.41549999999999998</v>
      </c>
      <c r="S1333" s="11">
        <f>ROUND(R1333*L1333,2)</f>
        <v>216.06</v>
      </c>
      <c r="T1333" s="10" t="s">
        <v>349</v>
      </c>
      <c r="U1333" t="s">
        <v>78</v>
      </c>
    </row>
    <row r="1334" spans="1:21">
      <c r="A1334" t="s">
        <v>2035</v>
      </c>
      <c r="B1334" s="20">
        <v>45713</v>
      </c>
      <c r="C1334" s="20">
        <v>45674</v>
      </c>
      <c r="D1334" t="s">
        <v>149</v>
      </c>
      <c r="E1334" t="s">
        <v>150</v>
      </c>
      <c r="G1334" t="s">
        <v>2181</v>
      </c>
      <c r="H1334" s="15" t="s">
        <v>1746</v>
      </c>
      <c r="I1334" s="15" t="s">
        <v>1747</v>
      </c>
      <c r="J1334" s="8" t="str">
        <f>+LEFT(U1334,4)</f>
        <v>GLID</v>
      </c>
      <c r="K1334" t="s">
        <v>10</v>
      </c>
      <c r="L1334" s="46">
        <v>510</v>
      </c>
      <c r="M1334" t="s">
        <v>1472</v>
      </c>
      <c r="N1334" t="s">
        <v>11</v>
      </c>
      <c r="O1334" s="49">
        <v>3.8246000000000002</v>
      </c>
      <c r="P1334" s="9">
        <f>ROUND(O1334*L1334,2)</f>
        <v>1950.55</v>
      </c>
      <c r="Q1334" s="10">
        <f>IF(N1334="HKD",7.8,IF(N1334="CNY",7.30034,1))</f>
        <v>7.3003400000000003</v>
      </c>
      <c r="R1334" s="10">
        <f>+ROUND(O1334/Q1334,4)</f>
        <v>0.52390000000000003</v>
      </c>
      <c r="S1334" s="11">
        <f>ROUND(R1334*L1334,2)</f>
        <v>267.19</v>
      </c>
      <c r="T1334" s="10" t="s">
        <v>349</v>
      </c>
      <c r="U1334" t="s">
        <v>78</v>
      </c>
    </row>
    <row r="1335" spans="1:21">
      <c r="A1335" t="s">
        <v>2087</v>
      </c>
      <c r="B1335" s="20">
        <v>45713</v>
      </c>
      <c r="C1335" s="20">
        <v>45609</v>
      </c>
      <c r="D1335" t="s">
        <v>149</v>
      </c>
      <c r="E1335" t="s">
        <v>150</v>
      </c>
      <c r="G1335" t="s">
        <v>2181</v>
      </c>
      <c r="H1335" s="15" t="s">
        <v>1786</v>
      </c>
      <c r="I1335" s="15" t="s">
        <v>1787</v>
      </c>
      <c r="J1335" s="8" t="str">
        <f>+LEFT(U1335,4)</f>
        <v>GLID</v>
      </c>
      <c r="K1335" t="s">
        <v>10</v>
      </c>
      <c r="L1335" s="46">
        <v>74</v>
      </c>
      <c r="M1335" t="s">
        <v>1472</v>
      </c>
      <c r="N1335" t="s">
        <v>11</v>
      </c>
      <c r="O1335" s="49">
        <v>6.65</v>
      </c>
      <c r="P1335" s="9">
        <f>ROUND(O1335*L1335,2)</f>
        <v>492.1</v>
      </c>
      <c r="Q1335" s="10">
        <f>IF(N1335="HKD",7.8,IF(N1335="CNY",7.30034,1))</f>
        <v>7.3003400000000003</v>
      </c>
      <c r="R1335" s="10">
        <f>+ROUND(O1335/Q1335,4)</f>
        <v>0.91090000000000004</v>
      </c>
      <c r="S1335" s="11">
        <f>ROUND(R1335*L1335,2)</f>
        <v>67.41</v>
      </c>
      <c r="T1335" s="10" t="s">
        <v>349</v>
      </c>
      <c r="U1335" t="s">
        <v>78</v>
      </c>
    </row>
    <row r="1336" spans="1:21">
      <c r="A1336" t="s">
        <v>1916</v>
      </c>
      <c r="B1336" s="20">
        <v>45713</v>
      </c>
      <c r="C1336" s="20">
        <v>45695</v>
      </c>
      <c r="D1336" t="s">
        <v>709</v>
      </c>
      <c r="E1336" t="s">
        <v>710</v>
      </c>
      <c r="G1336" t="s">
        <v>2159</v>
      </c>
      <c r="H1336" s="15" t="s">
        <v>1649</v>
      </c>
      <c r="I1336" s="15" t="s">
        <v>1650</v>
      </c>
      <c r="J1336" s="8" t="str">
        <f>+LEFT(U1336,4)</f>
        <v>HDL-</v>
      </c>
      <c r="K1336" t="s">
        <v>10</v>
      </c>
      <c r="L1336" s="46">
        <v>3050</v>
      </c>
      <c r="M1336" t="s">
        <v>1472</v>
      </c>
      <c r="N1336" t="s">
        <v>11</v>
      </c>
      <c r="O1336" s="49">
        <v>1.1255999999999999</v>
      </c>
      <c r="P1336" s="9">
        <f>ROUND(O1336*L1336,2)</f>
        <v>3433.08</v>
      </c>
      <c r="Q1336" s="10">
        <f>IF(N1336="HKD",7.8,IF(N1336="CNY",7.30034,1))</f>
        <v>7.3003400000000003</v>
      </c>
      <c r="R1336" s="10">
        <f>+ROUND(O1336/Q1336,4)</f>
        <v>0.1542</v>
      </c>
      <c r="S1336" s="11">
        <f>ROUND(R1336*L1336,2)</f>
        <v>470.31</v>
      </c>
      <c r="T1336" s="10" t="s">
        <v>349</v>
      </c>
      <c r="U1336" t="s">
        <v>228</v>
      </c>
    </row>
    <row r="1337" spans="1:21">
      <c r="A1337" t="s">
        <v>1919</v>
      </c>
      <c r="B1337" s="20">
        <v>45713</v>
      </c>
      <c r="C1337" s="20">
        <v>45695</v>
      </c>
      <c r="D1337" t="s">
        <v>709</v>
      </c>
      <c r="E1337" t="s">
        <v>710</v>
      </c>
      <c r="G1337" t="s">
        <v>2159</v>
      </c>
      <c r="H1337" s="15" t="s">
        <v>1653</v>
      </c>
      <c r="I1337" s="15" t="s">
        <v>1654</v>
      </c>
      <c r="J1337" s="8" t="str">
        <f>+LEFT(U1337,4)</f>
        <v>HDL-</v>
      </c>
      <c r="K1337" t="s">
        <v>10</v>
      </c>
      <c r="L1337" s="46">
        <v>3000</v>
      </c>
      <c r="M1337" t="s">
        <v>1472</v>
      </c>
      <c r="N1337" t="s">
        <v>11</v>
      </c>
      <c r="O1337" s="49">
        <v>1.278</v>
      </c>
      <c r="P1337" s="9">
        <f>ROUND(O1337*L1337,2)</f>
        <v>3834</v>
      </c>
      <c r="Q1337" s="10">
        <f>IF(N1337="HKD",7.8,IF(N1337="CNY",7.30034,1))</f>
        <v>7.3003400000000003</v>
      </c>
      <c r="R1337" s="10">
        <f>+ROUND(O1337/Q1337,4)</f>
        <v>0.17510000000000001</v>
      </c>
      <c r="S1337" s="11">
        <f>ROUND(R1337*L1337,2)</f>
        <v>525.29999999999995</v>
      </c>
      <c r="T1337" s="10" t="s">
        <v>349</v>
      </c>
      <c r="U1337" t="s">
        <v>228</v>
      </c>
    </row>
    <row r="1338" spans="1:21">
      <c r="A1338" t="s">
        <v>1930</v>
      </c>
      <c r="B1338" s="20">
        <v>45713</v>
      </c>
      <c r="C1338" s="20">
        <v>45670</v>
      </c>
      <c r="D1338" t="s">
        <v>709</v>
      </c>
      <c r="E1338" t="s">
        <v>710</v>
      </c>
      <c r="G1338" t="s">
        <v>2159</v>
      </c>
      <c r="H1338" s="15" t="s">
        <v>729</v>
      </c>
      <c r="I1338" s="15" t="s">
        <v>730</v>
      </c>
      <c r="J1338" s="8" t="str">
        <f>+LEFT(U1338,4)</f>
        <v>HDL-</v>
      </c>
      <c r="K1338" t="s">
        <v>10</v>
      </c>
      <c r="L1338" s="46">
        <v>6100</v>
      </c>
      <c r="M1338" t="s">
        <v>1472</v>
      </c>
      <c r="N1338" t="s">
        <v>11</v>
      </c>
      <c r="O1338" s="49">
        <v>1.5156000000000001</v>
      </c>
      <c r="P1338" s="9">
        <f>ROUND(O1338*L1338,2)</f>
        <v>9245.16</v>
      </c>
      <c r="Q1338" s="10">
        <f>IF(N1338="HKD",7.8,IF(N1338="CNY",7.30034,1))</f>
        <v>7.3003400000000003</v>
      </c>
      <c r="R1338" s="10">
        <f>+ROUND(O1338/Q1338,4)</f>
        <v>0.20760000000000001</v>
      </c>
      <c r="S1338" s="11">
        <f>ROUND(R1338*L1338,2)</f>
        <v>1266.3599999999999</v>
      </c>
      <c r="T1338" s="10" t="s">
        <v>349</v>
      </c>
      <c r="U1338" t="s">
        <v>228</v>
      </c>
    </row>
    <row r="1339" spans="1:21">
      <c r="A1339" t="s">
        <v>1931</v>
      </c>
      <c r="B1339" s="20">
        <v>45713</v>
      </c>
      <c r="C1339" s="20">
        <v>45671</v>
      </c>
      <c r="D1339" t="s">
        <v>709</v>
      </c>
      <c r="E1339" t="s">
        <v>710</v>
      </c>
      <c r="G1339" t="s">
        <v>2159</v>
      </c>
      <c r="H1339" s="15" t="s">
        <v>729</v>
      </c>
      <c r="I1339" s="15" t="s">
        <v>730</v>
      </c>
      <c r="J1339" s="8" t="str">
        <f>+LEFT(U1339,4)</f>
        <v>HDL-</v>
      </c>
      <c r="K1339" t="s">
        <v>10</v>
      </c>
      <c r="L1339" s="46">
        <v>8200</v>
      </c>
      <c r="M1339" t="s">
        <v>1472</v>
      </c>
      <c r="N1339" t="s">
        <v>11</v>
      </c>
      <c r="O1339" s="49">
        <v>1.5156000000000001</v>
      </c>
      <c r="P1339" s="9">
        <f>ROUND(O1339*L1339,2)</f>
        <v>12427.92</v>
      </c>
      <c r="Q1339" s="10">
        <f>IF(N1339="HKD",7.8,IF(N1339="CNY",7.30034,1))</f>
        <v>7.3003400000000003</v>
      </c>
      <c r="R1339" s="10">
        <f>+ROUND(O1339/Q1339,4)</f>
        <v>0.20760000000000001</v>
      </c>
      <c r="S1339" s="11">
        <f>ROUND(R1339*L1339,2)</f>
        <v>1702.32</v>
      </c>
      <c r="T1339" s="10" t="s">
        <v>349</v>
      </c>
      <c r="U1339" t="s">
        <v>228</v>
      </c>
    </row>
    <row r="1340" spans="1:21">
      <c r="A1340" t="s">
        <v>1934</v>
      </c>
      <c r="B1340" s="20">
        <v>45713</v>
      </c>
      <c r="C1340" s="20">
        <v>45695</v>
      </c>
      <c r="D1340" t="s">
        <v>709</v>
      </c>
      <c r="E1340" t="s">
        <v>710</v>
      </c>
      <c r="G1340" t="s">
        <v>2159</v>
      </c>
      <c r="H1340" s="15" t="s">
        <v>729</v>
      </c>
      <c r="I1340" s="15" t="s">
        <v>730</v>
      </c>
      <c r="J1340" s="8" t="str">
        <f>+LEFT(U1340,4)</f>
        <v>HDL-</v>
      </c>
      <c r="K1340" t="s">
        <v>10</v>
      </c>
      <c r="L1340" s="46">
        <v>2000</v>
      </c>
      <c r="M1340" t="s">
        <v>1472</v>
      </c>
      <c r="N1340" t="s">
        <v>11</v>
      </c>
      <c r="O1340" s="49">
        <v>1.5313000000000001</v>
      </c>
      <c r="P1340" s="9">
        <f>ROUND(O1340*L1340,2)</f>
        <v>3062.6</v>
      </c>
      <c r="Q1340" s="10">
        <f>IF(N1340="HKD",7.8,IF(N1340="CNY",7.30034,1))</f>
        <v>7.3003400000000003</v>
      </c>
      <c r="R1340" s="10">
        <f>+ROUND(O1340/Q1340,4)</f>
        <v>0.20979999999999999</v>
      </c>
      <c r="S1340" s="11">
        <f>ROUND(R1340*L1340,2)</f>
        <v>419.6</v>
      </c>
      <c r="T1340" s="10" t="s">
        <v>349</v>
      </c>
      <c r="U1340" t="s">
        <v>228</v>
      </c>
    </row>
    <row r="1341" spans="1:21">
      <c r="A1341" t="s">
        <v>1935</v>
      </c>
      <c r="B1341" s="20">
        <v>45713</v>
      </c>
      <c r="C1341" s="20">
        <v>45698</v>
      </c>
      <c r="D1341" t="s">
        <v>709</v>
      </c>
      <c r="E1341" t="s">
        <v>710</v>
      </c>
      <c r="G1341" t="s">
        <v>2159</v>
      </c>
      <c r="H1341" s="15" t="s">
        <v>729</v>
      </c>
      <c r="I1341" s="15" t="s">
        <v>730</v>
      </c>
      <c r="J1341" s="8" t="str">
        <f>+LEFT(U1341,4)</f>
        <v>HDL-</v>
      </c>
      <c r="K1341" t="s">
        <v>10</v>
      </c>
      <c r="L1341" s="46">
        <v>2010</v>
      </c>
      <c r="M1341" t="s">
        <v>1472</v>
      </c>
      <c r="N1341" t="s">
        <v>11</v>
      </c>
      <c r="O1341" s="49">
        <v>1.5313000000000001</v>
      </c>
      <c r="P1341" s="9">
        <f>ROUND(O1341*L1341,2)</f>
        <v>3077.91</v>
      </c>
      <c r="Q1341" s="10">
        <f>IF(N1341="HKD",7.8,IF(N1341="CNY",7.30034,1))</f>
        <v>7.3003400000000003</v>
      </c>
      <c r="R1341" s="10">
        <f>+ROUND(O1341/Q1341,4)</f>
        <v>0.20979999999999999</v>
      </c>
      <c r="S1341" s="11">
        <f>ROUND(R1341*L1341,2)</f>
        <v>421.7</v>
      </c>
      <c r="T1341" s="10" t="s">
        <v>349</v>
      </c>
      <c r="U1341" t="s">
        <v>228</v>
      </c>
    </row>
    <row r="1342" spans="1:21">
      <c r="A1342" t="s">
        <v>1945</v>
      </c>
      <c r="B1342" s="20">
        <v>45713</v>
      </c>
      <c r="C1342" s="20">
        <v>45671</v>
      </c>
      <c r="D1342" t="s">
        <v>709</v>
      </c>
      <c r="E1342" t="s">
        <v>710</v>
      </c>
      <c r="G1342" t="s">
        <v>2166</v>
      </c>
      <c r="H1342" s="15" t="s">
        <v>732</v>
      </c>
      <c r="I1342" s="15" t="s">
        <v>733</v>
      </c>
      <c r="J1342" s="8" t="str">
        <f>+LEFT(U1342,4)</f>
        <v>HDL-</v>
      </c>
      <c r="K1342" t="s">
        <v>10</v>
      </c>
      <c r="L1342" s="46">
        <v>6300</v>
      </c>
      <c r="M1342" t="s">
        <v>1472</v>
      </c>
      <c r="N1342" t="s">
        <v>11</v>
      </c>
      <c r="O1342" s="49">
        <v>1.849</v>
      </c>
      <c r="P1342" s="9">
        <f>ROUND(O1342*L1342,2)</f>
        <v>11648.7</v>
      </c>
      <c r="Q1342" s="10">
        <f>IF(N1342="HKD",7.8,IF(N1342="CNY",7.30034,1))</f>
        <v>7.3003400000000003</v>
      </c>
      <c r="R1342" s="10">
        <f>+ROUND(O1342/Q1342,4)</f>
        <v>0.25330000000000003</v>
      </c>
      <c r="S1342" s="11">
        <f>ROUND(R1342*L1342,2)</f>
        <v>1595.79</v>
      </c>
      <c r="T1342" s="10" t="s">
        <v>349</v>
      </c>
      <c r="U1342" t="s">
        <v>228</v>
      </c>
    </row>
    <row r="1343" spans="1:21">
      <c r="A1343" t="s">
        <v>1947</v>
      </c>
      <c r="B1343" s="20">
        <v>45713</v>
      </c>
      <c r="C1343" s="20">
        <v>45695</v>
      </c>
      <c r="D1343" t="s">
        <v>709</v>
      </c>
      <c r="E1343" t="s">
        <v>710</v>
      </c>
      <c r="G1343" t="s">
        <v>2166</v>
      </c>
      <c r="H1343" s="15" t="s">
        <v>732</v>
      </c>
      <c r="I1343" s="15" t="s">
        <v>733</v>
      </c>
      <c r="J1343" s="8" t="str">
        <f>+LEFT(U1343,4)</f>
        <v>HDL-</v>
      </c>
      <c r="K1343" t="s">
        <v>10</v>
      </c>
      <c r="L1343" s="46">
        <v>3000</v>
      </c>
      <c r="M1343" t="s">
        <v>1472</v>
      </c>
      <c r="N1343" t="s">
        <v>11</v>
      </c>
      <c r="O1343" s="49">
        <v>1.8681000000000001</v>
      </c>
      <c r="P1343" s="9">
        <f>ROUND(O1343*L1343,2)</f>
        <v>5604.3</v>
      </c>
      <c r="Q1343" s="10">
        <f>IF(N1343="HKD",7.8,IF(N1343="CNY",7.30034,1))</f>
        <v>7.3003400000000003</v>
      </c>
      <c r="R1343" s="10">
        <f>+ROUND(O1343/Q1343,4)</f>
        <v>0.25590000000000002</v>
      </c>
      <c r="S1343" s="11">
        <f>ROUND(R1343*L1343,2)</f>
        <v>767.7</v>
      </c>
      <c r="T1343" s="10" t="s">
        <v>349</v>
      </c>
      <c r="U1343" t="s">
        <v>228</v>
      </c>
    </row>
    <row r="1344" spans="1:21">
      <c r="A1344" t="s">
        <v>1951</v>
      </c>
      <c r="B1344" s="20">
        <v>45713</v>
      </c>
      <c r="C1344" s="20">
        <v>45670</v>
      </c>
      <c r="D1344" t="s">
        <v>709</v>
      </c>
      <c r="E1344" t="s">
        <v>710</v>
      </c>
      <c r="G1344" t="s">
        <v>2166</v>
      </c>
      <c r="H1344" s="15" t="s">
        <v>732</v>
      </c>
      <c r="I1344" s="15" t="s">
        <v>733</v>
      </c>
      <c r="J1344" s="8" t="str">
        <f>+LEFT(U1344,4)</f>
        <v>HDL-</v>
      </c>
      <c r="K1344" t="s">
        <v>10</v>
      </c>
      <c r="L1344" s="46">
        <v>1900</v>
      </c>
      <c r="M1344" t="s">
        <v>1472</v>
      </c>
      <c r="N1344" t="s">
        <v>11</v>
      </c>
      <c r="O1344" s="49">
        <v>1.9061999999999999</v>
      </c>
      <c r="P1344" s="9">
        <f>ROUND(O1344*L1344,2)</f>
        <v>3621.78</v>
      </c>
      <c r="Q1344" s="10">
        <f>IF(N1344="HKD",7.8,IF(N1344="CNY",7.30034,1))</f>
        <v>7.3003400000000003</v>
      </c>
      <c r="R1344" s="10">
        <f>+ROUND(O1344/Q1344,4)</f>
        <v>0.2611</v>
      </c>
      <c r="S1344" s="11">
        <f>ROUND(R1344*L1344,2)</f>
        <v>496.09</v>
      </c>
      <c r="T1344" s="10" t="s">
        <v>349</v>
      </c>
      <c r="U1344" t="s">
        <v>228</v>
      </c>
    </row>
    <row r="1345" spans="1:21">
      <c r="A1345" t="s">
        <v>2022</v>
      </c>
      <c r="B1345" s="20">
        <v>45713</v>
      </c>
      <c r="C1345" s="20">
        <v>45671</v>
      </c>
      <c r="D1345" t="s">
        <v>121</v>
      </c>
      <c r="E1345" t="s">
        <v>122</v>
      </c>
      <c r="G1345" t="s">
        <v>2195</v>
      </c>
      <c r="H1345" s="15" t="s">
        <v>357</v>
      </c>
      <c r="I1345" s="15" t="s">
        <v>358</v>
      </c>
      <c r="J1345" s="8" t="str">
        <f>+LEFT(U1345,4)</f>
        <v>HDL-</v>
      </c>
      <c r="K1345" t="s">
        <v>10</v>
      </c>
      <c r="L1345" s="46">
        <v>195</v>
      </c>
      <c r="M1345" t="s">
        <v>1472</v>
      </c>
      <c r="N1345" t="s">
        <v>11</v>
      </c>
      <c r="O1345" s="49">
        <v>3.5398000000000001</v>
      </c>
      <c r="P1345" s="9">
        <f>ROUND(O1345*L1345,2)</f>
        <v>690.26</v>
      </c>
      <c r="Q1345" s="10">
        <f>IF(N1345="HKD",7.8,IF(N1345="CNY",7.30034,1))</f>
        <v>7.3003400000000003</v>
      </c>
      <c r="R1345" s="10">
        <f>+ROUND(O1345/Q1345,4)</f>
        <v>0.4849</v>
      </c>
      <c r="S1345" s="11">
        <f>ROUND(R1345*L1345,2)</f>
        <v>94.56</v>
      </c>
      <c r="T1345" s="10" t="s">
        <v>349</v>
      </c>
      <c r="U1345" t="s">
        <v>228</v>
      </c>
    </row>
    <row r="1346" spans="1:21">
      <c r="A1346" t="s">
        <v>2046</v>
      </c>
      <c r="B1346" s="20">
        <v>45713</v>
      </c>
      <c r="C1346" s="20">
        <v>45698</v>
      </c>
      <c r="D1346" t="s">
        <v>709</v>
      </c>
      <c r="E1346" t="s">
        <v>710</v>
      </c>
      <c r="G1346" t="s">
        <v>2166</v>
      </c>
      <c r="H1346" s="15" t="s">
        <v>1756</v>
      </c>
      <c r="I1346" s="15" t="s">
        <v>1757</v>
      </c>
      <c r="J1346" s="8" t="str">
        <f>+LEFT(U1346,4)</f>
        <v>HDL-</v>
      </c>
      <c r="K1346" t="s">
        <v>10</v>
      </c>
      <c r="L1346" s="46">
        <v>400</v>
      </c>
      <c r="M1346" t="s">
        <v>1472</v>
      </c>
      <c r="N1346" t="s">
        <v>11</v>
      </c>
      <c r="O1346" s="49">
        <v>4.0471000000000004</v>
      </c>
      <c r="P1346" s="9">
        <f>ROUND(O1346*L1346,2)</f>
        <v>1618.84</v>
      </c>
      <c r="Q1346" s="10">
        <f>IF(N1346="HKD",7.8,IF(N1346="CNY",7.30034,1))</f>
        <v>7.3003400000000003</v>
      </c>
      <c r="R1346" s="10">
        <f>+ROUND(O1346/Q1346,4)</f>
        <v>0.5544</v>
      </c>
      <c r="S1346" s="11">
        <f>ROUND(R1346*L1346,2)</f>
        <v>221.76</v>
      </c>
      <c r="T1346" s="10" t="s">
        <v>349</v>
      </c>
      <c r="U1346" t="s">
        <v>228</v>
      </c>
    </row>
    <row r="1347" spans="1:21">
      <c r="A1347" t="s">
        <v>1894</v>
      </c>
      <c r="B1347" s="20">
        <v>45713</v>
      </c>
      <c r="C1347" s="20">
        <v>45670</v>
      </c>
      <c r="D1347" t="s">
        <v>709</v>
      </c>
      <c r="E1347" t="s">
        <v>710</v>
      </c>
      <c r="G1347" t="s">
        <v>2159</v>
      </c>
      <c r="H1347" s="15" t="s">
        <v>726</v>
      </c>
      <c r="I1347" s="15" t="s">
        <v>727</v>
      </c>
      <c r="J1347" s="8" t="str">
        <f>+LEFT(U1347,4)</f>
        <v>KNOB</v>
      </c>
      <c r="K1347" t="s">
        <v>10</v>
      </c>
      <c r="L1347" s="46">
        <v>6100</v>
      </c>
      <c r="M1347" t="s">
        <v>1472</v>
      </c>
      <c r="N1347" t="s">
        <v>11</v>
      </c>
      <c r="O1347" s="49">
        <v>0.54969999999999997</v>
      </c>
      <c r="P1347" s="9">
        <f>ROUND(O1347*L1347,2)</f>
        <v>3353.17</v>
      </c>
      <c r="Q1347" s="10">
        <f>IF(N1347="HKD",7.8,IF(N1347="CNY",7.30034,1))</f>
        <v>7.3003400000000003</v>
      </c>
      <c r="R1347" s="10">
        <f>+ROUND(O1347/Q1347,4)</f>
        <v>7.5300000000000006E-2</v>
      </c>
      <c r="S1347" s="11">
        <f>ROUND(R1347*L1347,2)</f>
        <v>459.33</v>
      </c>
      <c r="T1347" s="10" t="s">
        <v>349</v>
      </c>
      <c r="U1347" t="s">
        <v>32</v>
      </c>
    </row>
    <row r="1348" spans="1:21">
      <c r="A1348" t="s">
        <v>1895</v>
      </c>
      <c r="B1348" s="20">
        <v>45713</v>
      </c>
      <c r="C1348" s="20">
        <v>45671</v>
      </c>
      <c r="D1348" t="s">
        <v>709</v>
      </c>
      <c r="E1348" t="s">
        <v>710</v>
      </c>
      <c r="G1348" t="s">
        <v>2159</v>
      </c>
      <c r="H1348" s="15" t="s">
        <v>726</v>
      </c>
      <c r="I1348" s="15" t="s">
        <v>727</v>
      </c>
      <c r="J1348" s="8" t="str">
        <f>+LEFT(U1348,4)</f>
        <v>KNOB</v>
      </c>
      <c r="K1348" t="s">
        <v>10</v>
      </c>
      <c r="L1348" s="46">
        <v>12300</v>
      </c>
      <c r="M1348" t="s">
        <v>1472</v>
      </c>
      <c r="N1348" t="s">
        <v>11</v>
      </c>
      <c r="O1348" s="49">
        <v>0.54969999999999997</v>
      </c>
      <c r="P1348" s="9">
        <f>ROUND(O1348*L1348,2)</f>
        <v>6761.31</v>
      </c>
      <c r="Q1348" s="10">
        <f>IF(N1348="HKD",7.8,IF(N1348="CNY",7.30034,1))</f>
        <v>7.3003400000000003</v>
      </c>
      <c r="R1348" s="10">
        <f>+ROUND(O1348/Q1348,4)</f>
        <v>7.5300000000000006E-2</v>
      </c>
      <c r="S1348" s="11">
        <f>ROUND(R1348*L1348,2)</f>
        <v>926.19</v>
      </c>
      <c r="T1348" s="10" t="s">
        <v>349</v>
      </c>
      <c r="U1348" t="s">
        <v>32</v>
      </c>
    </row>
    <row r="1349" spans="1:21">
      <c r="A1349" t="s">
        <v>1896</v>
      </c>
      <c r="B1349" s="20">
        <v>45713</v>
      </c>
      <c r="C1349" s="20">
        <v>45695</v>
      </c>
      <c r="D1349" t="s">
        <v>709</v>
      </c>
      <c r="E1349" t="s">
        <v>710</v>
      </c>
      <c r="G1349" t="s">
        <v>2159</v>
      </c>
      <c r="H1349" s="15" t="s">
        <v>726</v>
      </c>
      <c r="I1349" s="15" t="s">
        <v>727</v>
      </c>
      <c r="J1349" s="8" t="str">
        <f>+LEFT(U1349,4)</f>
        <v>KNOB</v>
      </c>
      <c r="K1349" t="s">
        <v>10</v>
      </c>
      <c r="L1349" s="46">
        <v>10000</v>
      </c>
      <c r="M1349" t="s">
        <v>1472</v>
      </c>
      <c r="N1349" t="s">
        <v>11</v>
      </c>
      <c r="O1349" s="49">
        <v>0.54969999999999997</v>
      </c>
      <c r="P1349" s="9">
        <f>ROUND(O1349*L1349,2)</f>
        <v>5497</v>
      </c>
      <c r="Q1349" s="10">
        <f>IF(N1349="HKD",7.8,IF(N1349="CNY",7.30034,1))</f>
        <v>7.3003400000000003</v>
      </c>
      <c r="R1349" s="10">
        <f>+ROUND(O1349/Q1349,4)</f>
        <v>7.5300000000000006E-2</v>
      </c>
      <c r="S1349" s="11">
        <f>ROUND(R1349*L1349,2)</f>
        <v>753</v>
      </c>
      <c r="T1349" s="10" t="s">
        <v>349</v>
      </c>
      <c r="U1349" t="s">
        <v>32</v>
      </c>
    </row>
    <row r="1350" spans="1:21">
      <c r="A1350" t="s">
        <v>1900</v>
      </c>
      <c r="B1350" s="20">
        <v>45713</v>
      </c>
      <c r="C1350" s="20">
        <v>45695</v>
      </c>
      <c r="D1350" t="s">
        <v>709</v>
      </c>
      <c r="E1350" t="s">
        <v>710</v>
      </c>
      <c r="G1350" t="s">
        <v>2160</v>
      </c>
      <c r="H1350" s="15" t="s">
        <v>713</v>
      </c>
      <c r="I1350" s="15" t="s">
        <v>714</v>
      </c>
      <c r="J1350" s="8" t="str">
        <f>+LEFT(U1350,4)</f>
        <v>KNOB</v>
      </c>
      <c r="K1350" t="s">
        <v>10</v>
      </c>
      <c r="L1350" s="46">
        <v>1700</v>
      </c>
      <c r="M1350" t="s">
        <v>1472</v>
      </c>
      <c r="N1350" t="s">
        <v>11</v>
      </c>
      <c r="O1350" s="49">
        <v>0.61839999999999995</v>
      </c>
      <c r="P1350" s="9">
        <f>ROUND(O1350*L1350,2)</f>
        <v>1051.28</v>
      </c>
      <c r="Q1350" s="10">
        <f>IF(N1350="HKD",7.8,IF(N1350="CNY",7.30034,1))</f>
        <v>7.3003400000000003</v>
      </c>
      <c r="R1350" s="10">
        <f>+ROUND(O1350/Q1350,4)</f>
        <v>8.4699999999999998E-2</v>
      </c>
      <c r="S1350" s="11">
        <f>ROUND(R1350*L1350,2)</f>
        <v>143.99</v>
      </c>
      <c r="T1350" s="10" t="s">
        <v>349</v>
      </c>
      <c r="U1350" t="s">
        <v>32</v>
      </c>
    </row>
    <row r="1351" spans="1:21">
      <c r="A1351" t="s">
        <v>1909</v>
      </c>
      <c r="B1351" s="20">
        <v>45713</v>
      </c>
      <c r="C1351" s="20">
        <v>45674</v>
      </c>
      <c r="D1351" t="s">
        <v>709</v>
      </c>
      <c r="E1351" t="s">
        <v>710</v>
      </c>
      <c r="G1351" t="s">
        <v>2166</v>
      </c>
      <c r="H1351" s="15" t="s">
        <v>1641</v>
      </c>
      <c r="I1351" s="15" t="s">
        <v>1642</v>
      </c>
      <c r="J1351" s="8" t="str">
        <f>+LEFT(U1351,4)</f>
        <v>KNOB</v>
      </c>
      <c r="K1351" t="s">
        <v>10</v>
      </c>
      <c r="L1351" s="46">
        <v>600</v>
      </c>
      <c r="M1351" t="s">
        <v>1472</v>
      </c>
      <c r="N1351" t="s">
        <v>11</v>
      </c>
      <c r="O1351" s="49">
        <v>0.89419999999999999</v>
      </c>
      <c r="P1351" s="9">
        <f>ROUND(O1351*L1351,2)</f>
        <v>536.52</v>
      </c>
      <c r="Q1351" s="10">
        <f>IF(N1351="HKD",7.8,IF(N1351="CNY",7.30034,1))</f>
        <v>7.3003400000000003</v>
      </c>
      <c r="R1351" s="10">
        <f>+ROUND(O1351/Q1351,4)</f>
        <v>0.1225</v>
      </c>
      <c r="S1351" s="11">
        <f>ROUND(R1351*L1351,2)</f>
        <v>73.5</v>
      </c>
      <c r="T1351" s="10" t="s">
        <v>349</v>
      </c>
      <c r="U1351" t="s">
        <v>32</v>
      </c>
    </row>
    <row r="1352" spans="1:21">
      <c r="A1352" t="s">
        <v>1910</v>
      </c>
      <c r="B1352" s="20">
        <v>45713</v>
      </c>
      <c r="C1352" s="20">
        <v>45674</v>
      </c>
      <c r="D1352" t="s">
        <v>709</v>
      </c>
      <c r="E1352" t="s">
        <v>710</v>
      </c>
      <c r="G1352" t="s">
        <v>2166</v>
      </c>
      <c r="H1352" s="15" t="s">
        <v>1641</v>
      </c>
      <c r="I1352" s="15" t="s">
        <v>1642</v>
      </c>
      <c r="J1352" s="8" t="str">
        <f>+LEFT(U1352,4)</f>
        <v>KNOB</v>
      </c>
      <c r="K1352" t="s">
        <v>10</v>
      </c>
      <c r="L1352" s="46">
        <v>200</v>
      </c>
      <c r="M1352" t="s">
        <v>1472</v>
      </c>
      <c r="N1352" t="s">
        <v>11</v>
      </c>
      <c r="O1352" s="49">
        <v>0.89419999999999999</v>
      </c>
      <c r="P1352" s="9">
        <f>ROUND(O1352*L1352,2)</f>
        <v>178.84</v>
      </c>
      <c r="Q1352" s="10">
        <f>IF(N1352="HKD",7.8,IF(N1352="CNY",7.30034,1))</f>
        <v>7.3003400000000003</v>
      </c>
      <c r="R1352" s="10">
        <f>+ROUND(O1352/Q1352,4)</f>
        <v>0.1225</v>
      </c>
      <c r="S1352" s="11">
        <f>ROUND(R1352*L1352,2)</f>
        <v>24.5</v>
      </c>
      <c r="T1352" s="10" t="s">
        <v>349</v>
      </c>
      <c r="U1352" t="s">
        <v>32</v>
      </c>
    </row>
    <row r="1353" spans="1:21">
      <c r="A1353" t="s">
        <v>1915</v>
      </c>
      <c r="B1353" s="20">
        <v>45713</v>
      </c>
      <c r="C1353" s="20">
        <v>45674</v>
      </c>
      <c r="D1353" t="s">
        <v>709</v>
      </c>
      <c r="E1353" t="s">
        <v>710</v>
      </c>
      <c r="G1353" t="s">
        <v>2166</v>
      </c>
      <c r="H1353" s="15" t="s">
        <v>1647</v>
      </c>
      <c r="I1353" s="15" t="s">
        <v>1648</v>
      </c>
      <c r="J1353" s="8" t="str">
        <f>+LEFT(U1353,4)</f>
        <v>KNOB</v>
      </c>
      <c r="K1353" t="s">
        <v>10</v>
      </c>
      <c r="L1353" s="46">
        <v>510</v>
      </c>
      <c r="M1353" t="s">
        <v>1472</v>
      </c>
      <c r="N1353" t="s">
        <v>11</v>
      </c>
      <c r="O1353" s="49">
        <v>1.0902000000000001</v>
      </c>
      <c r="P1353" s="9">
        <f>ROUND(O1353*L1353,2)</f>
        <v>556</v>
      </c>
      <c r="Q1353" s="10">
        <f>IF(N1353="HKD",7.8,IF(N1353="CNY",7.30034,1))</f>
        <v>7.3003400000000003</v>
      </c>
      <c r="R1353" s="10">
        <f>+ROUND(O1353/Q1353,4)</f>
        <v>0.14929999999999999</v>
      </c>
      <c r="S1353" s="11">
        <f>ROUND(R1353*L1353,2)</f>
        <v>76.14</v>
      </c>
      <c r="T1353" s="10" t="s">
        <v>349</v>
      </c>
      <c r="U1353" t="s">
        <v>32</v>
      </c>
    </row>
    <row r="1354" spans="1:21">
      <c r="A1354" t="s">
        <v>1963</v>
      </c>
      <c r="B1354" s="20">
        <v>45713</v>
      </c>
      <c r="C1354" s="20">
        <v>45698</v>
      </c>
      <c r="D1354" t="s">
        <v>709</v>
      </c>
      <c r="E1354" t="s">
        <v>710</v>
      </c>
      <c r="G1354" t="s">
        <v>2166</v>
      </c>
      <c r="H1354" s="15" t="s">
        <v>1682</v>
      </c>
      <c r="I1354" s="15" t="s">
        <v>1683</v>
      </c>
      <c r="J1354" s="8" t="str">
        <f>+LEFT(U1354,4)</f>
        <v>LHDL</v>
      </c>
      <c r="K1354" t="s">
        <v>10</v>
      </c>
      <c r="L1354" s="46">
        <v>380</v>
      </c>
      <c r="M1354" t="s">
        <v>1472</v>
      </c>
      <c r="N1354" t="s">
        <v>11</v>
      </c>
      <c r="O1354" s="49">
        <v>2.6436000000000002</v>
      </c>
      <c r="P1354" s="9">
        <f>ROUND(O1354*L1354,2)</f>
        <v>1004.57</v>
      </c>
      <c r="Q1354" s="10">
        <f>IF(N1354="HKD",7.8,IF(N1354="CNY",7.30034,1))</f>
        <v>7.3003400000000003</v>
      </c>
      <c r="R1354" s="10">
        <f>+ROUND(O1354/Q1354,4)</f>
        <v>0.36209999999999998</v>
      </c>
      <c r="S1354" s="11">
        <f>ROUND(R1354*L1354,2)</f>
        <v>137.6</v>
      </c>
      <c r="T1354" s="10" t="s">
        <v>349</v>
      </c>
      <c r="U1354" t="s">
        <v>125</v>
      </c>
    </row>
    <row r="1355" spans="1:21">
      <c r="A1355" t="s">
        <v>1964</v>
      </c>
      <c r="B1355" s="20">
        <v>45713</v>
      </c>
      <c r="C1355" s="20">
        <v>45702</v>
      </c>
      <c r="D1355" t="s">
        <v>709</v>
      </c>
      <c r="E1355" t="s">
        <v>710</v>
      </c>
      <c r="G1355" t="s">
        <v>2166</v>
      </c>
      <c r="H1355" s="15" t="s">
        <v>1682</v>
      </c>
      <c r="I1355" s="15" t="s">
        <v>1683</v>
      </c>
      <c r="J1355" s="8" t="str">
        <f>+LEFT(U1355,4)</f>
        <v>LHDL</v>
      </c>
      <c r="K1355" t="s">
        <v>10</v>
      </c>
      <c r="L1355" s="46">
        <v>150</v>
      </c>
      <c r="M1355" t="s">
        <v>1472</v>
      </c>
      <c r="N1355" t="s">
        <v>11</v>
      </c>
      <c r="O1355" s="49">
        <v>2.6436000000000002</v>
      </c>
      <c r="P1355" s="9">
        <f>ROUND(O1355*L1355,2)</f>
        <v>396.54</v>
      </c>
      <c r="Q1355" s="10">
        <f>IF(N1355="HKD",7.8,IF(N1355="CNY",7.30034,1))</f>
        <v>7.3003400000000003</v>
      </c>
      <c r="R1355" s="10">
        <f>+ROUND(O1355/Q1355,4)</f>
        <v>0.36209999999999998</v>
      </c>
      <c r="S1355" s="11">
        <f>ROUND(R1355*L1355,2)</f>
        <v>54.32</v>
      </c>
      <c r="T1355" s="10" t="s">
        <v>349</v>
      </c>
      <c r="U1355" t="s">
        <v>125</v>
      </c>
    </row>
    <row r="1356" spans="1:21">
      <c r="A1356" t="s">
        <v>2092</v>
      </c>
      <c r="B1356" s="20">
        <v>45713</v>
      </c>
      <c r="C1356" s="20">
        <v>45576</v>
      </c>
      <c r="D1356" t="s">
        <v>121</v>
      </c>
      <c r="E1356" t="s">
        <v>122</v>
      </c>
      <c r="G1356" t="s">
        <v>2195</v>
      </c>
      <c r="H1356" s="15" t="s">
        <v>1790</v>
      </c>
      <c r="I1356" s="15" t="s">
        <v>1791</v>
      </c>
      <c r="J1356" s="8" t="str">
        <f>+LEFT(U1356,4)</f>
        <v>LHDL</v>
      </c>
      <c r="K1356" t="s">
        <v>10</v>
      </c>
      <c r="L1356" s="46">
        <v>1520</v>
      </c>
      <c r="M1356" t="s">
        <v>1472</v>
      </c>
      <c r="N1356" t="s">
        <v>11</v>
      </c>
      <c r="O1356" s="49">
        <v>7.3506999999999998</v>
      </c>
      <c r="P1356" s="9">
        <f>ROUND(O1356*L1356,2)</f>
        <v>11173.06</v>
      </c>
      <c r="Q1356" s="10">
        <f>IF(N1356="HKD",7.8,IF(N1356="CNY",7.30034,1))</f>
        <v>7.3003400000000003</v>
      </c>
      <c r="R1356" s="10">
        <f>+ROUND(O1356/Q1356,4)</f>
        <v>1.0068999999999999</v>
      </c>
      <c r="S1356" s="11">
        <f>ROUND(R1356*L1356,2)</f>
        <v>1530.49</v>
      </c>
      <c r="T1356" s="10" t="s">
        <v>349</v>
      </c>
      <c r="U1356" t="s">
        <v>125</v>
      </c>
    </row>
    <row r="1357" spans="1:21">
      <c r="A1357" t="s">
        <v>2093</v>
      </c>
      <c r="B1357" s="20">
        <v>45713</v>
      </c>
      <c r="C1357" s="20">
        <v>45576</v>
      </c>
      <c r="D1357" t="s">
        <v>121</v>
      </c>
      <c r="E1357" t="s">
        <v>122</v>
      </c>
      <c r="G1357" t="s">
        <v>2195</v>
      </c>
      <c r="H1357" s="15" t="s">
        <v>1792</v>
      </c>
      <c r="I1357" s="15" t="s">
        <v>1793</v>
      </c>
      <c r="J1357" s="8" t="str">
        <f>+LEFT(U1357,4)</f>
        <v>LHDL</v>
      </c>
      <c r="K1357" t="s">
        <v>10</v>
      </c>
      <c r="L1357" s="46">
        <v>1420</v>
      </c>
      <c r="M1357" t="s">
        <v>1472</v>
      </c>
      <c r="N1357" t="s">
        <v>11</v>
      </c>
      <c r="O1357" s="49">
        <v>7.3506999999999998</v>
      </c>
      <c r="P1357" s="9">
        <f>ROUND(O1357*L1357,2)</f>
        <v>10437.99</v>
      </c>
      <c r="Q1357" s="10">
        <f>IF(N1357="HKD",7.8,IF(N1357="CNY",7.30034,1))</f>
        <v>7.3003400000000003</v>
      </c>
      <c r="R1357" s="10">
        <f>+ROUND(O1357/Q1357,4)</f>
        <v>1.0068999999999999</v>
      </c>
      <c r="S1357" s="11">
        <f>ROUND(R1357*L1357,2)</f>
        <v>1429.8</v>
      </c>
      <c r="T1357" s="10" t="s">
        <v>349</v>
      </c>
      <c r="U1357" t="s">
        <v>125</v>
      </c>
    </row>
    <row r="1358" spans="1:21">
      <c r="A1358" t="s">
        <v>2096</v>
      </c>
      <c r="B1358" s="20">
        <v>45713</v>
      </c>
      <c r="C1358" s="20">
        <v>45576</v>
      </c>
      <c r="D1358" t="s">
        <v>121</v>
      </c>
      <c r="E1358" t="s">
        <v>122</v>
      </c>
      <c r="G1358" t="s">
        <v>2195</v>
      </c>
      <c r="H1358" s="15" t="s">
        <v>1794</v>
      </c>
      <c r="I1358" s="15" t="s">
        <v>1795</v>
      </c>
      <c r="J1358" s="8" t="str">
        <f>+LEFT(U1358,4)</f>
        <v>LHDL</v>
      </c>
      <c r="K1358" t="s">
        <v>10</v>
      </c>
      <c r="L1358" s="46">
        <v>1010</v>
      </c>
      <c r="M1358" t="s">
        <v>1472</v>
      </c>
      <c r="N1358" t="s">
        <v>11</v>
      </c>
      <c r="O1358" s="49">
        <v>7.4212999999999996</v>
      </c>
      <c r="P1358" s="9">
        <f>ROUND(O1358*L1358,2)</f>
        <v>7495.51</v>
      </c>
      <c r="Q1358" s="10">
        <f>IF(N1358="HKD",7.8,IF(N1358="CNY",7.30034,1))</f>
        <v>7.3003400000000003</v>
      </c>
      <c r="R1358" s="10">
        <f>+ROUND(O1358/Q1358,4)</f>
        <v>1.0165999999999999</v>
      </c>
      <c r="S1358" s="11">
        <f>ROUND(R1358*L1358,2)</f>
        <v>1026.77</v>
      </c>
      <c r="T1358" s="10" t="s">
        <v>349</v>
      </c>
      <c r="U1358" t="s">
        <v>125</v>
      </c>
    </row>
    <row r="1359" spans="1:21">
      <c r="A1359" t="s">
        <v>1830</v>
      </c>
      <c r="B1359" s="20">
        <v>45713</v>
      </c>
      <c r="C1359" s="20">
        <v>45670</v>
      </c>
      <c r="D1359" t="s">
        <v>162</v>
      </c>
      <c r="E1359" t="s">
        <v>163</v>
      </c>
      <c r="G1359" t="s">
        <v>2138</v>
      </c>
      <c r="H1359" s="15" t="s">
        <v>599</v>
      </c>
      <c r="I1359" s="15" t="s">
        <v>600</v>
      </c>
      <c r="J1359" s="8" t="str">
        <f>+LEFT(U1359,4)</f>
        <v>SCR-</v>
      </c>
      <c r="K1359" t="s">
        <v>10</v>
      </c>
      <c r="L1359" s="46">
        <v>3400</v>
      </c>
      <c r="M1359" t="s">
        <v>1472</v>
      </c>
      <c r="N1359" t="s">
        <v>11</v>
      </c>
      <c r="O1359" s="49">
        <v>4.1200000000000001E-2</v>
      </c>
      <c r="P1359" s="9">
        <f>ROUND(O1359*L1359,2)</f>
        <v>140.08000000000001</v>
      </c>
      <c r="Q1359" s="10">
        <f>IF(N1359="HKD",7.8,IF(N1359="CNY",7.30034,1))</f>
        <v>7.3003400000000003</v>
      </c>
      <c r="R1359" s="10">
        <f>+ROUND(O1359/Q1359,4)</f>
        <v>5.5999999999999999E-3</v>
      </c>
      <c r="S1359" s="11">
        <f>ROUND(R1359*L1359,2)</f>
        <v>19.04</v>
      </c>
      <c r="T1359" s="10" t="s">
        <v>349</v>
      </c>
      <c r="U1359" t="s">
        <v>166</v>
      </c>
    </row>
    <row r="1360" spans="1:21">
      <c r="A1360" t="s">
        <v>1939</v>
      </c>
      <c r="B1360" s="20">
        <v>45713</v>
      </c>
      <c r="C1360" s="20">
        <v>45671</v>
      </c>
      <c r="D1360" t="s">
        <v>709</v>
      </c>
      <c r="E1360" t="s">
        <v>710</v>
      </c>
      <c r="G1360" t="s">
        <v>2159</v>
      </c>
      <c r="H1360" s="15" t="s">
        <v>723</v>
      </c>
      <c r="I1360" s="15" t="s">
        <v>724</v>
      </c>
      <c r="J1360" s="8" t="str">
        <f>+LEFT(U1360,4)</f>
        <v>SHDL</v>
      </c>
      <c r="K1360" t="s">
        <v>10</v>
      </c>
      <c r="L1360" s="46">
        <v>4100</v>
      </c>
      <c r="M1360" t="s">
        <v>1472</v>
      </c>
      <c r="N1360" t="s">
        <v>11</v>
      </c>
      <c r="O1360" s="49">
        <v>1.6517999999999999</v>
      </c>
      <c r="P1360" s="9">
        <f>ROUND(O1360*L1360,2)</f>
        <v>6772.38</v>
      </c>
      <c r="Q1360" s="10">
        <f>IF(N1360="HKD",7.8,IF(N1360="CNY",7.30034,1))</f>
        <v>7.3003400000000003</v>
      </c>
      <c r="R1360" s="10">
        <f>+ROUND(O1360/Q1360,4)</f>
        <v>0.2263</v>
      </c>
      <c r="S1360" s="11">
        <f>ROUND(R1360*L1360,2)</f>
        <v>927.83</v>
      </c>
      <c r="T1360" s="10" t="s">
        <v>349</v>
      </c>
      <c r="U1360" t="s">
        <v>722</v>
      </c>
    </row>
    <row r="1361" spans="1:21">
      <c r="A1361" t="s">
        <v>1940</v>
      </c>
      <c r="B1361" s="20">
        <v>45713</v>
      </c>
      <c r="C1361" s="20">
        <v>45695</v>
      </c>
      <c r="D1361" t="s">
        <v>709</v>
      </c>
      <c r="E1361" t="s">
        <v>710</v>
      </c>
      <c r="G1361" t="s">
        <v>2159</v>
      </c>
      <c r="H1361" s="15" t="s">
        <v>723</v>
      </c>
      <c r="I1361" s="15" t="s">
        <v>724</v>
      </c>
      <c r="J1361" s="8" t="str">
        <f>+LEFT(U1361,4)</f>
        <v>SHDL</v>
      </c>
      <c r="K1361" t="s">
        <v>10</v>
      </c>
      <c r="L1361" s="46">
        <v>2000</v>
      </c>
      <c r="M1361" t="s">
        <v>1472</v>
      </c>
      <c r="N1361" t="s">
        <v>11</v>
      </c>
      <c r="O1361" s="49">
        <v>1.6517999999999999</v>
      </c>
      <c r="P1361" s="9">
        <f>ROUND(O1361*L1361,2)</f>
        <v>3303.6</v>
      </c>
      <c r="Q1361" s="10">
        <f>IF(N1361="HKD",7.8,IF(N1361="CNY",7.30034,1))</f>
        <v>7.3003400000000003</v>
      </c>
      <c r="R1361" s="10">
        <f>+ROUND(O1361/Q1361,4)</f>
        <v>0.2263</v>
      </c>
      <c r="S1361" s="11">
        <f>ROUND(R1361*L1361,2)</f>
        <v>452.6</v>
      </c>
      <c r="T1361" s="10" t="s">
        <v>349</v>
      </c>
      <c r="U1361" t="s">
        <v>722</v>
      </c>
    </row>
    <row r="1362" spans="1:21">
      <c r="A1362" t="s">
        <v>1948</v>
      </c>
      <c r="B1362" s="20">
        <v>45713</v>
      </c>
      <c r="C1362" s="20">
        <v>45670</v>
      </c>
      <c r="D1362" t="s">
        <v>709</v>
      </c>
      <c r="E1362" t="s">
        <v>710</v>
      </c>
      <c r="G1362" t="s">
        <v>2160</v>
      </c>
      <c r="H1362" s="15" t="s">
        <v>719</v>
      </c>
      <c r="I1362" s="15" t="s">
        <v>720</v>
      </c>
      <c r="J1362" s="8" t="str">
        <f>+LEFT(U1362,4)</f>
        <v>SHDL</v>
      </c>
      <c r="K1362" t="s">
        <v>10</v>
      </c>
      <c r="L1362" s="46">
        <v>2030</v>
      </c>
      <c r="M1362" t="s">
        <v>1472</v>
      </c>
      <c r="N1362" t="s">
        <v>11</v>
      </c>
      <c r="O1362" s="49">
        <v>1.8811</v>
      </c>
      <c r="P1362" s="9">
        <f>ROUND(O1362*L1362,2)</f>
        <v>3818.63</v>
      </c>
      <c r="Q1362" s="10">
        <f>IF(N1362="HKD",7.8,IF(N1362="CNY",7.30034,1))</f>
        <v>7.3003400000000003</v>
      </c>
      <c r="R1362" s="10">
        <f>+ROUND(O1362/Q1362,4)</f>
        <v>0.25769999999999998</v>
      </c>
      <c r="S1362" s="11">
        <f>ROUND(R1362*L1362,2)</f>
        <v>523.13</v>
      </c>
      <c r="T1362" s="10" t="s">
        <v>349</v>
      </c>
      <c r="U1362" t="s">
        <v>722</v>
      </c>
    </row>
    <row r="1363" spans="1:21">
      <c r="A1363" t="s">
        <v>1949</v>
      </c>
      <c r="B1363" s="20">
        <v>45713</v>
      </c>
      <c r="C1363" s="20">
        <v>45671</v>
      </c>
      <c r="D1363" t="s">
        <v>709</v>
      </c>
      <c r="E1363" t="s">
        <v>710</v>
      </c>
      <c r="G1363" t="s">
        <v>2160</v>
      </c>
      <c r="H1363" s="15" t="s">
        <v>719</v>
      </c>
      <c r="I1363" s="15" t="s">
        <v>720</v>
      </c>
      <c r="J1363" s="8" t="str">
        <f>+LEFT(U1363,4)</f>
        <v>SHDL</v>
      </c>
      <c r="K1363" t="s">
        <v>10</v>
      </c>
      <c r="L1363" s="46">
        <v>4100</v>
      </c>
      <c r="M1363" t="s">
        <v>1472</v>
      </c>
      <c r="N1363" t="s">
        <v>11</v>
      </c>
      <c r="O1363" s="49">
        <v>1.8811</v>
      </c>
      <c r="P1363" s="9">
        <f>ROUND(O1363*L1363,2)</f>
        <v>7712.51</v>
      </c>
      <c r="Q1363" s="10">
        <f>IF(N1363="HKD",7.8,IF(N1363="CNY",7.30034,1))</f>
        <v>7.3003400000000003</v>
      </c>
      <c r="R1363" s="10">
        <f>+ROUND(O1363/Q1363,4)</f>
        <v>0.25769999999999998</v>
      </c>
      <c r="S1363" s="11">
        <f>ROUND(R1363*L1363,2)</f>
        <v>1056.57</v>
      </c>
      <c r="T1363" s="10" t="s">
        <v>349</v>
      </c>
      <c r="U1363" t="s">
        <v>722</v>
      </c>
    </row>
    <row r="1364" spans="1:21">
      <c r="A1364" t="s">
        <v>1950</v>
      </c>
      <c r="B1364" s="20">
        <v>45713</v>
      </c>
      <c r="C1364" s="20">
        <v>45695</v>
      </c>
      <c r="D1364" t="s">
        <v>709</v>
      </c>
      <c r="E1364" t="s">
        <v>710</v>
      </c>
      <c r="G1364" t="s">
        <v>2160</v>
      </c>
      <c r="H1364" s="15" t="s">
        <v>719</v>
      </c>
      <c r="I1364" s="15" t="s">
        <v>720</v>
      </c>
      <c r="J1364" s="8" t="str">
        <f>+LEFT(U1364,4)</f>
        <v>SHDL</v>
      </c>
      <c r="K1364" t="s">
        <v>10</v>
      </c>
      <c r="L1364" s="46">
        <v>2000</v>
      </c>
      <c r="M1364" t="s">
        <v>1472</v>
      </c>
      <c r="N1364" t="s">
        <v>11</v>
      </c>
      <c r="O1364" s="49">
        <v>1.8811</v>
      </c>
      <c r="P1364" s="9">
        <f>ROUND(O1364*L1364,2)</f>
        <v>3762.2</v>
      </c>
      <c r="Q1364" s="10">
        <f>IF(N1364="HKD",7.8,IF(N1364="CNY",7.30034,1))</f>
        <v>7.3003400000000003</v>
      </c>
      <c r="R1364" s="10">
        <f>+ROUND(O1364/Q1364,4)</f>
        <v>0.25769999999999998</v>
      </c>
      <c r="S1364" s="11">
        <f>ROUND(R1364*L1364,2)</f>
        <v>515.4</v>
      </c>
      <c r="T1364" s="10" t="s">
        <v>349</v>
      </c>
      <c r="U1364" t="s">
        <v>722</v>
      </c>
    </row>
    <row r="1365" spans="1:21">
      <c r="A1365" t="s">
        <v>1965</v>
      </c>
      <c r="B1365" s="20">
        <v>45713</v>
      </c>
      <c r="C1365" s="20">
        <v>45660</v>
      </c>
      <c r="D1365" t="s">
        <v>709</v>
      </c>
      <c r="E1365" t="s">
        <v>710</v>
      </c>
      <c r="G1365" t="s">
        <v>2166</v>
      </c>
      <c r="H1365" s="15" t="s">
        <v>1684</v>
      </c>
      <c r="I1365" s="15" t="s">
        <v>1685</v>
      </c>
      <c r="J1365" s="8" t="str">
        <f>+LEFT(U1365,4)</f>
        <v>SHDL</v>
      </c>
      <c r="K1365" t="s">
        <v>10</v>
      </c>
      <c r="L1365" s="46">
        <v>1800</v>
      </c>
      <c r="M1365" t="s">
        <v>1472</v>
      </c>
      <c r="N1365" t="s">
        <v>11</v>
      </c>
      <c r="O1365" s="49">
        <v>2.6659999999999999</v>
      </c>
      <c r="P1365" s="9">
        <f>ROUND(O1365*L1365,2)</f>
        <v>4798.8</v>
      </c>
      <c r="Q1365" s="10">
        <f>IF(N1365="HKD",7.8,IF(N1365="CNY",7.30034,1))</f>
        <v>7.3003400000000003</v>
      </c>
      <c r="R1365" s="10">
        <f>+ROUND(O1365/Q1365,4)</f>
        <v>0.36520000000000002</v>
      </c>
      <c r="S1365" s="11">
        <f>ROUND(R1365*L1365,2)</f>
        <v>657.36</v>
      </c>
      <c r="T1365" s="10" t="s">
        <v>349</v>
      </c>
      <c r="U1365" t="s">
        <v>722</v>
      </c>
    </row>
    <row r="1366" spans="1:21">
      <c r="A1366" t="s">
        <v>2094</v>
      </c>
      <c r="B1366" s="20">
        <v>45713</v>
      </c>
      <c r="C1366" s="20">
        <v>45639</v>
      </c>
      <c r="D1366" t="s">
        <v>149</v>
      </c>
      <c r="E1366" t="s">
        <v>150</v>
      </c>
      <c r="G1366" t="s">
        <v>2221</v>
      </c>
      <c r="H1366" s="15" t="s">
        <v>345</v>
      </c>
      <c r="I1366" s="15" t="s">
        <v>346</v>
      </c>
      <c r="J1366" s="8" t="str">
        <f>+LEFT(U1366,4)</f>
        <v>SKU-</v>
      </c>
      <c r="K1366" t="s">
        <v>98</v>
      </c>
      <c r="L1366" s="46">
        <v>4020</v>
      </c>
      <c r="M1366" t="s">
        <v>1472</v>
      </c>
      <c r="N1366" t="s">
        <v>11</v>
      </c>
      <c r="O1366" s="49">
        <v>7.4157999999999999</v>
      </c>
      <c r="P1366" s="9">
        <f>ROUND(O1366*L1366,2)</f>
        <v>29811.52</v>
      </c>
      <c r="Q1366" s="10">
        <f>IF(N1366="HKD",7.8,IF(N1366="CNY",7.30034,1))</f>
        <v>7.3003400000000003</v>
      </c>
      <c r="R1366" s="10">
        <f>+ROUND(O1366/Q1366,4)</f>
        <v>1.0158</v>
      </c>
      <c r="S1366" s="11">
        <f>ROUND(R1366*L1366,2)</f>
        <v>4083.52</v>
      </c>
      <c r="T1366" s="10" t="s">
        <v>349</v>
      </c>
      <c r="U1366" t="s">
        <v>2</v>
      </c>
    </row>
    <row r="1367" spans="1:21">
      <c r="A1367" t="s">
        <v>2095</v>
      </c>
      <c r="B1367" s="20">
        <v>45713</v>
      </c>
      <c r="C1367" s="20">
        <v>45644</v>
      </c>
      <c r="D1367" t="s">
        <v>149</v>
      </c>
      <c r="E1367" t="s">
        <v>150</v>
      </c>
      <c r="G1367" t="s">
        <v>2221</v>
      </c>
      <c r="H1367" s="15" t="s">
        <v>345</v>
      </c>
      <c r="I1367" s="15" t="s">
        <v>346</v>
      </c>
      <c r="J1367" s="8" t="str">
        <f>+LEFT(U1367,4)</f>
        <v>SKU-</v>
      </c>
      <c r="K1367" t="s">
        <v>98</v>
      </c>
      <c r="L1367" s="46">
        <v>1740</v>
      </c>
      <c r="M1367" t="s">
        <v>1472</v>
      </c>
      <c r="N1367" t="s">
        <v>11</v>
      </c>
      <c r="O1367" s="49">
        <v>7.4157999999999999</v>
      </c>
      <c r="P1367" s="9">
        <f>ROUND(O1367*L1367,2)</f>
        <v>12903.49</v>
      </c>
      <c r="Q1367" s="10">
        <f>IF(N1367="HKD",7.8,IF(N1367="CNY",7.30034,1))</f>
        <v>7.3003400000000003</v>
      </c>
      <c r="R1367" s="10">
        <f>+ROUND(O1367/Q1367,4)</f>
        <v>1.0158</v>
      </c>
      <c r="S1367" s="11">
        <f>ROUND(R1367*L1367,2)</f>
        <v>1767.49</v>
      </c>
      <c r="T1367" s="10" t="s">
        <v>349</v>
      </c>
      <c r="U1367" t="s">
        <v>2</v>
      </c>
    </row>
    <row r="1368" spans="1:21">
      <c r="A1368" t="s">
        <v>1914</v>
      </c>
      <c r="B1368" s="20">
        <v>45713</v>
      </c>
      <c r="C1368" s="20">
        <v>45653</v>
      </c>
      <c r="D1368" t="s">
        <v>709</v>
      </c>
      <c r="E1368" t="s">
        <v>710</v>
      </c>
      <c r="G1368" t="s">
        <v>2166</v>
      </c>
      <c r="H1368" s="15" t="s">
        <v>1645</v>
      </c>
      <c r="I1368" s="15" t="s">
        <v>1646</v>
      </c>
      <c r="J1368" s="8" t="str">
        <f>+LEFT(U1368,4)</f>
        <v>T&amp;G-</v>
      </c>
      <c r="K1368" t="s">
        <v>10</v>
      </c>
      <c r="L1368" s="46">
        <v>20000</v>
      </c>
      <c r="M1368" t="s">
        <v>1472</v>
      </c>
      <c r="N1368" t="s">
        <v>11</v>
      </c>
      <c r="O1368" s="49">
        <v>1.0768</v>
      </c>
      <c r="P1368" s="9">
        <f>ROUND(O1368*L1368,2)</f>
        <v>21536</v>
      </c>
      <c r="Q1368" s="10">
        <f>IF(N1368="HKD",7.8,IF(N1368="CNY",7.30034,1))</f>
        <v>7.3003400000000003</v>
      </c>
      <c r="R1368" s="10">
        <f>+ROUND(O1368/Q1368,4)</f>
        <v>0.14749999999999999</v>
      </c>
      <c r="S1368" s="11">
        <f>ROUND(R1368*L1368,2)</f>
        <v>2950</v>
      </c>
      <c r="T1368" s="10" t="s">
        <v>349</v>
      </c>
      <c r="U1368" t="s">
        <v>2245</v>
      </c>
    </row>
    <row r="1369" spans="1:21">
      <c r="A1369" t="s">
        <v>2121</v>
      </c>
      <c r="B1369" s="20">
        <v>45712</v>
      </c>
      <c r="C1369" s="20">
        <v>45709</v>
      </c>
      <c r="D1369" t="s">
        <v>2261</v>
      </c>
      <c r="E1369" t="s">
        <v>2262</v>
      </c>
      <c r="G1369" t="s">
        <v>2233</v>
      </c>
      <c r="H1369" s="15" t="s">
        <v>1819</v>
      </c>
      <c r="I1369" s="15" t="s">
        <v>1820</v>
      </c>
      <c r="J1369" s="8" t="str">
        <f>+LEFT(U1369,4)</f>
        <v>ALM-</v>
      </c>
      <c r="K1369" t="s">
        <v>10</v>
      </c>
      <c r="L1369" s="46">
        <v>34295</v>
      </c>
      <c r="M1369" t="s">
        <v>186</v>
      </c>
      <c r="N1369" t="s">
        <v>11</v>
      </c>
      <c r="O1369" s="49">
        <v>18.380500000000001</v>
      </c>
      <c r="P1369" s="9">
        <f>ROUND(O1369*L1369,2)</f>
        <v>630359.25</v>
      </c>
      <c r="Q1369" s="10">
        <f>IF(N1369="HKD",7.8,IF(N1369="CNY",7.30034,1))</f>
        <v>7.3003400000000003</v>
      </c>
      <c r="R1369" s="10">
        <f>+ROUND(O1369/Q1369,4)</f>
        <v>2.5177999999999998</v>
      </c>
      <c r="S1369" s="11">
        <f>ROUND(R1369*L1369,2)</f>
        <v>86347.95</v>
      </c>
      <c r="T1369" s="10" t="s">
        <v>349</v>
      </c>
      <c r="U1369" t="s">
        <v>191</v>
      </c>
    </row>
    <row r="1370" spans="1:21">
      <c r="A1370" t="s">
        <v>1897</v>
      </c>
      <c r="B1370" s="20">
        <v>45712</v>
      </c>
      <c r="C1370" s="20">
        <v>45671</v>
      </c>
      <c r="D1370" t="s">
        <v>28</v>
      </c>
      <c r="E1370" t="s">
        <v>29</v>
      </c>
      <c r="G1370" t="s">
        <v>2151</v>
      </c>
      <c r="H1370" s="15" t="s">
        <v>1170</v>
      </c>
      <c r="I1370" s="15" t="s">
        <v>1171</v>
      </c>
      <c r="J1370" s="8" t="str">
        <f>+LEFT(U1370,4)</f>
        <v>BRKT</v>
      </c>
      <c r="K1370" t="s">
        <v>10</v>
      </c>
      <c r="L1370" s="46">
        <v>8500</v>
      </c>
      <c r="M1370" t="s">
        <v>1472</v>
      </c>
      <c r="N1370" t="s">
        <v>11</v>
      </c>
      <c r="O1370" s="49">
        <v>0.5877</v>
      </c>
      <c r="P1370" s="9">
        <f>ROUND(O1370*L1370,2)</f>
        <v>4995.45</v>
      </c>
      <c r="Q1370" s="10">
        <f>IF(N1370="HKD",7.8,IF(N1370="CNY",7.30034,1))</f>
        <v>7.3003400000000003</v>
      </c>
      <c r="R1370" s="10">
        <f>+ROUND(O1370/Q1370,4)</f>
        <v>8.0500000000000002E-2</v>
      </c>
      <c r="S1370" s="11">
        <f>ROUND(R1370*L1370,2)</f>
        <v>684.25</v>
      </c>
      <c r="T1370" s="10" t="s">
        <v>349</v>
      </c>
      <c r="U1370" t="s">
        <v>442</v>
      </c>
    </row>
    <row r="1371" spans="1:21">
      <c r="A1371" t="s">
        <v>1898</v>
      </c>
      <c r="B1371" s="20">
        <v>45712</v>
      </c>
      <c r="C1371" s="20">
        <v>45670</v>
      </c>
      <c r="D1371" t="s">
        <v>28</v>
      </c>
      <c r="E1371" t="s">
        <v>29</v>
      </c>
      <c r="G1371" t="s">
        <v>2151</v>
      </c>
      <c r="H1371" s="15" t="s">
        <v>1170</v>
      </c>
      <c r="I1371" s="15" t="s">
        <v>1171</v>
      </c>
      <c r="J1371" s="8" t="str">
        <f>+LEFT(U1371,4)</f>
        <v>BRKT</v>
      </c>
      <c r="K1371" t="s">
        <v>10</v>
      </c>
      <c r="L1371" s="46">
        <v>2000</v>
      </c>
      <c r="M1371" t="s">
        <v>1472</v>
      </c>
      <c r="N1371" t="s">
        <v>11</v>
      </c>
      <c r="O1371" s="49">
        <v>0.59379999999999999</v>
      </c>
      <c r="P1371" s="9">
        <f>ROUND(O1371*L1371,2)</f>
        <v>1187.5999999999999</v>
      </c>
      <c r="Q1371" s="10">
        <f>IF(N1371="HKD",7.8,IF(N1371="CNY",7.30034,1))</f>
        <v>7.3003400000000003</v>
      </c>
      <c r="R1371" s="10">
        <f>+ROUND(O1371/Q1371,4)</f>
        <v>8.1299999999999997E-2</v>
      </c>
      <c r="S1371" s="11">
        <f>ROUND(R1371*L1371,2)</f>
        <v>162.6</v>
      </c>
      <c r="T1371" s="10" t="s">
        <v>349</v>
      </c>
      <c r="U1371" t="s">
        <v>442</v>
      </c>
    </row>
    <row r="1372" spans="1:21">
      <c r="A1372" t="s">
        <v>1899</v>
      </c>
      <c r="B1372" s="20">
        <v>45712</v>
      </c>
      <c r="C1372" s="20">
        <v>45695</v>
      </c>
      <c r="D1372" t="s">
        <v>28</v>
      </c>
      <c r="E1372" t="s">
        <v>29</v>
      </c>
      <c r="G1372" t="s">
        <v>2151</v>
      </c>
      <c r="H1372" s="15" t="s">
        <v>1170</v>
      </c>
      <c r="I1372" s="15" t="s">
        <v>1171</v>
      </c>
      <c r="J1372" s="8" t="str">
        <f>+LEFT(U1372,4)</f>
        <v>BRKT</v>
      </c>
      <c r="K1372" t="s">
        <v>10</v>
      </c>
      <c r="L1372" s="46">
        <v>4000</v>
      </c>
      <c r="M1372" t="s">
        <v>1472</v>
      </c>
      <c r="N1372" t="s">
        <v>11</v>
      </c>
      <c r="O1372" s="49">
        <v>0.59379999999999999</v>
      </c>
      <c r="P1372" s="9">
        <f>ROUND(O1372*L1372,2)</f>
        <v>2375.1999999999998</v>
      </c>
      <c r="Q1372" s="10">
        <f>IF(N1372="HKD",7.8,IF(N1372="CNY",7.30034,1))</f>
        <v>7.3003400000000003</v>
      </c>
      <c r="R1372" s="10">
        <f>+ROUND(O1372/Q1372,4)</f>
        <v>8.1299999999999997E-2</v>
      </c>
      <c r="S1372" s="11">
        <f>ROUND(R1372*L1372,2)</f>
        <v>325.2</v>
      </c>
      <c r="T1372" s="10" t="s">
        <v>349</v>
      </c>
      <c r="U1372" t="s">
        <v>442</v>
      </c>
    </row>
    <row r="1373" spans="1:21">
      <c r="A1373" t="s">
        <v>1901</v>
      </c>
      <c r="B1373" s="20">
        <v>45712</v>
      </c>
      <c r="C1373" s="20">
        <v>45670</v>
      </c>
      <c r="D1373" t="s">
        <v>21</v>
      </c>
      <c r="E1373" t="s">
        <v>22</v>
      </c>
      <c r="G1373" t="s">
        <v>2161</v>
      </c>
      <c r="H1373" s="15" t="s">
        <v>1631</v>
      </c>
      <c r="I1373" s="15" t="s">
        <v>1632</v>
      </c>
      <c r="J1373" s="8" t="str">
        <f>+LEFT(U1373,4)</f>
        <v>BRKT</v>
      </c>
      <c r="K1373" t="s">
        <v>10</v>
      </c>
      <c r="L1373" s="46">
        <v>1050</v>
      </c>
      <c r="M1373" t="s">
        <v>1472</v>
      </c>
      <c r="N1373" t="s">
        <v>11</v>
      </c>
      <c r="O1373" s="49">
        <v>0.63419999999999999</v>
      </c>
      <c r="P1373" s="9">
        <f>ROUND(O1373*L1373,2)</f>
        <v>665.91</v>
      </c>
      <c r="Q1373" s="10">
        <f>IF(N1373="HKD",7.8,IF(N1373="CNY",7.30034,1))</f>
        <v>7.3003400000000003</v>
      </c>
      <c r="R1373" s="10">
        <f>+ROUND(O1373/Q1373,4)</f>
        <v>8.6900000000000005E-2</v>
      </c>
      <c r="S1373" s="11">
        <f>ROUND(R1373*L1373,2)</f>
        <v>91.25</v>
      </c>
      <c r="T1373" s="10" t="s">
        <v>349</v>
      </c>
      <c r="U1373" t="s">
        <v>442</v>
      </c>
    </row>
    <row r="1374" spans="1:21">
      <c r="A1374" t="s">
        <v>1903</v>
      </c>
      <c r="B1374" s="20">
        <v>45712</v>
      </c>
      <c r="C1374" s="20">
        <v>45695</v>
      </c>
      <c r="D1374" t="s">
        <v>28</v>
      </c>
      <c r="E1374" t="s">
        <v>29</v>
      </c>
      <c r="G1374" t="s">
        <v>2158</v>
      </c>
      <c r="H1374" s="15" t="s">
        <v>1152</v>
      </c>
      <c r="I1374" s="15" t="s">
        <v>1153</v>
      </c>
      <c r="J1374" s="8" t="str">
        <f>+LEFT(U1374,4)</f>
        <v>BRKT</v>
      </c>
      <c r="K1374" t="s">
        <v>10</v>
      </c>
      <c r="L1374" s="46">
        <v>1850</v>
      </c>
      <c r="M1374" t="s">
        <v>1472</v>
      </c>
      <c r="N1374" t="s">
        <v>11</v>
      </c>
      <c r="O1374" s="49">
        <v>0.6522</v>
      </c>
      <c r="P1374" s="9">
        <f>ROUND(O1374*L1374,2)</f>
        <v>1206.57</v>
      </c>
      <c r="Q1374" s="10">
        <f>IF(N1374="HKD",7.8,IF(N1374="CNY",7.30034,1))</f>
        <v>7.3003400000000003</v>
      </c>
      <c r="R1374" s="10">
        <f>+ROUND(O1374/Q1374,4)</f>
        <v>8.9300000000000004E-2</v>
      </c>
      <c r="S1374" s="11">
        <f>ROUND(R1374*L1374,2)</f>
        <v>165.21</v>
      </c>
      <c r="T1374" s="10" t="s">
        <v>349</v>
      </c>
      <c r="U1374" t="s">
        <v>442</v>
      </c>
    </row>
    <row r="1375" spans="1:21">
      <c r="A1375" t="s">
        <v>2126</v>
      </c>
      <c r="B1375" s="20">
        <v>45712</v>
      </c>
      <c r="C1375" s="20">
        <v>45698</v>
      </c>
      <c r="D1375" t="s">
        <v>2265</v>
      </c>
      <c r="E1375" t="s">
        <v>312</v>
      </c>
      <c r="G1375" t="s">
        <v>2238</v>
      </c>
      <c r="H1375" s="15" t="s">
        <v>1823</v>
      </c>
      <c r="I1375" s="15" t="s">
        <v>1824</v>
      </c>
      <c r="J1375" s="8" t="str">
        <f>+LEFT(U1375,4)</f>
        <v>EXM-</v>
      </c>
      <c r="K1375" t="s">
        <v>10</v>
      </c>
      <c r="L1375" s="46">
        <v>25</v>
      </c>
      <c r="M1375" t="s">
        <v>186</v>
      </c>
      <c r="N1375" t="s">
        <v>11</v>
      </c>
      <c r="O1375" s="49">
        <v>90.796499999999995</v>
      </c>
      <c r="P1375" s="9">
        <f>ROUND(O1375*L1375,2)</f>
        <v>2269.91</v>
      </c>
      <c r="Q1375" s="10">
        <f>IF(N1375="HKD",7.8,IF(N1375="CNY",7.30034,1))</f>
        <v>7.3003400000000003</v>
      </c>
      <c r="R1375" s="10">
        <f>+ROUND(O1375/Q1375,4)</f>
        <v>12.4373</v>
      </c>
      <c r="S1375" s="11">
        <f>ROUND(R1375*L1375,2)</f>
        <v>310.93</v>
      </c>
      <c r="T1375" s="10" t="s">
        <v>349</v>
      </c>
      <c r="U1375" t="s">
        <v>315</v>
      </c>
    </row>
    <row r="1376" spans="1:21">
      <c r="A1376" t="s">
        <v>2136</v>
      </c>
      <c r="B1376" s="20">
        <v>45712</v>
      </c>
      <c r="C1376" s="20">
        <v>45678</v>
      </c>
      <c r="D1376" t="s">
        <v>311</v>
      </c>
      <c r="E1376" t="s">
        <v>312</v>
      </c>
      <c r="G1376" t="s">
        <v>2244</v>
      </c>
      <c r="H1376" s="15" t="s">
        <v>316</v>
      </c>
      <c r="I1376" s="15" t="s">
        <v>317</v>
      </c>
      <c r="J1376" s="8" t="str">
        <f>+LEFT(U1376,4)</f>
        <v>EXM-</v>
      </c>
      <c r="K1376" t="s">
        <v>10</v>
      </c>
      <c r="L1376" s="46">
        <v>75</v>
      </c>
      <c r="M1376" t="s">
        <v>186</v>
      </c>
      <c r="N1376" t="s">
        <v>11</v>
      </c>
      <c r="O1376" s="49">
        <v>117.3451</v>
      </c>
      <c r="P1376" s="9">
        <f>ROUND(O1376*L1376,2)</f>
        <v>8800.8799999999992</v>
      </c>
      <c r="Q1376" s="10">
        <f>IF(N1376="HKD",7.8,IF(N1376="CNY",7.30034,1))</f>
        <v>7.3003400000000003</v>
      </c>
      <c r="R1376" s="10">
        <f>+ROUND(O1376/Q1376,4)</f>
        <v>16.073899999999998</v>
      </c>
      <c r="S1376" s="11">
        <f>ROUND(R1376*L1376,2)</f>
        <v>1205.54</v>
      </c>
      <c r="T1376" s="10" t="s">
        <v>349</v>
      </c>
      <c r="U1376" t="s">
        <v>315</v>
      </c>
    </row>
    <row r="1377" spans="1:21">
      <c r="A1377" t="s">
        <v>1893</v>
      </c>
      <c r="B1377" s="20">
        <v>45712</v>
      </c>
      <c r="C1377" s="20">
        <v>45695</v>
      </c>
      <c r="D1377" t="s">
        <v>28</v>
      </c>
      <c r="E1377" t="s">
        <v>29</v>
      </c>
      <c r="G1377" t="s">
        <v>2158</v>
      </c>
      <c r="H1377" s="15" t="s">
        <v>1629</v>
      </c>
      <c r="I1377" s="15" t="s">
        <v>1630</v>
      </c>
      <c r="J1377" s="8" t="str">
        <f>+LEFT(U1377,4)</f>
        <v>FG--</v>
      </c>
      <c r="K1377" t="s">
        <v>10</v>
      </c>
      <c r="L1377" s="46">
        <v>2000</v>
      </c>
      <c r="M1377" t="s">
        <v>1472</v>
      </c>
      <c r="N1377" t="s">
        <v>11</v>
      </c>
      <c r="O1377" s="49">
        <v>0.47620000000000001</v>
      </c>
      <c r="P1377" s="9">
        <f>ROUND(O1377*L1377,2)</f>
        <v>952.4</v>
      </c>
      <c r="Q1377" s="10">
        <f>IF(N1377="HKD",7.8,IF(N1377="CNY",7.30034,1))</f>
        <v>7.3003400000000003</v>
      </c>
      <c r="R1377" s="10">
        <f>+ROUND(O1377/Q1377,4)</f>
        <v>6.5199999999999994E-2</v>
      </c>
      <c r="S1377" s="11">
        <f>ROUND(R1377*L1377,2)</f>
        <v>130.4</v>
      </c>
      <c r="T1377" s="10" t="s">
        <v>349</v>
      </c>
      <c r="U1377" t="s">
        <v>64</v>
      </c>
    </row>
    <row r="1378" spans="1:21">
      <c r="A1378" t="s">
        <v>1911</v>
      </c>
      <c r="B1378" s="20">
        <v>45712</v>
      </c>
      <c r="C1378" s="20">
        <v>45698</v>
      </c>
      <c r="D1378" t="s">
        <v>28</v>
      </c>
      <c r="E1378" t="s">
        <v>29</v>
      </c>
      <c r="G1378" t="s">
        <v>2158</v>
      </c>
      <c r="H1378" s="15" t="s">
        <v>1643</v>
      </c>
      <c r="I1378" s="15" t="s">
        <v>1644</v>
      </c>
      <c r="J1378" s="8" t="str">
        <f>+LEFT(U1378,4)</f>
        <v>FG--</v>
      </c>
      <c r="K1378" t="s">
        <v>10</v>
      </c>
      <c r="L1378" s="46">
        <v>1350</v>
      </c>
      <c r="M1378" t="s">
        <v>1472</v>
      </c>
      <c r="N1378" t="s">
        <v>11</v>
      </c>
      <c r="O1378" s="49">
        <v>0.97430000000000005</v>
      </c>
      <c r="P1378" s="9">
        <f>ROUND(O1378*L1378,2)</f>
        <v>1315.31</v>
      </c>
      <c r="Q1378" s="10">
        <f>IF(N1378="HKD",7.8,IF(N1378="CNY",7.30034,1))</f>
        <v>7.3003400000000003</v>
      </c>
      <c r="R1378" s="10">
        <f>+ROUND(O1378/Q1378,4)</f>
        <v>0.13350000000000001</v>
      </c>
      <c r="S1378" s="11">
        <f>ROUND(R1378*L1378,2)</f>
        <v>180.23</v>
      </c>
      <c r="T1378" s="10" t="s">
        <v>349</v>
      </c>
      <c r="U1378" t="s">
        <v>64</v>
      </c>
    </row>
    <row r="1379" spans="1:21">
      <c r="A1379" t="s">
        <v>1918</v>
      </c>
      <c r="B1379" s="20">
        <v>45712</v>
      </c>
      <c r="C1379" s="20">
        <v>45670</v>
      </c>
      <c r="D1379" t="s">
        <v>28</v>
      </c>
      <c r="E1379" t="s">
        <v>29</v>
      </c>
      <c r="G1379" t="s">
        <v>2158</v>
      </c>
      <c r="H1379" s="15" t="s">
        <v>1167</v>
      </c>
      <c r="I1379" s="15" t="s">
        <v>1168</v>
      </c>
      <c r="J1379" s="8" t="str">
        <f>+LEFT(U1379,4)</f>
        <v>FG--</v>
      </c>
      <c r="K1379" t="s">
        <v>10</v>
      </c>
      <c r="L1379" s="46">
        <v>2010</v>
      </c>
      <c r="M1379" t="s">
        <v>1472</v>
      </c>
      <c r="N1379" t="s">
        <v>11</v>
      </c>
      <c r="O1379" s="49">
        <v>1.2692000000000001</v>
      </c>
      <c r="P1379" s="9">
        <f>ROUND(O1379*L1379,2)</f>
        <v>2551.09</v>
      </c>
      <c r="Q1379" s="10">
        <f>IF(N1379="HKD",7.8,IF(N1379="CNY",7.30034,1))</f>
        <v>7.3003400000000003</v>
      </c>
      <c r="R1379" s="10">
        <f>+ROUND(O1379/Q1379,4)</f>
        <v>0.1739</v>
      </c>
      <c r="S1379" s="11">
        <f>ROUND(R1379*L1379,2)</f>
        <v>349.54</v>
      </c>
      <c r="T1379" s="10" t="s">
        <v>349</v>
      </c>
      <c r="U1379" t="s">
        <v>64</v>
      </c>
    </row>
    <row r="1380" spans="1:21">
      <c r="A1380" t="s">
        <v>1926</v>
      </c>
      <c r="B1380" s="20">
        <v>45712</v>
      </c>
      <c r="C1380" s="20">
        <v>45671</v>
      </c>
      <c r="D1380" t="s">
        <v>28</v>
      </c>
      <c r="E1380" t="s">
        <v>29</v>
      </c>
      <c r="G1380" t="s">
        <v>2158</v>
      </c>
      <c r="H1380" s="15" t="s">
        <v>1158</v>
      </c>
      <c r="I1380" s="15" t="s">
        <v>1159</v>
      </c>
      <c r="J1380" s="8" t="str">
        <f>+LEFT(U1380,4)</f>
        <v>FG--</v>
      </c>
      <c r="K1380" t="s">
        <v>10</v>
      </c>
      <c r="L1380" s="46">
        <v>3100</v>
      </c>
      <c r="M1380" t="s">
        <v>1472</v>
      </c>
      <c r="N1380" t="s">
        <v>11</v>
      </c>
      <c r="O1380" s="49">
        <v>1.3540000000000001</v>
      </c>
      <c r="P1380" s="9">
        <f>ROUND(O1380*L1380,2)</f>
        <v>4197.3999999999996</v>
      </c>
      <c r="Q1380" s="10">
        <f>IF(N1380="HKD",7.8,IF(N1380="CNY",7.30034,1))</f>
        <v>7.3003400000000003</v>
      </c>
      <c r="R1380" s="10">
        <f>+ROUND(O1380/Q1380,4)</f>
        <v>0.1855</v>
      </c>
      <c r="S1380" s="11">
        <f>ROUND(R1380*L1380,2)</f>
        <v>575.04999999999995</v>
      </c>
      <c r="T1380" s="10" t="s">
        <v>349</v>
      </c>
      <c r="U1380" t="s">
        <v>64</v>
      </c>
    </row>
    <row r="1381" spans="1:21">
      <c r="A1381" t="s">
        <v>2106</v>
      </c>
      <c r="B1381" s="20">
        <v>45712</v>
      </c>
      <c r="C1381" s="20">
        <v>45673</v>
      </c>
      <c r="D1381" t="s">
        <v>287</v>
      </c>
      <c r="E1381" t="s">
        <v>288</v>
      </c>
      <c r="G1381" t="s">
        <v>2226</v>
      </c>
      <c r="H1381" s="15" t="s">
        <v>71</v>
      </c>
      <c r="I1381" s="15" t="s">
        <v>72</v>
      </c>
      <c r="J1381" s="8" t="s">
        <v>1478</v>
      </c>
      <c r="K1381" t="s">
        <v>10</v>
      </c>
      <c r="L1381" s="46">
        <v>1000</v>
      </c>
      <c r="M1381" t="s">
        <v>1472</v>
      </c>
      <c r="N1381" t="s">
        <v>11</v>
      </c>
      <c r="O1381" s="49">
        <v>8.15</v>
      </c>
      <c r="P1381" s="9">
        <f>ROUND(O1381*L1381,2)</f>
        <v>8150</v>
      </c>
      <c r="Q1381" s="10">
        <f>IF(N1381="HKD",7.8,IF(N1381="CNY",7.30034,1))</f>
        <v>7.3003400000000003</v>
      </c>
      <c r="R1381" s="10">
        <f>+ROUND(O1381/Q1381,4)</f>
        <v>1.1164000000000001</v>
      </c>
      <c r="S1381" s="11">
        <f>ROUND(R1381*L1381,2)</f>
        <v>1116.4000000000001</v>
      </c>
      <c r="T1381" s="10" t="s">
        <v>349</v>
      </c>
      <c r="U1381" t="s">
        <v>36</v>
      </c>
    </row>
    <row r="1382" spans="1:21">
      <c r="A1382" t="s">
        <v>1956</v>
      </c>
      <c r="B1382" s="20">
        <v>45712</v>
      </c>
      <c r="C1382" s="20">
        <v>45695</v>
      </c>
      <c r="D1382" t="s">
        <v>651</v>
      </c>
      <c r="E1382" t="s">
        <v>652</v>
      </c>
      <c r="G1382" t="s">
        <v>2177</v>
      </c>
      <c r="H1382" s="15" t="s">
        <v>1674</v>
      </c>
      <c r="I1382" s="15" t="s">
        <v>1675</v>
      </c>
      <c r="J1382" s="8" t="str">
        <f>+LEFT(U1382,4)</f>
        <v>HDL-</v>
      </c>
      <c r="K1382" t="s">
        <v>10</v>
      </c>
      <c r="L1382" s="46">
        <v>1300</v>
      </c>
      <c r="M1382" t="s">
        <v>1472</v>
      </c>
      <c r="N1382" t="s">
        <v>11</v>
      </c>
      <c r="O1382" s="49">
        <v>2.1269999999999998</v>
      </c>
      <c r="P1382" s="9">
        <f>ROUND(O1382*L1382,2)</f>
        <v>2765.1</v>
      </c>
      <c r="Q1382" s="10">
        <f>IF(N1382="HKD",7.8,IF(N1382="CNY",7.30034,1))</f>
        <v>7.3003400000000003</v>
      </c>
      <c r="R1382" s="10">
        <f>+ROUND(O1382/Q1382,4)</f>
        <v>0.29139999999999999</v>
      </c>
      <c r="S1382" s="11">
        <f>ROUND(R1382*L1382,2)</f>
        <v>378.82</v>
      </c>
      <c r="T1382" s="10" t="s">
        <v>349</v>
      </c>
      <c r="U1382" t="s">
        <v>228</v>
      </c>
    </row>
    <row r="1383" spans="1:21">
      <c r="A1383" t="s">
        <v>1957</v>
      </c>
      <c r="B1383" s="20">
        <v>45712</v>
      </c>
      <c r="C1383" s="20">
        <v>45698</v>
      </c>
      <c r="D1383" t="s">
        <v>651</v>
      </c>
      <c r="E1383" t="s">
        <v>652</v>
      </c>
      <c r="G1383" t="s">
        <v>2177</v>
      </c>
      <c r="H1383" s="15" t="s">
        <v>1674</v>
      </c>
      <c r="I1383" s="15" t="s">
        <v>1675</v>
      </c>
      <c r="J1383" s="8" t="str">
        <f>+LEFT(U1383,4)</f>
        <v>HDL-</v>
      </c>
      <c r="K1383" t="s">
        <v>10</v>
      </c>
      <c r="L1383" s="46">
        <v>500</v>
      </c>
      <c r="M1383" t="s">
        <v>1472</v>
      </c>
      <c r="N1383" t="s">
        <v>11</v>
      </c>
      <c r="O1383" s="49">
        <v>2.1269999999999998</v>
      </c>
      <c r="P1383" s="9">
        <f>ROUND(O1383*L1383,2)</f>
        <v>1063.5</v>
      </c>
      <c r="Q1383" s="10">
        <f>IF(N1383="HKD",7.8,IF(N1383="CNY",7.30034,1))</f>
        <v>7.3003400000000003</v>
      </c>
      <c r="R1383" s="10">
        <f>+ROUND(O1383/Q1383,4)</f>
        <v>0.29139999999999999</v>
      </c>
      <c r="S1383" s="11">
        <f>ROUND(R1383*L1383,2)</f>
        <v>145.69999999999999</v>
      </c>
      <c r="T1383" s="10" t="s">
        <v>349</v>
      </c>
      <c r="U1383" t="s">
        <v>228</v>
      </c>
    </row>
    <row r="1384" spans="1:21">
      <c r="A1384" t="s">
        <v>1959</v>
      </c>
      <c r="B1384" s="20">
        <v>45712</v>
      </c>
      <c r="C1384" s="20">
        <v>45695</v>
      </c>
      <c r="D1384" t="s">
        <v>651</v>
      </c>
      <c r="E1384" t="s">
        <v>652</v>
      </c>
      <c r="G1384" t="s">
        <v>2177</v>
      </c>
      <c r="H1384" s="15" t="s">
        <v>1678</v>
      </c>
      <c r="I1384" s="15" t="s">
        <v>1679</v>
      </c>
      <c r="J1384" s="8" t="str">
        <f>+LEFT(U1384,4)</f>
        <v>HDL-</v>
      </c>
      <c r="K1384" t="s">
        <v>10</v>
      </c>
      <c r="L1384" s="46">
        <v>950</v>
      </c>
      <c r="M1384" t="s">
        <v>1472</v>
      </c>
      <c r="N1384" t="s">
        <v>11</v>
      </c>
      <c r="O1384" s="49">
        <v>2.2766999999999999</v>
      </c>
      <c r="P1384" s="9">
        <f>ROUND(O1384*L1384,2)</f>
        <v>2162.87</v>
      </c>
      <c r="Q1384" s="10">
        <f>IF(N1384="HKD",7.8,IF(N1384="CNY",7.30034,1))</f>
        <v>7.3003400000000003</v>
      </c>
      <c r="R1384" s="10">
        <f>+ROUND(O1384/Q1384,4)</f>
        <v>0.31190000000000001</v>
      </c>
      <c r="S1384" s="11">
        <f>ROUND(R1384*L1384,2)</f>
        <v>296.31</v>
      </c>
      <c r="T1384" s="10" t="s">
        <v>349</v>
      </c>
      <c r="U1384" t="s">
        <v>228</v>
      </c>
    </row>
    <row r="1385" spans="1:21">
      <c r="A1385" t="s">
        <v>2123</v>
      </c>
      <c r="B1385" s="20">
        <v>45712</v>
      </c>
      <c r="C1385" s="20">
        <v>45671</v>
      </c>
      <c r="D1385" t="s">
        <v>311</v>
      </c>
      <c r="E1385" t="s">
        <v>312</v>
      </c>
      <c r="G1385" t="s">
        <v>2235</v>
      </c>
      <c r="H1385" s="15" t="s">
        <v>341</v>
      </c>
      <c r="I1385" s="15" t="s">
        <v>342</v>
      </c>
      <c r="J1385" s="8" t="str">
        <f>+LEFT(U1385,4)</f>
        <v>INM-</v>
      </c>
      <c r="K1385" t="s">
        <v>10</v>
      </c>
      <c r="L1385" s="46">
        <v>50</v>
      </c>
      <c r="M1385" t="s">
        <v>186</v>
      </c>
      <c r="N1385" t="s">
        <v>11</v>
      </c>
      <c r="O1385" s="49">
        <v>63.008800000000001</v>
      </c>
      <c r="P1385" s="9">
        <f>ROUND(O1385*L1385,2)</f>
        <v>3150.44</v>
      </c>
      <c r="Q1385" s="10">
        <f>IF(N1385="HKD",7.8,IF(N1385="CNY",7.30034,1))</f>
        <v>7.3003400000000003</v>
      </c>
      <c r="R1385" s="10">
        <f>+ROUND(O1385/Q1385,4)</f>
        <v>8.6309000000000005</v>
      </c>
      <c r="S1385" s="11">
        <f>ROUND(R1385*L1385,2)</f>
        <v>431.55</v>
      </c>
      <c r="T1385" s="10" t="s">
        <v>349</v>
      </c>
      <c r="U1385" t="s">
        <v>327</v>
      </c>
    </row>
    <row r="1386" spans="1:21">
      <c r="A1386" t="s">
        <v>2124</v>
      </c>
      <c r="B1386" s="20">
        <v>45712</v>
      </c>
      <c r="C1386" s="20">
        <v>45699</v>
      </c>
      <c r="D1386" t="s">
        <v>311</v>
      </c>
      <c r="E1386" t="s">
        <v>312</v>
      </c>
      <c r="G1386" t="s">
        <v>2236</v>
      </c>
      <c r="H1386" s="15" t="s">
        <v>341</v>
      </c>
      <c r="I1386" s="15" t="s">
        <v>342</v>
      </c>
      <c r="J1386" s="8" t="str">
        <f>+LEFT(U1386,4)</f>
        <v>INM-</v>
      </c>
      <c r="K1386" t="s">
        <v>10</v>
      </c>
      <c r="L1386" s="46">
        <v>50</v>
      </c>
      <c r="M1386" t="s">
        <v>186</v>
      </c>
      <c r="N1386" t="s">
        <v>11</v>
      </c>
      <c r="O1386" s="49">
        <v>63.008800000000001</v>
      </c>
      <c r="P1386" s="9">
        <f>ROUND(O1386*L1386,2)</f>
        <v>3150.44</v>
      </c>
      <c r="Q1386" s="10">
        <f>IF(N1386="HKD",7.8,IF(N1386="CNY",7.30034,1))</f>
        <v>7.3003400000000003</v>
      </c>
      <c r="R1386" s="10">
        <f>+ROUND(O1386/Q1386,4)</f>
        <v>8.6309000000000005</v>
      </c>
      <c r="S1386" s="11">
        <f>ROUND(R1386*L1386,2)</f>
        <v>431.55</v>
      </c>
      <c r="T1386" s="10" t="s">
        <v>349</v>
      </c>
      <c r="U1386" t="s">
        <v>327</v>
      </c>
    </row>
    <row r="1387" spans="1:21">
      <c r="A1387" t="s">
        <v>2127</v>
      </c>
      <c r="B1387" s="20">
        <v>45712</v>
      </c>
      <c r="C1387" s="20">
        <v>45671</v>
      </c>
      <c r="D1387" t="s">
        <v>311</v>
      </c>
      <c r="E1387" t="s">
        <v>312</v>
      </c>
      <c r="G1387" t="s">
        <v>2235</v>
      </c>
      <c r="H1387" s="15" t="s">
        <v>662</v>
      </c>
      <c r="I1387" s="15" t="s">
        <v>663</v>
      </c>
      <c r="J1387" s="8" t="str">
        <f>+LEFT(U1387,4)</f>
        <v>INM-</v>
      </c>
      <c r="K1387" t="s">
        <v>10</v>
      </c>
      <c r="L1387" s="46">
        <v>75</v>
      </c>
      <c r="M1387" t="s">
        <v>186</v>
      </c>
      <c r="N1387" t="s">
        <v>11</v>
      </c>
      <c r="O1387" s="49">
        <v>92.743399999999994</v>
      </c>
      <c r="P1387" s="9">
        <f>ROUND(O1387*L1387,2)</f>
        <v>6955.76</v>
      </c>
      <c r="Q1387" s="10">
        <f>IF(N1387="HKD",7.8,IF(N1387="CNY",7.30034,1))</f>
        <v>7.3003400000000003</v>
      </c>
      <c r="R1387" s="10">
        <f>+ROUND(O1387/Q1387,4)</f>
        <v>12.704000000000001</v>
      </c>
      <c r="S1387" s="11">
        <f>ROUND(R1387*L1387,2)</f>
        <v>952.8</v>
      </c>
      <c r="T1387" s="10" t="s">
        <v>349</v>
      </c>
      <c r="U1387" t="s">
        <v>327</v>
      </c>
    </row>
    <row r="1388" spans="1:21">
      <c r="A1388" t="s">
        <v>2128</v>
      </c>
      <c r="B1388" s="20">
        <v>45712</v>
      </c>
      <c r="C1388" s="20">
        <v>45678</v>
      </c>
      <c r="D1388" t="s">
        <v>311</v>
      </c>
      <c r="E1388" t="s">
        <v>312</v>
      </c>
      <c r="G1388" t="s">
        <v>2239</v>
      </c>
      <c r="H1388" s="15" t="s">
        <v>662</v>
      </c>
      <c r="I1388" s="15" t="s">
        <v>663</v>
      </c>
      <c r="J1388" s="8" t="str">
        <f>+LEFT(U1388,4)</f>
        <v>INM-</v>
      </c>
      <c r="K1388" t="s">
        <v>10</v>
      </c>
      <c r="L1388" s="46">
        <v>25</v>
      </c>
      <c r="M1388" t="s">
        <v>186</v>
      </c>
      <c r="N1388" t="s">
        <v>11</v>
      </c>
      <c r="O1388" s="49">
        <v>92.743399999999994</v>
      </c>
      <c r="P1388" s="9">
        <f>ROUND(O1388*L1388,2)</f>
        <v>2318.59</v>
      </c>
      <c r="Q1388" s="10">
        <f>IF(N1388="HKD",7.8,IF(N1388="CNY",7.30034,1))</f>
        <v>7.3003400000000003</v>
      </c>
      <c r="R1388" s="10">
        <f>+ROUND(O1388/Q1388,4)</f>
        <v>12.704000000000001</v>
      </c>
      <c r="S1388" s="11">
        <f>ROUND(R1388*L1388,2)</f>
        <v>317.60000000000002</v>
      </c>
      <c r="T1388" s="10" t="s">
        <v>349</v>
      </c>
      <c r="U1388" t="s">
        <v>327</v>
      </c>
    </row>
    <row r="1389" spans="1:21">
      <c r="A1389" t="s">
        <v>2129</v>
      </c>
      <c r="B1389" s="20">
        <v>45712</v>
      </c>
      <c r="C1389" s="20">
        <v>45695</v>
      </c>
      <c r="D1389" t="s">
        <v>311</v>
      </c>
      <c r="E1389" t="s">
        <v>312</v>
      </c>
      <c r="G1389" t="s">
        <v>2240</v>
      </c>
      <c r="H1389" s="15" t="s">
        <v>662</v>
      </c>
      <c r="I1389" s="15" t="s">
        <v>663</v>
      </c>
      <c r="J1389" s="8" t="str">
        <f>+LEFT(U1389,4)</f>
        <v>INM-</v>
      </c>
      <c r="K1389" t="s">
        <v>10</v>
      </c>
      <c r="L1389" s="46">
        <v>100</v>
      </c>
      <c r="M1389" t="s">
        <v>186</v>
      </c>
      <c r="N1389" t="s">
        <v>11</v>
      </c>
      <c r="O1389" s="49">
        <v>92.743399999999994</v>
      </c>
      <c r="P1389" s="9">
        <f>ROUND(O1389*L1389,2)</f>
        <v>9274.34</v>
      </c>
      <c r="Q1389" s="10">
        <f>IF(N1389="HKD",7.8,IF(N1389="CNY",7.30034,1))</f>
        <v>7.3003400000000003</v>
      </c>
      <c r="R1389" s="10">
        <f>+ROUND(O1389/Q1389,4)</f>
        <v>12.704000000000001</v>
      </c>
      <c r="S1389" s="11">
        <f>ROUND(R1389*L1389,2)</f>
        <v>1270.4000000000001</v>
      </c>
      <c r="T1389" s="10" t="s">
        <v>349</v>
      </c>
      <c r="U1389" t="s">
        <v>327</v>
      </c>
    </row>
    <row r="1390" spans="1:21">
      <c r="A1390" t="s">
        <v>2130</v>
      </c>
      <c r="B1390" s="20">
        <v>45712</v>
      </c>
      <c r="C1390" s="20">
        <v>45699</v>
      </c>
      <c r="D1390" t="s">
        <v>311</v>
      </c>
      <c r="E1390" t="s">
        <v>312</v>
      </c>
      <c r="G1390" t="s">
        <v>2236</v>
      </c>
      <c r="H1390" s="15" t="s">
        <v>662</v>
      </c>
      <c r="I1390" s="15" t="s">
        <v>663</v>
      </c>
      <c r="J1390" s="8" t="str">
        <f>+LEFT(U1390,4)</f>
        <v>INM-</v>
      </c>
      <c r="K1390" t="s">
        <v>10</v>
      </c>
      <c r="L1390" s="46">
        <v>100</v>
      </c>
      <c r="M1390" t="s">
        <v>186</v>
      </c>
      <c r="N1390" t="s">
        <v>11</v>
      </c>
      <c r="O1390" s="49">
        <v>92.743399999999994</v>
      </c>
      <c r="P1390" s="9">
        <f>ROUND(O1390*L1390,2)</f>
        <v>9274.34</v>
      </c>
      <c r="Q1390" s="10">
        <f>IF(N1390="HKD",7.8,IF(N1390="CNY",7.30034,1))</f>
        <v>7.3003400000000003</v>
      </c>
      <c r="R1390" s="10">
        <f>+ROUND(O1390/Q1390,4)</f>
        <v>12.704000000000001</v>
      </c>
      <c r="S1390" s="11">
        <f>ROUND(R1390*L1390,2)</f>
        <v>1270.4000000000001</v>
      </c>
      <c r="T1390" s="10" t="s">
        <v>349</v>
      </c>
      <c r="U1390" t="s">
        <v>327</v>
      </c>
    </row>
    <row r="1391" spans="1:21">
      <c r="A1391" t="s">
        <v>1904</v>
      </c>
      <c r="B1391" s="20">
        <v>45712</v>
      </c>
      <c r="C1391" s="20">
        <v>45695</v>
      </c>
      <c r="D1391" t="s">
        <v>2247</v>
      </c>
      <c r="E1391" t="s">
        <v>2248</v>
      </c>
      <c r="G1391" t="s">
        <v>2162</v>
      </c>
      <c r="H1391" s="15" t="s">
        <v>1635</v>
      </c>
      <c r="I1391" s="15" t="s">
        <v>1636</v>
      </c>
      <c r="J1391" s="8" t="str">
        <f>+LEFT(U1391,4)</f>
        <v>KNOB</v>
      </c>
      <c r="K1391" t="s">
        <v>10</v>
      </c>
      <c r="L1391" s="46">
        <v>2000</v>
      </c>
      <c r="M1391" t="s">
        <v>1472</v>
      </c>
      <c r="N1391" t="s">
        <v>11</v>
      </c>
      <c r="O1391" s="49">
        <v>0.68910000000000005</v>
      </c>
      <c r="P1391" s="9">
        <f>ROUND(O1391*L1391,2)</f>
        <v>1378.2</v>
      </c>
      <c r="Q1391" s="10">
        <f>IF(N1391="HKD",7.8,IF(N1391="CNY",7.30034,1))</f>
        <v>7.3003400000000003</v>
      </c>
      <c r="R1391" s="10">
        <f>+ROUND(O1391/Q1391,4)</f>
        <v>9.4399999999999998E-2</v>
      </c>
      <c r="S1391" s="11">
        <f>ROUND(R1391*L1391,2)</f>
        <v>188.8</v>
      </c>
      <c r="T1391" s="10" t="s">
        <v>349</v>
      </c>
      <c r="U1391" t="s">
        <v>32</v>
      </c>
    </row>
    <row r="1392" spans="1:21">
      <c r="A1392" t="s">
        <v>2015</v>
      </c>
      <c r="B1392" s="20">
        <v>45712</v>
      </c>
      <c r="C1392" s="20">
        <v>45706</v>
      </c>
      <c r="D1392" t="s">
        <v>28</v>
      </c>
      <c r="E1392" t="s">
        <v>29</v>
      </c>
      <c r="G1392" t="s">
        <v>2158</v>
      </c>
      <c r="H1392" s="15" t="s">
        <v>1155</v>
      </c>
      <c r="I1392" s="15" t="s">
        <v>1156</v>
      </c>
      <c r="J1392" s="8" t="str">
        <f>+LEFT(U1392,4)</f>
        <v>KNOB</v>
      </c>
      <c r="K1392" t="s">
        <v>10</v>
      </c>
      <c r="L1392" s="46">
        <v>15</v>
      </c>
      <c r="M1392" t="s">
        <v>1472</v>
      </c>
      <c r="N1392" t="s">
        <v>11</v>
      </c>
      <c r="O1392" s="49">
        <v>3.3721999999999999</v>
      </c>
      <c r="P1392" s="9">
        <f>ROUND(O1392*L1392,2)</f>
        <v>50.58</v>
      </c>
      <c r="Q1392" s="10">
        <f>IF(N1392="HKD",7.8,IF(N1392="CNY",7.30034,1))</f>
        <v>7.3003400000000003</v>
      </c>
      <c r="R1392" s="10">
        <f>+ROUND(O1392/Q1392,4)</f>
        <v>0.46189999999999998</v>
      </c>
      <c r="S1392" s="11">
        <f>ROUND(R1392*L1392,2)</f>
        <v>6.93</v>
      </c>
      <c r="T1392" s="10" t="s">
        <v>349</v>
      </c>
      <c r="U1392" t="s">
        <v>32</v>
      </c>
    </row>
    <row r="1393" spans="1:21">
      <c r="A1393" t="s">
        <v>2031</v>
      </c>
      <c r="B1393" s="20">
        <v>45712</v>
      </c>
      <c r="C1393" s="20">
        <v>45636</v>
      </c>
      <c r="D1393" t="s">
        <v>94</v>
      </c>
      <c r="E1393" t="s">
        <v>95</v>
      </c>
      <c r="G1393" t="s">
        <v>2197</v>
      </c>
      <c r="H1393" s="15" t="s">
        <v>997</v>
      </c>
      <c r="I1393" s="15" t="s">
        <v>998</v>
      </c>
      <c r="J1393" s="8" t="str">
        <f>+LEFT(U1393,4)</f>
        <v>LID-</v>
      </c>
      <c r="K1393" t="s">
        <v>369</v>
      </c>
      <c r="L1393" s="46">
        <v>1250</v>
      </c>
      <c r="M1393" t="s">
        <v>1472</v>
      </c>
      <c r="N1393" t="s">
        <v>11</v>
      </c>
      <c r="O1393" s="49">
        <v>3.64</v>
      </c>
      <c r="P1393" s="9">
        <f>ROUND(O1393*L1393,2)</f>
        <v>4550</v>
      </c>
      <c r="Q1393" s="10">
        <f>IF(N1393="HKD",7.8,IF(N1393="CNY",7.30034,1))</f>
        <v>7.3003400000000003</v>
      </c>
      <c r="R1393" s="10">
        <f>+ROUND(O1393/Q1393,4)</f>
        <v>0.49859999999999999</v>
      </c>
      <c r="S1393" s="11">
        <f>ROUND(R1393*L1393,2)</f>
        <v>623.25</v>
      </c>
      <c r="T1393" s="10" t="s">
        <v>349</v>
      </c>
      <c r="U1393" t="s">
        <v>368</v>
      </c>
    </row>
    <row r="1394" spans="1:21">
      <c r="A1394" t="s">
        <v>1874</v>
      </c>
      <c r="B1394" s="20">
        <v>45712</v>
      </c>
      <c r="C1394" s="20">
        <v>45670</v>
      </c>
      <c r="D1394" t="s">
        <v>28</v>
      </c>
      <c r="E1394" t="s">
        <v>29</v>
      </c>
      <c r="G1394" t="s">
        <v>2151</v>
      </c>
      <c r="H1394" s="15" t="s">
        <v>1175</v>
      </c>
      <c r="I1394" s="15" t="s">
        <v>1176</v>
      </c>
      <c r="J1394" s="8" t="str">
        <f>+LEFT(U1394,4)</f>
        <v>MISC</v>
      </c>
      <c r="K1394" t="s">
        <v>10</v>
      </c>
      <c r="L1394" s="46">
        <v>5000</v>
      </c>
      <c r="M1394" t="s">
        <v>1472</v>
      </c>
      <c r="N1394" t="s">
        <v>11</v>
      </c>
      <c r="O1394" s="49">
        <v>0.18160000000000001</v>
      </c>
      <c r="P1394" s="9">
        <f>ROUND(O1394*L1394,2)</f>
        <v>908</v>
      </c>
      <c r="Q1394" s="10">
        <f>IF(N1394="HKD",7.8,IF(N1394="CNY",7.30034,1))</f>
        <v>7.3003400000000003</v>
      </c>
      <c r="R1394" s="10">
        <f>+ROUND(O1394/Q1394,4)</f>
        <v>2.4899999999999999E-2</v>
      </c>
      <c r="S1394" s="11">
        <f>ROUND(R1394*L1394,2)</f>
        <v>124.5</v>
      </c>
      <c r="T1394" s="10" t="s">
        <v>349</v>
      </c>
      <c r="U1394" t="s">
        <v>25</v>
      </c>
    </row>
    <row r="1395" spans="1:21">
      <c r="A1395" t="s">
        <v>1875</v>
      </c>
      <c r="B1395" s="20">
        <v>45712</v>
      </c>
      <c r="C1395" s="20">
        <v>45671</v>
      </c>
      <c r="D1395" t="s">
        <v>28</v>
      </c>
      <c r="E1395" t="s">
        <v>29</v>
      </c>
      <c r="G1395" t="s">
        <v>2151</v>
      </c>
      <c r="H1395" s="15" t="s">
        <v>1175</v>
      </c>
      <c r="I1395" s="15" t="s">
        <v>1176</v>
      </c>
      <c r="J1395" s="8" t="str">
        <f>+LEFT(U1395,4)</f>
        <v>MISC</v>
      </c>
      <c r="K1395" t="s">
        <v>10</v>
      </c>
      <c r="L1395" s="46">
        <v>18000</v>
      </c>
      <c r="M1395" t="s">
        <v>1472</v>
      </c>
      <c r="N1395" t="s">
        <v>11</v>
      </c>
      <c r="O1395" s="49">
        <v>0.18160000000000001</v>
      </c>
      <c r="P1395" s="9">
        <f>ROUND(O1395*L1395,2)</f>
        <v>3268.8</v>
      </c>
      <c r="Q1395" s="10">
        <f>IF(N1395="HKD",7.8,IF(N1395="CNY",7.30034,1))</f>
        <v>7.3003400000000003</v>
      </c>
      <c r="R1395" s="10">
        <f>+ROUND(O1395/Q1395,4)</f>
        <v>2.4899999999999999E-2</v>
      </c>
      <c r="S1395" s="11">
        <f>ROUND(R1395*L1395,2)</f>
        <v>448.2</v>
      </c>
      <c r="T1395" s="10" t="s">
        <v>349</v>
      </c>
      <c r="U1395" t="s">
        <v>25</v>
      </c>
    </row>
    <row r="1396" spans="1:21">
      <c r="A1396" t="s">
        <v>1876</v>
      </c>
      <c r="B1396" s="20">
        <v>45712</v>
      </c>
      <c r="C1396" s="20">
        <v>45695</v>
      </c>
      <c r="D1396" t="s">
        <v>28</v>
      </c>
      <c r="E1396" t="s">
        <v>29</v>
      </c>
      <c r="G1396" t="s">
        <v>2151</v>
      </c>
      <c r="H1396" s="15" t="s">
        <v>1175</v>
      </c>
      <c r="I1396" s="15" t="s">
        <v>1176</v>
      </c>
      <c r="J1396" s="8" t="str">
        <f>+LEFT(U1396,4)</f>
        <v>MISC</v>
      </c>
      <c r="K1396" t="s">
        <v>10</v>
      </c>
      <c r="L1396" s="46">
        <v>3000</v>
      </c>
      <c r="M1396" t="s">
        <v>1472</v>
      </c>
      <c r="N1396" t="s">
        <v>11</v>
      </c>
      <c r="O1396" s="49">
        <v>0.1835</v>
      </c>
      <c r="P1396" s="9">
        <f>ROUND(O1396*L1396,2)</f>
        <v>550.5</v>
      </c>
      <c r="Q1396" s="10">
        <f>IF(N1396="HKD",7.8,IF(N1396="CNY",7.30034,1))</f>
        <v>7.3003400000000003</v>
      </c>
      <c r="R1396" s="10">
        <f>+ROUND(O1396/Q1396,4)</f>
        <v>2.5100000000000001E-2</v>
      </c>
      <c r="S1396" s="11">
        <f>ROUND(R1396*L1396,2)</f>
        <v>75.3</v>
      </c>
      <c r="T1396" s="10" t="s">
        <v>349</v>
      </c>
      <c r="U1396" t="s">
        <v>25</v>
      </c>
    </row>
    <row r="1397" spans="1:21">
      <c r="A1397" t="s">
        <v>1917</v>
      </c>
      <c r="B1397" s="20">
        <v>45712</v>
      </c>
      <c r="C1397" s="20">
        <v>45698</v>
      </c>
      <c r="D1397" t="s">
        <v>268</v>
      </c>
      <c r="E1397" t="s">
        <v>269</v>
      </c>
      <c r="G1397" t="s">
        <v>2168</v>
      </c>
      <c r="H1397" s="15" t="s">
        <v>1651</v>
      </c>
      <c r="I1397" s="15" t="s">
        <v>1652</v>
      </c>
      <c r="J1397" s="8" t="str">
        <f>+LEFT(U1397,4)</f>
        <v>MISC</v>
      </c>
      <c r="K1397" t="s">
        <v>10</v>
      </c>
      <c r="L1397" s="46">
        <v>47</v>
      </c>
      <c r="M1397" t="s">
        <v>136</v>
      </c>
      <c r="N1397" t="s">
        <v>11</v>
      </c>
      <c r="O1397" s="49">
        <v>1.2390000000000001</v>
      </c>
      <c r="P1397" s="9">
        <f>ROUND(O1397*L1397,2)</f>
        <v>58.23</v>
      </c>
      <c r="Q1397" s="10">
        <f>IF(N1397="HKD",7.8,IF(N1397="CNY",7.30034,1))</f>
        <v>7.3003400000000003</v>
      </c>
      <c r="R1397" s="10">
        <f>+ROUND(O1397/Q1397,4)</f>
        <v>0.16969999999999999</v>
      </c>
      <c r="S1397" s="11">
        <f>ROUND(R1397*L1397,2)</f>
        <v>7.98</v>
      </c>
      <c r="T1397" s="10" t="s">
        <v>349</v>
      </c>
      <c r="U1397" t="s">
        <v>25</v>
      </c>
    </row>
    <row r="1398" spans="1:21">
      <c r="A1398" t="s">
        <v>1966</v>
      </c>
      <c r="B1398" s="20">
        <v>45712</v>
      </c>
      <c r="C1398" s="20">
        <v>45707</v>
      </c>
      <c r="D1398" t="s">
        <v>2251</v>
      </c>
      <c r="E1398" t="s">
        <v>2252</v>
      </c>
      <c r="G1398" t="s">
        <v>2178</v>
      </c>
      <c r="H1398" s="15" t="s">
        <v>1686</v>
      </c>
      <c r="I1398" s="15" t="s">
        <v>1687</v>
      </c>
      <c r="J1398" s="8" t="str">
        <f>+LEFT(U1398,4)</f>
        <v>MISC</v>
      </c>
      <c r="K1398" t="s">
        <v>10</v>
      </c>
      <c r="L1398" s="46">
        <v>3000</v>
      </c>
      <c r="M1398" t="s">
        <v>1472</v>
      </c>
      <c r="N1398" t="s">
        <v>11</v>
      </c>
      <c r="O1398" s="49">
        <v>2.6814</v>
      </c>
      <c r="P1398" s="9">
        <f>ROUND(O1398*L1398,2)</f>
        <v>8044.2</v>
      </c>
      <c r="Q1398" s="10">
        <f>IF(N1398="HKD",7.8,IF(N1398="CNY",7.30034,1))</f>
        <v>7.3003400000000003</v>
      </c>
      <c r="R1398" s="10">
        <f>+ROUND(O1398/Q1398,4)</f>
        <v>0.36730000000000002</v>
      </c>
      <c r="S1398" s="11">
        <f>ROUND(R1398*L1398,2)</f>
        <v>1101.9000000000001</v>
      </c>
      <c r="T1398" s="10" t="s">
        <v>349</v>
      </c>
      <c r="U1398" t="s">
        <v>25</v>
      </c>
    </row>
    <row r="1399" spans="1:21">
      <c r="A1399" t="s">
        <v>1967</v>
      </c>
      <c r="B1399" s="20">
        <v>45712</v>
      </c>
      <c r="C1399" s="20">
        <v>45707</v>
      </c>
      <c r="D1399" t="s">
        <v>2251</v>
      </c>
      <c r="E1399" t="s">
        <v>2252</v>
      </c>
      <c r="G1399" t="s">
        <v>2178</v>
      </c>
      <c r="H1399" s="15" t="s">
        <v>1686</v>
      </c>
      <c r="I1399" s="15" t="s">
        <v>1687</v>
      </c>
      <c r="J1399" s="8" t="str">
        <f>+LEFT(U1399,4)</f>
        <v>MISC</v>
      </c>
      <c r="K1399" t="s">
        <v>10</v>
      </c>
      <c r="L1399" s="46">
        <v>2000</v>
      </c>
      <c r="M1399" t="s">
        <v>1472</v>
      </c>
      <c r="N1399" t="s">
        <v>11</v>
      </c>
      <c r="O1399" s="49">
        <v>2.6814</v>
      </c>
      <c r="P1399" s="9">
        <f>ROUND(O1399*L1399,2)</f>
        <v>5362.8</v>
      </c>
      <c r="Q1399" s="10">
        <f>IF(N1399="HKD",7.8,IF(N1399="CNY",7.30034,1))</f>
        <v>7.3003400000000003</v>
      </c>
      <c r="R1399" s="10">
        <f>+ROUND(O1399/Q1399,4)</f>
        <v>0.36730000000000002</v>
      </c>
      <c r="S1399" s="11">
        <f>ROUND(R1399*L1399,2)</f>
        <v>734.6</v>
      </c>
      <c r="T1399" s="10" t="s">
        <v>349</v>
      </c>
      <c r="U1399" t="s">
        <v>25</v>
      </c>
    </row>
    <row r="1400" spans="1:21">
      <c r="A1400" t="s">
        <v>2068</v>
      </c>
      <c r="B1400" s="20">
        <v>45712</v>
      </c>
      <c r="C1400" s="20">
        <v>45698</v>
      </c>
      <c r="D1400" t="s">
        <v>268</v>
      </c>
      <c r="E1400" t="s">
        <v>269</v>
      </c>
      <c r="G1400" t="s">
        <v>2168</v>
      </c>
      <c r="H1400" s="15" t="s">
        <v>1077</v>
      </c>
      <c r="I1400" s="15" t="s">
        <v>1078</v>
      </c>
      <c r="J1400" s="8" t="str">
        <f>+LEFT(U1400,4)</f>
        <v>MISC</v>
      </c>
      <c r="K1400" t="s">
        <v>10</v>
      </c>
      <c r="L1400" s="46">
        <v>50</v>
      </c>
      <c r="M1400" t="s">
        <v>136</v>
      </c>
      <c r="N1400" t="s">
        <v>11</v>
      </c>
      <c r="O1400" s="49">
        <v>5.18</v>
      </c>
      <c r="P1400" s="9">
        <f>ROUND(O1400*L1400,2)</f>
        <v>259</v>
      </c>
      <c r="Q1400" s="10">
        <f>IF(N1400="HKD",7.8,IF(N1400="CNY",7.30034,1))</f>
        <v>7.3003400000000003</v>
      </c>
      <c r="R1400" s="10">
        <f>+ROUND(O1400/Q1400,4)</f>
        <v>0.70960000000000001</v>
      </c>
      <c r="S1400" s="11">
        <f>ROUND(R1400*L1400,2)</f>
        <v>35.479999999999997</v>
      </c>
      <c r="T1400" s="10" t="s">
        <v>349</v>
      </c>
      <c r="U1400" t="s">
        <v>25</v>
      </c>
    </row>
    <row r="1401" spans="1:21">
      <c r="A1401" t="s">
        <v>2082</v>
      </c>
      <c r="B1401" s="20">
        <v>45712</v>
      </c>
      <c r="C1401" s="20">
        <v>45707</v>
      </c>
      <c r="D1401" t="s">
        <v>2253</v>
      </c>
      <c r="E1401" t="s">
        <v>2254</v>
      </c>
      <c r="G1401" t="s">
        <v>2216</v>
      </c>
      <c r="H1401" s="15" t="s">
        <v>1782</v>
      </c>
      <c r="I1401" s="15" t="s">
        <v>1783</v>
      </c>
      <c r="J1401" s="8" t="str">
        <f>+LEFT(U1401,4)</f>
        <v>MISC</v>
      </c>
      <c r="K1401" t="s">
        <v>10</v>
      </c>
      <c r="L1401" s="46">
        <v>2000</v>
      </c>
      <c r="M1401" t="s">
        <v>186</v>
      </c>
      <c r="N1401" t="s">
        <v>11</v>
      </c>
      <c r="O1401" s="49">
        <v>6.0620000000000003</v>
      </c>
      <c r="P1401" s="9">
        <f>ROUND(O1401*L1401,2)</f>
        <v>12124</v>
      </c>
      <c r="Q1401" s="10">
        <f>IF(N1401="HKD",7.8,IF(N1401="CNY",7.30034,1))</f>
        <v>7.3003400000000003</v>
      </c>
      <c r="R1401" s="10">
        <f>+ROUND(O1401/Q1401,4)</f>
        <v>0.83040000000000003</v>
      </c>
      <c r="S1401" s="11">
        <f>ROUND(R1401*L1401,2)</f>
        <v>1660.8</v>
      </c>
      <c r="T1401" s="10" t="s">
        <v>349</v>
      </c>
      <c r="U1401" t="s">
        <v>25</v>
      </c>
    </row>
    <row r="1402" spans="1:21">
      <c r="A1402" t="s">
        <v>2085</v>
      </c>
      <c r="B1402" s="20">
        <v>45712</v>
      </c>
      <c r="C1402" s="20">
        <v>45673</v>
      </c>
      <c r="D1402" t="s">
        <v>268</v>
      </c>
      <c r="E1402" t="s">
        <v>269</v>
      </c>
      <c r="G1402" t="s">
        <v>2168</v>
      </c>
      <c r="H1402" s="15" t="s">
        <v>1073</v>
      </c>
      <c r="I1402" s="15" t="s">
        <v>1074</v>
      </c>
      <c r="J1402" s="8" t="str">
        <f>+LEFT(U1402,4)</f>
        <v>MISC</v>
      </c>
      <c r="K1402" t="s">
        <v>10</v>
      </c>
      <c r="L1402" s="46">
        <v>100</v>
      </c>
      <c r="M1402" t="s">
        <v>136</v>
      </c>
      <c r="N1402" t="s">
        <v>11</v>
      </c>
      <c r="O1402" s="49">
        <v>6.64</v>
      </c>
      <c r="P1402" s="9">
        <f>ROUND(O1402*L1402,2)</f>
        <v>664</v>
      </c>
      <c r="Q1402" s="10">
        <f>IF(N1402="HKD",7.8,IF(N1402="CNY",7.30034,1))</f>
        <v>7.3003400000000003</v>
      </c>
      <c r="R1402" s="10">
        <f>+ROUND(O1402/Q1402,4)</f>
        <v>0.90949999999999998</v>
      </c>
      <c r="S1402" s="11">
        <f>ROUND(R1402*L1402,2)</f>
        <v>90.95</v>
      </c>
      <c r="T1402" s="10" t="s">
        <v>349</v>
      </c>
      <c r="U1402" t="s">
        <v>25</v>
      </c>
    </row>
    <row r="1403" spans="1:21">
      <c r="A1403" t="s">
        <v>2086</v>
      </c>
      <c r="B1403" s="20">
        <v>45712</v>
      </c>
      <c r="C1403" s="20">
        <v>45698</v>
      </c>
      <c r="D1403" t="s">
        <v>268</v>
      </c>
      <c r="E1403" t="s">
        <v>269</v>
      </c>
      <c r="G1403" t="s">
        <v>2168</v>
      </c>
      <c r="H1403" s="15" t="s">
        <v>1073</v>
      </c>
      <c r="I1403" s="15" t="s">
        <v>1074</v>
      </c>
      <c r="J1403" s="8" t="str">
        <f>+LEFT(U1403,4)</f>
        <v>MISC</v>
      </c>
      <c r="K1403" t="s">
        <v>10</v>
      </c>
      <c r="L1403" s="46">
        <v>50</v>
      </c>
      <c r="M1403" t="s">
        <v>136</v>
      </c>
      <c r="N1403" t="s">
        <v>11</v>
      </c>
      <c r="O1403" s="49">
        <v>6.64</v>
      </c>
      <c r="P1403" s="9">
        <f>ROUND(O1403*L1403,2)</f>
        <v>332</v>
      </c>
      <c r="Q1403" s="10">
        <f>IF(N1403="HKD",7.8,IF(N1403="CNY",7.30034,1))</f>
        <v>7.3003400000000003</v>
      </c>
      <c r="R1403" s="10">
        <f>+ROUND(O1403/Q1403,4)</f>
        <v>0.90949999999999998</v>
      </c>
      <c r="S1403" s="11">
        <f>ROUND(R1403*L1403,2)</f>
        <v>45.48</v>
      </c>
      <c r="T1403" s="10" t="s">
        <v>349</v>
      </c>
      <c r="U1403" t="s">
        <v>25</v>
      </c>
    </row>
    <row r="1404" spans="1:21">
      <c r="A1404" t="s">
        <v>1847</v>
      </c>
      <c r="B1404" s="20">
        <v>45712</v>
      </c>
      <c r="C1404" s="20">
        <v>45664</v>
      </c>
      <c r="D1404" t="s">
        <v>128</v>
      </c>
      <c r="E1404" t="s">
        <v>129</v>
      </c>
      <c r="G1404" t="s">
        <v>2146</v>
      </c>
      <c r="H1404" s="15" t="s">
        <v>1587</v>
      </c>
      <c r="I1404" s="15" t="s">
        <v>1588</v>
      </c>
      <c r="J1404" s="8" t="str">
        <f>+LEFT(U1404,4)</f>
        <v>RIV-</v>
      </c>
      <c r="K1404" t="s">
        <v>10</v>
      </c>
      <c r="L1404" s="46">
        <v>10000</v>
      </c>
      <c r="M1404" t="s">
        <v>1472</v>
      </c>
      <c r="N1404" t="s">
        <v>11</v>
      </c>
      <c r="O1404" s="49">
        <v>9.6100000000000005E-2</v>
      </c>
      <c r="P1404" s="9">
        <f>ROUND(O1404*L1404,2)</f>
        <v>961</v>
      </c>
      <c r="Q1404" s="10">
        <f>IF(N1404="HKD",7.8,IF(N1404="CNY",7.30034,1))</f>
        <v>7.3003400000000003</v>
      </c>
      <c r="R1404" s="10">
        <f>+ROUND(O1404/Q1404,4)</f>
        <v>1.32E-2</v>
      </c>
      <c r="S1404" s="11">
        <f>ROUND(R1404*L1404,2)</f>
        <v>132</v>
      </c>
      <c r="T1404" s="10" t="s">
        <v>349</v>
      </c>
      <c r="U1404" t="s">
        <v>132</v>
      </c>
    </row>
    <row r="1405" spans="1:21">
      <c r="A1405" t="s">
        <v>1848</v>
      </c>
      <c r="B1405" s="20">
        <v>45712</v>
      </c>
      <c r="C1405" s="20">
        <v>45674</v>
      </c>
      <c r="D1405" t="s">
        <v>128</v>
      </c>
      <c r="E1405" t="s">
        <v>129</v>
      </c>
      <c r="G1405" t="s">
        <v>2146</v>
      </c>
      <c r="H1405" s="15" t="s">
        <v>1587</v>
      </c>
      <c r="I1405" s="15" t="s">
        <v>1588</v>
      </c>
      <c r="J1405" s="8" t="str">
        <f>+LEFT(U1405,4)</f>
        <v>RIV-</v>
      </c>
      <c r="K1405" t="s">
        <v>10</v>
      </c>
      <c r="L1405" s="46">
        <v>3000</v>
      </c>
      <c r="M1405" t="s">
        <v>1472</v>
      </c>
      <c r="N1405" t="s">
        <v>11</v>
      </c>
      <c r="O1405" s="49">
        <v>9.6100000000000005E-2</v>
      </c>
      <c r="P1405" s="9">
        <f>ROUND(O1405*L1405,2)</f>
        <v>288.3</v>
      </c>
      <c r="Q1405" s="10">
        <f>IF(N1405="HKD",7.8,IF(N1405="CNY",7.30034,1))</f>
        <v>7.3003400000000003</v>
      </c>
      <c r="R1405" s="10">
        <f>+ROUND(O1405/Q1405,4)</f>
        <v>1.32E-2</v>
      </c>
      <c r="S1405" s="11">
        <f>ROUND(R1405*L1405,2)</f>
        <v>39.6</v>
      </c>
      <c r="T1405" s="10" t="s">
        <v>349</v>
      </c>
      <c r="U1405" t="s">
        <v>132</v>
      </c>
    </row>
    <row r="1406" spans="1:21">
      <c r="A1406" t="s">
        <v>1852</v>
      </c>
      <c r="B1406" s="20">
        <v>45712</v>
      </c>
      <c r="C1406" s="20">
        <v>45674</v>
      </c>
      <c r="D1406" t="s">
        <v>128</v>
      </c>
      <c r="E1406" t="s">
        <v>129</v>
      </c>
      <c r="G1406" t="s">
        <v>2146</v>
      </c>
      <c r="H1406" s="15" t="s">
        <v>950</v>
      </c>
      <c r="I1406" s="15" t="s">
        <v>951</v>
      </c>
      <c r="J1406" s="8" t="str">
        <f>+LEFT(U1406,4)</f>
        <v>RIV-</v>
      </c>
      <c r="K1406" t="s">
        <v>10</v>
      </c>
      <c r="L1406" s="46">
        <v>2000</v>
      </c>
      <c r="M1406" t="s">
        <v>1472</v>
      </c>
      <c r="N1406" t="s">
        <v>11</v>
      </c>
      <c r="O1406" s="49">
        <v>0.1016</v>
      </c>
      <c r="P1406" s="9">
        <f>ROUND(O1406*L1406,2)</f>
        <v>203.2</v>
      </c>
      <c r="Q1406" s="10">
        <f>IF(N1406="HKD",7.8,IF(N1406="CNY",7.30034,1))</f>
        <v>7.3003400000000003</v>
      </c>
      <c r="R1406" s="10">
        <f>+ROUND(O1406/Q1406,4)</f>
        <v>1.3899999999999999E-2</v>
      </c>
      <c r="S1406" s="11">
        <f>ROUND(R1406*L1406,2)</f>
        <v>27.8</v>
      </c>
      <c r="T1406" s="10" t="s">
        <v>349</v>
      </c>
      <c r="U1406" t="s">
        <v>132</v>
      </c>
    </row>
    <row r="1407" spans="1:21">
      <c r="A1407" t="s">
        <v>1864</v>
      </c>
      <c r="B1407" s="20">
        <v>45712</v>
      </c>
      <c r="C1407" s="20">
        <v>45664</v>
      </c>
      <c r="D1407" t="s">
        <v>235</v>
      </c>
      <c r="E1407" t="s">
        <v>236</v>
      </c>
      <c r="G1407" t="s">
        <v>2149</v>
      </c>
      <c r="H1407" s="15" t="s">
        <v>1352</v>
      </c>
      <c r="I1407" s="15" t="s">
        <v>1353</v>
      </c>
      <c r="J1407" s="8" t="str">
        <f>+LEFT(U1407,4)</f>
        <v>RIV-</v>
      </c>
      <c r="K1407" t="s">
        <v>10</v>
      </c>
      <c r="L1407" s="46">
        <v>4800</v>
      </c>
      <c r="M1407" t="s">
        <v>1472</v>
      </c>
      <c r="N1407" t="s">
        <v>11</v>
      </c>
      <c r="O1407" s="49">
        <v>0.13550000000000001</v>
      </c>
      <c r="P1407" s="9">
        <f>ROUND(O1407*L1407,2)</f>
        <v>650.4</v>
      </c>
      <c r="Q1407" s="10">
        <f>IF(N1407="HKD",7.8,IF(N1407="CNY",7.30034,1))</f>
        <v>7.3003400000000003</v>
      </c>
      <c r="R1407" s="10">
        <f>+ROUND(O1407/Q1407,4)</f>
        <v>1.8599999999999998E-2</v>
      </c>
      <c r="S1407" s="11">
        <f>ROUND(R1407*L1407,2)</f>
        <v>89.28</v>
      </c>
      <c r="T1407" s="10" t="s">
        <v>349</v>
      </c>
      <c r="U1407" t="s">
        <v>132</v>
      </c>
    </row>
    <row r="1408" spans="1:21">
      <c r="A1408" t="s">
        <v>1872</v>
      </c>
      <c r="B1408" s="20">
        <v>45712</v>
      </c>
      <c r="C1408" s="20">
        <v>45664</v>
      </c>
      <c r="D1408" t="s">
        <v>235</v>
      </c>
      <c r="E1408" t="s">
        <v>236</v>
      </c>
      <c r="G1408" t="s">
        <v>2149</v>
      </c>
      <c r="H1408" s="15" t="s">
        <v>1361</v>
      </c>
      <c r="I1408" s="15" t="s">
        <v>1362</v>
      </c>
      <c r="J1408" s="8" t="str">
        <f>+LEFT(U1408,4)</f>
        <v>RIV-</v>
      </c>
      <c r="K1408" t="s">
        <v>10</v>
      </c>
      <c r="L1408" s="46">
        <v>17000</v>
      </c>
      <c r="M1408" t="s">
        <v>1472</v>
      </c>
      <c r="N1408" t="s">
        <v>11</v>
      </c>
      <c r="O1408" s="49">
        <v>0.17649999999999999</v>
      </c>
      <c r="P1408" s="9">
        <f>ROUND(O1408*L1408,2)</f>
        <v>3000.5</v>
      </c>
      <c r="Q1408" s="10">
        <f>IF(N1408="HKD",7.8,IF(N1408="CNY",7.30034,1))</f>
        <v>7.3003400000000003</v>
      </c>
      <c r="R1408" s="10">
        <f>+ROUND(O1408/Q1408,4)</f>
        <v>2.4199999999999999E-2</v>
      </c>
      <c r="S1408" s="11">
        <f>ROUND(R1408*L1408,2)</f>
        <v>411.4</v>
      </c>
      <c r="T1408" s="10" t="s">
        <v>349</v>
      </c>
      <c r="U1408" t="s">
        <v>132</v>
      </c>
    </row>
    <row r="1409" spans="1:21">
      <c r="A1409" t="s">
        <v>1873</v>
      </c>
      <c r="B1409" s="20">
        <v>45712</v>
      </c>
      <c r="C1409" s="20">
        <v>45695</v>
      </c>
      <c r="D1409" t="s">
        <v>235</v>
      </c>
      <c r="E1409" t="s">
        <v>236</v>
      </c>
      <c r="G1409" t="s">
        <v>2149</v>
      </c>
      <c r="H1409" s="15" t="s">
        <v>1361</v>
      </c>
      <c r="I1409" s="15" t="s">
        <v>1362</v>
      </c>
      <c r="J1409" s="8" t="str">
        <f>+LEFT(U1409,4)</f>
        <v>RIV-</v>
      </c>
      <c r="K1409" t="s">
        <v>10</v>
      </c>
      <c r="L1409" s="46">
        <v>3000</v>
      </c>
      <c r="M1409" t="s">
        <v>1472</v>
      </c>
      <c r="N1409" t="s">
        <v>11</v>
      </c>
      <c r="O1409" s="49">
        <v>0.17649999999999999</v>
      </c>
      <c r="P1409" s="9">
        <f>ROUND(O1409*L1409,2)</f>
        <v>529.5</v>
      </c>
      <c r="Q1409" s="10">
        <f>IF(N1409="HKD",7.8,IF(N1409="CNY",7.30034,1))</f>
        <v>7.3003400000000003</v>
      </c>
      <c r="R1409" s="10">
        <f>+ROUND(O1409/Q1409,4)</f>
        <v>2.4199999999999999E-2</v>
      </c>
      <c r="S1409" s="11">
        <f>ROUND(R1409*L1409,2)</f>
        <v>72.599999999999994</v>
      </c>
      <c r="T1409" s="10" t="s">
        <v>349</v>
      </c>
      <c r="U1409" t="s">
        <v>132</v>
      </c>
    </row>
    <row r="1410" spans="1:21">
      <c r="A1410" t="s">
        <v>1880</v>
      </c>
      <c r="B1410" s="20">
        <v>45712</v>
      </c>
      <c r="C1410" s="20">
        <v>45698</v>
      </c>
      <c r="D1410" t="s">
        <v>235</v>
      </c>
      <c r="E1410" t="s">
        <v>236</v>
      </c>
      <c r="G1410" t="s">
        <v>2153</v>
      </c>
      <c r="H1410" s="15" t="s">
        <v>1358</v>
      </c>
      <c r="I1410" s="15" t="s">
        <v>1359</v>
      </c>
      <c r="J1410" s="8" t="str">
        <f>+LEFT(U1410,4)</f>
        <v>RIV-</v>
      </c>
      <c r="K1410" t="s">
        <v>10</v>
      </c>
      <c r="L1410" s="46">
        <v>8000</v>
      </c>
      <c r="M1410" t="s">
        <v>1472</v>
      </c>
      <c r="N1410" t="s">
        <v>11</v>
      </c>
      <c r="O1410" s="49">
        <v>0.2331</v>
      </c>
      <c r="P1410" s="9">
        <f>ROUND(O1410*L1410,2)</f>
        <v>1864.8</v>
      </c>
      <c r="Q1410" s="10">
        <f>IF(N1410="HKD",7.8,IF(N1410="CNY",7.30034,1))</f>
        <v>7.3003400000000003</v>
      </c>
      <c r="R1410" s="10">
        <f>+ROUND(O1410/Q1410,4)</f>
        <v>3.1899999999999998E-2</v>
      </c>
      <c r="S1410" s="11">
        <f>ROUND(R1410*L1410,2)</f>
        <v>255.2</v>
      </c>
      <c r="T1410" s="10" t="s">
        <v>349</v>
      </c>
      <c r="U1410" t="s">
        <v>132</v>
      </c>
    </row>
    <row r="1411" spans="1:21">
      <c r="A1411" t="s">
        <v>1830</v>
      </c>
      <c r="B1411" s="20">
        <v>45712</v>
      </c>
      <c r="C1411" s="20">
        <v>45670</v>
      </c>
      <c r="D1411" t="s">
        <v>162</v>
      </c>
      <c r="E1411" t="s">
        <v>163</v>
      </c>
      <c r="G1411" t="s">
        <v>2139</v>
      </c>
      <c r="H1411" s="15" t="s">
        <v>599</v>
      </c>
      <c r="I1411" s="15" t="s">
        <v>600</v>
      </c>
      <c r="J1411" s="8" t="str">
        <f>+LEFT(U1411,4)</f>
        <v>SCR-</v>
      </c>
      <c r="K1411" t="s">
        <v>10</v>
      </c>
      <c r="L1411" s="46">
        <v>22600</v>
      </c>
      <c r="M1411" t="s">
        <v>1472</v>
      </c>
      <c r="N1411" t="s">
        <v>11</v>
      </c>
      <c r="O1411" s="49">
        <v>4.1200000000000001E-2</v>
      </c>
      <c r="P1411" s="9">
        <f>ROUND(O1411*L1411,2)</f>
        <v>931.12</v>
      </c>
      <c r="Q1411" s="10">
        <f>IF(N1411="HKD",7.8,IF(N1411="CNY",7.30034,1))</f>
        <v>7.3003400000000003</v>
      </c>
      <c r="R1411" s="10">
        <f>+ROUND(O1411/Q1411,4)</f>
        <v>5.5999999999999999E-3</v>
      </c>
      <c r="S1411" s="11">
        <f>ROUND(R1411*L1411,2)</f>
        <v>126.56</v>
      </c>
      <c r="T1411" s="10" t="s">
        <v>349</v>
      </c>
      <c r="U1411" t="s">
        <v>166</v>
      </c>
    </row>
    <row r="1412" spans="1:21">
      <c r="A1412" t="s">
        <v>1830</v>
      </c>
      <c r="B1412" s="20">
        <v>45712</v>
      </c>
      <c r="C1412" s="20">
        <v>45670</v>
      </c>
      <c r="D1412" t="s">
        <v>162</v>
      </c>
      <c r="E1412" t="s">
        <v>163</v>
      </c>
      <c r="G1412" t="s">
        <v>2140</v>
      </c>
      <c r="H1412" s="15" t="s">
        <v>599</v>
      </c>
      <c r="I1412" s="15" t="s">
        <v>600</v>
      </c>
      <c r="J1412" s="8" t="str">
        <f>+LEFT(U1412,4)</f>
        <v>SCR-</v>
      </c>
      <c r="K1412" t="s">
        <v>10</v>
      </c>
      <c r="L1412" s="46">
        <v>-26000</v>
      </c>
      <c r="M1412" t="s">
        <v>1472</v>
      </c>
      <c r="N1412" t="s">
        <v>11</v>
      </c>
      <c r="O1412" s="49">
        <v>4.1200000000000001E-2</v>
      </c>
      <c r="P1412" s="9">
        <f>ROUND(O1412*L1412,2)</f>
        <v>-1071.2</v>
      </c>
      <c r="Q1412" s="10">
        <f>IF(N1412="HKD",7.8,IF(N1412="CNY",7.30034,1))</f>
        <v>7.3003400000000003</v>
      </c>
      <c r="R1412" s="10">
        <f>+ROUND(O1412/Q1412,4)</f>
        <v>5.5999999999999999E-3</v>
      </c>
      <c r="S1412" s="11">
        <f>ROUND(R1412*L1412,2)</f>
        <v>-145.6</v>
      </c>
      <c r="T1412" s="10" t="s">
        <v>349</v>
      </c>
      <c r="U1412" t="s">
        <v>166</v>
      </c>
    </row>
    <row r="1413" spans="1:21">
      <c r="A1413" t="s">
        <v>1830</v>
      </c>
      <c r="B1413" s="20">
        <v>45712</v>
      </c>
      <c r="C1413" s="20">
        <v>45670</v>
      </c>
      <c r="D1413" t="s">
        <v>162</v>
      </c>
      <c r="E1413" t="s">
        <v>163</v>
      </c>
      <c r="G1413" t="s">
        <v>2139</v>
      </c>
      <c r="H1413" s="15" t="s">
        <v>599</v>
      </c>
      <c r="I1413" s="15" t="s">
        <v>600</v>
      </c>
      <c r="J1413" s="8" t="str">
        <f>+LEFT(U1413,4)</f>
        <v>SCR-</v>
      </c>
      <c r="K1413" t="s">
        <v>10</v>
      </c>
      <c r="L1413" s="46">
        <v>26000</v>
      </c>
      <c r="M1413" t="s">
        <v>1472</v>
      </c>
      <c r="N1413" t="s">
        <v>11</v>
      </c>
      <c r="O1413" s="49">
        <v>4.1200000000000001E-2</v>
      </c>
      <c r="P1413" s="9">
        <f>ROUND(O1413*L1413,2)</f>
        <v>1071.2</v>
      </c>
      <c r="Q1413" s="10">
        <f>IF(N1413="HKD",7.8,IF(N1413="CNY",7.30034,1))</f>
        <v>7.3003400000000003</v>
      </c>
      <c r="R1413" s="10">
        <f>+ROUND(O1413/Q1413,4)</f>
        <v>5.5999999999999999E-3</v>
      </c>
      <c r="S1413" s="11">
        <f>ROUND(R1413*L1413,2)</f>
        <v>145.6</v>
      </c>
      <c r="T1413" s="10" t="s">
        <v>349</v>
      </c>
      <c r="U1413" t="s">
        <v>166</v>
      </c>
    </row>
    <row r="1414" spans="1:21">
      <c r="A1414" t="s">
        <v>1839</v>
      </c>
      <c r="B1414" s="20">
        <v>45712</v>
      </c>
      <c r="C1414" s="20">
        <v>45674</v>
      </c>
      <c r="D1414" t="s">
        <v>162</v>
      </c>
      <c r="E1414" t="s">
        <v>163</v>
      </c>
      <c r="G1414" t="s">
        <v>2139</v>
      </c>
      <c r="H1414" s="15" t="s">
        <v>592</v>
      </c>
      <c r="I1414" s="15" t="s">
        <v>593</v>
      </c>
      <c r="J1414" s="8" t="str">
        <f>+LEFT(U1414,4)</f>
        <v>SCR-</v>
      </c>
      <c r="K1414" t="s">
        <v>10</v>
      </c>
      <c r="L1414" s="46">
        <v>3100</v>
      </c>
      <c r="M1414" t="s">
        <v>1472</v>
      </c>
      <c r="N1414" t="s">
        <v>11</v>
      </c>
      <c r="O1414" s="49">
        <v>7.0000000000000007E-2</v>
      </c>
      <c r="P1414" s="9">
        <f>ROUND(O1414*L1414,2)</f>
        <v>217</v>
      </c>
      <c r="Q1414" s="10">
        <f>IF(N1414="HKD",7.8,IF(N1414="CNY",7.30034,1))</f>
        <v>7.3003400000000003</v>
      </c>
      <c r="R1414" s="10">
        <f>+ROUND(O1414/Q1414,4)</f>
        <v>9.5999999999999992E-3</v>
      </c>
      <c r="S1414" s="11">
        <f>ROUND(R1414*L1414,2)</f>
        <v>29.76</v>
      </c>
      <c r="T1414" s="10" t="s">
        <v>349</v>
      </c>
      <c r="U1414" t="s">
        <v>166</v>
      </c>
    </row>
    <row r="1415" spans="1:21">
      <c r="A1415" t="s">
        <v>1846</v>
      </c>
      <c r="B1415" s="20">
        <v>45712</v>
      </c>
      <c r="C1415" s="20">
        <v>45674</v>
      </c>
      <c r="D1415" t="s">
        <v>162</v>
      </c>
      <c r="E1415" t="s">
        <v>163</v>
      </c>
      <c r="G1415" t="s">
        <v>2139</v>
      </c>
      <c r="H1415" s="15" t="s">
        <v>583</v>
      </c>
      <c r="I1415" s="15" t="s">
        <v>584</v>
      </c>
      <c r="J1415" s="8" t="str">
        <f>+LEFT(U1415,4)</f>
        <v>SCR-</v>
      </c>
      <c r="K1415" t="s">
        <v>10</v>
      </c>
      <c r="L1415" s="46">
        <v>2000</v>
      </c>
      <c r="M1415" t="s">
        <v>1472</v>
      </c>
      <c r="N1415" t="s">
        <v>11</v>
      </c>
      <c r="O1415" s="49">
        <v>9.2999999999999999E-2</v>
      </c>
      <c r="P1415" s="9">
        <f>ROUND(O1415*L1415,2)</f>
        <v>186</v>
      </c>
      <c r="Q1415" s="10">
        <f>IF(N1415="HKD",7.8,IF(N1415="CNY",7.30034,1))</f>
        <v>7.3003400000000003</v>
      </c>
      <c r="R1415" s="10">
        <f>+ROUND(O1415/Q1415,4)</f>
        <v>1.2699999999999999E-2</v>
      </c>
      <c r="S1415" s="11">
        <f>ROUND(R1415*L1415,2)</f>
        <v>25.4</v>
      </c>
      <c r="T1415" s="10" t="s">
        <v>349</v>
      </c>
      <c r="U1415" t="s">
        <v>166</v>
      </c>
    </row>
    <row r="1416" spans="1:21">
      <c r="A1416" t="s">
        <v>1849</v>
      </c>
      <c r="B1416" s="20">
        <v>45712</v>
      </c>
      <c r="C1416" s="20">
        <v>45670</v>
      </c>
      <c r="D1416" t="s">
        <v>162</v>
      </c>
      <c r="E1416" t="s">
        <v>163</v>
      </c>
      <c r="G1416" t="s">
        <v>2139</v>
      </c>
      <c r="H1416" s="15" t="s">
        <v>578</v>
      </c>
      <c r="I1416" s="15" t="s">
        <v>579</v>
      </c>
      <c r="J1416" s="8" t="str">
        <f>+LEFT(U1416,4)</f>
        <v>SCR-</v>
      </c>
      <c r="K1416" t="s">
        <v>10</v>
      </c>
      <c r="L1416" s="46">
        <v>1040</v>
      </c>
      <c r="M1416" t="s">
        <v>1472</v>
      </c>
      <c r="N1416" t="s">
        <v>11</v>
      </c>
      <c r="O1416" s="49">
        <v>9.8000000000000004E-2</v>
      </c>
      <c r="P1416" s="9">
        <f>ROUND(O1416*L1416,2)</f>
        <v>101.92</v>
      </c>
      <c r="Q1416" s="10">
        <f>IF(N1416="HKD",7.8,IF(N1416="CNY",7.30034,1))</f>
        <v>7.3003400000000003</v>
      </c>
      <c r="R1416" s="10">
        <f>+ROUND(O1416/Q1416,4)</f>
        <v>1.34E-2</v>
      </c>
      <c r="S1416" s="11">
        <f>ROUND(R1416*L1416,2)</f>
        <v>13.94</v>
      </c>
      <c r="T1416" s="10" t="s">
        <v>349</v>
      </c>
      <c r="U1416" t="s">
        <v>166</v>
      </c>
    </row>
    <row r="1417" spans="1:21">
      <c r="A1417" t="s">
        <v>1850</v>
      </c>
      <c r="B1417" s="20">
        <v>45712</v>
      </c>
      <c r="C1417" s="20">
        <v>45671</v>
      </c>
      <c r="D1417" t="s">
        <v>162</v>
      </c>
      <c r="E1417" t="s">
        <v>163</v>
      </c>
      <c r="G1417" t="s">
        <v>2139</v>
      </c>
      <c r="H1417" s="15" t="s">
        <v>578</v>
      </c>
      <c r="I1417" s="15" t="s">
        <v>579</v>
      </c>
      <c r="J1417" s="8" t="str">
        <f>+LEFT(U1417,4)</f>
        <v>SCR-</v>
      </c>
      <c r="K1417" t="s">
        <v>10</v>
      </c>
      <c r="L1417" s="46">
        <v>10000</v>
      </c>
      <c r="M1417" t="s">
        <v>1472</v>
      </c>
      <c r="N1417" t="s">
        <v>11</v>
      </c>
      <c r="O1417" s="49">
        <v>9.8000000000000004E-2</v>
      </c>
      <c r="P1417" s="9">
        <f>ROUND(O1417*L1417,2)</f>
        <v>980</v>
      </c>
      <c r="Q1417" s="10">
        <f>IF(N1417="HKD",7.8,IF(N1417="CNY",7.30034,1))</f>
        <v>7.3003400000000003</v>
      </c>
      <c r="R1417" s="10">
        <f>+ROUND(O1417/Q1417,4)</f>
        <v>1.34E-2</v>
      </c>
      <c r="S1417" s="11">
        <f>ROUND(R1417*L1417,2)</f>
        <v>134</v>
      </c>
      <c r="T1417" s="10" t="s">
        <v>349</v>
      </c>
      <c r="U1417" t="s">
        <v>166</v>
      </c>
    </row>
    <row r="1418" spans="1:21">
      <c r="A1418" t="s">
        <v>1851</v>
      </c>
      <c r="B1418" s="20">
        <v>45712</v>
      </c>
      <c r="C1418" s="20">
        <v>45695</v>
      </c>
      <c r="D1418" t="s">
        <v>162</v>
      </c>
      <c r="E1418" t="s">
        <v>163</v>
      </c>
      <c r="G1418" t="s">
        <v>2139</v>
      </c>
      <c r="H1418" s="15" t="s">
        <v>578</v>
      </c>
      <c r="I1418" s="15" t="s">
        <v>579</v>
      </c>
      <c r="J1418" s="8" t="str">
        <f>+LEFT(U1418,4)</f>
        <v>SCR-</v>
      </c>
      <c r="K1418" t="s">
        <v>10</v>
      </c>
      <c r="L1418" s="46">
        <v>2200</v>
      </c>
      <c r="M1418" t="s">
        <v>1472</v>
      </c>
      <c r="N1418" t="s">
        <v>11</v>
      </c>
      <c r="O1418" s="49">
        <v>9.8000000000000004E-2</v>
      </c>
      <c r="P1418" s="9">
        <f>ROUND(O1418*L1418,2)</f>
        <v>215.6</v>
      </c>
      <c r="Q1418" s="10">
        <f>IF(N1418="HKD",7.8,IF(N1418="CNY",7.30034,1))</f>
        <v>7.3003400000000003</v>
      </c>
      <c r="R1418" s="10">
        <f>+ROUND(O1418/Q1418,4)</f>
        <v>1.34E-2</v>
      </c>
      <c r="S1418" s="11">
        <f>ROUND(R1418*L1418,2)</f>
        <v>29.48</v>
      </c>
      <c r="T1418" s="10" t="s">
        <v>349</v>
      </c>
      <c r="U1418" t="s">
        <v>166</v>
      </c>
    </row>
    <row r="1419" spans="1:21">
      <c r="A1419" t="s">
        <v>1865</v>
      </c>
      <c r="B1419" s="20">
        <v>45712</v>
      </c>
      <c r="C1419" s="20">
        <v>45670</v>
      </c>
      <c r="D1419" t="s">
        <v>162</v>
      </c>
      <c r="E1419" t="s">
        <v>163</v>
      </c>
      <c r="G1419" t="s">
        <v>2139</v>
      </c>
      <c r="H1419" s="15" t="s">
        <v>160</v>
      </c>
      <c r="I1419" s="15" t="s">
        <v>161</v>
      </c>
      <c r="J1419" s="8" t="str">
        <f>+LEFT(U1419,4)</f>
        <v>SCR-</v>
      </c>
      <c r="K1419" t="s">
        <v>10</v>
      </c>
      <c r="L1419" s="46">
        <v>27000</v>
      </c>
      <c r="M1419" t="s">
        <v>1472</v>
      </c>
      <c r="N1419" t="s">
        <v>11</v>
      </c>
      <c r="O1419" s="49">
        <v>0.13919999999999999</v>
      </c>
      <c r="P1419" s="9">
        <f>ROUND(O1419*L1419,2)</f>
        <v>3758.4</v>
      </c>
      <c r="Q1419" s="10">
        <f>IF(N1419="HKD",7.8,IF(N1419="CNY",7.30034,1))</f>
        <v>7.3003400000000003</v>
      </c>
      <c r="R1419" s="10">
        <f>+ROUND(O1419/Q1419,4)</f>
        <v>1.9099999999999999E-2</v>
      </c>
      <c r="S1419" s="11">
        <f>ROUND(R1419*L1419,2)</f>
        <v>515.70000000000005</v>
      </c>
      <c r="T1419" s="10" t="s">
        <v>349</v>
      </c>
      <c r="U1419" t="s">
        <v>166</v>
      </c>
    </row>
    <row r="1420" spans="1:21">
      <c r="A1420" t="s">
        <v>1885</v>
      </c>
      <c r="B1420" s="20">
        <v>45712</v>
      </c>
      <c r="C1420" s="20">
        <v>45698</v>
      </c>
      <c r="D1420" t="s">
        <v>235</v>
      </c>
      <c r="E1420" t="s">
        <v>236</v>
      </c>
      <c r="G1420" t="s">
        <v>2153</v>
      </c>
      <c r="H1420" s="15" t="s">
        <v>1371</v>
      </c>
      <c r="I1420" s="15" t="s">
        <v>1372</v>
      </c>
      <c r="J1420" s="8" t="str">
        <f>+LEFT(U1420,4)</f>
        <v>SCR-</v>
      </c>
      <c r="K1420" t="s">
        <v>10</v>
      </c>
      <c r="L1420" s="46">
        <v>200</v>
      </c>
      <c r="M1420" t="s">
        <v>1472</v>
      </c>
      <c r="N1420" t="s">
        <v>11</v>
      </c>
      <c r="O1420" s="49">
        <v>0.28810000000000002</v>
      </c>
      <c r="P1420" s="9">
        <f>ROUND(O1420*L1420,2)</f>
        <v>57.62</v>
      </c>
      <c r="Q1420" s="10">
        <f>IF(N1420="HKD",7.8,IF(N1420="CNY",7.30034,1))</f>
        <v>7.3003400000000003</v>
      </c>
      <c r="R1420" s="10">
        <f>+ROUND(O1420/Q1420,4)</f>
        <v>3.95E-2</v>
      </c>
      <c r="S1420" s="11">
        <f>ROUND(R1420*L1420,2)</f>
        <v>7.9</v>
      </c>
      <c r="T1420" s="10" t="s">
        <v>349</v>
      </c>
      <c r="U1420" t="s">
        <v>166</v>
      </c>
    </row>
    <row r="1421" spans="1:21">
      <c r="A1421" t="s">
        <v>1885</v>
      </c>
      <c r="B1421" s="20">
        <v>45712</v>
      </c>
      <c r="C1421" s="20">
        <v>45698</v>
      </c>
      <c r="D1421" t="s">
        <v>235</v>
      </c>
      <c r="E1421" t="s">
        <v>236</v>
      </c>
      <c r="G1421" t="s">
        <v>2153</v>
      </c>
      <c r="H1421" s="15" t="s">
        <v>1371</v>
      </c>
      <c r="I1421" s="15" t="s">
        <v>1372</v>
      </c>
      <c r="J1421" s="8" t="str">
        <f>+LEFT(U1421,4)</f>
        <v>SCR-</v>
      </c>
      <c r="K1421" t="s">
        <v>10</v>
      </c>
      <c r="L1421" s="46">
        <v>500</v>
      </c>
      <c r="M1421" t="s">
        <v>1472</v>
      </c>
      <c r="N1421" t="s">
        <v>11</v>
      </c>
      <c r="O1421" s="49">
        <v>0.28810000000000002</v>
      </c>
      <c r="P1421" s="9">
        <f>ROUND(O1421*L1421,2)</f>
        <v>144.05000000000001</v>
      </c>
      <c r="Q1421" s="10">
        <f>IF(N1421="HKD",7.8,IF(N1421="CNY",7.30034,1))</f>
        <v>7.3003400000000003</v>
      </c>
      <c r="R1421" s="10">
        <f>+ROUND(O1421/Q1421,4)</f>
        <v>3.95E-2</v>
      </c>
      <c r="S1421" s="11">
        <f>ROUND(R1421*L1421,2)</f>
        <v>19.75</v>
      </c>
      <c r="T1421" s="10" t="s">
        <v>349</v>
      </c>
      <c r="U1421" t="s">
        <v>166</v>
      </c>
    </row>
    <row r="1422" spans="1:21">
      <c r="A1422" t="s">
        <v>1892</v>
      </c>
      <c r="B1422" s="20">
        <v>45712</v>
      </c>
      <c r="C1422" s="20">
        <v>45695</v>
      </c>
      <c r="D1422" t="s">
        <v>235</v>
      </c>
      <c r="E1422" t="s">
        <v>236</v>
      </c>
      <c r="G1422" t="s">
        <v>2149</v>
      </c>
      <c r="H1422" s="15" t="s">
        <v>1344</v>
      </c>
      <c r="I1422" s="15" t="s">
        <v>1345</v>
      </c>
      <c r="J1422" s="8" t="str">
        <f>+LEFT(U1422,4)</f>
        <v>SCR-</v>
      </c>
      <c r="K1422" t="s">
        <v>10</v>
      </c>
      <c r="L1422" s="46">
        <v>1750</v>
      </c>
      <c r="M1422" t="s">
        <v>1472</v>
      </c>
      <c r="N1422" t="s">
        <v>11</v>
      </c>
      <c r="O1422" s="49">
        <v>0.47449999999999998</v>
      </c>
      <c r="P1422" s="9">
        <f>ROUND(O1422*L1422,2)</f>
        <v>830.38</v>
      </c>
      <c r="Q1422" s="10">
        <f>IF(N1422="HKD",7.8,IF(N1422="CNY",7.30034,1))</f>
        <v>7.3003400000000003</v>
      </c>
      <c r="R1422" s="10">
        <f>+ROUND(O1422/Q1422,4)</f>
        <v>6.5000000000000002E-2</v>
      </c>
      <c r="S1422" s="11">
        <f>ROUND(R1422*L1422,2)</f>
        <v>113.75</v>
      </c>
      <c r="T1422" s="10" t="s">
        <v>349</v>
      </c>
      <c r="U1422" t="s">
        <v>166</v>
      </c>
    </row>
    <row r="1423" spans="1:21">
      <c r="A1423" t="s">
        <v>1920</v>
      </c>
      <c r="B1423" s="20">
        <v>45709</v>
      </c>
      <c r="C1423" s="20">
        <v>45674</v>
      </c>
      <c r="D1423" t="s">
        <v>252</v>
      </c>
      <c r="E1423" t="s">
        <v>253</v>
      </c>
      <c r="G1423" t="s">
        <v>2169</v>
      </c>
      <c r="H1423" s="15" t="s">
        <v>1022</v>
      </c>
      <c r="I1423" s="15" t="s">
        <v>1023</v>
      </c>
      <c r="J1423" s="8" t="s">
        <v>1527</v>
      </c>
      <c r="K1423" t="s">
        <v>10</v>
      </c>
      <c r="L1423" s="46">
        <v>2050</v>
      </c>
      <c r="M1423" t="s">
        <v>1472</v>
      </c>
      <c r="N1423" t="s">
        <v>11</v>
      </c>
      <c r="O1423" s="49">
        <v>1.2838000000000001</v>
      </c>
      <c r="P1423" s="9">
        <f>ROUND(O1423*L1423,2)</f>
        <v>2631.79</v>
      </c>
      <c r="Q1423" s="10">
        <f>IF(N1423="HKD",7.8,IF(N1423="CNY",7.30034,1))</f>
        <v>7.3003400000000003</v>
      </c>
      <c r="R1423" s="10">
        <f>+ROUND(O1423/Q1423,4)</f>
        <v>0.1759</v>
      </c>
      <c r="S1423" s="11">
        <f>ROUND(R1423*L1423,2)</f>
        <v>360.6</v>
      </c>
      <c r="T1423" s="10" t="s">
        <v>349</v>
      </c>
      <c r="U1423" t="s">
        <v>36</v>
      </c>
    </row>
    <row r="1424" spans="1:21">
      <c r="A1424" t="s">
        <v>1924</v>
      </c>
      <c r="B1424" s="20">
        <v>45709</v>
      </c>
      <c r="C1424" s="20">
        <v>45677</v>
      </c>
      <c r="D1424" t="s">
        <v>252</v>
      </c>
      <c r="E1424" t="s">
        <v>253</v>
      </c>
      <c r="G1424" t="s">
        <v>2169</v>
      </c>
      <c r="H1424" s="15" t="s">
        <v>1022</v>
      </c>
      <c r="I1424" s="15" t="s">
        <v>1023</v>
      </c>
      <c r="J1424" s="8" t="s">
        <v>1527</v>
      </c>
      <c r="K1424" t="s">
        <v>10</v>
      </c>
      <c r="L1424" s="46">
        <v>1500</v>
      </c>
      <c r="M1424" t="s">
        <v>1472</v>
      </c>
      <c r="N1424" t="s">
        <v>11</v>
      </c>
      <c r="O1424" s="49">
        <v>1.31</v>
      </c>
      <c r="P1424" s="9">
        <f>ROUND(O1424*L1424,2)</f>
        <v>1965</v>
      </c>
      <c r="Q1424" s="10">
        <f>IF(N1424="HKD",7.8,IF(N1424="CNY",7.30034,1))</f>
        <v>7.3003400000000003</v>
      </c>
      <c r="R1424" s="10">
        <f>+ROUND(O1424/Q1424,4)</f>
        <v>0.1794</v>
      </c>
      <c r="S1424" s="11">
        <f>ROUND(R1424*L1424,2)</f>
        <v>269.10000000000002</v>
      </c>
      <c r="T1424" s="10" t="s">
        <v>349</v>
      </c>
      <c r="U1424" t="s">
        <v>36</v>
      </c>
    </row>
    <row r="1425" spans="1:21">
      <c r="A1425" t="s">
        <v>1925</v>
      </c>
      <c r="B1425" s="20">
        <v>45709</v>
      </c>
      <c r="C1425" s="20">
        <v>45674</v>
      </c>
      <c r="D1425" t="s">
        <v>252</v>
      </c>
      <c r="E1425" t="s">
        <v>253</v>
      </c>
      <c r="G1425" t="s">
        <v>2169</v>
      </c>
      <c r="H1425" s="15" t="s">
        <v>682</v>
      </c>
      <c r="I1425" s="15" t="s">
        <v>683</v>
      </c>
      <c r="J1425" s="8" t="s">
        <v>1527</v>
      </c>
      <c r="K1425" t="s">
        <v>10</v>
      </c>
      <c r="L1425" s="46">
        <v>3050</v>
      </c>
      <c r="M1425" t="s">
        <v>1472</v>
      </c>
      <c r="N1425" t="s">
        <v>11</v>
      </c>
      <c r="O1425" s="49">
        <v>1.3524</v>
      </c>
      <c r="P1425" s="9">
        <f>ROUND(O1425*L1425,2)</f>
        <v>4124.82</v>
      </c>
      <c r="Q1425" s="10">
        <f>IF(N1425="HKD",7.8,IF(N1425="CNY",7.30034,1))</f>
        <v>7.3003400000000003</v>
      </c>
      <c r="R1425" s="10">
        <f>+ROUND(O1425/Q1425,4)</f>
        <v>0.18529999999999999</v>
      </c>
      <c r="S1425" s="11">
        <f>ROUND(R1425*L1425,2)</f>
        <v>565.16999999999996</v>
      </c>
      <c r="T1425" s="10" t="s">
        <v>349</v>
      </c>
      <c r="U1425" t="s">
        <v>36</v>
      </c>
    </row>
    <row r="1426" spans="1:21">
      <c r="A1426" t="s">
        <v>1927</v>
      </c>
      <c r="B1426" s="20">
        <v>45709</v>
      </c>
      <c r="C1426" s="20">
        <v>45674</v>
      </c>
      <c r="D1426" t="s">
        <v>252</v>
      </c>
      <c r="E1426" t="s">
        <v>253</v>
      </c>
      <c r="G1426" t="s">
        <v>2169</v>
      </c>
      <c r="H1426" s="15" t="s">
        <v>678</v>
      </c>
      <c r="I1426" s="15" t="s">
        <v>679</v>
      </c>
      <c r="J1426" s="8" t="s">
        <v>1527</v>
      </c>
      <c r="K1426" t="s">
        <v>10</v>
      </c>
      <c r="L1426" s="46">
        <v>1000</v>
      </c>
      <c r="M1426" t="s">
        <v>1472</v>
      </c>
      <c r="N1426" t="s">
        <v>11</v>
      </c>
      <c r="O1426" s="49">
        <v>1.38</v>
      </c>
      <c r="P1426" s="9">
        <f>ROUND(O1426*L1426,2)</f>
        <v>1380</v>
      </c>
      <c r="Q1426" s="10">
        <f>IF(N1426="HKD",7.8,IF(N1426="CNY",7.30034,1))</f>
        <v>7.3003400000000003</v>
      </c>
      <c r="R1426" s="10">
        <f>+ROUND(O1426/Q1426,4)</f>
        <v>0.189</v>
      </c>
      <c r="S1426" s="11">
        <f>ROUND(R1426*L1426,2)</f>
        <v>189</v>
      </c>
      <c r="T1426" s="10" t="s">
        <v>349</v>
      </c>
      <c r="U1426" t="s">
        <v>36</v>
      </c>
    </row>
    <row r="1427" spans="1:21">
      <c r="A1427" t="s">
        <v>1928</v>
      </c>
      <c r="B1427" s="20">
        <v>45709</v>
      </c>
      <c r="C1427" s="20">
        <v>45677</v>
      </c>
      <c r="D1427" t="s">
        <v>252</v>
      </c>
      <c r="E1427" t="s">
        <v>253</v>
      </c>
      <c r="G1427" t="s">
        <v>2169</v>
      </c>
      <c r="H1427" s="15" t="s">
        <v>678</v>
      </c>
      <c r="I1427" s="15" t="s">
        <v>679</v>
      </c>
      <c r="J1427" s="8" t="s">
        <v>1527</v>
      </c>
      <c r="K1427" t="s">
        <v>10</v>
      </c>
      <c r="L1427" s="46">
        <v>1020</v>
      </c>
      <c r="M1427" t="s">
        <v>1472</v>
      </c>
      <c r="N1427" t="s">
        <v>11</v>
      </c>
      <c r="O1427" s="49">
        <v>1.38</v>
      </c>
      <c r="P1427" s="9">
        <f>ROUND(O1427*L1427,2)</f>
        <v>1407.6</v>
      </c>
      <c r="Q1427" s="10">
        <f>IF(N1427="HKD",7.8,IF(N1427="CNY",7.30034,1))</f>
        <v>7.3003400000000003</v>
      </c>
      <c r="R1427" s="10">
        <f>+ROUND(O1427/Q1427,4)</f>
        <v>0.189</v>
      </c>
      <c r="S1427" s="11">
        <f>ROUND(R1427*L1427,2)</f>
        <v>192.78</v>
      </c>
      <c r="T1427" s="10" t="s">
        <v>349</v>
      </c>
      <c r="U1427" t="s">
        <v>36</v>
      </c>
    </row>
    <row r="1428" spans="1:21">
      <c r="A1428" t="s">
        <v>2030</v>
      </c>
      <c r="B1428" s="20">
        <v>45709</v>
      </c>
      <c r="C1428" s="20">
        <v>45636</v>
      </c>
      <c r="D1428" t="s">
        <v>94</v>
      </c>
      <c r="E1428" t="s">
        <v>95</v>
      </c>
      <c r="G1428" t="s">
        <v>2196</v>
      </c>
      <c r="H1428" s="15" t="s">
        <v>997</v>
      </c>
      <c r="I1428" s="15" t="s">
        <v>998</v>
      </c>
      <c r="J1428" s="8" t="str">
        <f>+LEFT(U1428,4)</f>
        <v>LID-</v>
      </c>
      <c r="K1428" t="s">
        <v>369</v>
      </c>
      <c r="L1428" s="46">
        <v>860</v>
      </c>
      <c r="M1428" t="s">
        <v>1472</v>
      </c>
      <c r="N1428" t="s">
        <v>11</v>
      </c>
      <c r="O1428" s="49">
        <v>3.64</v>
      </c>
      <c r="P1428" s="9">
        <f>ROUND(O1428*L1428,2)</f>
        <v>3130.4</v>
      </c>
      <c r="Q1428" s="10">
        <f>IF(N1428="HKD",7.8,IF(N1428="CNY",7.30034,1))</f>
        <v>7.3003400000000003</v>
      </c>
      <c r="R1428" s="10">
        <f>+ROUND(O1428/Q1428,4)</f>
        <v>0.49859999999999999</v>
      </c>
      <c r="S1428" s="11">
        <f>ROUND(R1428*L1428,2)</f>
        <v>428.8</v>
      </c>
      <c r="T1428" s="10" t="s">
        <v>349</v>
      </c>
      <c r="U1428" t="s">
        <v>368</v>
      </c>
    </row>
    <row r="1429" spans="1:21">
      <c r="A1429" t="s">
        <v>2031</v>
      </c>
      <c r="B1429" s="20">
        <v>45709</v>
      </c>
      <c r="C1429" s="20">
        <v>45636</v>
      </c>
      <c r="D1429" t="s">
        <v>94</v>
      </c>
      <c r="E1429" t="s">
        <v>95</v>
      </c>
      <c r="G1429" t="s">
        <v>2196</v>
      </c>
      <c r="H1429" s="15" t="s">
        <v>997</v>
      </c>
      <c r="I1429" s="15" t="s">
        <v>998</v>
      </c>
      <c r="J1429" s="8" t="str">
        <f>+LEFT(U1429,4)</f>
        <v>LID-</v>
      </c>
      <c r="K1429" t="s">
        <v>369</v>
      </c>
      <c r="L1429" s="46">
        <v>1840</v>
      </c>
      <c r="M1429" t="s">
        <v>1472</v>
      </c>
      <c r="N1429" t="s">
        <v>11</v>
      </c>
      <c r="O1429" s="49">
        <v>3.64</v>
      </c>
      <c r="P1429" s="9">
        <f>ROUND(O1429*L1429,2)</f>
        <v>6697.6</v>
      </c>
      <c r="Q1429" s="10">
        <f>IF(N1429="HKD",7.8,IF(N1429="CNY",7.30034,1))</f>
        <v>7.3003400000000003</v>
      </c>
      <c r="R1429" s="10">
        <f>+ROUND(O1429/Q1429,4)</f>
        <v>0.49859999999999999</v>
      </c>
      <c r="S1429" s="11">
        <f>ROUND(R1429*L1429,2)</f>
        <v>917.42</v>
      </c>
      <c r="T1429" s="10" t="s">
        <v>349</v>
      </c>
      <c r="U1429" t="s">
        <v>368</v>
      </c>
    </row>
    <row r="1430" spans="1:21">
      <c r="A1430" t="s">
        <v>2091</v>
      </c>
      <c r="B1430" s="20">
        <v>45709</v>
      </c>
      <c r="C1430" s="20">
        <v>45646</v>
      </c>
      <c r="D1430" t="s">
        <v>252</v>
      </c>
      <c r="E1430" t="s">
        <v>253</v>
      </c>
      <c r="G1430" t="s">
        <v>2169</v>
      </c>
      <c r="H1430" s="15" t="s">
        <v>1788</v>
      </c>
      <c r="I1430" s="15" t="s">
        <v>1789</v>
      </c>
      <c r="J1430" s="8" t="str">
        <f>+LEFT(U1430,4)</f>
        <v>MISC</v>
      </c>
      <c r="K1430" t="s">
        <v>10</v>
      </c>
      <c r="L1430" s="46">
        <v>6030</v>
      </c>
      <c r="M1430" t="s">
        <v>1472</v>
      </c>
      <c r="N1430" t="s">
        <v>11</v>
      </c>
      <c r="O1430" s="49">
        <v>7.2556000000000003</v>
      </c>
      <c r="P1430" s="9">
        <f>ROUND(O1430*L1430,2)</f>
        <v>43751.27</v>
      </c>
      <c r="Q1430" s="10">
        <f>IF(N1430="HKD",7.8,IF(N1430="CNY",7.30034,1))</f>
        <v>7.3003400000000003</v>
      </c>
      <c r="R1430" s="10">
        <f>+ROUND(O1430/Q1430,4)</f>
        <v>0.99390000000000001</v>
      </c>
      <c r="S1430" s="11">
        <f>ROUND(R1430*L1430,2)</f>
        <v>5993.22</v>
      </c>
      <c r="T1430" s="10" t="s">
        <v>349</v>
      </c>
      <c r="U1430" t="s">
        <v>25</v>
      </c>
    </row>
    <row r="1431" spans="1:21">
      <c r="A1431" t="s">
        <v>2059</v>
      </c>
      <c r="B1431" s="20">
        <v>45709</v>
      </c>
      <c r="C1431" s="20">
        <v>45630</v>
      </c>
      <c r="D1431" t="s">
        <v>830</v>
      </c>
      <c r="E1431" t="s">
        <v>831</v>
      </c>
      <c r="G1431" t="s">
        <v>2206</v>
      </c>
      <c r="H1431" s="15" t="s">
        <v>834</v>
      </c>
      <c r="I1431" s="15" t="s">
        <v>835</v>
      </c>
      <c r="J1431" s="8" t="str">
        <f>+LEFT(U1431,4)</f>
        <v>SKU-</v>
      </c>
      <c r="K1431" t="s">
        <v>98</v>
      </c>
      <c r="L1431" s="46">
        <v>800</v>
      </c>
      <c r="M1431" t="s">
        <v>1472</v>
      </c>
      <c r="N1431" t="s">
        <v>11</v>
      </c>
      <c r="O1431" s="49">
        <v>4.9154</v>
      </c>
      <c r="P1431" s="9">
        <f>ROUND(O1431*L1431,2)</f>
        <v>3932.32</v>
      </c>
      <c r="Q1431" s="10">
        <f>IF(N1431="HKD",7.8,IF(N1431="CNY",7.30034,1))</f>
        <v>7.3003400000000003</v>
      </c>
      <c r="R1431" s="10">
        <f>+ROUND(O1431/Q1431,4)</f>
        <v>0.67330000000000001</v>
      </c>
      <c r="S1431" s="11">
        <f>ROUND(R1431*L1431,2)</f>
        <v>538.64</v>
      </c>
      <c r="T1431" s="10" t="s">
        <v>349</v>
      </c>
      <c r="U1431" t="s">
        <v>2</v>
      </c>
    </row>
    <row r="1432" spans="1:21">
      <c r="A1432" t="s">
        <v>2064</v>
      </c>
      <c r="B1432" s="20">
        <v>45709</v>
      </c>
      <c r="C1432" s="20">
        <v>45630</v>
      </c>
      <c r="D1432" t="s">
        <v>830</v>
      </c>
      <c r="E1432" t="s">
        <v>831</v>
      </c>
      <c r="G1432" t="s">
        <v>2206</v>
      </c>
      <c r="H1432" s="15" t="s">
        <v>828</v>
      </c>
      <c r="I1432" s="15" t="s">
        <v>829</v>
      </c>
      <c r="J1432" s="8" t="str">
        <f>+LEFT(U1432,4)</f>
        <v>SKU-</v>
      </c>
      <c r="K1432" t="s">
        <v>98</v>
      </c>
      <c r="L1432" s="46">
        <v>1200</v>
      </c>
      <c r="M1432" t="s">
        <v>1472</v>
      </c>
      <c r="N1432" t="s">
        <v>11</v>
      </c>
      <c r="O1432" s="49">
        <v>5.0862999999999996</v>
      </c>
      <c r="P1432" s="9">
        <f>ROUND(O1432*L1432,2)</f>
        <v>6103.56</v>
      </c>
      <c r="Q1432" s="10">
        <f>IF(N1432="HKD",7.8,IF(N1432="CNY",7.30034,1))</f>
        <v>7.3003400000000003</v>
      </c>
      <c r="R1432" s="10">
        <f>+ROUND(O1432/Q1432,4)</f>
        <v>0.69669999999999999</v>
      </c>
      <c r="S1432" s="11">
        <f>ROUND(R1432*L1432,2)</f>
        <v>836.04</v>
      </c>
      <c r="T1432" s="10" t="s">
        <v>349</v>
      </c>
      <c r="U1432" t="s">
        <v>2</v>
      </c>
    </row>
    <row r="1433" spans="1:21">
      <c r="A1433" t="s">
        <v>2114</v>
      </c>
      <c r="B1433" s="20">
        <v>45709</v>
      </c>
      <c r="C1433" s="20">
        <v>45701</v>
      </c>
      <c r="D1433" t="s">
        <v>2259</v>
      </c>
      <c r="E1433" t="s">
        <v>2260</v>
      </c>
      <c r="G1433" t="s">
        <v>2230</v>
      </c>
      <c r="H1433" s="15" t="s">
        <v>1808</v>
      </c>
      <c r="I1433" s="15" t="s">
        <v>1809</v>
      </c>
      <c r="J1433" s="8" t="str">
        <f>+LEFT(U1433,4)</f>
        <v>SSM-</v>
      </c>
      <c r="K1433" t="s">
        <v>10</v>
      </c>
      <c r="L1433" s="46">
        <v>54331</v>
      </c>
      <c r="M1433" t="s">
        <v>186</v>
      </c>
      <c r="N1433" t="s">
        <v>11</v>
      </c>
      <c r="O1433" s="49">
        <v>11.7699</v>
      </c>
      <c r="P1433" s="9">
        <f>ROUND(O1433*L1433,2)</f>
        <v>639470.43999999994</v>
      </c>
      <c r="Q1433" s="10">
        <f>IF(N1433="HKD",7.8,IF(N1433="CNY",7.30034,1))</f>
        <v>7.3003400000000003</v>
      </c>
      <c r="R1433" s="10">
        <f>+ROUND(O1433/Q1433,4)</f>
        <v>1.6122000000000001</v>
      </c>
      <c r="S1433" s="11">
        <f>ROUND(R1433*L1433,2)</f>
        <v>87592.44</v>
      </c>
      <c r="T1433" s="10" t="s">
        <v>349</v>
      </c>
      <c r="U1433" t="s">
        <v>33</v>
      </c>
    </row>
    <row r="1434" spans="1:21">
      <c r="A1434" t="s">
        <v>2115</v>
      </c>
      <c r="B1434" s="20">
        <v>45709</v>
      </c>
      <c r="C1434" s="20">
        <v>45701</v>
      </c>
      <c r="D1434" t="s">
        <v>2259</v>
      </c>
      <c r="E1434" t="s">
        <v>2260</v>
      </c>
      <c r="G1434" t="s">
        <v>2230</v>
      </c>
      <c r="H1434" s="15" t="s">
        <v>1810</v>
      </c>
      <c r="I1434" s="15" t="s">
        <v>1811</v>
      </c>
      <c r="J1434" s="8" t="str">
        <f>+LEFT(U1434,4)</f>
        <v>SSM-</v>
      </c>
      <c r="K1434" t="s">
        <v>10</v>
      </c>
      <c r="L1434" s="46">
        <v>11071</v>
      </c>
      <c r="M1434" t="s">
        <v>186</v>
      </c>
      <c r="N1434" t="s">
        <v>11</v>
      </c>
      <c r="O1434" s="49">
        <v>12.035399999999999</v>
      </c>
      <c r="P1434" s="9">
        <f>ROUND(O1434*L1434,2)</f>
        <v>133243.91</v>
      </c>
      <c r="Q1434" s="10">
        <f>IF(N1434="HKD",7.8,IF(N1434="CNY",7.30034,1))</f>
        <v>7.3003400000000003</v>
      </c>
      <c r="R1434" s="10">
        <f>+ROUND(O1434/Q1434,4)</f>
        <v>1.6486000000000001</v>
      </c>
      <c r="S1434" s="11">
        <f>ROUND(R1434*L1434,2)</f>
        <v>18251.650000000001</v>
      </c>
      <c r="T1434" s="10" t="s">
        <v>349</v>
      </c>
      <c r="U1434" t="s">
        <v>33</v>
      </c>
    </row>
    <row r="1435" spans="1:21">
      <c r="A1435" t="s">
        <v>1834</v>
      </c>
      <c r="B1435" s="20">
        <v>45708</v>
      </c>
      <c r="C1435" s="20">
        <v>45674</v>
      </c>
      <c r="D1435" t="s">
        <v>806</v>
      </c>
      <c r="E1435" t="s">
        <v>807</v>
      </c>
      <c r="G1435" t="s">
        <v>2142</v>
      </c>
      <c r="H1435" s="15" t="s">
        <v>1567</v>
      </c>
      <c r="I1435" s="15" t="s">
        <v>1568</v>
      </c>
      <c r="J1435" s="8" t="str">
        <f>+LEFT(U1435,4)</f>
        <v>BAG-</v>
      </c>
      <c r="K1435" t="s">
        <v>10</v>
      </c>
      <c r="L1435" s="46">
        <v>10000</v>
      </c>
      <c r="M1435" t="s">
        <v>1472</v>
      </c>
      <c r="N1435" t="s">
        <v>11</v>
      </c>
      <c r="O1435" s="49">
        <v>5.2999999999999999E-2</v>
      </c>
      <c r="P1435" s="9">
        <f>ROUND(O1435*L1435,2)</f>
        <v>530</v>
      </c>
      <c r="Q1435" s="10">
        <f>IF(N1435="HKD",7.8,IF(N1435="CNY",7.30034,1))</f>
        <v>7.3003400000000003</v>
      </c>
      <c r="R1435" s="10">
        <f>+ROUND(O1435/Q1435,4)</f>
        <v>7.3000000000000001E-3</v>
      </c>
      <c r="S1435" s="11">
        <f>ROUND(R1435*L1435,2)</f>
        <v>73</v>
      </c>
      <c r="T1435" s="10" t="s">
        <v>349</v>
      </c>
      <c r="U1435" t="s">
        <v>810</v>
      </c>
    </row>
    <row r="1436" spans="1:21">
      <c r="A1436" t="s">
        <v>1835</v>
      </c>
      <c r="B1436" s="20">
        <v>45708</v>
      </c>
      <c r="C1436" s="20">
        <v>45674</v>
      </c>
      <c r="D1436" t="s">
        <v>806</v>
      </c>
      <c r="E1436" t="s">
        <v>807</v>
      </c>
      <c r="G1436" t="s">
        <v>2143</v>
      </c>
      <c r="H1436" s="15" t="s">
        <v>1569</v>
      </c>
      <c r="I1436" s="15" t="s">
        <v>1570</v>
      </c>
      <c r="J1436" s="8" t="str">
        <f>+LEFT(U1436,4)</f>
        <v>BAG-</v>
      </c>
      <c r="K1436" t="s">
        <v>10</v>
      </c>
      <c r="L1436" s="46">
        <v>7160</v>
      </c>
      <c r="M1436" t="s">
        <v>1472</v>
      </c>
      <c r="N1436" t="s">
        <v>11</v>
      </c>
      <c r="O1436" s="49">
        <v>0.06</v>
      </c>
      <c r="P1436" s="9">
        <f>ROUND(O1436*L1436,2)</f>
        <v>429.6</v>
      </c>
      <c r="Q1436" s="10">
        <f>IF(N1436="HKD",7.8,IF(N1436="CNY",7.30034,1))</f>
        <v>7.3003400000000003</v>
      </c>
      <c r="R1436" s="10">
        <f>+ROUND(O1436/Q1436,4)</f>
        <v>8.2000000000000007E-3</v>
      </c>
      <c r="S1436" s="11">
        <f>ROUND(R1436*L1436,2)</f>
        <v>58.71</v>
      </c>
      <c r="T1436" s="10" t="s">
        <v>349</v>
      </c>
      <c r="U1436" t="s">
        <v>810</v>
      </c>
    </row>
    <row r="1437" spans="1:21">
      <c r="A1437" t="s">
        <v>1836</v>
      </c>
      <c r="B1437" s="20">
        <v>45708</v>
      </c>
      <c r="C1437" s="20">
        <v>45674</v>
      </c>
      <c r="D1437" t="s">
        <v>806</v>
      </c>
      <c r="E1437" t="s">
        <v>807</v>
      </c>
      <c r="G1437" t="s">
        <v>2142</v>
      </c>
      <c r="H1437" s="15" t="s">
        <v>1571</v>
      </c>
      <c r="I1437" s="15" t="s">
        <v>1572</v>
      </c>
      <c r="J1437" s="8" t="str">
        <f>+LEFT(U1437,4)</f>
        <v>BAG-</v>
      </c>
      <c r="K1437" t="s">
        <v>10</v>
      </c>
      <c r="L1437" s="46">
        <v>7000</v>
      </c>
      <c r="M1437" t="s">
        <v>1472</v>
      </c>
      <c r="N1437" t="s">
        <v>11</v>
      </c>
      <c r="O1437" s="49">
        <v>0.06</v>
      </c>
      <c r="P1437" s="9">
        <f>ROUND(O1437*L1437,2)</f>
        <v>420</v>
      </c>
      <c r="Q1437" s="10">
        <f>IF(N1437="HKD",7.8,IF(N1437="CNY",7.30034,1))</f>
        <v>7.3003400000000003</v>
      </c>
      <c r="R1437" s="10">
        <f>+ROUND(O1437/Q1437,4)</f>
        <v>8.2000000000000007E-3</v>
      </c>
      <c r="S1437" s="11">
        <f>ROUND(R1437*L1437,2)</f>
        <v>57.4</v>
      </c>
      <c r="T1437" s="10" t="s">
        <v>349</v>
      </c>
      <c r="U1437" t="s">
        <v>810</v>
      </c>
    </row>
    <row r="1438" spans="1:21">
      <c r="A1438" t="s">
        <v>1841</v>
      </c>
      <c r="B1438" s="20">
        <v>45708</v>
      </c>
      <c r="C1438" s="20">
        <v>45667</v>
      </c>
      <c r="D1438" t="s">
        <v>806</v>
      </c>
      <c r="E1438" t="s">
        <v>807</v>
      </c>
      <c r="G1438" t="s">
        <v>2142</v>
      </c>
      <c r="H1438" s="15" t="s">
        <v>1579</v>
      </c>
      <c r="I1438" s="15" t="s">
        <v>1580</v>
      </c>
      <c r="J1438" s="8" t="str">
        <f>+LEFT(U1438,4)</f>
        <v>BAG-</v>
      </c>
      <c r="K1438" t="s">
        <v>10</v>
      </c>
      <c r="L1438" s="46">
        <v>10000</v>
      </c>
      <c r="M1438" t="s">
        <v>1472</v>
      </c>
      <c r="N1438" t="s">
        <v>11</v>
      </c>
      <c r="O1438" s="49">
        <v>0.08</v>
      </c>
      <c r="P1438" s="9">
        <f>ROUND(O1438*L1438,2)</f>
        <v>800</v>
      </c>
      <c r="Q1438" s="10">
        <f>IF(N1438="HKD",7.8,IF(N1438="CNY",7.30034,1))</f>
        <v>7.3003400000000003</v>
      </c>
      <c r="R1438" s="10">
        <f>+ROUND(O1438/Q1438,4)</f>
        <v>1.0999999999999999E-2</v>
      </c>
      <c r="S1438" s="11">
        <f>ROUND(R1438*L1438,2)</f>
        <v>110</v>
      </c>
      <c r="T1438" s="10" t="s">
        <v>349</v>
      </c>
      <c r="U1438" t="s">
        <v>810</v>
      </c>
    </row>
    <row r="1439" spans="1:21">
      <c r="A1439" t="s">
        <v>1842</v>
      </c>
      <c r="B1439" s="20">
        <v>45708</v>
      </c>
      <c r="C1439" s="20">
        <v>45672</v>
      </c>
      <c r="D1439" t="s">
        <v>806</v>
      </c>
      <c r="E1439" t="s">
        <v>807</v>
      </c>
      <c r="G1439" t="s">
        <v>2143</v>
      </c>
      <c r="H1439" s="15" t="s">
        <v>821</v>
      </c>
      <c r="I1439" s="15" t="s">
        <v>822</v>
      </c>
      <c r="J1439" s="8" t="str">
        <f>+LEFT(U1439,4)</f>
        <v>BAG-</v>
      </c>
      <c r="K1439" t="s">
        <v>10</v>
      </c>
      <c r="L1439" s="46">
        <v>3000</v>
      </c>
      <c r="M1439" t="s">
        <v>1472</v>
      </c>
      <c r="N1439" t="s">
        <v>11</v>
      </c>
      <c r="O1439" s="49">
        <v>0.08</v>
      </c>
      <c r="P1439" s="9">
        <f>ROUND(O1439*L1439,2)</f>
        <v>240</v>
      </c>
      <c r="Q1439" s="10">
        <f>IF(N1439="HKD",7.8,IF(N1439="CNY",7.30034,1))</f>
        <v>7.3003400000000003</v>
      </c>
      <c r="R1439" s="10">
        <f>+ROUND(O1439/Q1439,4)</f>
        <v>1.0999999999999999E-2</v>
      </c>
      <c r="S1439" s="11">
        <f>ROUND(R1439*L1439,2)</f>
        <v>33</v>
      </c>
      <c r="T1439" s="10" t="s">
        <v>349</v>
      </c>
      <c r="U1439" t="s">
        <v>810</v>
      </c>
    </row>
    <row r="1440" spans="1:21">
      <c r="A1440" t="s">
        <v>1844</v>
      </c>
      <c r="B1440" s="20">
        <v>45708</v>
      </c>
      <c r="C1440" s="20">
        <v>45667</v>
      </c>
      <c r="D1440" t="s">
        <v>806</v>
      </c>
      <c r="E1440" t="s">
        <v>807</v>
      </c>
      <c r="G1440" t="s">
        <v>2142</v>
      </c>
      <c r="H1440" s="15" t="s">
        <v>1583</v>
      </c>
      <c r="I1440" s="15" t="s">
        <v>1584</v>
      </c>
      <c r="J1440" s="8" t="str">
        <f>+LEFT(U1440,4)</f>
        <v>BAG-</v>
      </c>
      <c r="K1440" t="s">
        <v>10</v>
      </c>
      <c r="L1440" s="46">
        <v>3000</v>
      </c>
      <c r="M1440" t="s">
        <v>1472</v>
      </c>
      <c r="N1440" t="s">
        <v>11</v>
      </c>
      <c r="O1440" s="49">
        <v>8.5000000000000006E-2</v>
      </c>
      <c r="P1440" s="9">
        <f>ROUND(O1440*L1440,2)</f>
        <v>255</v>
      </c>
      <c r="Q1440" s="10">
        <f>IF(N1440="HKD",7.8,IF(N1440="CNY",7.30034,1))</f>
        <v>7.3003400000000003</v>
      </c>
      <c r="R1440" s="10">
        <f>+ROUND(O1440/Q1440,4)</f>
        <v>1.1599999999999999E-2</v>
      </c>
      <c r="S1440" s="11">
        <f>ROUND(R1440*L1440,2)</f>
        <v>34.799999999999997</v>
      </c>
      <c r="T1440" s="10" t="s">
        <v>349</v>
      </c>
      <c r="U1440" t="s">
        <v>810</v>
      </c>
    </row>
    <row r="1441" spans="1:21">
      <c r="A1441" t="s">
        <v>1845</v>
      </c>
      <c r="B1441" s="20">
        <v>45708</v>
      </c>
      <c r="C1441" s="20">
        <v>45667</v>
      </c>
      <c r="D1441" t="s">
        <v>806</v>
      </c>
      <c r="E1441" t="s">
        <v>807</v>
      </c>
      <c r="G1441" t="s">
        <v>2142</v>
      </c>
      <c r="H1441" s="15" t="s">
        <v>1585</v>
      </c>
      <c r="I1441" s="15" t="s">
        <v>1586</v>
      </c>
      <c r="J1441" s="8" t="str">
        <f>+LEFT(U1441,4)</f>
        <v>BAG-</v>
      </c>
      <c r="K1441" t="s">
        <v>10</v>
      </c>
      <c r="L1441" s="46">
        <v>10000</v>
      </c>
      <c r="M1441" t="s">
        <v>1472</v>
      </c>
      <c r="N1441" t="s">
        <v>11</v>
      </c>
      <c r="O1441" s="49">
        <v>0.09</v>
      </c>
      <c r="P1441" s="9">
        <f>ROUND(O1441*L1441,2)</f>
        <v>900</v>
      </c>
      <c r="Q1441" s="10">
        <f>IF(N1441="HKD",7.8,IF(N1441="CNY",7.30034,1))</f>
        <v>7.3003400000000003</v>
      </c>
      <c r="R1441" s="10">
        <f>+ROUND(O1441/Q1441,4)</f>
        <v>1.23E-2</v>
      </c>
      <c r="S1441" s="11">
        <f>ROUND(R1441*L1441,2)</f>
        <v>123</v>
      </c>
      <c r="T1441" s="10" t="s">
        <v>349</v>
      </c>
      <c r="U1441" t="s">
        <v>810</v>
      </c>
    </row>
    <row r="1442" spans="1:21">
      <c r="A1442" t="s">
        <v>1861</v>
      </c>
      <c r="B1442" s="20">
        <v>45708</v>
      </c>
      <c r="C1442" s="20">
        <v>45667</v>
      </c>
      <c r="D1442" t="s">
        <v>806</v>
      </c>
      <c r="E1442" t="s">
        <v>807</v>
      </c>
      <c r="G1442" t="s">
        <v>2142</v>
      </c>
      <c r="H1442" s="15" t="s">
        <v>1599</v>
      </c>
      <c r="I1442" s="15" t="s">
        <v>1600</v>
      </c>
      <c r="J1442" s="8" t="str">
        <f>+LEFT(U1442,4)</f>
        <v>BAG-</v>
      </c>
      <c r="K1442" t="s">
        <v>10</v>
      </c>
      <c r="L1442" s="46">
        <v>10000</v>
      </c>
      <c r="M1442" t="s">
        <v>1472</v>
      </c>
      <c r="N1442" t="s">
        <v>11</v>
      </c>
      <c r="O1442" s="49">
        <v>0.12</v>
      </c>
      <c r="P1442" s="9">
        <f>ROUND(O1442*L1442,2)</f>
        <v>1200</v>
      </c>
      <c r="Q1442" s="10">
        <f>IF(N1442="HKD",7.8,IF(N1442="CNY",7.30034,1))</f>
        <v>7.3003400000000003</v>
      </c>
      <c r="R1442" s="10">
        <f>+ROUND(O1442/Q1442,4)</f>
        <v>1.6400000000000001E-2</v>
      </c>
      <c r="S1442" s="11">
        <f>ROUND(R1442*L1442,2)</f>
        <v>164</v>
      </c>
      <c r="T1442" s="10" t="s">
        <v>349</v>
      </c>
      <c r="U1442" t="s">
        <v>810</v>
      </c>
    </row>
    <row r="1443" spans="1:21">
      <c r="A1443" t="s">
        <v>1863</v>
      </c>
      <c r="B1443" s="20">
        <v>45708</v>
      </c>
      <c r="C1443" s="20">
        <v>45679</v>
      </c>
      <c r="D1443" t="s">
        <v>806</v>
      </c>
      <c r="E1443" t="s">
        <v>807</v>
      </c>
      <c r="G1443" t="s">
        <v>2142</v>
      </c>
      <c r="H1443" s="15" t="s">
        <v>1601</v>
      </c>
      <c r="I1443" s="15" t="s">
        <v>1602</v>
      </c>
      <c r="J1443" s="8" t="str">
        <f>+LEFT(U1443,4)</f>
        <v>BAG-</v>
      </c>
      <c r="K1443" t="s">
        <v>10</v>
      </c>
      <c r="L1443" s="46">
        <v>10000</v>
      </c>
      <c r="M1443" t="s">
        <v>1472</v>
      </c>
      <c r="N1443" t="s">
        <v>11</v>
      </c>
      <c r="O1443" s="49">
        <v>0.128</v>
      </c>
      <c r="P1443" s="9">
        <f>ROUND(O1443*L1443,2)</f>
        <v>1280</v>
      </c>
      <c r="Q1443" s="10">
        <f>IF(N1443="HKD",7.8,IF(N1443="CNY",7.30034,1))</f>
        <v>7.3003400000000003</v>
      </c>
      <c r="R1443" s="10">
        <f>+ROUND(O1443/Q1443,4)</f>
        <v>1.7500000000000002E-2</v>
      </c>
      <c r="S1443" s="11">
        <f>ROUND(R1443*L1443,2)</f>
        <v>175</v>
      </c>
      <c r="T1443" s="10" t="s">
        <v>349</v>
      </c>
      <c r="U1443" t="s">
        <v>810</v>
      </c>
    </row>
    <row r="1444" spans="1:21">
      <c r="A1444" t="s">
        <v>1866</v>
      </c>
      <c r="B1444" s="20">
        <v>45708</v>
      </c>
      <c r="C1444" s="20">
        <v>45672</v>
      </c>
      <c r="D1444" t="s">
        <v>806</v>
      </c>
      <c r="E1444" t="s">
        <v>807</v>
      </c>
      <c r="G1444" t="s">
        <v>2143</v>
      </c>
      <c r="H1444" s="15" t="s">
        <v>1603</v>
      </c>
      <c r="I1444" s="15" t="s">
        <v>1604</v>
      </c>
      <c r="J1444" s="8" t="str">
        <f>+LEFT(U1444,4)</f>
        <v>BAG-</v>
      </c>
      <c r="K1444" t="s">
        <v>10</v>
      </c>
      <c r="L1444" s="46">
        <v>10000</v>
      </c>
      <c r="M1444" t="s">
        <v>1472</v>
      </c>
      <c r="N1444" t="s">
        <v>11</v>
      </c>
      <c r="O1444" s="49">
        <v>0.158</v>
      </c>
      <c r="P1444" s="9">
        <f>ROUND(O1444*L1444,2)</f>
        <v>1580</v>
      </c>
      <c r="Q1444" s="10">
        <f>IF(N1444="HKD",7.8,IF(N1444="CNY",7.30034,1))</f>
        <v>7.3003400000000003</v>
      </c>
      <c r="R1444" s="10">
        <f>+ROUND(O1444/Q1444,4)</f>
        <v>2.1600000000000001E-2</v>
      </c>
      <c r="S1444" s="11">
        <f>ROUND(R1444*L1444,2)</f>
        <v>216</v>
      </c>
      <c r="T1444" s="10" t="s">
        <v>349</v>
      </c>
      <c r="U1444" t="s">
        <v>810</v>
      </c>
    </row>
    <row r="1445" spans="1:21">
      <c r="A1445" t="s">
        <v>1869</v>
      </c>
      <c r="B1445" s="20">
        <v>45708</v>
      </c>
      <c r="C1445" s="20">
        <v>45667</v>
      </c>
      <c r="D1445" t="s">
        <v>806</v>
      </c>
      <c r="E1445" t="s">
        <v>807</v>
      </c>
      <c r="G1445" t="s">
        <v>2142</v>
      </c>
      <c r="H1445" s="15" t="s">
        <v>1605</v>
      </c>
      <c r="I1445" s="15" t="s">
        <v>1606</v>
      </c>
      <c r="J1445" s="8" t="str">
        <f>+LEFT(U1445,4)</f>
        <v>BAG-</v>
      </c>
      <c r="K1445" t="s">
        <v>10</v>
      </c>
      <c r="L1445" s="46">
        <v>15000</v>
      </c>
      <c r="M1445" t="s">
        <v>1472</v>
      </c>
      <c r="N1445" t="s">
        <v>11</v>
      </c>
      <c r="O1445" s="49">
        <v>0.17</v>
      </c>
      <c r="P1445" s="9">
        <f>ROUND(O1445*L1445,2)</f>
        <v>2550</v>
      </c>
      <c r="Q1445" s="10">
        <f>IF(N1445="HKD",7.8,IF(N1445="CNY",7.30034,1))</f>
        <v>7.3003400000000003</v>
      </c>
      <c r="R1445" s="10">
        <f>+ROUND(O1445/Q1445,4)</f>
        <v>2.3300000000000001E-2</v>
      </c>
      <c r="S1445" s="11">
        <f>ROUND(R1445*L1445,2)</f>
        <v>349.5</v>
      </c>
      <c r="T1445" s="10" t="s">
        <v>349</v>
      </c>
      <c r="U1445" t="s">
        <v>810</v>
      </c>
    </row>
    <row r="1446" spans="1:21">
      <c r="A1446" t="s">
        <v>1870</v>
      </c>
      <c r="B1446" s="20">
        <v>45708</v>
      </c>
      <c r="C1446" s="20">
        <v>45674</v>
      </c>
      <c r="D1446" t="s">
        <v>806</v>
      </c>
      <c r="E1446" t="s">
        <v>807</v>
      </c>
      <c r="G1446" t="s">
        <v>2142</v>
      </c>
      <c r="H1446" s="15" t="s">
        <v>1605</v>
      </c>
      <c r="I1446" s="15" t="s">
        <v>1606</v>
      </c>
      <c r="J1446" s="8" t="str">
        <f>+LEFT(U1446,4)</f>
        <v>BAG-</v>
      </c>
      <c r="K1446" t="s">
        <v>10</v>
      </c>
      <c r="L1446" s="46">
        <v>5000</v>
      </c>
      <c r="M1446" t="s">
        <v>1472</v>
      </c>
      <c r="N1446" t="s">
        <v>11</v>
      </c>
      <c r="O1446" s="49">
        <v>0.17</v>
      </c>
      <c r="P1446" s="9">
        <f>ROUND(O1446*L1446,2)</f>
        <v>850</v>
      </c>
      <c r="Q1446" s="10">
        <f>IF(N1446="HKD",7.8,IF(N1446="CNY",7.30034,1))</f>
        <v>7.3003400000000003</v>
      </c>
      <c r="R1446" s="10">
        <f>+ROUND(O1446/Q1446,4)</f>
        <v>2.3300000000000001E-2</v>
      </c>
      <c r="S1446" s="11">
        <f>ROUND(R1446*L1446,2)</f>
        <v>116.5</v>
      </c>
      <c r="T1446" s="10" t="s">
        <v>349</v>
      </c>
      <c r="U1446" t="s">
        <v>810</v>
      </c>
    </row>
    <row r="1447" spans="1:21">
      <c r="A1447" t="s">
        <v>1871</v>
      </c>
      <c r="B1447" s="20">
        <v>45708</v>
      </c>
      <c r="C1447" s="20">
        <v>45679</v>
      </c>
      <c r="D1447" t="s">
        <v>806</v>
      </c>
      <c r="E1447" t="s">
        <v>807</v>
      </c>
      <c r="G1447" t="s">
        <v>2143</v>
      </c>
      <c r="H1447" s="15" t="s">
        <v>1607</v>
      </c>
      <c r="I1447" s="15" t="s">
        <v>1608</v>
      </c>
      <c r="J1447" s="8" t="str">
        <f>+LEFT(U1447,4)</f>
        <v>BAG-</v>
      </c>
      <c r="K1447" t="s">
        <v>10</v>
      </c>
      <c r="L1447" s="46">
        <v>20000</v>
      </c>
      <c r="M1447" t="s">
        <v>1472</v>
      </c>
      <c r="N1447" t="s">
        <v>11</v>
      </c>
      <c r="O1447" s="49">
        <v>0.17299999999999999</v>
      </c>
      <c r="P1447" s="9">
        <f>ROUND(O1447*L1447,2)</f>
        <v>3460</v>
      </c>
      <c r="Q1447" s="10">
        <f>IF(N1447="HKD",7.8,IF(N1447="CNY",7.30034,1))</f>
        <v>7.3003400000000003</v>
      </c>
      <c r="R1447" s="10">
        <f>+ROUND(O1447/Q1447,4)</f>
        <v>2.3699999999999999E-2</v>
      </c>
      <c r="S1447" s="11">
        <f>ROUND(R1447*L1447,2)</f>
        <v>474</v>
      </c>
      <c r="T1447" s="10" t="s">
        <v>349</v>
      </c>
      <c r="U1447" t="s">
        <v>810</v>
      </c>
    </row>
    <row r="1448" spans="1:21">
      <c r="A1448" t="s">
        <v>1877</v>
      </c>
      <c r="B1448" s="20">
        <v>45708</v>
      </c>
      <c r="C1448" s="20">
        <v>45667</v>
      </c>
      <c r="D1448" t="s">
        <v>806</v>
      </c>
      <c r="E1448" t="s">
        <v>807</v>
      </c>
      <c r="G1448" t="s">
        <v>2142</v>
      </c>
      <c r="H1448" s="15" t="s">
        <v>1609</v>
      </c>
      <c r="I1448" s="15" t="s">
        <v>1610</v>
      </c>
      <c r="J1448" s="8" t="str">
        <f>+LEFT(U1448,4)</f>
        <v>BAG-</v>
      </c>
      <c r="K1448" t="s">
        <v>10</v>
      </c>
      <c r="L1448" s="46">
        <v>5000</v>
      </c>
      <c r="M1448" t="s">
        <v>1472</v>
      </c>
      <c r="N1448" t="s">
        <v>11</v>
      </c>
      <c r="O1448" s="49">
        <v>0.185</v>
      </c>
      <c r="P1448" s="9">
        <f>ROUND(O1448*L1448,2)</f>
        <v>925</v>
      </c>
      <c r="Q1448" s="10">
        <f>IF(N1448="HKD",7.8,IF(N1448="CNY",7.30034,1))</f>
        <v>7.3003400000000003</v>
      </c>
      <c r="R1448" s="10">
        <f>+ROUND(O1448/Q1448,4)</f>
        <v>2.53E-2</v>
      </c>
      <c r="S1448" s="11">
        <f>ROUND(R1448*L1448,2)</f>
        <v>126.5</v>
      </c>
      <c r="T1448" s="10" t="s">
        <v>349</v>
      </c>
      <c r="U1448" t="s">
        <v>810</v>
      </c>
    </row>
    <row r="1449" spans="1:21">
      <c r="A1449" t="s">
        <v>1878</v>
      </c>
      <c r="B1449" s="20">
        <v>45708</v>
      </c>
      <c r="C1449" s="20">
        <v>45667</v>
      </c>
      <c r="D1449" t="s">
        <v>806</v>
      </c>
      <c r="E1449" t="s">
        <v>807</v>
      </c>
      <c r="G1449" t="s">
        <v>2142</v>
      </c>
      <c r="H1449" s="15" t="s">
        <v>1611</v>
      </c>
      <c r="I1449" s="15" t="s">
        <v>1612</v>
      </c>
      <c r="J1449" s="8" t="str">
        <f>+LEFT(U1449,4)</f>
        <v>BAG-</v>
      </c>
      <c r="K1449" t="s">
        <v>10</v>
      </c>
      <c r="L1449" s="46">
        <v>4000</v>
      </c>
      <c r="M1449" t="s">
        <v>1472</v>
      </c>
      <c r="N1449" t="s">
        <v>11</v>
      </c>
      <c r="O1449" s="49">
        <v>0.22</v>
      </c>
      <c r="P1449" s="9">
        <f>ROUND(O1449*L1449,2)</f>
        <v>880</v>
      </c>
      <c r="Q1449" s="10">
        <f>IF(N1449="HKD",7.8,IF(N1449="CNY",7.30034,1))</f>
        <v>7.3003400000000003</v>
      </c>
      <c r="R1449" s="10">
        <f>+ROUND(O1449/Q1449,4)</f>
        <v>3.0099999999999998E-2</v>
      </c>
      <c r="S1449" s="11">
        <f>ROUND(R1449*L1449,2)</f>
        <v>120.4</v>
      </c>
      <c r="T1449" s="10" t="s">
        <v>349</v>
      </c>
      <c r="U1449" t="s">
        <v>810</v>
      </c>
    </row>
    <row r="1450" spans="1:21">
      <c r="A1450" t="s">
        <v>1881</v>
      </c>
      <c r="B1450" s="20">
        <v>45708</v>
      </c>
      <c r="C1450" s="20">
        <v>45674</v>
      </c>
      <c r="D1450" t="s">
        <v>806</v>
      </c>
      <c r="E1450" t="s">
        <v>807</v>
      </c>
      <c r="G1450" t="s">
        <v>2142</v>
      </c>
      <c r="H1450" s="15" t="s">
        <v>1615</v>
      </c>
      <c r="I1450" s="15" t="s">
        <v>1616</v>
      </c>
      <c r="J1450" s="8" t="str">
        <f>+LEFT(U1450,4)</f>
        <v>BAG-</v>
      </c>
      <c r="K1450" t="s">
        <v>10</v>
      </c>
      <c r="L1450" s="46">
        <v>2000</v>
      </c>
      <c r="M1450" t="s">
        <v>1472</v>
      </c>
      <c r="N1450" t="s">
        <v>11</v>
      </c>
      <c r="O1450" s="49">
        <v>0.23499999999999999</v>
      </c>
      <c r="P1450" s="9">
        <f>ROUND(O1450*L1450,2)</f>
        <v>470</v>
      </c>
      <c r="Q1450" s="10">
        <f>IF(N1450="HKD",7.8,IF(N1450="CNY",7.30034,1))</f>
        <v>7.3003400000000003</v>
      </c>
      <c r="R1450" s="10">
        <f>+ROUND(O1450/Q1450,4)</f>
        <v>3.2199999999999999E-2</v>
      </c>
      <c r="S1450" s="11">
        <f>ROUND(R1450*L1450,2)</f>
        <v>64.400000000000006</v>
      </c>
      <c r="T1450" s="10" t="s">
        <v>349</v>
      </c>
      <c r="U1450" t="s">
        <v>810</v>
      </c>
    </row>
    <row r="1451" spans="1:21">
      <c r="A1451" t="s">
        <v>1888</v>
      </c>
      <c r="B1451" s="20">
        <v>45708</v>
      </c>
      <c r="C1451" s="20">
        <v>45667</v>
      </c>
      <c r="D1451" t="s">
        <v>806</v>
      </c>
      <c r="E1451" t="s">
        <v>807</v>
      </c>
      <c r="G1451" t="s">
        <v>2142</v>
      </c>
      <c r="H1451" s="15" t="s">
        <v>1623</v>
      </c>
      <c r="I1451" s="15" t="s">
        <v>1624</v>
      </c>
      <c r="J1451" s="8" t="str">
        <f>+LEFT(U1451,4)</f>
        <v>BAG-</v>
      </c>
      <c r="K1451" t="s">
        <v>10</v>
      </c>
      <c r="L1451" s="46">
        <v>4000</v>
      </c>
      <c r="M1451" t="s">
        <v>1472</v>
      </c>
      <c r="N1451" t="s">
        <v>11</v>
      </c>
      <c r="O1451" s="49">
        <v>0.3</v>
      </c>
      <c r="P1451" s="9">
        <f>ROUND(O1451*L1451,2)</f>
        <v>1200</v>
      </c>
      <c r="Q1451" s="10">
        <f>IF(N1451="HKD",7.8,IF(N1451="CNY",7.30034,1))</f>
        <v>7.3003400000000003</v>
      </c>
      <c r="R1451" s="10">
        <f>+ROUND(O1451/Q1451,4)</f>
        <v>4.1099999999999998E-2</v>
      </c>
      <c r="S1451" s="11">
        <f>ROUND(R1451*L1451,2)</f>
        <v>164.4</v>
      </c>
      <c r="T1451" s="10" t="s">
        <v>349</v>
      </c>
      <c r="U1451" t="s">
        <v>810</v>
      </c>
    </row>
    <row r="1452" spans="1:21">
      <c r="A1452" t="s">
        <v>2083</v>
      </c>
      <c r="B1452" s="20">
        <v>45708</v>
      </c>
      <c r="C1452" s="20">
        <v>45671</v>
      </c>
      <c r="D1452" t="s">
        <v>696</v>
      </c>
      <c r="E1452" t="s">
        <v>697</v>
      </c>
      <c r="G1452" t="s">
        <v>2217</v>
      </c>
      <c r="H1452" s="15" t="s">
        <v>1784</v>
      </c>
      <c r="I1452" s="15" t="s">
        <v>1785</v>
      </c>
      <c r="J1452" s="8" t="str">
        <f>+LEFT(U1452,4)</f>
        <v>GLID</v>
      </c>
      <c r="K1452" t="s">
        <v>10</v>
      </c>
      <c r="L1452" s="46">
        <v>2040</v>
      </c>
      <c r="M1452" t="s">
        <v>1472</v>
      </c>
      <c r="N1452" t="s">
        <v>11</v>
      </c>
      <c r="O1452" s="49">
        <v>6.08</v>
      </c>
      <c r="P1452" s="9">
        <f>ROUND(O1452*L1452,2)</f>
        <v>12403.2</v>
      </c>
      <c r="Q1452" s="10">
        <f>IF(N1452="HKD",7.8,IF(N1452="CNY",7.30034,1))</f>
        <v>7.3003400000000003</v>
      </c>
      <c r="R1452" s="10">
        <f>+ROUND(O1452/Q1452,4)</f>
        <v>0.83279999999999998</v>
      </c>
      <c r="S1452" s="11">
        <f>ROUND(R1452*L1452,2)</f>
        <v>1698.91</v>
      </c>
      <c r="T1452" s="10" t="s">
        <v>349</v>
      </c>
      <c r="U1452" t="s">
        <v>78</v>
      </c>
    </row>
    <row r="1453" spans="1:21">
      <c r="A1453" t="s">
        <v>1972</v>
      </c>
      <c r="B1453" s="20">
        <v>45708</v>
      </c>
      <c r="C1453" s="20">
        <v>45677</v>
      </c>
      <c r="D1453" t="s">
        <v>569</v>
      </c>
      <c r="E1453" t="s">
        <v>570</v>
      </c>
      <c r="G1453" t="s">
        <v>2182</v>
      </c>
      <c r="H1453" s="15" t="s">
        <v>1425</v>
      </c>
      <c r="I1453" s="15" t="s">
        <v>1426</v>
      </c>
      <c r="J1453" s="8" t="s">
        <v>1505</v>
      </c>
      <c r="K1453" t="s">
        <v>10</v>
      </c>
      <c r="L1453" s="46">
        <v>1000</v>
      </c>
      <c r="M1453" t="s">
        <v>1472</v>
      </c>
      <c r="N1453" t="s">
        <v>11</v>
      </c>
      <c r="O1453" s="49">
        <v>2.75</v>
      </c>
      <c r="P1453" s="9">
        <f>ROUND(O1453*L1453,2)</f>
        <v>2750</v>
      </c>
      <c r="Q1453" s="10">
        <f>IF(N1453="HKD",7.8,IF(N1453="CNY",7.30034,1))</f>
        <v>7.3003400000000003</v>
      </c>
      <c r="R1453" s="10">
        <f>+ROUND(O1453/Q1453,4)</f>
        <v>0.37669999999999998</v>
      </c>
      <c r="S1453" s="11">
        <f>ROUND(R1453*L1453,2)</f>
        <v>376.7</v>
      </c>
      <c r="T1453" s="10" t="s">
        <v>349</v>
      </c>
      <c r="U1453" t="s">
        <v>36</v>
      </c>
    </row>
    <row r="1454" spans="1:21">
      <c r="A1454" t="s">
        <v>2048</v>
      </c>
      <c r="B1454" s="20">
        <v>45708</v>
      </c>
      <c r="C1454" s="20">
        <v>45674</v>
      </c>
      <c r="D1454" t="s">
        <v>569</v>
      </c>
      <c r="E1454" t="s">
        <v>570</v>
      </c>
      <c r="G1454" t="s">
        <v>2182</v>
      </c>
      <c r="H1454" s="15" t="s">
        <v>1503</v>
      </c>
      <c r="I1454" s="15" t="s">
        <v>1504</v>
      </c>
      <c r="J1454" s="8" t="s">
        <v>1505</v>
      </c>
      <c r="K1454" t="s">
        <v>10</v>
      </c>
      <c r="L1454" s="46">
        <v>1000</v>
      </c>
      <c r="M1454" t="s">
        <v>1472</v>
      </c>
      <c r="N1454" t="s">
        <v>11</v>
      </c>
      <c r="O1454" s="49">
        <v>4.2</v>
      </c>
      <c r="P1454" s="9">
        <f>ROUND(O1454*L1454,2)</f>
        <v>4200</v>
      </c>
      <c r="Q1454" s="10">
        <f>IF(N1454="HKD",7.8,IF(N1454="CNY",7.30034,1))</f>
        <v>7.3003400000000003</v>
      </c>
      <c r="R1454" s="10">
        <f>+ROUND(O1454/Q1454,4)</f>
        <v>0.57530000000000003</v>
      </c>
      <c r="S1454" s="11">
        <f>ROUND(R1454*L1454,2)</f>
        <v>575.29999999999995</v>
      </c>
      <c r="T1454" s="10" t="s">
        <v>349</v>
      </c>
      <c r="U1454" t="s">
        <v>36</v>
      </c>
    </row>
    <row r="1455" spans="1:21">
      <c r="A1455" t="s">
        <v>2075</v>
      </c>
      <c r="B1455" s="20">
        <v>45708</v>
      </c>
      <c r="C1455" s="20">
        <v>45674</v>
      </c>
      <c r="D1455" t="s">
        <v>569</v>
      </c>
      <c r="E1455" t="s">
        <v>570</v>
      </c>
      <c r="G1455" t="s">
        <v>2182</v>
      </c>
      <c r="H1455" s="15" t="s">
        <v>766</v>
      </c>
      <c r="I1455" s="15" t="s">
        <v>767</v>
      </c>
      <c r="J1455" s="8" t="s">
        <v>1505</v>
      </c>
      <c r="K1455" t="s">
        <v>10</v>
      </c>
      <c r="L1455" s="46">
        <v>800</v>
      </c>
      <c r="M1455" t="s">
        <v>1472</v>
      </c>
      <c r="N1455" t="s">
        <v>11</v>
      </c>
      <c r="O1455" s="49">
        <v>5.7</v>
      </c>
      <c r="P1455" s="9">
        <f>ROUND(O1455*L1455,2)</f>
        <v>4560</v>
      </c>
      <c r="Q1455" s="10">
        <f>IF(N1455="HKD",7.8,IF(N1455="CNY",7.30034,1))</f>
        <v>7.3003400000000003</v>
      </c>
      <c r="R1455" s="10">
        <f>+ROUND(O1455/Q1455,4)</f>
        <v>0.78080000000000005</v>
      </c>
      <c r="S1455" s="11">
        <f>ROUND(R1455*L1455,2)</f>
        <v>624.64</v>
      </c>
      <c r="T1455" s="10" t="s">
        <v>349</v>
      </c>
      <c r="U1455" t="s">
        <v>36</v>
      </c>
    </row>
    <row r="1456" spans="1:21">
      <c r="A1456" t="s">
        <v>2076</v>
      </c>
      <c r="B1456" s="20">
        <v>45708</v>
      </c>
      <c r="C1456" s="20">
        <v>45677</v>
      </c>
      <c r="D1456" t="s">
        <v>569</v>
      </c>
      <c r="E1456" t="s">
        <v>570</v>
      </c>
      <c r="G1456" t="s">
        <v>2182</v>
      </c>
      <c r="H1456" s="15" t="s">
        <v>766</v>
      </c>
      <c r="I1456" s="15" t="s">
        <v>767</v>
      </c>
      <c r="J1456" s="8" t="s">
        <v>1505</v>
      </c>
      <c r="K1456" t="s">
        <v>10</v>
      </c>
      <c r="L1456" s="46">
        <v>500</v>
      </c>
      <c r="M1456" t="s">
        <v>1472</v>
      </c>
      <c r="N1456" t="s">
        <v>11</v>
      </c>
      <c r="O1456" s="49">
        <v>5.7</v>
      </c>
      <c r="P1456" s="9">
        <f>ROUND(O1456*L1456,2)</f>
        <v>2850</v>
      </c>
      <c r="Q1456" s="10">
        <f>IF(N1456="HKD",7.8,IF(N1456="CNY",7.30034,1))</f>
        <v>7.3003400000000003</v>
      </c>
      <c r="R1456" s="10">
        <f>+ROUND(O1456/Q1456,4)</f>
        <v>0.78080000000000005</v>
      </c>
      <c r="S1456" s="11">
        <f>ROUND(R1456*L1456,2)</f>
        <v>390.4</v>
      </c>
      <c r="T1456" s="10" t="s">
        <v>349</v>
      </c>
      <c r="U1456" t="s">
        <v>36</v>
      </c>
    </row>
    <row r="1457" spans="1:21">
      <c r="A1457" t="s">
        <v>2020</v>
      </c>
      <c r="B1457" s="20">
        <v>45708</v>
      </c>
      <c r="C1457" s="20">
        <v>45636</v>
      </c>
      <c r="D1457" t="s">
        <v>94</v>
      </c>
      <c r="E1457" t="s">
        <v>95</v>
      </c>
      <c r="G1457" t="s">
        <v>2194</v>
      </c>
      <c r="H1457" s="15" t="s">
        <v>1734</v>
      </c>
      <c r="I1457" s="15" t="s">
        <v>1735</v>
      </c>
      <c r="J1457" s="8" t="str">
        <f>+LEFT(U1457,4)</f>
        <v>LID-</v>
      </c>
      <c r="K1457" t="s">
        <v>369</v>
      </c>
      <c r="L1457" s="46">
        <v>1410</v>
      </c>
      <c r="M1457" t="s">
        <v>1472</v>
      </c>
      <c r="N1457" t="s">
        <v>11</v>
      </c>
      <c r="O1457" s="49">
        <v>3.53</v>
      </c>
      <c r="P1457" s="9">
        <f>ROUND(O1457*L1457,2)</f>
        <v>4977.3</v>
      </c>
      <c r="Q1457" s="10">
        <f>IF(N1457="HKD",7.8,IF(N1457="CNY",7.30034,1))</f>
        <v>7.3003400000000003</v>
      </c>
      <c r="R1457" s="10">
        <f>+ROUND(O1457/Q1457,4)</f>
        <v>0.48349999999999999</v>
      </c>
      <c r="S1457" s="11">
        <f>ROUND(R1457*L1457,2)</f>
        <v>681.74</v>
      </c>
      <c r="T1457" s="10" t="s">
        <v>349</v>
      </c>
      <c r="U1457" t="s">
        <v>368</v>
      </c>
    </row>
    <row r="1458" spans="1:21">
      <c r="A1458" t="s">
        <v>2021</v>
      </c>
      <c r="B1458" s="20">
        <v>45708</v>
      </c>
      <c r="C1458" s="20">
        <v>45636</v>
      </c>
      <c r="D1458" t="s">
        <v>94</v>
      </c>
      <c r="E1458" t="s">
        <v>95</v>
      </c>
      <c r="G1458" t="s">
        <v>2194</v>
      </c>
      <c r="H1458" s="15" t="s">
        <v>1734</v>
      </c>
      <c r="I1458" s="15" t="s">
        <v>1735</v>
      </c>
      <c r="J1458" s="8" t="str">
        <f>+LEFT(U1458,4)</f>
        <v>LID-</v>
      </c>
      <c r="K1458" t="s">
        <v>369</v>
      </c>
      <c r="L1458" s="46">
        <v>1030</v>
      </c>
      <c r="M1458" t="s">
        <v>1472</v>
      </c>
      <c r="N1458" t="s">
        <v>11</v>
      </c>
      <c r="O1458" s="49">
        <v>3.53</v>
      </c>
      <c r="P1458" s="9">
        <f>ROUND(O1458*L1458,2)</f>
        <v>3635.9</v>
      </c>
      <c r="Q1458" s="10">
        <f>IF(N1458="HKD",7.8,IF(N1458="CNY",7.30034,1))</f>
        <v>7.3003400000000003</v>
      </c>
      <c r="R1458" s="10">
        <f>+ROUND(O1458/Q1458,4)</f>
        <v>0.48349999999999999</v>
      </c>
      <c r="S1458" s="11">
        <f>ROUND(R1458*L1458,2)</f>
        <v>498.01</v>
      </c>
      <c r="T1458" s="10" t="s">
        <v>349</v>
      </c>
      <c r="U1458" t="s">
        <v>368</v>
      </c>
    </row>
    <row r="1459" spans="1:21">
      <c r="A1459" t="s">
        <v>2036</v>
      </c>
      <c r="B1459" s="20">
        <v>45708</v>
      </c>
      <c r="C1459" s="20">
        <v>45674</v>
      </c>
      <c r="D1459" t="s">
        <v>696</v>
      </c>
      <c r="E1459" t="s">
        <v>697</v>
      </c>
      <c r="G1459" t="s">
        <v>2200</v>
      </c>
      <c r="H1459" s="15" t="s">
        <v>1537</v>
      </c>
      <c r="I1459" s="15" t="s">
        <v>1538</v>
      </c>
      <c r="J1459" s="8" t="s">
        <v>1536</v>
      </c>
      <c r="K1459" t="s">
        <v>10</v>
      </c>
      <c r="L1459" s="46">
        <v>1050</v>
      </c>
      <c r="M1459" t="s">
        <v>1472</v>
      </c>
      <c r="N1459" t="s">
        <v>11</v>
      </c>
      <c r="O1459" s="49">
        <v>3.85</v>
      </c>
      <c r="P1459" s="9">
        <f>ROUND(O1459*L1459,2)</f>
        <v>4042.5</v>
      </c>
      <c r="Q1459" s="10">
        <f>IF(N1459="HKD",7.8,IF(N1459="CNY",7.30034,1))</f>
        <v>7.3003400000000003</v>
      </c>
      <c r="R1459" s="10">
        <f>+ROUND(O1459/Q1459,4)</f>
        <v>0.52739999999999998</v>
      </c>
      <c r="S1459" s="11">
        <f>ROUND(R1459*L1459,2)</f>
        <v>553.77</v>
      </c>
      <c r="T1459" s="10" t="s">
        <v>349</v>
      </c>
      <c r="U1459" t="s">
        <v>36</v>
      </c>
    </row>
    <row r="1460" spans="1:21">
      <c r="A1460" t="s">
        <v>2037</v>
      </c>
      <c r="B1460" s="20">
        <v>45708</v>
      </c>
      <c r="C1460" s="20">
        <v>45677</v>
      </c>
      <c r="D1460" t="s">
        <v>696</v>
      </c>
      <c r="E1460" t="s">
        <v>697</v>
      </c>
      <c r="G1460" t="s">
        <v>2200</v>
      </c>
      <c r="H1460" s="15" t="s">
        <v>1537</v>
      </c>
      <c r="I1460" s="15" t="s">
        <v>1538</v>
      </c>
      <c r="J1460" s="8" t="s">
        <v>1536</v>
      </c>
      <c r="K1460" t="s">
        <v>10</v>
      </c>
      <c r="L1460" s="46">
        <v>1000</v>
      </c>
      <c r="M1460" t="s">
        <v>1472</v>
      </c>
      <c r="N1460" t="s">
        <v>11</v>
      </c>
      <c r="O1460" s="49">
        <v>3.85</v>
      </c>
      <c r="P1460" s="9">
        <f>ROUND(O1460*L1460,2)</f>
        <v>3850</v>
      </c>
      <c r="Q1460" s="10">
        <f>IF(N1460="HKD",7.8,IF(N1460="CNY",7.30034,1))</f>
        <v>7.3003400000000003</v>
      </c>
      <c r="R1460" s="10">
        <f>+ROUND(O1460/Q1460,4)</f>
        <v>0.52739999999999998</v>
      </c>
      <c r="S1460" s="11">
        <f>ROUND(R1460*L1460,2)</f>
        <v>527.4</v>
      </c>
      <c r="T1460" s="10" t="s">
        <v>349</v>
      </c>
      <c r="U1460" t="s">
        <v>36</v>
      </c>
    </row>
    <row r="1461" spans="1:21">
      <c r="A1461" t="s">
        <v>2038</v>
      </c>
      <c r="B1461" s="20">
        <v>45708</v>
      </c>
      <c r="C1461" s="20">
        <v>45680</v>
      </c>
      <c r="D1461" t="s">
        <v>696</v>
      </c>
      <c r="E1461" t="s">
        <v>697</v>
      </c>
      <c r="G1461" t="s">
        <v>2200</v>
      </c>
      <c r="H1461" s="15" t="s">
        <v>1537</v>
      </c>
      <c r="I1461" s="15" t="s">
        <v>1538</v>
      </c>
      <c r="J1461" s="8" t="s">
        <v>1536</v>
      </c>
      <c r="K1461" t="s">
        <v>10</v>
      </c>
      <c r="L1461" s="46">
        <v>1600</v>
      </c>
      <c r="M1461" t="s">
        <v>1472</v>
      </c>
      <c r="N1461" t="s">
        <v>11</v>
      </c>
      <c r="O1461" s="49">
        <v>3.85</v>
      </c>
      <c r="P1461" s="9">
        <f>ROUND(O1461*L1461,2)</f>
        <v>6160</v>
      </c>
      <c r="Q1461" s="10">
        <f>IF(N1461="HKD",7.8,IF(N1461="CNY",7.30034,1))</f>
        <v>7.3003400000000003</v>
      </c>
      <c r="R1461" s="10">
        <f>+ROUND(O1461/Q1461,4)</f>
        <v>0.52739999999999998</v>
      </c>
      <c r="S1461" s="11">
        <f>ROUND(R1461*L1461,2)</f>
        <v>843.84</v>
      </c>
      <c r="T1461" s="10" t="s">
        <v>349</v>
      </c>
      <c r="U1461" t="s">
        <v>36</v>
      </c>
    </row>
    <row r="1462" spans="1:21">
      <c r="A1462" t="s">
        <v>2044</v>
      </c>
      <c r="B1462" s="20">
        <v>45708</v>
      </c>
      <c r="C1462" s="20">
        <v>45677</v>
      </c>
      <c r="D1462" t="s">
        <v>696</v>
      </c>
      <c r="E1462" t="s">
        <v>697</v>
      </c>
      <c r="G1462" t="s">
        <v>2200</v>
      </c>
      <c r="H1462" s="15" t="s">
        <v>1539</v>
      </c>
      <c r="I1462" s="15" t="s">
        <v>1540</v>
      </c>
      <c r="J1462" s="8" t="s">
        <v>1536</v>
      </c>
      <c r="K1462" t="s">
        <v>10</v>
      </c>
      <c r="L1462" s="46">
        <v>1000</v>
      </c>
      <c r="M1462" t="s">
        <v>1472</v>
      </c>
      <c r="N1462" t="s">
        <v>11</v>
      </c>
      <c r="O1462" s="49">
        <v>4.04</v>
      </c>
      <c r="P1462" s="9">
        <f>ROUND(O1462*L1462,2)</f>
        <v>4040</v>
      </c>
      <c r="Q1462" s="10">
        <f>IF(N1462="HKD",7.8,IF(N1462="CNY",7.30034,1))</f>
        <v>7.3003400000000003</v>
      </c>
      <c r="R1462" s="10">
        <f>+ROUND(O1462/Q1462,4)</f>
        <v>0.5534</v>
      </c>
      <c r="S1462" s="11">
        <f>ROUND(R1462*L1462,2)</f>
        <v>553.4</v>
      </c>
      <c r="T1462" s="10" t="s">
        <v>349</v>
      </c>
      <c r="U1462" t="s">
        <v>36</v>
      </c>
    </row>
    <row r="1463" spans="1:21">
      <c r="A1463" t="s">
        <v>2045</v>
      </c>
      <c r="B1463" s="20">
        <v>45708</v>
      </c>
      <c r="C1463" s="20">
        <v>45680</v>
      </c>
      <c r="D1463" t="s">
        <v>696</v>
      </c>
      <c r="E1463" t="s">
        <v>697</v>
      </c>
      <c r="G1463" t="s">
        <v>2200</v>
      </c>
      <c r="H1463" s="15" t="s">
        <v>1539</v>
      </c>
      <c r="I1463" s="15" t="s">
        <v>1540</v>
      </c>
      <c r="J1463" s="8" t="s">
        <v>1536</v>
      </c>
      <c r="K1463" t="s">
        <v>10</v>
      </c>
      <c r="L1463" s="46">
        <v>2200</v>
      </c>
      <c r="M1463" t="s">
        <v>1472</v>
      </c>
      <c r="N1463" t="s">
        <v>11</v>
      </c>
      <c r="O1463" s="49">
        <v>4.04</v>
      </c>
      <c r="P1463" s="9">
        <f>ROUND(O1463*L1463,2)</f>
        <v>8888</v>
      </c>
      <c r="Q1463" s="10">
        <f>IF(N1463="HKD",7.8,IF(N1463="CNY",7.30034,1))</f>
        <v>7.3003400000000003</v>
      </c>
      <c r="R1463" s="10">
        <f>+ROUND(O1463/Q1463,4)</f>
        <v>0.5534</v>
      </c>
      <c r="S1463" s="11">
        <f>ROUND(R1463*L1463,2)</f>
        <v>1217.48</v>
      </c>
      <c r="T1463" s="10" t="s">
        <v>349</v>
      </c>
      <c r="U1463" t="s">
        <v>36</v>
      </c>
    </row>
    <row r="1464" spans="1:21">
      <c r="A1464" t="s">
        <v>2060</v>
      </c>
      <c r="B1464" s="20">
        <v>45708</v>
      </c>
      <c r="C1464" s="20">
        <v>45674</v>
      </c>
      <c r="D1464" t="s">
        <v>696</v>
      </c>
      <c r="E1464" t="s">
        <v>697</v>
      </c>
      <c r="G1464" t="s">
        <v>2200</v>
      </c>
      <c r="H1464" s="15" t="s">
        <v>890</v>
      </c>
      <c r="I1464" s="15" t="s">
        <v>891</v>
      </c>
      <c r="J1464" s="8" t="s">
        <v>1536</v>
      </c>
      <c r="K1464" t="s">
        <v>10</v>
      </c>
      <c r="L1464" s="46">
        <v>1050</v>
      </c>
      <c r="M1464" t="s">
        <v>1472</v>
      </c>
      <c r="N1464" t="s">
        <v>11</v>
      </c>
      <c r="O1464" s="49">
        <v>5</v>
      </c>
      <c r="P1464" s="9">
        <f>ROUND(O1464*L1464,2)</f>
        <v>5250</v>
      </c>
      <c r="Q1464" s="10">
        <f>IF(N1464="HKD",7.8,IF(N1464="CNY",7.30034,1))</f>
        <v>7.3003400000000003</v>
      </c>
      <c r="R1464" s="10">
        <f>+ROUND(O1464/Q1464,4)</f>
        <v>0.68489999999999995</v>
      </c>
      <c r="S1464" s="11">
        <f>ROUND(R1464*L1464,2)</f>
        <v>719.15</v>
      </c>
      <c r="T1464" s="10" t="s">
        <v>349</v>
      </c>
      <c r="U1464" t="s">
        <v>36</v>
      </c>
    </row>
    <row r="1465" spans="1:21">
      <c r="A1465" t="s">
        <v>2072</v>
      </c>
      <c r="B1465" s="20">
        <v>45708</v>
      </c>
      <c r="C1465" s="20">
        <v>45673</v>
      </c>
      <c r="D1465" t="s">
        <v>696</v>
      </c>
      <c r="E1465" t="s">
        <v>697</v>
      </c>
      <c r="G1465" t="s">
        <v>2214</v>
      </c>
      <c r="H1465" s="15" t="s">
        <v>694</v>
      </c>
      <c r="I1465" s="15" t="s">
        <v>695</v>
      </c>
      <c r="J1465" s="8" t="s">
        <v>1536</v>
      </c>
      <c r="K1465" t="s">
        <v>10</v>
      </c>
      <c r="L1465" s="46">
        <v>2000</v>
      </c>
      <c r="M1465" t="s">
        <v>1472</v>
      </c>
      <c r="N1465" t="s">
        <v>11</v>
      </c>
      <c r="O1465" s="49">
        <v>5.49</v>
      </c>
      <c r="P1465" s="9">
        <f>ROUND(O1465*L1465,2)</f>
        <v>10980</v>
      </c>
      <c r="Q1465" s="10">
        <f>IF(N1465="HKD",7.8,IF(N1465="CNY",7.30034,1))</f>
        <v>7.3003400000000003</v>
      </c>
      <c r="R1465" s="10">
        <f>+ROUND(O1465/Q1465,4)</f>
        <v>0.752</v>
      </c>
      <c r="S1465" s="11">
        <f>ROUND(R1465*L1465,2)</f>
        <v>1504</v>
      </c>
      <c r="T1465" s="10" t="s">
        <v>349</v>
      </c>
      <c r="U1465" t="s">
        <v>36</v>
      </c>
    </row>
    <row r="1466" spans="1:21">
      <c r="A1466" t="s">
        <v>2081</v>
      </c>
      <c r="B1466" s="20">
        <v>45708</v>
      </c>
      <c r="C1466" s="20">
        <v>45673</v>
      </c>
      <c r="D1466" t="s">
        <v>696</v>
      </c>
      <c r="E1466" t="s">
        <v>697</v>
      </c>
      <c r="G1466" t="s">
        <v>2214</v>
      </c>
      <c r="H1466" s="15" t="s">
        <v>700</v>
      </c>
      <c r="I1466" s="15" t="s">
        <v>701</v>
      </c>
      <c r="J1466" s="8" t="s">
        <v>1536</v>
      </c>
      <c r="K1466" t="s">
        <v>10</v>
      </c>
      <c r="L1466" s="46">
        <v>3000</v>
      </c>
      <c r="M1466" t="s">
        <v>1472</v>
      </c>
      <c r="N1466" t="s">
        <v>11</v>
      </c>
      <c r="O1466" s="49">
        <v>6.01</v>
      </c>
      <c r="P1466" s="9">
        <f>ROUND(O1466*L1466,2)</f>
        <v>18030</v>
      </c>
      <c r="Q1466" s="10">
        <f>IF(N1466="HKD",7.8,IF(N1466="CNY",7.30034,1))</f>
        <v>7.3003400000000003</v>
      </c>
      <c r="R1466" s="10">
        <f>+ROUND(O1466/Q1466,4)</f>
        <v>0.82320000000000004</v>
      </c>
      <c r="S1466" s="11">
        <f>ROUND(R1466*L1466,2)</f>
        <v>2469.6</v>
      </c>
      <c r="T1466" s="10" t="s">
        <v>349</v>
      </c>
      <c r="U1466" t="s">
        <v>36</v>
      </c>
    </row>
    <row r="1467" spans="1:21">
      <c r="A1467" t="s">
        <v>2055</v>
      </c>
      <c r="B1467" s="20">
        <v>45708</v>
      </c>
      <c r="C1467" s="20">
        <v>45646</v>
      </c>
      <c r="D1467" t="s">
        <v>569</v>
      </c>
      <c r="E1467" t="s">
        <v>570</v>
      </c>
      <c r="G1467" t="s">
        <v>2182</v>
      </c>
      <c r="H1467" s="15" t="s">
        <v>1764</v>
      </c>
      <c r="I1467" s="15" t="s">
        <v>1765</v>
      </c>
      <c r="J1467" s="8" t="str">
        <f>+LEFT(U1467,4)</f>
        <v>MISC</v>
      </c>
      <c r="K1467" t="s">
        <v>10</v>
      </c>
      <c r="L1467" s="46">
        <v>2010</v>
      </c>
      <c r="M1467" t="s">
        <v>1472</v>
      </c>
      <c r="N1467" t="s">
        <v>11</v>
      </c>
      <c r="O1467" s="49">
        <v>4.5961999999999996</v>
      </c>
      <c r="P1467" s="9">
        <f>ROUND(O1467*L1467,2)</f>
        <v>9238.36</v>
      </c>
      <c r="Q1467" s="10">
        <f>IF(N1467="HKD",7.8,IF(N1467="CNY",7.30034,1))</f>
        <v>7.3003400000000003</v>
      </c>
      <c r="R1467" s="10">
        <f>+ROUND(O1467/Q1467,4)</f>
        <v>0.62960000000000005</v>
      </c>
      <c r="S1467" s="11">
        <f>ROUND(R1467*L1467,2)</f>
        <v>1265.5</v>
      </c>
      <c r="T1467" s="10" t="s">
        <v>349</v>
      </c>
      <c r="U1467" t="s">
        <v>25</v>
      </c>
    </row>
    <row r="1468" spans="1:21">
      <c r="A1468" t="s">
        <v>1921</v>
      </c>
      <c r="B1468" s="20">
        <v>45708</v>
      </c>
      <c r="C1468" s="20">
        <v>45674</v>
      </c>
      <c r="D1468" t="s">
        <v>169</v>
      </c>
      <c r="E1468" t="s">
        <v>170</v>
      </c>
      <c r="G1468" t="s">
        <v>2170</v>
      </c>
      <c r="H1468" s="15" t="s">
        <v>1655</v>
      </c>
      <c r="I1468" s="15" t="s">
        <v>1656</v>
      </c>
      <c r="J1468" s="8" t="str">
        <f>+LEFT(U1468,4)</f>
        <v>PRIM</v>
      </c>
      <c r="K1468" t="s">
        <v>10</v>
      </c>
      <c r="L1468" s="46">
        <v>2000</v>
      </c>
      <c r="M1468" t="s">
        <v>1472</v>
      </c>
      <c r="N1468" t="s">
        <v>11</v>
      </c>
      <c r="O1468" s="49">
        <v>1.29</v>
      </c>
      <c r="P1468" s="9">
        <f>ROUND(O1468*L1468,2)</f>
        <v>2580</v>
      </c>
      <c r="Q1468" s="10">
        <f>IF(N1468="HKD",7.8,IF(N1468="CNY",7.30034,1))</f>
        <v>7.3003400000000003</v>
      </c>
      <c r="R1468" s="10">
        <f>+ROUND(O1468/Q1468,4)</f>
        <v>0.1767</v>
      </c>
      <c r="S1468" s="11">
        <f>ROUND(R1468*L1468,2)</f>
        <v>353.4</v>
      </c>
      <c r="T1468" s="10" t="s">
        <v>349</v>
      </c>
      <c r="U1468" t="s">
        <v>181</v>
      </c>
    </row>
    <row r="1469" spans="1:21">
      <c r="A1469" t="s">
        <v>2095</v>
      </c>
      <c r="B1469" s="20">
        <v>45708</v>
      </c>
      <c r="C1469" s="20">
        <v>45644</v>
      </c>
      <c r="D1469" t="s">
        <v>149</v>
      </c>
      <c r="E1469" t="s">
        <v>150</v>
      </c>
      <c r="G1469" t="s">
        <v>2222</v>
      </c>
      <c r="H1469" s="15" t="s">
        <v>345</v>
      </c>
      <c r="I1469" s="15" t="s">
        <v>346</v>
      </c>
      <c r="J1469" s="8" t="str">
        <f>+LEFT(U1469,4)</f>
        <v>SKU-</v>
      </c>
      <c r="K1469" t="s">
        <v>98</v>
      </c>
      <c r="L1469" s="46">
        <v>1460</v>
      </c>
      <c r="M1469" t="s">
        <v>1472</v>
      </c>
      <c r="N1469" t="s">
        <v>11</v>
      </c>
      <c r="O1469" s="49">
        <v>7.4157999999999999</v>
      </c>
      <c r="P1469" s="9">
        <f>ROUND(O1469*L1469,2)</f>
        <v>10827.07</v>
      </c>
      <c r="Q1469" s="10">
        <f>IF(N1469="HKD",7.8,IF(N1469="CNY",7.30034,1))</f>
        <v>7.3003400000000003</v>
      </c>
      <c r="R1469" s="10">
        <f>+ROUND(O1469/Q1469,4)</f>
        <v>1.0158</v>
      </c>
      <c r="S1469" s="11">
        <f>ROUND(R1469*L1469,2)</f>
        <v>1483.07</v>
      </c>
      <c r="T1469" s="10" t="s">
        <v>349</v>
      </c>
      <c r="U1469" t="s">
        <v>2</v>
      </c>
    </row>
    <row r="1470" spans="1:21">
      <c r="A1470" t="s">
        <v>2109</v>
      </c>
      <c r="B1470" s="20">
        <v>45708</v>
      </c>
      <c r="C1470" s="20">
        <v>45639</v>
      </c>
      <c r="D1470" t="s">
        <v>149</v>
      </c>
      <c r="E1470" t="s">
        <v>150</v>
      </c>
      <c r="G1470" t="s">
        <v>2222</v>
      </c>
      <c r="H1470" s="15" t="s">
        <v>147</v>
      </c>
      <c r="I1470" s="15" t="s">
        <v>148</v>
      </c>
      <c r="J1470" s="8" t="str">
        <f>+LEFT(U1470,4)</f>
        <v>SKU-</v>
      </c>
      <c r="K1470" t="s">
        <v>98</v>
      </c>
      <c r="L1470" s="46">
        <v>1000</v>
      </c>
      <c r="M1470" t="s">
        <v>1472</v>
      </c>
      <c r="N1470" t="s">
        <v>11</v>
      </c>
      <c r="O1470" s="49">
        <v>8.6722999999999999</v>
      </c>
      <c r="P1470" s="9">
        <f>ROUND(O1470*L1470,2)</f>
        <v>8672.2999999999993</v>
      </c>
      <c r="Q1470" s="10">
        <f>IF(N1470="HKD",7.8,IF(N1470="CNY",7.30034,1))</f>
        <v>7.3003400000000003</v>
      </c>
      <c r="R1470" s="10">
        <f>+ROUND(O1470/Q1470,4)</f>
        <v>1.1879</v>
      </c>
      <c r="S1470" s="11">
        <f>ROUND(R1470*L1470,2)</f>
        <v>1187.9000000000001</v>
      </c>
      <c r="T1470" s="10" t="s">
        <v>349</v>
      </c>
      <c r="U1470" t="s">
        <v>2</v>
      </c>
    </row>
    <row r="1471" spans="1:21">
      <c r="A1471" t="s">
        <v>2110</v>
      </c>
      <c r="B1471" s="20">
        <v>45708</v>
      </c>
      <c r="C1471" s="20">
        <v>45644</v>
      </c>
      <c r="D1471" t="s">
        <v>149</v>
      </c>
      <c r="E1471" t="s">
        <v>150</v>
      </c>
      <c r="G1471" t="s">
        <v>2222</v>
      </c>
      <c r="H1471" s="15" t="s">
        <v>147</v>
      </c>
      <c r="I1471" s="15" t="s">
        <v>148</v>
      </c>
      <c r="J1471" s="8" t="str">
        <f>+LEFT(U1471,4)</f>
        <v>SKU-</v>
      </c>
      <c r="K1471" t="s">
        <v>98</v>
      </c>
      <c r="L1471" s="46">
        <v>2220</v>
      </c>
      <c r="M1471" t="s">
        <v>1472</v>
      </c>
      <c r="N1471" t="s">
        <v>11</v>
      </c>
      <c r="O1471" s="49">
        <v>8.6722999999999999</v>
      </c>
      <c r="P1471" s="9">
        <f>ROUND(O1471*L1471,2)</f>
        <v>19252.509999999998</v>
      </c>
      <c r="Q1471" s="10">
        <f>IF(N1471="HKD",7.8,IF(N1471="CNY",7.30034,1))</f>
        <v>7.3003400000000003</v>
      </c>
      <c r="R1471" s="10">
        <f>+ROUND(O1471/Q1471,4)</f>
        <v>1.1879</v>
      </c>
      <c r="S1471" s="11">
        <f>ROUND(R1471*L1471,2)</f>
        <v>2637.14</v>
      </c>
      <c r="T1471" s="10" t="s">
        <v>349</v>
      </c>
      <c r="U1471" t="s">
        <v>2</v>
      </c>
    </row>
    <row r="1472" spans="1:21">
      <c r="A1472" t="s">
        <v>1829</v>
      </c>
      <c r="B1472" s="20">
        <v>45708</v>
      </c>
      <c r="C1472" s="20">
        <v>45671</v>
      </c>
      <c r="D1472" t="s">
        <v>169</v>
      </c>
      <c r="E1472" t="s">
        <v>170</v>
      </c>
      <c r="G1472" t="s">
        <v>2137</v>
      </c>
      <c r="H1472" s="15" t="s">
        <v>1561</v>
      </c>
      <c r="I1472" s="15" t="s">
        <v>1562</v>
      </c>
      <c r="J1472" s="8" t="str">
        <f>+LEFT(U1472,4)</f>
        <v>STKR</v>
      </c>
      <c r="K1472" t="s">
        <v>10</v>
      </c>
      <c r="L1472" s="46">
        <v>5100</v>
      </c>
      <c r="M1472" t="s">
        <v>1472</v>
      </c>
      <c r="N1472" t="s">
        <v>11</v>
      </c>
      <c r="O1472" s="49">
        <v>3.2000000000000001E-2</v>
      </c>
      <c r="P1472" s="9">
        <f>ROUND(O1472*L1472,2)</f>
        <v>163.19999999999999</v>
      </c>
      <c r="Q1472" s="10">
        <f>IF(N1472="HKD",7.8,IF(N1472="CNY",7.30034,1))</f>
        <v>7.3003400000000003</v>
      </c>
      <c r="R1472" s="10">
        <f>+ROUND(O1472/Q1472,4)</f>
        <v>4.4000000000000003E-3</v>
      </c>
      <c r="S1472" s="11">
        <f>ROUND(R1472*L1472,2)</f>
        <v>22.44</v>
      </c>
      <c r="T1472" s="10" t="s">
        <v>349</v>
      </c>
      <c r="U1472" t="s">
        <v>18</v>
      </c>
    </row>
    <row r="1473" spans="1:21">
      <c r="A1473" t="s">
        <v>1831</v>
      </c>
      <c r="B1473" s="20">
        <v>45708</v>
      </c>
      <c r="C1473" s="20">
        <v>45671</v>
      </c>
      <c r="D1473" t="s">
        <v>101</v>
      </c>
      <c r="E1473" t="s">
        <v>102</v>
      </c>
      <c r="G1473" t="s">
        <v>2141</v>
      </c>
      <c r="H1473" s="15" t="s">
        <v>1563</v>
      </c>
      <c r="I1473" s="15" t="s">
        <v>1564</v>
      </c>
      <c r="J1473" s="8" t="str">
        <f>+LEFT(U1473,4)</f>
        <v>STKR</v>
      </c>
      <c r="K1473" t="s">
        <v>10</v>
      </c>
      <c r="L1473" s="46">
        <v>2270</v>
      </c>
      <c r="M1473" t="s">
        <v>1472</v>
      </c>
      <c r="N1473" t="s">
        <v>11</v>
      </c>
      <c r="O1473" s="49">
        <v>0.05</v>
      </c>
      <c r="P1473" s="9">
        <f>ROUND(O1473*L1473,2)</f>
        <v>113.5</v>
      </c>
      <c r="Q1473" s="10">
        <f>IF(N1473="HKD",7.8,IF(N1473="CNY",7.30034,1))</f>
        <v>7.3003400000000003</v>
      </c>
      <c r="R1473" s="10">
        <f>+ROUND(O1473/Q1473,4)</f>
        <v>6.7999999999999996E-3</v>
      </c>
      <c r="S1473" s="11">
        <f>ROUND(R1473*L1473,2)</f>
        <v>15.44</v>
      </c>
      <c r="T1473" s="10" t="s">
        <v>349</v>
      </c>
      <c r="U1473" t="s">
        <v>18</v>
      </c>
    </row>
    <row r="1474" spans="1:21">
      <c r="A1474" t="s">
        <v>1832</v>
      </c>
      <c r="B1474" s="20">
        <v>45708</v>
      </c>
      <c r="C1474" s="20">
        <v>45698</v>
      </c>
      <c r="D1474" t="s">
        <v>101</v>
      </c>
      <c r="E1474" t="s">
        <v>102</v>
      </c>
      <c r="G1474" t="s">
        <v>2141</v>
      </c>
      <c r="H1474" s="15" t="s">
        <v>1565</v>
      </c>
      <c r="I1474" s="15" t="s">
        <v>1566</v>
      </c>
      <c r="J1474" s="8" t="str">
        <f>+LEFT(U1474,4)</f>
        <v>STKR</v>
      </c>
      <c r="K1474" t="s">
        <v>10</v>
      </c>
      <c r="L1474" s="46">
        <v>510</v>
      </c>
      <c r="M1474" t="s">
        <v>1472</v>
      </c>
      <c r="N1474" t="s">
        <v>11</v>
      </c>
      <c r="O1474" s="49">
        <v>0.05</v>
      </c>
      <c r="P1474" s="9">
        <f>ROUND(O1474*L1474,2)</f>
        <v>25.5</v>
      </c>
      <c r="Q1474" s="10">
        <f>IF(N1474="HKD",7.8,IF(N1474="CNY",7.30034,1))</f>
        <v>7.3003400000000003</v>
      </c>
      <c r="R1474" s="10">
        <f>+ROUND(O1474/Q1474,4)</f>
        <v>6.7999999999999996E-3</v>
      </c>
      <c r="S1474" s="11">
        <f>ROUND(R1474*L1474,2)</f>
        <v>3.47</v>
      </c>
      <c r="T1474" s="10" t="s">
        <v>349</v>
      </c>
      <c r="U1474" t="s">
        <v>18</v>
      </c>
    </row>
    <row r="1475" spans="1:21">
      <c r="A1475" t="s">
        <v>1833</v>
      </c>
      <c r="B1475" s="20">
        <v>45708</v>
      </c>
      <c r="C1475" s="20">
        <v>45698</v>
      </c>
      <c r="D1475" t="s">
        <v>101</v>
      </c>
      <c r="E1475" t="s">
        <v>102</v>
      </c>
      <c r="G1475" t="s">
        <v>2141</v>
      </c>
      <c r="H1475" s="15" t="s">
        <v>1261</v>
      </c>
      <c r="I1475" s="15" t="s">
        <v>1262</v>
      </c>
      <c r="J1475" s="8" t="str">
        <f>+LEFT(U1475,4)</f>
        <v>STKR</v>
      </c>
      <c r="K1475" t="s">
        <v>10</v>
      </c>
      <c r="L1475" s="46">
        <v>1010</v>
      </c>
      <c r="M1475" t="s">
        <v>1472</v>
      </c>
      <c r="N1475" t="s">
        <v>11</v>
      </c>
      <c r="O1475" s="49">
        <v>0.05</v>
      </c>
      <c r="P1475" s="9">
        <f>ROUND(O1475*L1475,2)</f>
        <v>50.5</v>
      </c>
      <c r="Q1475" s="10">
        <f>IF(N1475="HKD",7.8,IF(N1475="CNY",7.30034,1))</f>
        <v>7.3003400000000003</v>
      </c>
      <c r="R1475" s="10">
        <f>+ROUND(O1475/Q1475,4)</f>
        <v>6.7999999999999996E-3</v>
      </c>
      <c r="S1475" s="11">
        <f>ROUND(R1475*L1475,2)</f>
        <v>6.87</v>
      </c>
      <c r="T1475" s="10" t="s">
        <v>349</v>
      </c>
      <c r="U1475" t="s">
        <v>18</v>
      </c>
    </row>
    <row r="1476" spans="1:21">
      <c r="A1476" t="s">
        <v>1837</v>
      </c>
      <c r="B1476" s="20">
        <v>45708</v>
      </c>
      <c r="C1476" s="20">
        <v>45671</v>
      </c>
      <c r="D1476" t="s">
        <v>169</v>
      </c>
      <c r="E1476" t="s">
        <v>170</v>
      </c>
      <c r="G1476" t="s">
        <v>2137</v>
      </c>
      <c r="H1476" s="15" t="s">
        <v>1573</v>
      </c>
      <c r="I1476" s="15" t="s">
        <v>1574</v>
      </c>
      <c r="J1476" s="8" t="str">
        <f>+LEFT(U1476,4)</f>
        <v>STKR</v>
      </c>
      <c r="K1476" t="s">
        <v>10</v>
      </c>
      <c r="L1476" s="46">
        <v>1010</v>
      </c>
      <c r="M1476" t="s">
        <v>1472</v>
      </c>
      <c r="N1476" t="s">
        <v>11</v>
      </c>
      <c r="O1476" s="49">
        <v>7.0000000000000007E-2</v>
      </c>
      <c r="P1476" s="9">
        <f>ROUND(O1476*L1476,2)</f>
        <v>70.7</v>
      </c>
      <c r="Q1476" s="10">
        <f>IF(N1476="HKD",7.8,IF(N1476="CNY",7.30034,1))</f>
        <v>7.3003400000000003</v>
      </c>
      <c r="R1476" s="10">
        <f>+ROUND(O1476/Q1476,4)</f>
        <v>9.5999999999999992E-3</v>
      </c>
      <c r="S1476" s="11">
        <f>ROUND(R1476*L1476,2)</f>
        <v>9.6999999999999993</v>
      </c>
      <c r="T1476" s="10" t="s">
        <v>349</v>
      </c>
      <c r="U1476" t="s">
        <v>18</v>
      </c>
    </row>
    <row r="1477" spans="1:21">
      <c r="A1477" t="s">
        <v>1838</v>
      </c>
      <c r="B1477" s="20">
        <v>45708</v>
      </c>
      <c r="C1477" s="20">
        <v>45671</v>
      </c>
      <c r="D1477" t="s">
        <v>169</v>
      </c>
      <c r="E1477" t="s">
        <v>170</v>
      </c>
      <c r="G1477" t="s">
        <v>2137</v>
      </c>
      <c r="H1477" s="15" t="s">
        <v>1575</v>
      </c>
      <c r="I1477" s="15" t="s">
        <v>1576</v>
      </c>
      <c r="J1477" s="8" t="str">
        <f>+LEFT(U1477,4)</f>
        <v>STKR</v>
      </c>
      <c r="K1477" t="s">
        <v>10</v>
      </c>
      <c r="L1477" s="46">
        <v>1010</v>
      </c>
      <c r="M1477" t="s">
        <v>1472</v>
      </c>
      <c r="N1477" t="s">
        <v>11</v>
      </c>
      <c r="O1477" s="49">
        <v>7.0000000000000007E-2</v>
      </c>
      <c r="P1477" s="9">
        <f>ROUND(O1477*L1477,2)</f>
        <v>70.7</v>
      </c>
      <c r="Q1477" s="10">
        <f>IF(N1477="HKD",7.8,IF(N1477="CNY",7.30034,1))</f>
        <v>7.3003400000000003</v>
      </c>
      <c r="R1477" s="10">
        <f>+ROUND(O1477/Q1477,4)</f>
        <v>9.5999999999999992E-3</v>
      </c>
      <c r="S1477" s="11">
        <f>ROUND(R1477*L1477,2)</f>
        <v>9.6999999999999993</v>
      </c>
      <c r="T1477" s="10" t="s">
        <v>349</v>
      </c>
      <c r="U1477" t="s">
        <v>18</v>
      </c>
    </row>
    <row r="1478" spans="1:21">
      <c r="A1478" t="s">
        <v>1859</v>
      </c>
      <c r="B1478" s="20">
        <v>45708</v>
      </c>
      <c r="C1478" s="20">
        <v>45671</v>
      </c>
      <c r="D1478" t="s">
        <v>101</v>
      </c>
      <c r="E1478" t="s">
        <v>102</v>
      </c>
      <c r="G1478" t="s">
        <v>2141</v>
      </c>
      <c r="H1478" s="15" t="s">
        <v>99</v>
      </c>
      <c r="I1478" s="15" t="s">
        <v>100</v>
      </c>
      <c r="J1478" s="8" t="str">
        <f>+LEFT(U1478,4)</f>
        <v>STKR</v>
      </c>
      <c r="K1478" t="s">
        <v>10</v>
      </c>
      <c r="L1478" s="46">
        <v>1010</v>
      </c>
      <c r="M1478" t="s">
        <v>1472</v>
      </c>
      <c r="N1478" t="s">
        <v>11</v>
      </c>
      <c r="O1478" s="49">
        <v>0.11</v>
      </c>
      <c r="P1478" s="9">
        <f>ROUND(O1478*L1478,2)</f>
        <v>111.1</v>
      </c>
      <c r="Q1478" s="10">
        <f>IF(N1478="HKD",7.8,IF(N1478="CNY",7.30034,1))</f>
        <v>7.3003400000000003</v>
      </c>
      <c r="R1478" s="10">
        <f>+ROUND(O1478/Q1478,4)</f>
        <v>1.5100000000000001E-2</v>
      </c>
      <c r="S1478" s="11">
        <f>ROUND(R1478*L1478,2)</f>
        <v>15.25</v>
      </c>
      <c r="T1478" s="10" t="s">
        <v>349</v>
      </c>
      <c r="U1478" t="s">
        <v>18</v>
      </c>
    </row>
    <row r="1479" spans="1:21">
      <c r="A1479" t="s">
        <v>1860</v>
      </c>
      <c r="B1479" s="20">
        <v>45708</v>
      </c>
      <c r="C1479" s="20">
        <v>45671</v>
      </c>
      <c r="D1479" t="s">
        <v>101</v>
      </c>
      <c r="E1479" t="s">
        <v>102</v>
      </c>
      <c r="G1479" t="s">
        <v>2141</v>
      </c>
      <c r="H1479" s="15" t="s">
        <v>1597</v>
      </c>
      <c r="I1479" s="15" t="s">
        <v>1598</v>
      </c>
      <c r="J1479" s="8" t="str">
        <f>+LEFT(U1479,4)</f>
        <v>STKR</v>
      </c>
      <c r="K1479" t="s">
        <v>10</v>
      </c>
      <c r="L1479" s="46">
        <v>1010</v>
      </c>
      <c r="M1479" t="s">
        <v>1472</v>
      </c>
      <c r="N1479" t="s">
        <v>11</v>
      </c>
      <c r="O1479" s="49">
        <v>0.11</v>
      </c>
      <c r="P1479" s="9">
        <f>ROUND(O1479*L1479,2)</f>
        <v>111.1</v>
      </c>
      <c r="Q1479" s="10">
        <f>IF(N1479="HKD",7.8,IF(N1479="CNY",7.30034,1))</f>
        <v>7.3003400000000003</v>
      </c>
      <c r="R1479" s="10">
        <f>+ROUND(O1479/Q1479,4)</f>
        <v>1.5100000000000001E-2</v>
      </c>
      <c r="S1479" s="11">
        <f>ROUND(R1479*L1479,2)</f>
        <v>15.25</v>
      </c>
      <c r="T1479" s="10" t="s">
        <v>349</v>
      </c>
      <c r="U1479" t="s">
        <v>18</v>
      </c>
    </row>
    <row r="1480" spans="1:21">
      <c r="A1480" t="s">
        <v>1933</v>
      </c>
      <c r="B1480" s="20">
        <v>45708</v>
      </c>
      <c r="C1480" s="20">
        <v>45674</v>
      </c>
      <c r="D1480" t="s">
        <v>169</v>
      </c>
      <c r="E1480" t="s">
        <v>170</v>
      </c>
      <c r="G1480" t="s">
        <v>2170</v>
      </c>
      <c r="H1480" s="15" t="s">
        <v>1659</v>
      </c>
      <c r="I1480" s="15" t="s">
        <v>643</v>
      </c>
      <c r="J1480" s="8" t="str">
        <f>+LEFT(U1480,4)</f>
        <v>U&amp;C-</v>
      </c>
      <c r="K1480" t="s">
        <v>10</v>
      </c>
      <c r="L1480" s="46">
        <v>3000</v>
      </c>
      <c r="M1480" t="s">
        <v>1472</v>
      </c>
      <c r="N1480" t="s">
        <v>11</v>
      </c>
      <c r="O1480" s="49">
        <v>1.53</v>
      </c>
      <c r="P1480" s="9">
        <f>ROUND(O1480*L1480,2)</f>
        <v>4590</v>
      </c>
      <c r="Q1480" s="10">
        <f>IF(N1480="HKD",7.8,IF(N1480="CNY",7.30034,1))</f>
        <v>7.3003400000000003</v>
      </c>
      <c r="R1480" s="10">
        <f>+ROUND(O1480/Q1480,4)</f>
        <v>0.20960000000000001</v>
      </c>
      <c r="S1480" s="11">
        <f>ROUND(R1480*L1480,2)</f>
        <v>628.79999999999995</v>
      </c>
      <c r="T1480" s="10" t="s">
        <v>349</v>
      </c>
      <c r="U1480" t="s">
        <v>177</v>
      </c>
    </row>
    <row r="1481" spans="1:21">
      <c r="A1481" t="s">
        <v>1882</v>
      </c>
      <c r="B1481" s="20">
        <v>45708</v>
      </c>
      <c r="C1481" s="20">
        <v>45706</v>
      </c>
      <c r="D1481" t="s">
        <v>169</v>
      </c>
      <c r="E1481" t="s">
        <v>170</v>
      </c>
      <c r="G1481" t="s">
        <v>2154</v>
      </c>
      <c r="H1481" s="15" t="s">
        <v>1617</v>
      </c>
      <c r="I1481" s="15" t="s">
        <v>1618</v>
      </c>
      <c r="J1481" s="8" t="str">
        <f>+LEFT(U1481,4)</f>
        <v>WACD</v>
      </c>
      <c r="K1481" t="s">
        <v>10</v>
      </c>
      <c r="L1481" s="46">
        <v>1000</v>
      </c>
      <c r="M1481" t="s">
        <v>1472</v>
      </c>
      <c r="N1481" t="s">
        <v>11</v>
      </c>
      <c r="O1481" s="49">
        <v>0.252</v>
      </c>
      <c r="P1481" s="9">
        <f>ROUND(O1481*L1481,2)</f>
        <v>252</v>
      </c>
      <c r="Q1481" s="10">
        <f>IF(N1481="HKD",7.8,IF(N1481="CNY",7.30034,1))</f>
        <v>7.3003400000000003</v>
      </c>
      <c r="R1481" s="10">
        <f>+ROUND(O1481/Q1481,4)</f>
        <v>3.4500000000000003E-2</v>
      </c>
      <c r="S1481" s="11">
        <f>ROUND(R1481*L1481,2)</f>
        <v>34.5</v>
      </c>
      <c r="T1481" s="10" t="s">
        <v>349</v>
      </c>
      <c r="U1481" t="s">
        <v>635</v>
      </c>
    </row>
    <row r="1482" spans="1:21">
      <c r="A1482" t="s">
        <v>1890</v>
      </c>
      <c r="B1482" s="20">
        <v>45708</v>
      </c>
      <c r="C1482" s="20">
        <v>45671</v>
      </c>
      <c r="D1482" t="s">
        <v>169</v>
      </c>
      <c r="E1482" t="s">
        <v>170</v>
      </c>
      <c r="G1482" t="s">
        <v>2154</v>
      </c>
      <c r="H1482" s="15" t="s">
        <v>1627</v>
      </c>
      <c r="I1482" s="15" t="s">
        <v>1628</v>
      </c>
      <c r="J1482" s="8" t="str">
        <f>+LEFT(U1482,4)</f>
        <v>WACD</v>
      </c>
      <c r="K1482" t="s">
        <v>10</v>
      </c>
      <c r="L1482" s="46">
        <v>1500</v>
      </c>
      <c r="M1482" t="s">
        <v>1472</v>
      </c>
      <c r="N1482" t="s">
        <v>11</v>
      </c>
      <c r="O1482" s="49">
        <v>0.39200000000000002</v>
      </c>
      <c r="P1482" s="9">
        <f>ROUND(O1482*L1482,2)</f>
        <v>588</v>
      </c>
      <c r="Q1482" s="10">
        <f>IF(N1482="HKD",7.8,IF(N1482="CNY",7.30034,1))</f>
        <v>7.3003400000000003</v>
      </c>
      <c r="R1482" s="10">
        <f>+ROUND(O1482/Q1482,4)</f>
        <v>5.3699999999999998E-2</v>
      </c>
      <c r="S1482" s="11">
        <f>ROUND(R1482*L1482,2)</f>
        <v>80.55</v>
      </c>
      <c r="T1482" s="10" t="s">
        <v>349</v>
      </c>
      <c r="U1482" t="s">
        <v>635</v>
      </c>
    </row>
    <row r="1483" spans="1:21">
      <c r="A1483" t="s">
        <v>1986</v>
      </c>
      <c r="B1483" s="20">
        <v>45707</v>
      </c>
      <c r="C1483" s="20">
        <v>45706</v>
      </c>
      <c r="D1483" t="s">
        <v>5</v>
      </c>
      <c r="E1483" t="s">
        <v>6</v>
      </c>
      <c r="G1483" t="s">
        <v>2185</v>
      </c>
      <c r="H1483" s="15" t="s">
        <v>459</v>
      </c>
      <c r="I1483" s="15" t="s">
        <v>460</v>
      </c>
      <c r="J1483" s="8" t="str">
        <f>+LEFT(U1483,4)</f>
        <v>BOX-</v>
      </c>
      <c r="K1483" t="s">
        <v>10</v>
      </c>
      <c r="L1483" s="46">
        <v>2020</v>
      </c>
      <c r="M1483" t="s">
        <v>1472</v>
      </c>
      <c r="N1483" t="s">
        <v>11</v>
      </c>
      <c r="O1483" s="49">
        <v>3.05</v>
      </c>
      <c r="P1483" s="9">
        <f>ROUND(O1483*L1483,2)</f>
        <v>6161</v>
      </c>
      <c r="Q1483" s="10">
        <f>IF(N1483="HKD",7.8,IF(N1483="CNY",7.30034,1))</f>
        <v>7.3003400000000003</v>
      </c>
      <c r="R1483" s="10">
        <f>+ROUND(O1483/Q1483,4)</f>
        <v>0.4178</v>
      </c>
      <c r="S1483" s="11">
        <f>ROUND(R1483*L1483,2)</f>
        <v>843.96</v>
      </c>
      <c r="T1483" s="10" t="s">
        <v>349</v>
      </c>
      <c r="U1483" t="s">
        <v>1</v>
      </c>
    </row>
    <row r="1484" spans="1:21">
      <c r="A1484" t="s">
        <v>2039</v>
      </c>
      <c r="B1484" s="20">
        <v>45707</v>
      </c>
      <c r="C1484" s="20">
        <v>45706</v>
      </c>
      <c r="D1484" t="s">
        <v>5</v>
      </c>
      <c r="E1484" t="s">
        <v>6</v>
      </c>
      <c r="G1484" t="s">
        <v>2185</v>
      </c>
      <c r="H1484" s="15" t="s">
        <v>1748</v>
      </c>
      <c r="I1484" s="15" t="s">
        <v>1749</v>
      </c>
      <c r="J1484" s="8" t="str">
        <f>+LEFT(U1484,4)</f>
        <v>BOX-</v>
      </c>
      <c r="K1484" t="s">
        <v>10</v>
      </c>
      <c r="L1484" s="46">
        <v>2020</v>
      </c>
      <c r="M1484" t="s">
        <v>1472</v>
      </c>
      <c r="N1484" t="s">
        <v>11</v>
      </c>
      <c r="O1484" s="49">
        <v>3.87</v>
      </c>
      <c r="P1484" s="9">
        <f>ROUND(O1484*L1484,2)</f>
        <v>7817.4</v>
      </c>
      <c r="Q1484" s="10">
        <f>IF(N1484="HKD",7.8,IF(N1484="CNY",7.30034,1))</f>
        <v>7.3003400000000003</v>
      </c>
      <c r="R1484" s="10">
        <f>+ROUND(O1484/Q1484,4)</f>
        <v>0.53010000000000002</v>
      </c>
      <c r="S1484" s="11">
        <f>ROUND(R1484*L1484,2)</f>
        <v>1070.8</v>
      </c>
      <c r="T1484" s="10" t="s">
        <v>349</v>
      </c>
      <c r="U1484" t="s">
        <v>1</v>
      </c>
    </row>
    <row r="1485" spans="1:21">
      <c r="A1485" t="s">
        <v>2057</v>
      </c>
      <c r="B1485" s="20">
        <v>45707</v>
      </c>
      <c r="C1485" s="20">
        <v>45706</v>
      </c>
      <c r="D1485" t="s">
        <v>5</v>
      </c>
      <c r="E1485" t="s">
        <v>6</v>
      </c>
      <c r="G1485" t="s">
        <v>2205</v>
      </c>
      <c r="H1485" s="15" t="s">
        <v>427</v>
      </c>
      <c r="I1485" s="15" t="s">
        <v>428</v>
      </c>
      <c r="J1485" s="8" t="str">
        <f>+LEFT(U1485,4)</f>
        <v>BOX-</v>
      </c>
      <c r="K1485" t="s">
        <v>10</v>
      </c>
      <c r="L1485" s="46">
        <v>2020</v>
      </c>
      <c r="M1485" t="s">
        <v>1472</v>
      </c>
      <c r="N1485" t="s">
        <v>11</v>
      </c>
      <c r="O1485" s="49">
        <v>4.7699999999999996</v>
      </c>
      <c r="P1485" s="9">
        <f>ROUND(O1485*L1485,2)</f>
        <v>9635.4</v>
      </c>
      <c r="Q1485" s="10">
        <f>IF(N1485="HKD",7.8,IF(N1485="CNY",7.30034,1))</f>
        <v>7.3003400000000003</v>
      </c>
      <c r="R1485" s="10">
        <f>+ROUND(O1485/Q1485,4)</f>
        <v>0.65339999999999998</v>
      </c>
      <c r="S1485" s="11">
        <f>ROUND(R1485*L1485,2)</f>
        <v>1319.87</v>
      </c>
      <c r="T1485" s="10" t="s">
        <v>349</v>
      </c>
      <c r="U1485" t="s">
        <v>1</v>
      </c>
    </row>
    <row r="1486" spans="1:21">
      <c r="A1486" t="s">
        <v>2063</v>
      </c>
      <c r="B1486" s="20">
        <v>45707</v>
      </c>
      <c r="C1486" s="20">
        <v>45706</v>
      </c>
      <c r="D1486" t="s">
        <v>5</v>
      </c>
      <c r="E1486" t="s">
        <v>6</v>
      </c>
      <c r="G1486" t="s">
        <v>2185</v>
      </c>
      <c r="H1486" s="15" t="s">
        <v>1770</v>
      </c>
      <c r="I1486" s="15" t="s">
        <v>1771</v>
      </c>
      <c r="J1486" s="8" t="str">
        <f>+LEFT(U1486,4)</f>
        <v>BOX-</v>
      </c>
      <c r="K1486" t="s">
        <v>10</v>
      </c>
      <c r="L1486" s="46">
        <v>2020</v>
      </c>
      <c r="M1486" t="s">
        <v>1472</v>
      </c>
      <c r="N1486" t="s">
        <v>11</v>
      </c>
      <c r="O1486" s="49">
        <v>5.04</v>
      </c>
      <c r="P1486" s="9">
        <f>ROUND(O1486*L1486,2)</f>
        <v>10180.799999999999</v>
      </c>
      <c r="Q1486" s="10">
        <f>IF(N1486="HKD",7.8,IF(N1486="CNY",7.30034,1))</f>
        <v>7.3003400000000003</v>
      </c>
      <c r="R1486" s="10">
        <f>+ROUND(O1486/Q1486,4)</f>
        <v>0.69040000000000001</v>
      </c>
      <c r="S1486" s="11">
        <f>ROUND(R1486*L1486,2)</f>
        <v>1394.61</v>
      </c>
      <c r="T1486" s="10" t="s">
        <v>349</v>
      </c>
      <c r="U1486" t="s">
        <v>1</v>
      </c>
    </row>
    <row r="1487" spans="1:21">
      <c r="A1487" t="s">
        <v>2088</v>
      </c>
      <c r="B1487" s="20">
        <v>45707</v>
      </c>
      <c r="C1487" s="20">
        <v>45706</v>
      </c>
      <c r="D1487" t="s">
        <v>5</v>
      </c>
      <c r="E1487" t="s">
        <v>6</v>
      </c>
      <c r="G1487" t="s">
        <v>2205</v>
      </c>
      <c r="H1487" s="15" t="s">
        <v>390</v>
      </c>
      <c r="I1487" s="15" t="s">
        <v>391</v>
      </c>
      <c r="J1487" s="8" t="str">
        <f>+LEFT(U1487,4)</f>
        <v>BOX-</v>
      </c>
      <c r="K1487" t="s">
        <v>10</v>
      </c>
      <c r="L1487" s="46">
        <v>1200</v>
      </c>
      <c r="M1487" t="s">
        <v>1472</v>
      </c>
      <c r="N1487" t="s">
        <v>11</v>
      </c>
      <c r="O1487" s="49">
        <v>6.88</v>
      </c>
      <c r="P1487" s="9">
        <f>ROUND(O1487*L1487,2)</f>
        <v>8256</v>
      </c>
      <c r="Q1487" s="10">
        <f>IF(N1487="HKD",7.8,IF(N1487="CNY",7.30034,1))</f>
        <v>7.3003400000000003</v>
      </c>
      <c r="R1487" s="10">
        <f>+ROUND(O1487/Q1487,4)</f>
        <v>0.94240000000000002</v>
      </c>
      <c r="S1487" s="11">
        <f>ROUND(R1487*L1487,2)</f>
        <v>1130.8800000000001</v>
      </c>
      <c r="T1487" s="10" t="s">
        <v>349</v>
      </c>
      <c r="U1487" t="s">
        <v>1</v>
      </c>
    </row>
    <row r="1488" spans="1:21">
      <c r="A1488" t="s">
        <v>2089</v>
      </c>
      <c r="B1488" s="20">
        <v>45707</v>
      </c>
      <c r="C1488" s="20">
        <v>45706</v>
      </c>
      <c r="D1488" t="s">
        <v>5</v>
      </c>
      <c r="E1488" t="s">
        <v>6</v>
      </c>
      <c r="G1488" t="s">
        <v>2205</v>
      </c>
      <c r="H1488" s="15" t="s">
        <v>424</v>
      </c>
      <c r="I1488" s="15" t="s">
        <v>425</v>
      </c>
      <c r="J1488" s="8" t="str">
        <f>+LEFT(U1488,4)</f>
        <v>BOX-</v>
      </c>
      <c r="K1488" t="s">
        <v>10</v>
      </c>
      <c r="L1488" s="46">
        <v>2020</v>
      </c>
      <c r="M1488" t="s">
        <v>1472</v>
      </c>
      <c r="N1488" t="s">
        <v>11</v>
      </c>
      <c r="O1488" s="49">
        <v>7.13</v>
      </c>
      <c r="P1488" s="9">
        <f>ROUND(O1488*L1488,2)</f>
        <v>14402.6</v>
      </c>
      <c r="Q1488" s="10">
        <f>IF(N1488="HKD",7.8,IF(N1488="CNY",7.30034,1))</f>
        <v>7.3003400000000003</v>
      </c>
      <c r="R1488" s="10">
        <f>+ROUND(O1488/Q1488,4)</f>
        <v>0.97670000000000001</v>
      </c>
      <c r="S1488" s="11">
        <f>ROUND(R1488*L1488,2)</f>
        <v>1972.93</v>
      </c>
      <c r="T1488" s="10" t="s">
        <v>349</v>
      </c>
      <c r="U1488" t="s">
        <v>1</v>
      </c>
    </row>
    <row r="1489" spans="1:21">
      <c r="A1489" t="s">
        <v>2107</v>
      </c>
      <c r="B1489" s="20">
        <v>45707</v>
      </c>
      <c r="C1489" s="20">
        <v>45677</v>
      </c>
      <c r="D1489" t="s">
        <v>5</v>
      </c>
      <c r="E1489" t="s">
        <v>6</v>
      </c>
      <c r="G1489" t="s">
        <v>2185</v>
      </c>
      <c r="H1489" s="15" t="s">
        <v>1804</v>
      </c>
      <c r="I1489" s="15" t="s">
        <v>1805</v>
      </c>
      <c r="J1489" s="8" t="str">
        <f>+LEFT(U1489,4)</f>
        <v>BOX-</v>
      </c>
      <c r="K1489" t="s">
        <v>10</v>
      </c>
      <c r="L1489" s="46">
        <v>1010</v>
      </c>
      <c r="M1489" t="s">
        <v>1472</v>
      </c>
      <c r="N1489" t="s">
        <v>11</v>
      </c>
      <c r="O1489" s="49">
        <v>8.2200000000000006</v>
      </c>
      <c r="P1489" s="9">
        <f>ROUND(O1489*L1489,2)</f>
        <v>8302.2000000000007</v>
      </c>
      <c r="Q1489" s="10">
        <f>IF(N1489="HKD",7.8,IF(N1489="CNY",7.30034,1))</f>
        <v>7.3003400000000003</v>
      </c>
      <c r="R1489" s="10">
        <f>+ROUND(O1489/Q1489,4)</f>
        <v>1.1259999999999999</v>
      </c>
      <c r="S1489" s="11">
        <f>ROUND(R1489*L1489,2)</f>
        <v>1137.26</v>
      </c>
      <c r="T1489" s="10" t="s">
        <v>349</v>
      </c>
      <c r="U1489" t="s">
        <v>1</v>
      </c>
    </row>
    <row r="1490" spans="1:21">
      <c r="A1490" t="s">
        <v>2108</v>
      </c>
      <c r="B1490" s="20">
        <v>45707</v>
      </c>
      <c r="C1490" s="20">
        <v>45677</v>
      </c>
      <c r="D1490" t="s">
        <v>5</v>
      </c>
      <c r="E1490" t="s">
        <v>6</v>
      </c>
      <c r="G1490" t="s">
        <v>2185</v>
      </c>
      <c r="H1490" s="15" t="s">
        <v>1804</v>
      </c>
      <c r="I1490" s="15" t="s">
        <v>1805</v>
      </c>
      <c r="J1490" s="8" t="str">
        <f>+LEFT(U1490,4)</f>
        <v>BOX-</v>
      </c>
      <c r="K1490" t="s">
        <v>10</v>
      </c>
      <c r="L1490" s="46">
        <v>1010</v>
      </c>
      <c r="M1490" t="s">
        <v>1472</v>
      </c>
      <c r="N1490" t="s">
        <v>11</v>
      </c>
      <c r="O1490" s="49">
        <v>8.2200000000000006</v>
      </c>
      <c r="P1490" s="9">
        <f>ROUND(O1490*L1490,2)</f>
        <v>8302.2000000000007</v>
      </c>
      <c r="Q1490" s="10">
        <f>IF(N1490="HKD",7.8,IF(N1490="CNY",7.30034,1))</f>
        <v>7.3003400000000003</v>
      </c>
      <c r="R1490" s="10">
        <f>+ROUND(O1490/Q1490,4)</f>
        <v>1.1259999999999999</v>
      </c>
      <c r="S1490" s="11">
        <f>ROUND(R1490*L1490,2)</f>
        <v>1137.26</v>
      </c>
      <c r="T1490" s="10" t="s">
        <v>349</v>
      </c>
      <c r="U1490" t="s">
        <v>1</v>
      </c>
    </row>
    <row r="1491" spans="1:21">
      <c r="A1491" t="s">
        <v>2118</v>
      </c>
      <c r="B1491" s="20">
        <v>45707</v>
      </c>
      <c r="C1491" s="20">
        <v>45706</v>
      </c>
      <c r="D1491" t="s">
        <v>5</v>
      </c>
      <c r="E1491" t="s">
        <v>6</v>
      </c>
      <c r="G1491" t="s">
        <v>2185</v>
      </c>
      <c r="H1491" s="15" t="s">
        <v>1816</v>
      </c>
      <c r="I1491" s="15" t="s">
        <v>1817</v>
      </c>
      <c r="J1491" s="8" t="str">
        <f>+LEFT(U1491,4)</f>
        <v>BOX-</v>
      </c>
      <c r="K1491" t="s">
        <v>10</v>
      </c>
      <c r="L1491" s="46">
        <v>1010</v>
      </c>
      <c r="M1491" t="s">
        <v>1472</v>
      </c>
      <c r="N1491" t="s">
        <v>11</v>
      </c>
      <c r="O1491" s="49">
        <v>12.85</v>
      </c>
      <c r="P1491" s="9">
        <f>ROUND(O1491*L1491,2)</f>
        <v>12978.5</v>
      </c>
      <c r="Q1491" s="10">
        <f>IF(N1491="HKD",7.8,IF(N1491="CNY",7.30034,1))</f>
        <v>7.3003400000000003</v>
      </c>
      <c r="R1491" s="10">
        <f>+ROUND(O1491/Q1491,4)</f>
        <v>1.7602</v>
      </c>
      <c r="S1491" s="11">
        <f>ROUND(R1491*L1491,2)</f>
        <v>1777.8</v>
      </c>
      <c r="T1491" s="10" t="s">
        <v>349</v>
      </c>
      <c r="U1491" t="s">
        <v>1</v>
      </c>
    </row>
    <row r="1492" spans="1:21">
      <c r="A1492" t="s">
        <v>2119</v>
      </c>
      <c r="B1492" s="20">
        <v>45707</v>
      </c>
      <c r="C1492" s="20">
        <v>45706</v>
      </c>
      <c r="D1492" t="s">
        <v>5</v>
      </c>
      <c r="E1492" t="s">
        <v>6</v>
      </c>
      <c r="G1492" t="s">
        <v>2185</v>
      </c>
      <c r="H1492" s="15" t="s">
        <v>1804</v>
      </c>
      <c r="I1492" s="15" t="s">
        <v>1805</v>
      </c>
      <c r="J1492" s="8" t="str">
        <f>+LEFT(U1492,4)</f>
        <v>BOX-</v>
      </c>
      <c r="K1492" t="s">
        <v>10</v>
      </c>
      <c r="L1492" s="46">
        <v>1010</v>
      </c>
      <c r="M1492" t="s">
        <v>1472</v>
      </c>
      <c r="N1492" t="s">
        <v>11</v>
      </c>
      <c r="O1492" s="49">
        <v>12.95</v>
      </c>
      <c r="P1492" s="9">
        <f>ROUND(O1492*L1492,2)</f>
        <v>13079.5</v>
      </c>
      <c r="Q1492" s="10">
        <f>IF(N1492="HKD",7.8,IF(N1492="CNY",7.30034,1))</f>
        <v>7.3003400000000003</v>
      </c>
      <c r="R1492" s="10">
        <f>+ROUND(O1492/Q1492,4)</f>
        <v>1.7739</v>
      </c>
      <c r="S1492" s="11">
        <f>ROUND(R1492*L1492,2)</f>
        <v>1791.64</v>
      </c>
      <c r="T1492" s="10" t="s">
        <v>349</v>
      </c>
      <c r="U1492" t="s">
        <v>1</v>
      </c>
    </row>
    <row r="1493" spans="1:21">
      <c r="A1493" t="s">
        <v>2097</v>
      </c>
      <c r="B1493" s="20">
        <v>45707</v>
      </c>
      <c r="C1493" s="20">
        <v>45670</v>
      </c>
      <c r="D1493" t="s">
        <v>2255</v>
      </c>
      <c r="E1493" t="s">
        <v>2256</v>
      </c>
      <c r="G1493" t="s">
        <v>2223</v>
      </c>
      <c r="H1493" s="15" t="s">
        <v>1796</v>
      </c>
      <c r="I1493" s="15" t="s">
        <v>1797</v>
      </c>
      <c r="J1493" s="8" t="str">
        <f>+LEFT(U1493,4)</f>
        <v>GLID</v>
      </c>
      <c r="K1493" t="s">
        <v>10</v>
      </c>
      <c r="L1493" s="46">
        <v>310</v>
      </c>
      <c r="M1493" t="s">
        <v>1472</v>
      </c>
      <c r="N1493" t="s">
        <v>11</v>
      </c>
      <c r="O1493" s="49">
        <v>7.4503000000000004</v>
      </c>
      <c r="P1493" s="9">
        <f>ROUND(O1493*L1493,2)</f>
        <v>2309.59</v>
      </c>
      <c r="Q1493" s="10">
        <f>IF(N1493="HKD",7.8,IF(N1493="CNY",7.30034,1))</f>
        <v>7.3003400000000003</v>
      </c>
      <c r="R1493" s="10">
        <f>+ROUND(O1493/Q1493,4)</f>
        <v>1.0205</v>
      </c>
      <c r="S1493" s="11">
        <f>ROUND(R1493*L1493,2)</f>
        <v>316.36</v>
      </c>
      <c r="T1493" s="10" t="s">
        <v>349</v>
      </c>
      <c r="U1493" t="s">
        <v>78</v>
      </c>
    </row>
    <row r="1494" spans="1:21">
      <c r="A1494" t="s">
        <v>2017</v>
      </c>
      <c r="B1494" s="20">
        <v>45707</v>
      </c>
      <c r="C1494" s="20">
        <v>45636</v>
      </c>
      <c r="D1494" t="s">
        <v>94</v>
      </c>
      <c r="E1494" t="s">
        <v>95</v>
      </c>
      <c r="G1494" t="s">
        <v>2192</v>
      </c>
      <c r="H1494" s="15" t="s">
        <v>1001</v>
      </c>
      <c r="I1494" s="15" t="s">
        <v>1002</v>
      </c>
      <c r="J1494" s="8" t="str">
        <f>+LEFT(U1494,4)</f>
        <v>LID-</v>
      </c>
      <c r="K1494" t="s">
        <v>369</v>
      </c>
      <c r="L1494" s="46">
        <v>760</v>
      </c>
      <c r="M1494" t="s">
        <v>1472</v>
      </c>
      <c r="N1494" t="s">
        <v>11</v>
      </c>
      <c r="O1494" s="49">
        <v>3.42</v>
      </c>
      <c r="P1494" s="9">
        <f>ROUND(O1494*L1494,2)</f>
        <v>2599.1999999999998</v>
      </c>
      <c r="Q1494" s="10">
        <f>IF(N1494="HKD",7.8,IF(N1494="CNY",7.30034,1))</f>
        <v>7.3003400000000003</v>
      </c>
      <c r="R1494" s="10">
        <f>+ROUND(O1494/Q1494,4)</f>
        <v>0.46850000000000003</v>
      </c>
      <c r="S1494" s="11">
        <f>ROUND(R1494*L1494,2)</f>
        <v>356.06</v>
      </c>
      <c r="T1494" s="10" t="s">
        <v>349</v>
      </c>
      <c r="U1494" t="s">
        <v>368</v>
      </c>
    </row>
    <row r="1495" spans="1:21">
      <c r="A1495" t="s">
        <v>2018</v>
      </c>
      <c r="B1495" s="20">
        <v>45707</v>
      </c>
      <c r="C1495" s="20">
        <v>45636</v>
      </c>
      <c r="D1495" t="s">
        <v>94</v>
      </c>
      <c r="E1495" t="s">
        <v>95</v>
      </c>
      <c r="G1495" t="s">
        <v>2192</v>
      </c>
      <c r="H1495" s="15" t="s">
        <v>1001</v>
      </c>
      <c r="I1495" s="15" t="s">
        <v>1002</v>
      </c>
      <c r="J1495" s="8" t="str">
        <f>+LEFT(U1495,4)</f>
        <v>LID-</v>
      </c>
      <c r="K1495" t="s">
        <v>369</v>
      </c>
      <c r="L1495" s="46">
        <v>1030</v>
      </c>
      <c r="M1495" t="s">
        <v>1472</v>
      </c>
      <c r="N1495" t="s">
        <v>11</v>
      </c>
      <c r="O1495" s="49">
        <v>3.42</v>
      </c>
      <c r="P1495" s="9">
        <f>ROUND(O1495*L1495,2)</f>
        <v>3522.6</v>
      </c>
      <c r="Q1495" s="10">
        <f>IF(N1495="HKD",7.8,IF(N1495="CNY",7.30034,1))</f>
        <v>7.3003400000000003</v>
      </c>
      <c r="R1495" s="10">
        <f>+ROUND(O1495/Q1495,4)</f>
        <v>0.46850000000000003</v>
      </c>
      <c r="S1495" s="11">
        <f>ROUND(R1495*L1495,2)</f>
        <v>482.56</v>
      </c>
      <c r="T1495" s="10" t="s">
        <v>349</v>
      </c>
      <c r="U1495" t="s">
        <v>368</v>
      </c>
    </row>
    <row r="1496" spans="1:21">
      <c r="A1496" t="s">
        <v>2020</v>
      </c>
      <c r="B1496" s="20">
        <v>45707</v>
      </c>
      <c r="C1496" s="20">
        <v>45636</v>
      </c>
      <c r="D1496" t="s">
        <v>94</v>
      </c>
      <c r="E1496" t="s">
        <v>95</v>
      </c>
      <c r="G1496" t="s">
        <v>2192</v>
      </c>
      <c r="H1496" s="15" t="s">
        <v>1734</v>
      </c>
      <c r="I1496" s="15" t="s">
        <v>1735</v>
      </c>
      <c r="J1496" s="8" t="str">
        <f>+LEFT(U1496,4)</f>
        <v>LID-</v>
      </c>
      <c r="K1496" t="s">
        <v>369</v>
      </c>
      <c r="L1496" s="46">
        <v>1680</v>
      </c>
      <c r="M1496" t="s">
        <v>1472</v>
      </c>
      <c r="N1496" t="s">
        <v>11</v>
      </c>
      <c r="O1496" s="49">
        <v>3.53</v>
      </c>
      <c r="P1496" s="9">
        <f>ROUND(O1496*L1496,2)</f>
        <v>5930.4</v>
      </c>
      <c r="Q1496" s="10">
        <f>IF(N1496="HKD",7.8,IF(N1496="CNY",7.30034,1))</f>
        <v>7.3003400000000003</v>
      </c>
      <c r="R1496" s="10">
        <f>+ROUND(O1496/Q1496,4)</f>
        <v>0.48349999999999999</v>
      </c>
      <c r="S1496" s="11">
        <f>ROUND(R1496*L1496,2)</f>
        <v>812.28</v>
      </c>
      <c r="T1496" s="10" t="s">
        <v>349</v>
      </c>
      <c r="U1496" t="s">
        <v>368</v>
      </c>
    </row>
    <row r="1497" spans="1:21">
      <c r="A1497" t="s">
        <v>2030</v>
      </c>
      <c r="B1497" s="20">
        <v>45707</v>
      </c>
      <c r="C1497" s="20">
        <v>45636</v>
      </c>
      <c r="D1497" t="s">
        <v>94</v>
      </c>
      <c r="E1497" t="s">
        <v>95</v>
      </c>
      <c r="G1497" t="s">
        <v>2192</v>
      </c>
      <c r="H1497" s="15" t="s">
        <v>997</v>
      </c>
      <c r="I1497" s="15" t="s">
        <v>998</v>
      </c>
      <c r="J1497" s="8" t="str">
        <f>+LEFT(U1497,4)</f>
        <v>LID-</v>
      </c>
      <c r="K1497" t="s">
        <v>369</v>
      </c>
      <c r="L1497" s="46">
        <v>1200</v>
      </c>
      <c r="M1497" t="s">
        <v>1472</v>
      </c>
      <c r="N1497" t="s">
        <v>11</v>
      </c>
      <c r="O1497" s="49">
        <v>3.64</v>
      </c>
      <c r="P1497" s="9">
        <f>ROUND(O1497*L1497,2)</f>
        <v>4368</v>
      </c>
      <c r="Q1497" s="10">
        <f>IF(N1497="HKD",7.8,IF(N1497="CNY",7.30034,1))</f>
        <v>7.3003400000000003</v>
      </c>
      <c r="R1497" s="10">
        <f>+ROUND(O1497/Q1497,4)</f>
        <v>0.49859999999999999</v>
      </c>
      <c r="S1497" s="11">
        <f>ROUND(R1497*L1497,2)</f>
        <v>598.32000000000005</v>
      </c>
      <c r="T1497" s="10" t="s">
        <v>349</v>
      </c>
      <c r="U1497" t="s">
        <v>368</v>
      </c>
    </row>
    <row r="1498" spans="1:21">
      <c r="A1498" t="s">
        <v>1946</v>
      </c>
      <c r="B1498" s="20">
        <v>45707</v>
      </c>
      <c r="C1498" s="20">
        <v>45664</v>
      </c>
      <c r="D1498" t="s">
        <v>2249</v>
      </c>
      <c r="E1498" t="s">
        <v>2250</v>
      </c>
      <c r="G1498" t="s">
        <v>2175</v>
      </c>
      <c r="H1498" s="15" t="s">
        <v>1666</v>
      </c>
      <c r="I1498" s="15" t="s">
        <v>1667</v>
      </c>
      <c r="J1498" s="8" t="str">
        <f>+LEFT(U1498,4)</f>
        <v>SHDL</v>
      </c>
      <c r="K1498" t="s">
        <v>10</v>
      </c>
      <c r="L1498" s="46">
        <v>2000</v>
      </c>
      <c r="M1498" t="s">
        <v>1472</v>
      </c>
      <c r="N1498" t="s">
        <v>11</v>
      </c>
      <c r="O1498" s="49">
        <v>1.8651</v>
      </c>
      <c r="P1498" s="9">
        <f>ROUND(O1498*L1498,2)</f>
        <v>3730.2</v>
      </c>
      <c r="Q1498" s="10">
        <f>IF(N1498="HKD",7.8,IF(N1498="CNY",7.30034,1))</f>
        <v>7.3003400000000003</v>
      </c>
      <c r="R1498" s="10">
        <f>+ROUND(O1498/Q1498,4)</f>
        <v>0.2555</v>
      </c>
      <c r="S1498" s="11">
        <f>ROUND(R1498*L1498,2)</f>
        <v>511</v>
      </c>
      <c r="T1498" s="10" t="s">
        <v>349</v>
      </c>
      <c r="U1498" t="s">
        <v>722</v>
      </c>
    </row>
    <row r="1499" spans="1:21">
      <c r="A1499" t="s">
        <v>1938</v>
      </c>
      <c r="B1499" s="20">
        <v>45707</v>
      </c>
      <c r="C1499" s="20">
        <v>45677</v>
      </c>
      <c r="D1499" t="s">
        <v>5</v>
      </c>
      <c r="E1499" t="s">
        <v>6</v>
      </c>
      <c r="G1499" t="s">
        <v>2173</v>
      </c>
      <c r="H1499" s="15" t="s">
        <v>493</v>
      </c>
      <c r="I1499" s="15" t="s">
        <v>494</v>
      </c>
      <c r="J1499" s="8" t="str">
        <f>+LEFT(U1499,4)</f>
        <v>SHTS</v>
      </c>
      <c r="K1499" t="s">
        <v>10</v>
      </c>
      <c r="L1499" s="46">
        <v>2020</v>
      </c>
      <c r="M1499" t="s">
        <v>1472</v>
      </c>
      <c r="N1499" t="s">
        <v>11</v>
      </c>
      <c r="O1499" s="49">
        <v>1.64</v>
      </c>
      <c r="P1499" s="9">
        <f>ROUND(O1499*L1499,2)</f>
        <v>3312.8</v>
      </c>
      <c r="Q1499" s="10">
        <f>IF(N1499="HKD",7.8,IF(N1499="CNY",7.30034,1))</f>
        <v>7.3003400000000003</v>
      </c>
      <c r="R1499" s="10">
        <f>+ROUND(O1499/Q1499,4)</f>
        <v>0.22459999999999999</v>
      </c>
      <c r="S1499" s="11">
        <f>ROUND(R1499*L1499,2)</f>
        <v>453.69</v>
      </c>
      <c r="T1499" s="10" t="s">
        <v>349</v>
      </c>
      <c r="U1499" t="s">
        <v>9</v>
      </c>
    </row>
    <row r="1500" spans="1:21">
      <c r="A1500" t="s">
        <v>1952</v>
      </c>
      <c r="B1500" s="20">
        <v>45707</v>
      </c>
      <c r="C1500" s="20">
        <v>45706</v>
      </c>
      <c r="D1500" t="s">
        <v>5</v>
      </c>
      <c r="E1500" t="s">
        <v>6</v>
      </c>
      <c r="G1500" t="s">
        <v>2173</v>
      </c>
      <c r="H1500" s="15" t="s">
        <v>1668</v>
      </c>
      <c r="I1500" s="15" t="s">
        <v>1669</v>
      </c>
      <c r="J1500" s="8" t="str">
        <f>+LEFT(U1500,4)</f>
        <v>SHTS</v>
      </c>
      <c r="K1500" t="s">
        <v>10</v>
      </c>
      <c r="L1500" s="46">
        <v>2010</v>
      </c>
      <c r="M1500" t="s">
        <v>1472</v>
      </c>
      <c r="N1500" t="s">
        <v>11</v>
      </c>
      <c r="O1500" s="49">
        <v>1.96</v>
      </c>
      <c r="P1500" s="9">
        <f>ROUND(O1500*L1500,2)</f>
        <v>3939.6</v>
      </c>
      <c r="Q1500" s="10">
        <f>IF(N1500="HKD",7.8,IF(N1500="CNY",7.30034,1))</f>
        <v>7.3003400000000003</v>
      </c>
      <c r="R1500" s="10">
        <f>+ROUND(O1500/Q1500,4)</f>
        <v>0.26850000000000002</v>
      </c>
      <c r="S1500" s="11">
        <f>ROUND(R1500*L1500,2)</f>
        <v>539.69000000000005</v>
      </c>
      <c r="T1500" s="10" t="s">
        <v>349</v>
      </c>
      <c r="U1500" t="s">
        <v>9</v>
      </c>
    </row>
    <row r="1501" spans="1:21">
      <c r="A1501" t="s">
        <v>1961</v>
      </c>
      <c r="B1501" s="20">
        <v>45707</v>
      </c>
      <c r="C1501" s="20">
        <v>45677</v>
      </c>
      <c r="D1501" t="s">
        <v>5</v>
      </c>
      <c r="E1501" t="s">
        <v>6</v>
      </c>
      <c r="G1501" t="s">
        <v>2173</v>
      </c>
      <c r="H1501" s="15" t="s">
        <v>1680</v>
      </c>
      <c r="I1501" s="15" t="s">
        <v>1681</v>
      </c>
      <c r="J1501" s="8" t="str">
        <f>+LEFT(U1501,4)</f>
        <v>SHTS</v>
      </c>
      <c r="K1501" t="s">
        <v>10</v>
      </c>
      <c r="L1501" s="46">
        <v>1260</v>
      </c>
      <c r="M1501" t="s">
        <v>1472</v>
      </c>
      <c r="N1501" t="s">
        <v>11</v>
      </c>
      <c r="O1501" s="49">
        <v>2.59</v>
      </c>
      <c r="P1501" s="9">
        <f>ROUND(O1501*L1501,2)</f>
        <v>3263.4</v>
      </c>
      <c r="Q1501" s="10">
        <f>IF(N1501="HKD",7.8,IF(N1501="CNY",7.30034,1))</f>
        <v>7.3003400000000003</v>
      </c>
      <c r="R1501" s="10">
        <f>+ROUND(O1501/Q1501,4)</f>
        <v>0.3548</v>
      </c>
      <c r="S1501" s="11">
        <f>ROUND(R1501*L1501,2)</f>
        <v>447.05</v>
      </c>
      <c r="T1501" s="10" t="s">
        <v>349</v>
      </c>
      <c r="U1501" t="s">
        <v>9</v>
      </c>
    </row>
    <row r="1502" spans="1:21">
      <c r="A1502" t="s">
        <v>1974</v>
      </c>
      <c r="B1502" s="20">
        <v>45707</v>
      </c>
      <c r="C1502" s="20">
        <v>45706</v>
      </c>
      <c r="D1502" t="s">
        <v>5</v>
      </c>
      <c r="E1502" t="s">
        <v>6</v>
      </c>
      <c r="G1502" t="s">
        <v>2183</v>
      </c>
      <c r="H1502" s="15" t="s">
        <v>1693</v>
      </c>
      <c r="I1502" s="15" t="s">
        <v>1694</v>
      </c>
      <c r="J1502" s="8" t="str">
        <f>+LEFT(U1502,4)</f>
        <v>SHTS</v>
      </c>
      <c r="K1502" t="s">
        <v>10</v>
      </c>
      <c r="L1502" s="46">
        <v>1010</v>
      </c>
      <c r="M1502" t="s">
        <v>1472</v>
      </c>
      <c r="N1502" t="s">
        <v>11</v>
      </c>
      <c r="O1502" s="49">
        <v>2.9</v>
      </c>
      <c r="P1502" s="9">
        <f>ROUND(O1502*L1502,2)</f>
        <v>2929</v>
      </c>
      <c r="Q1502" s="10">
        <f>IF(N1502="HKD",7.8,IF(N1502="CNY",7.30034,1))</f>
        <v>7.3003400000000003</v>
      </c>
      <c r="R1502" s="10">
        <f>+ROUND(O1502/Q1502,4)</f>
        <v>0.3972</v>
      </c>
      <c r="S1502" s="11">
        <f>ROUND(R1502*L1502,2)</f>
        <v>401.17</v>
      </c>
      <c r="T1502" s="10" t="s">
        <v>349</v>
      </c>
      <c r="U1502" t="s">
        <v>9</v>
      </c>
    </row>
    <row r="1503" spans="1:21">
      <c r="A1503" t="s">
        <v>1983</v>
      </c>
      <c r="B1503" s="20">
        <v>45707</v>
      </c>
      <c r="C1503" s="20">
        <v>45706</v>
      </c>
      <c r="D1503" t="s">
        <v>5</v>
      </c>
      <c r="E1503" t="s">
        <v>6</v>
      </c>
      <c r="G1503" t="s">
        <v>2183</v>
      </c>
      <c r="H1503" s="15" t="s">
        <v>1707</v>
      </c>
      <c r="I1503" s="15" t="s">
        <v>1708</v>
      </c>
      <c r="J1503" s="8" t="str">
        <f>+LEFT(U1503,4)</f>
        <v>SHTS</v>
      </c>
      <c r="K1503" t="s">
        <v>10</v>
      </c>
      <c r="L1503" s="46">
        <v>1010</v>
      </c>
      <c r="M1503" t="s">
        <v>1472</v>
      </c>
      <c r="N1503" t="s">
        <v>11</v>
      </c>
      <c r="O1503" s="49">
        <v>2.96</v>
      </c>
      <c r="P1503" s="9">
        <f>ROUND(O1503*L1503,2)</f>
        <v>2989.6</v>
      </c>
      <c r="Q1503" s="10">
        <f>IF(N1503="HKD",7.8,IF(N1503="CNY",7.30034,1))</f>
        <v>7.3003400000000003</v>
      </c>
      <c r="R1503" s="10">
        <f>+ROUND(O1503/Q1503,4)</f>
        <v>0.40550000000000003</v>
      </c>
      <c r="S1503" s="11">
        <f>ROUND(R1503*L1503,2)</f>
        <v>409.56</v>
      </c>
      <c r="T1503" s="10" t="s">
        <v>349</v>
      </c>
      <c r="U1503" t="s">
        <v>9</v>
      </c>
    </row>
    <row r="1504" spans="1:21">
      <c r="A1504" t="s">
        <v>1984</v>
      </c>
      <c r="B1504" s="20">
        <v>45707</v>
      </c>
      <c r="C1504" s="20">
        <v>45706</v>
      </c>
      <c r="D1504" t="s">
        <v>5</v>
      </c>
      <c r="E1504" t="s">
        <v>6</v>
      </c>
      <c r="G1504" t="s">
        <v>2173</v>
      </c>
      <c r="H1504" s="15" t="s">
        <v>489</v>
      </c>
      <c r="I1504" s="15" t="s">
        <v>490</v>
      </c>
      <c r="J1504" s="8" t="str">
        <f>+LEFT(U1504,4)</f>
        <v>SHTS</v>
      </c>
      <c r="K1504" t="s">
        <v>10</v>
      </c>
      <c r="L1504" s="46">
        <v>1010</v>
      </c>
      <c r="M1504" t="s">
        <v>1472</v>
      </c>
      <c r="N1504" t="s">
        <v>11</v>
      </c>
      <c r="O1504" s="49">
        <v>3</v>
      </c>
      <c r="P1504" s="9">
        <f>ROUND(O1504*L1504,2)</f>
        <v>3030</v>
      </c>
      <c r="Q1504" s="10">
        <f>IF(N1504="HKD",7.8,IF(N1504="CNY",7.30034,1))</f>
        <v>7.3003400000000003</v>
      </c>
      <c r="R1504" s="10">
        <f>+ROUND(O1504/Q1504,4)</f>
        <v>0.41089999999999999</v>
      </c>
      <c r="S1504" s="11">
        <f>ROUND(R1504*L1504,2)</f>
        <v>415.01</v>
      </c>
      <c r="T1504" s="10" t="s">
        <v>349</v>
      </c>
      <c r="U1504" t="s">
        <v>9</v>
      </c>
    </row>
    <row r="1505" spans="1:21">
      <c r="A1505" t="s">
        <v>2011</v>
      </c>
      <c r="B1505" s="20">
        <v>45707</v>
      </c>
      <c r="C1505" s="20">
        <v>45706</v>
      </c>
      <c r="D1505" t="s">
        <v>5</v>
      </c>
      <c r="E1505" t="s">
        <v>6</v>
      </c>
      <c r="G1505" t="s">
        <v>2173</v>
      </c>
      <c r="H1505" s="15" t="s">
        <v>1660</v>
      </c>
      <c r="I1505" s="15" t="s">
        <v>1661</v>
      </c>
      <c r="J1505" s="8" t="str">
        <f>+LEFT(U1505,4)</f>
        <v>SHTS</v>
      </c>
      <c r="K1505" t="s">
        <v>10</v>
      </c>
      <c r="L1505" s="46">
        <v>1000</v>
      </c>
      <c r="M1505" t="s">
        <v>1472</v>
      </c>
      <c r="N1505" t="s">
        <v>11</v>
      </c>
      <c r="O1505" s="49">
        <v>3.18</v>
      </c>
      <c r="P1505" s="9">
        <f>ROUND(O1505*L1505,2)</f>
        <v>3180</v>
      </c>
      <c r="Q1505" s="10">
        <f>IF(N1505="HKD",7.8,IF(N1505="CNY",7.30034,1))</f>
        <v>7.3003400000000003</v>
      </c>
      <c r="R1505" s="10">
        <f>+ROUND(O1505/Q1505,4)</f>
        <v>0.43559999999999999</v>
      </c>
      <c r="S1505" s="11">
        <f>ROUND(R1505*L1505,2)</f>
        <v>435.6</v>
      </c>
      <c r="T1505" s="10" t="s">
        <v>349</v>
      </c>
      <c r="U1505" t="s">
        <v>9</v>
      </c>
    </row>
    <row r="1506" spans="1:21">
      <c r="A1506" t="s">
        <v>2051</v>
      </c>
      <c r="B1506" s="20">
        <v>45707</v>
      </c>
      <c r="C1506" s="20">
        <v>45706</v>
      </c>
      <c r="D1506" t="s">
        <v>5</v>
      </c>
      <c r="E1506" t="s">
        <v>6</v>
      </c>
      <c r="G1506" t="s">
        <v>2173</v>
      </c>
      <c r="H1506" s="15" t="s">
        <v>1680</v>
      </c>
      <c r="I1506" s="15" t="s">
        <v>1681</v>
      </c>
      <c r="J1506" s="8" t="str">
        <f>+LEFT(U1506,4)</f>
        <v>SHTS</v>
      </c>
      <c r="K1506" t="s">
        <v>10</v>
      </c>
      <c r="L1506" s="46">
        <v>1010</v>
      </c>
      <c r="M1506" t="s">
        <v>1472</v>
      </c>
      <c r="N1506" t="s">
        <v>11</v>
      </c>
      <c r="O1506" s="49">
        <v>4.47</v>
      </c>
      <c r="P1506" s="9">
        <f>ROUND(O1506*L1506,2)</f>
        <v>4514.7</v>
      </c>
      <c r="Q1506" s="10">
        <f>IF(N1506="HKD",7.8,IF(N1506="CNY",7.30034,1))</f>
        <v>7.3003400000000003</v>
      </c>
      <c r="R1506" s="10">
        <f>+ROUND(O1506/Q1506,4)</f>
        <v>0.61229999999999996</v>
      </c>
      <c r="S1506" s="11">
        <f>ROUND(R1506*L1506,2)</f>
        <v>618.41999999999996</v>
      </c>
      <c r="T1506" s="10" t="s">
        <v>349</v>
      </c>
      <c r="U1506" t="s">
        <v>9</v>
      </c>
    </row>
    <row r="1507" spans="1:21">
      <c r="A1507" t="s">
        <v>2062</v>
      </c>
      <c r="B1507" s="20">
        <v>45707</v>
      </c>
      <c r="C1507" s="20">
        <v>45677</v>
      </c>
      <c r="D1507" t="s">
        <v>5</v>
      </c>
      <c r="E1507" t="s">
        <v>6</v>
      </c>
      <c r="G1507" t="s">
        <v>2173</v>
      </c>
      <c r="H1507" s="15" t="s">
        <v>1768</v>
      </c>
      <c r="I1507" s="15" t="s">
        <v>1769</v>
      </c>
      <c r="J1507" s="8" t="str">
        <f>+LEFT(U1507,4)</f>
        <v>SHTS</v>
      </c>
      <c r="K1507" t="s">
        <v>10</v>
      </c>
      <c r="L1507" s="46">
        <v>1010</v>
      </c>
      <c r="M1507" t="s">
        <v>1472</v>
      </c>
      <c r="N1507" t="s">
        <v>11</v>
      </c>
      <c r="O1507" s="49">
        <v>5.03</v>
      </c>
      <c r="P1507" s="9">
        <f>ROUND(O1507*L1507,2)</f>
        <v>5080.3</v>
      </c>
      <c r="Q1507" s="10">
        <f>IF(N1507="HKD",7.8,IF(N1507="CNY",7.30034,1))</f>
        <v>7.3003400000000003</v>
      </c>
      <c r="R1507" s="10">
        <f>+ROUND(O1507/Q1507,4)</f>
        <v>0.68899999999999995</v>
      </c>
      <c r="S1507" s="11">
        <f>ROUND(R1507*L1507,2)</f>
        <v>695.89</v>
      </c>
      <c r="T1507" s="10" t="s">
        <v>349</v>
      </c>
      <c r="U1507" t="s">
        <v>9</v>
      </c>
    </row>
    <row r="1508" spans="1:21">
      <c r="A1508" t="s">
        <v>2071</v>
      </c>
      <c r="B1508" s="20">
        <v>45707</v>
      </c>
      <c r="C1508" s="20">
        <v>45706</v>
      </c>
      <c r="D1508" t="s">
        <v>5</v>
      </c>
      <c r="E1508" t="s">
        <v>6</v>
      </c>
      <c r="G1508" t="s">
        <v>2173</v>
      </c>
      <c r="H1508" s="15" t="s">
        <v>1776</v>
      </c>
      <c r="I1508" s="15" t="s">
        <v>1777</v>
      </c>
      <c r="J1508" s="8" t="str">
        <f>+LEFT(U1508,4)</f>
        <v>SHTS</v>
      </c>
      <c r="K1508" t="s">
        <v>10</v>
      </c>
      <c r="L1508" s="46">
        <v>505</v>
      </c>
      <c r="M1508" t="s">
        <v>1472</v>
      </c>
      <c r="N1508" t="s">
        <v>11</v>
      </c>
      <c r="O1508" s="49">
        <v>5.41</v>
      </c>
      <c r="P1508" s="9">
        <f>ROUND(O1508*L1508,2)</f>
        <v>2732.05</v>
      </c>
      <c r="Q1508" s="10">
        <f>IF(N1508="HKD",7.8,IF(N1508="CNY",7.30034,1))</f>
        <v>7.3003400000000003</v>
      </c>
      <c r="R1508" s="10">
        <f>+ROUND(O1508/Q1508,4)</f>
        <v>0.74109999999999998</v>
      </c>
      <c r="S1508" s="11">
        <f>ROUND(R1508*L1508,2)</f>
        <v>374.26</v>
      </c>
      <c r="T1508" s="10" t="s">
        <v>349</v>
      </c>
      <c r="U1508" t="s">
        <v>9</v>
      </c>
    </row>
    <row r="1509" spans="1:21">
      <c r="A1509" t="s">
        <v>2074</v>
      </c>
      <c r="B1509" s="20">
        <v>45707</v>
      </c>
      <c r="C1509" s="20">
        <v>45677</v>
      </c>
      <c r="D1509" t="s">
        <v>5</v>
      </c>
      <c r="E1509" t="s">
        <v>6</v>
      </c>
      <c r="G1509" t="s">
        <v>2173</v>
      </c>
      <c r="H1509" s="15" t="s">
        <v>1778</v>
      </c>
      <c r="I1509" s="15" t="s">
        <v>1779</v>
      </c>
      <c r="J1509" s="8" t="str">
        <f>+LEFT(U1509,4)</f>
        <v>SHTS</v>
      </c>
      <c r="K1509" t="s">
        <v>10</v>
      </c>
      <c r="L1509" s="46">
        <v>1010</v>
      </c>
      <c r="M1509" t="s">
        <v>1472</v>
      </c>
      <c r="N1509" t="s">
        <v>11</v>
      </c>
      <c r="O1509" s="49">
        <v>5.62</v>
      </c>
      <c r="P1509" s="9">
        <f>ROUND(O1509*L1509,2)</f>
        <v>5676.2</v>
      </c>
      <c r="Q1509" s="10">
        <f>IF(N1509="HKD",7.8,IF(N1509="CNY",7.30034,1))</f>
        <v>7.3003400000000003</v>
      </c>
      <c r="R1509" s="10">
        <f>+ROUND(O1509/Q1509,4)</f>
        <v>0.76980000000000004</v>
      </c>
      <c r="S1509" s="11">
        <f>ROUND(R1509*L1509,2)</f>
        <v>777.5</v>
      </c>
      <c r="T1509" s="10" t="s">
        <v>349</v>
      </c>
      <c r="U1509" t="s">
        <v>9</v>
      </c>
    </row>
    <row r="1510" spans="1:21">
      <c r="A1510" t="s">
        <v>2115</v>
      </c>
      <c r="B1510" s="20">
        <v>45707</v>
      </c>
      <c r="C1510" s="20">
        <v>45701</v>
      </c>
      <c r="D1510" t="s">
        <v>2259</v>
      </c>
      <c r="E1510" t="s">
        <v>2260</v>
      </c>
      <c r="G1510" t="s">
        <v>2231</v>
      </c>
      <c r="H1510" s="15" t="s">
        <v>1810</v>
      </c>
      <c r="I1510" s="15" t="s">
        <v>1811</v>
      </c>
      <c r="J1510" s="8" t="str">
        <f>+LEFT(U1510,4)</f>
        <v>SSM-</v>
      </c>
      <c r="K1510" t="s">
        <v>10</v>
      </c>
      <c r="L1510" s="46">
        <v>10874</v>
      </c>
      <c r="M1510" t="s">
        <v>186</v>
      </c>
      <c r="N1510" t="s">
        <v>11</v>
      </c>
      <c r="O1510" s="49">
        <v>12.035399999999999</v>
      </c>
      <c r="P1510" s="9">
        <f>ROUND(O1510*L1510,2)</f>
        <v>130872.94</v>
      </c>
      <c r="Q1510" s="10">
        <f>IF(N1510="HKD",7.8,IF(N1510="CNY",7.30034,1))</f>
        <v>7.3003400000000003</v>
      </c>
      <c r="R1510" s="10">
        <f>+ROUND(O1510/Q1510,4)</f>
        <v>1.6486000000000001</v>
      </c>
      <c r="S1510" s="11">
        <f>ROUND(R1510*L1510,2)</f>
        <v>17926.88</v>
      </c>
      <c r="T1510" s="10" t="s">
        <v>349</v>
      </c>
      <c r="U1510" t="s">
        <v>33</v>
      </c>
    </row>
    <row r="1511" spans="1:21">
      <c r="A1511" t="s">
        <v>2117</v>
      </c>
      <c r="B1511" s="20">
        <v>45707</v>
      </c>
      <c r="C1511" s="20">
        <v>45701</v>
      </c>
      <c r="D1511" t="s">
        <v>2259</v>
      </c>
      <c r="E1511" t="s">
        <v>2260</v>
      </c>
      <c r="G1511" t="s">
        <v>2231</v>
      </c>
      <c r="H1511" s="15" t="s">
        <v>1814</v>
      </c>
      <c r="I1511" s="15" t="s">
        <v>1815</v>
      </c>
      <c r="J1511" s="8" t="str">
        <f>+LEFT(U1511,4)</f>
        <v>SSM-</v>
      </c>
      <c r="K1511" t="s">
        <v>10</v>
      </c>
      <c r="L1511" s="46">
        <v>21993</v>
      </c>
      <c r="M1511" t="s">
        <v>186</v>
      </c>
      <c r="N1511" t="s">
        <v>11</v>
      </c>
      <c r="O1511" s="49">
        <v>12.212400000000001</v>
      </c>
      <c r="P1511" s="9">
        <f>ROUND(O1511*L1511,2)</f>
        <v>268587.31</v>
      </c>
      <c r="Q1511" s="10">
        <f>IF(N1511="HKD",7.8,IF(N1511="CNY",7.30034,1))</f>
        <v>7.3003400000000003</v>
      </c>
      <c r="R1511" s="10">
        <f>+ROUND(O1511/Q1511,4)</f>
        <v>1.6729000000000001</v>
      </c>
      <c r="S1511" s="11">
        <f>ROUND(R1511*L1511,2)</f>
        <v>36792.089999999997</v>
      </c>
      <c r="T1511" s="10" t="s">
        <v>349</v>
      </c>
      <c r="U1511" t="s">
        <v>33</v>
      </c>
    </row>
    <row r="1512" spans="1:21">
      <c r="A1512" t="s">
        <v>2067</v>
      </c>
      <c r="B1512" s="20">
        <v>45706</v>
      </c>
      <c r="C1512" s="20">
        <v>45677</v>
      </c>
      <c r="D1512" t="s">
        <v>5</v>
      </c>
      <c r="E1512" t="s">
        <v>6</v>
      </c>
      <c r="G1512" t="s">
        <v>2210</v>
      </c>
      <c r="H1512" s="15" t="s">
        <v>1774</v>
      </c>
      <c r="I1512" s="15" t="s">
        <v>1775</v>
      </c>
      <c r="J1512" s="8" t="str">
        <f>+LEFT(U1512,4)</f>
        <v>BOX-</v>
      </c>
      <c r="K1512" t="s">
        <v>10</v>
      </c>
      <c r="L1512" s="46">
        <v>500</v>
      </c>
      <c r="M1512" t="s">
        <v>1472</v>
      </c>
      <c r="N1512" t="s">
        <v>11</v>
      </c>
      <c r="O1512" s="49">
        <v>5.18</v>
      </c>
      <c r="P1512" s="9">
        <f>ROUND(O1512*L1512,2)</f>
        <v>2590</v>
      </c>
      <c r="Q1512" s="10">
        <f>IF(N1512="HKD",7.8,IF(N1512="CNY",7.30034,1))</f>
        <v>7.3003400000000003</v>
      </c>
      <c r="R1512" s="10">
        <f>+ROUND(O1512/Q1512,4)</f>
        <v>0.70960000000000001</v>
      </c>
      <c r="S1512" s="11">
        <f>ROUND(R1512*L1512,2)</f>
        <v>354.8</v>
      </c>
      <c r="T1512" s="10" t="s">
        <v>349</v>
      </c>
      <c r="U1512" t="s">
        <v>1</v>
      </c>
    </row>
    <row r="1513" spans="1:21">
      <c r="A1513" t="s">
        <v>2087</v>
      </c>
      <c r="B1513" s="20">
        <v>45706</v>
      </c>
      <c r="C1513" s="20">
        <v>45609</v>
      </c>
      <c r="D1513" t="s">
        <v>149</v>
      </c>
      <c r="E1513" t="s">
        <v>150</v>
      </c>
      <c r="G1513" t="s">
        <v>2218</v>
      </c>
      <c r="H1513" s="15" t="s">
        <v>1786</v>
      </c>
      <c r="I1513" s="15" t="s">
        <v>1787</v>
      </c>
      <c r="J1513" s="8" t="str">
        <f>+LEFT(U1513,4)</f>
        <v>GLID</v>
      </c>
      <c r="K1513" t="s">
        <v>10</v>
      </c>
      <c r="L1513" s="46">
        <v>-74</v>
      </c>
      <c r="M1513" t="s">
        <v>1472</v>
      </c>
      <c r="N1513" t="s">
        <v>11</v>
      </c>
      <c r="O1513" s="49">
        <v>6.65</v>
      </c>
      <c r="P1513" s="9">
        <f>ROUND(O1513*L1513,2)</f>
        <v>-492.1</v>
      </c>
      <c r="Q1513" s="10">
        <f>IF(N1513="HKD",7.8,IF(N1513="CNY",7.30034,1))</f>
        <v>7.3003400000000003</v>
      </c>
      <c r="R1513" s="10">
        <f>+ROUND(O1513/Q1513,4)</f>
        <v>0.91090000000000004</v>
      </c>
      <c r="S1513" s="11">
        <f>ROUND(R1513*L1513,2)</f>
        <v>-67.41</v>
      </c>
      <c r="T1513" s="10" t="s">
        <v>349</v>
      </c>
      <c r="U1513" t="s">
        <v>78</v>
      </c>
    </row>
    <row r="1514" spans="1:21">
      <c r="A1514" t="s">
        <v>258</v>
      </c>
      <c r="B1514" s="20">
        <v>45706</v>
      </c>
      <c r="C1514" s="20">
        <v>45639</v>
      </c>
      <c r="D1514" t="s">
        <v>252</v>
      </c>
      <c r="E1514" t="s">
        <v>253</v>
      </c>
      <c r="G1514" t="s">
        <v>2227</v>
      </c>
      <c r="H1514" s="15" t="s">
        <v>256</v>
      </c>
      <c r="I1514" s="15" t="s">
        <v>257</v>
      </c>
      <c r="J1514" s="8" t="str">
        <f>+LEFT(U1514,4)</f>
        <v>GLID</v>
      </c>
      <c r="K1514" t="s">
        <v>10</v>
      </c>
      <c r="L1514" s="46">
        <v>3470</v>
      </c>
      <c r="M1514" t="s">
        <v>1472</v>
      </c>
      <c r="N1514" t="s">
        <v>11</v>
      </c>
      <c r="O1514" s="49">
        <v>8.6329999999999991</v>
      </c>
      <c r="P1514" s="9">
        <f>ROUND(O1514*L1514,2)</f>
        <v>29956.51</v>
      </c>
      <c r="Q1514" s="10">
        <f>IF(N1514="HKD",7.8,IF(N1514="CNY",7.30034,1))</f>
        <v>7.3003400000000003</v>
      </c>
      <c r="R1514" s="10">
        <f>+ROUND(O1514/Q1514,4)</f>
        <v>1.1825000000000001</v>
      </c>
      <c r="S1514" s="11">
        <f>ROUND(R1514*L1514,2)</f>
        <v>4103.28</v>
      </c>
      <c r="T1514" s="10" t="s">
        <v>349</v>
      </c>
      <c r="U1514" t="s">
        <v>78</v>
      </c>
    </row>
    <row r="1515" spans="1:21">
      <c r="A1515" t="s">
        <v>254</v>
      </c>
      <c r="B1515" s="20">
        <v>45706</v>
      </c>
      <c r="C1515" s="20">
        <v>45639</v>
      </c>
      <c r="D1515" t="s">
        <v>252</v>
      </c>
      <c r="E1515" t="s">
        <v>253</v>
      </c>
      <c r="G1515" t="s">
        <v>2227</v>
      </c>
      <c r="H1515" s="15" t="s">
        <v>250</v>
      </c>
      <c r="I1515" s="15" t="s">
        <v>251</v>
      </c>
      <c r="J1515" s="8" t="str">
        <f>+LEFT(U1515,4)</f>
        <v>GLID</v>
      </c>
      <c r="K1515" t="s">
        <v>10</v>
      </c>
      <c r="L1515" s="46">
        <v>6390</v>
      </c>
      <c r="M1515" t="s">
        <v>1472</v>
      </c>
      <c r="N1515" t="s">
        <v>11</v>
      </c>
      <c r="O1515" s="49">
        <v>10.7476</v>
      </c>
      <c r="P1515" s="9">
        <f>ROUND(O1515*L1515,2)</f>
        <v>68677.16</v>
      </c>
      <c r="Q1515" s="10">
        <f>IF(N1515="HKD",7.8,IF(N1515="CNY",7.30034,1))</f>
        <v>7.3003400000000003</v>
      </c>
      <c r="R1515" s="10">
        <f>+ROUND(O1515/Q1515,4)</f>
        <v>1.4722</v>
      </c>
      <c r="S1515" s="11">
        <f>ROUND(R1515*L1515,2)</f>
        <v>9407.36</v>
      </c>
      <c r="T1515" s="10" t="s">
        <v>349</v>
      </c>
      <c r="U1515" t="s">
        <v>78</v>
      </c>
    </row>
    <row r="1516" spans="1:21">
      <c r="A1516" t="s">
        <v>2034</v>
      </c>
      <c r="B1516" s="20">
        <v>45706</v>
      </c>
      <c r="C1516" s="20">
        <v>45609</v>
      </c>
      <c r="D1516" t="s">
        <v>128</v>
      </c>
      <c r="E1516" t="s">
        <v>129</v>
      </c>
      <c r="G1516" t="s">
        <v>2199</v>
      </c>
      <c r="H1516" s="15" t="s">
        <v>1744</v>
      </c>
      <c r="I1516" s="15" t="s">
        <v>1745</v>
      </c>
      <c r="J1516" s="8" t="str">
        <f>+LEFT(U1516,4)</f>
        <v>HDL-</v>
      </c>
      <c r="K1516" t="s">
        <v>10</v>
      </c>
      <c r="L1516" s="46">
        <v>-18</v>
      </c>
      <c r="M1516" t="s">
        <v>1472</v>
      </c>
      <c r="N1516" t="s">
        <v>11</v>
      </c>
      <c r="O1516" s="49">
        <v>3.7610000000000001</v>
      </c>
      <c r="P1516" s="9">
        <f>ROUND(O1516*L1516,2)</f>
        <v>-67.7</v>
      </c>
      <c r="Q1516" s="10">
        <f>IF(N1516="HKD",7.8,IF(N1516="CNY",7.30034,1))</f>
        <v>7.3003400000000003</v>
      </c>
      <c r="R1516" s="10">
        <f>+ROUND(O1516/Q1516,4)</f>
        <v>0.51519999999999999</v>
      </c>
      <c r="S1516" s="11">
        <f>ROUND(R1516*L1516,2)</f>
        <v>-9.27</v>
      </c>
      <c r="T1516" s="10" t="s">
        <v>349</v>
      </c>
      <c r="U1516" t="s">
        <v>228</v>
      </c>
    </row>
    <row r="1517" spans="1:21">
      <c r="A1517" t="s">
        <v>2053</v>
      </c>
      <c r="B1517" s="20">
        <v>45706</v>
      </c>
      <c r="C1517" s="20">
        <v>45350</v>
      </c>
      <c r="D1517" t="s">
        <v>128</v>
      </c>
      <c r="E1517" t="s">
        <v>129</v>
      </c>
      <c r="G1517" t="s">
        <v>2199</v>
      </c>
      <c r="H1517" s="15" t="s">
        <v>1762</v>
      </c>
      <c r="I1517" s="15" t="s">
        <v>1763</v>
      </c>
      <c r="J1517" s="8" t="str">
        <f>+LEFT(U1517,4)</f>
        <v>HDL-</v>
      </c>
      <c r="K1517" t="s">
        <v>10</v>
      </c>
      <c r="L1517" s="46">
        <v>-1820</v>
      </c>
      <c r="M1517" t="s">
        <v>1472</v>
      </c>
      <c r="N1517" t="s">
        <v>11</v>
      </c>
      <c r="O1517" s="49">
        <v>4.5491999999999999</v>
      </c>
      <c r="P1517" s="9">
        <f>ROUND(O1517*L1517,2)</f>
        <v>-8279.5400000000009</v>
      </c>
      <c r="Q1517" s="10">
        <f>IF(N1517="HKD",7.8,IF(N1517="CNY",7.30034,1))</f>
        <v>7.3003400000000003</v>
      </c>
      <c r="R1517" s="10">
        <f>+ROUND(O1517/Q1517,4)</f>
        <v>0.62309999999999999</v>
      </c>
      <c r="S1517" s="11">
        <f>ROUND(R1517*L1517,2)</f>
        <v>-1134.04</v>
      </c>
      <c r="T1517" s="10" t="s">
        <v>349</v>
      </c>
      <c r="U1517" t="s">
        <v>228</v>
      </c>
    </row>
    <row r="1518" spans="1:21">
      <c r="A1518" t="s">
        <v>1907</v>
      </c>
      <c r="B1518" s="20">
        <v>45706</v>
      </c>
      <c r="C1518" s="20">
        <v>45674</v>
      </c>
      <c r="D1518" t="s">
        <v>121</v>
      </c>
      <c r="E1518" t="s">
        <v>122</v>
      </c>
      <c r="G1518" t="s">
        <v>2165</v>
      </c>
      <c r="H1518" s="15" t="s">
        <v>1306</v>
      </c>
      <c r="I1518" s="15" t="s">
        <v>1307</v>
      </c>
      <c r="J1518" s="8" t="s">
        <v>1527</v>
      </c>
      <c r="K1518" t="s">
        <v>10</v>
      </c>
      <c r="L1518" s="46">
        <v>2000</v>
      </c>
      <c r="M1518" t="s">
        <v>1472</v>
      </c>
      <c r="N1518" t="s">
        <v>11</v>
      </c>
      <c r="O1518" s="49">
        <v>0.8</v>
      </c>
      <c r="P1518" s="9">
        <f>ROUND(O1518*L1518,2)</f>
        <v>1600</v>
      </c>
      <c r="Q1518" s="10">
        <f>IF(N1518="HKD",7.8,IF(N1518="CNY",7.30034,1))</f>
        <v>7.3003400000000003</v>
      </c>
      <c r="R1518" s="10">
        <f>+ROUND(O1518/Q1518,4)</f>
        <v>0.1096</v>
      </c>
      <c r="S1518" s="11">
        <f>ROUND(R1518*L1518,2)</f>
        <v>219.2</v>
      </c>
      <c r="T1518" s="10" t="s">
        <v>349</v>
      </c>
      <c r="U1518" t="s">
        <v>36</v>
      </c>
    </row>
    <row r="1519" spans="1:21">
      <c r="A1519" t="s">
        <v>1908</v>
      </c>
      <c r="B1519" s="20">
        <v>45706</v>
      </c>
      <c r="C1519" s="20">
        <v>45677</v>
      </c>
      <c r="D1519" t="s">
        <v>121</v>
      </c>
      <c r="E1519" t="s">
        <v>122</v>
      </c>
      <c r="G1519" t="s">
        <v>2165</v>
      </c>
      <c r="H1519" s="15" t="s">
        <v>1548</v>
      </c>
      <c r="I1519" s="15" t="s">
        <v>1549</v>
      </c>
      <c r="J1519" s="8" t="s">
        <v>1527</v>
      </c>
      <c r="K1519" t="s">
        <v>10</v>
      </c>
      <c r="L1519" s="46">
        <v>1020</v>
      </c>
      <c r="M1519" t="s">
        <v>1472</v>
      </c>
      <c r="N1519" t="s">
        <v>11</v>
      </c>
      <c r="O1519" s="49">
        <v>0.8</v>
      </c>
      <c r="P1519" s="9">
        <f>ROUND(O1519*L1519,2)</f>
        <v>816</v>
      </c>
      <c r="Q1519" s="10">
        <f>IF(N1519="HKD",7.8,IF(N1519="CNY",7.30034,1))</f>
        <v>7.3003400000000003</v>
      </c>
      <c r="R1519" s="10">
        <f>+ROUND(O1519/Q1519,4)</f>
        <v>0.1096</v>
      </c>
      <c r="S1519" s="11">
        <f>ROUND(R1519*L1519,2)</f>
        <v>111.79</v>
      </c>
      <c r="T1519" s="10" t="s">
        <v>349</v>
      </c>
      <c r="U1519" t="s">
        <v>36</v>
      </c>
    </row>
    <row r="1520" spans="1:21">
      <c r="A1520" t="s">
        <v>2077</v>
      </c>
      <c r="B1520" s="20">
        <v>45706</v>
      </c>
      <c r="C1520" s="20">
        <v>45639</v>
      </c>
      <c r="D1520" t="s">
        <v>149</v>
      </c>
      <c r="E1520" t="s">
        <v>150</v>
      </c>
      <c r="G1520" t="s">
        <v>2215</v>
      </c>
      <c r="H1520" s="15" t="s">
        <v>274</v>
      </c>
      <c r="I1520" s="15" t="s">
        <v>275</v>
      </c>
      <c r="J1520" s="8" t="str">
        <f>+LEFT(U1520,4)</f>
        <v>SKU-</v>
      </c>
      <c r="K1520" t="s">
        <v>98</v>
      </c>
      <c r="L1520" s="46">
        <v>5000</v>
      </c>
      <c r="M1520" t="s">
        <v>1472</v>
      </c>
      <c r="N1520" t="s">
        <v>11</v>
      </c>
      <c r="O1520" s="49">
        <v>5.7253999999999996</v>
      </c>
      <c r="P1520" s="9">
        <f>ROUND(O1520*L1520,2)</f>
        <v>28627</v>
      </c>
      <c r="Q1520" s="10">
        <f>IF(N1520="HKD",7.8,IF(N1520="CNY",7.30034,1))</f>
        <v>7.3003400000000003</v>
      </c>
      <c r="R1520" s="10">
        <f>+ROUND(O1520/Q1520,4)</f>
        <v>0.7843</v>
      </c>
      <c r="S1520" s="11">
        <f>ROUND(R1520*L1520,2)</f>
        <v>3921.5</v>
      </c>
      <c r="T1520" s="10" t="s">
        <v>349</v>
      </c>
      <c r="U1520" t="s">
        <v>2</v>
      </c>
    </row>
    <row r="1521" spans="1:21">
      <c r="A1521" t="s">
        <v>2078</v>
      </c>
      <c r="B1521" s="20">
        <v>45706</v>
      </c>
      <c r="C1521" s="20">
        <v>45644</v>
      </c>
      <c r="D1521" t="s">
        <v>149</v>
      </c>
      <c r="E1521" t="s">
        <v>150</v>
      </c>
      <c r="G1521" t="s">
        <v>2215</v>
      </c>
      <c r="H1521" s="15" t="s">
        <v>274</v>
      </c>
      <c r="I1521" s="15" t="s">
        <v>275</v>
      </c>
      <c r="J1521" s="8" t="str">
        <f>+LEFT(U1521,4)</f>
        <v>SKU-</v>
      </c>
      <c r="K1521" t="s">
        <v>98</v>
      </c>
      <c r="L1521" s="46">
        <v>4000</v>
      </c>
      <c r="M1521" t="s">
        <v>1472</v>
      </c>
      <c r="N1521" t="s">
        <v>11</v>
      </c>
      <c r="O1521" s="49">
        <v>5.7253999999999996</v>
      </c>
      <c r="P1521" s="9">
        <f>ROUND(O1521*L1521,2)</f>
        <v>22901.599999999999</v>
      </c>
      <c r="Q1521" s="10">
        <f>IF(N1521="HKD",7.8,IF(N1521="CNY",7.30034,1))</f>
        <v>7.3003400000000003</v>
      </c>
      <c r="R1521" s="10">
        <f>+ROUND(O1521/Q1521,4)</f>
        <v>0.7843</v>
      </c>
      <c r="S1521" s="11">
        <f>ROUND(R1521*L1521,2)</f>
        <v>3137.2</v>
      </c>
      <c r="T1521" s="10" t="s">
        <v>349</v>
      </c>
      <c r="U1521" t="s">
        <v>2</v>
      </c>
    </row>
    <row r="1522" spans="1:21">
      <c r="A1522" t="s">
        <v>2110</v>
      </c>
      <c r="B1522" s="20">
        <v>45706</v>
      </c>
      <c r="C1522" s="20">
        <v>45644</v>
      </c>
      <c r="D1522" t="s">
        <v>149</v>
      </c>
      <c r="E1522" t="s">
        <v>150</v>
      </c>
      <c r="G1522" t="s">
        <v>2215</v>
      </c>
      <c r="H1522" s="15" t="s">
        <v>147</v>
      </c>
      <c r="I1522" s="15" t="s">
        <v>148</v>
      </c>
      <c r="J1522" s="8" t="str">
        <f>+LEFT(U1522,4)</f>
        <v>SKU-</v>
      </c>
      <c r="K1522" t="s">
        <v>98</v>
      </c>
      <c r="L1522" s="46">
        <v>280</v>
      </c>
      <c r="M1522" t="s">
        <v>1472</v>
      </c>
      <c r="N1522" t="s">
        <v>11</v>
      </c>
      <c r="O1522" s="49">
        <v>8.6722999999999999</v>
      </c>
      <c r="P1522" s="9">
        <f>ROUND(O1522*L1522,2)</f>
        <v>2428.2399999999998</v>
      </c>
      <c r="Q1522" s="10">
        <f>IF(N1522="HKD",7.8,IF(N1522="CNY",7.30034,1))</f>
        <v>7.3003400000000003</v>
      </c>
      <c r="R1522" s="10">
        <f>+ROUND(O1522/Q1522,4)</f>
        <v>1.1879</v>
      </c>
      <c r="S1522" s="11">
        <f>ROUND(R1522*L1522,2)</f>
        <v>332.61</v>
      </c>
      <c r="T1522" s="10" t="s">
        <v>349</v>
      </c>
      <c r="U1522" t="s">
        <v>2</v>
      </c>
    </row>
    <row r="1523" spans="1:21">
      <c r="A1523" t="s">
        <v>2069</v>
      </c>
      <c r="B1523" s="20">
        <v>45705</v>
      </c>
      <c r="C1523" s="20">
        <v>45646</v>
      </c>
      <c r="D1523" t="s">
        <v>866</v>
      </c>
      <c r="E1523" t="s">
        <v>867</v>
      </c>
      <c r="G1523" t="s">
        <v>2212</v>
      </c>
      <c r="H1523" s="15" t="s">
        <v>34</v>
      </c>
      <c r="I1523" s="15" t="s">
        <v>35</v>
      </c>
      <c r="J1523" s="8" t="s">
        <v>1484</v>
      </c>
      <c r="K1523" t="s">
        <v>10</v>
      </c>
      <c r="L1523" s="46">
        <v>12000</v>
      </c>
      <c r="M1523" t="s">
        <v>1472</v>
      </c>
      <c r="N1523" t="s">
        <v>11</v>
      </c>
      <c r="O1523" s="49">
        <v>5.2389000000000001</v>
      </c>
      <c r="P1523" s="9">
        <f>ROUND(O1523*L1523,2)</f>
        <v>62866.8</v>
      </c>
      <c r="Q1523" s="10">
        <f>IF(N1523="HKD",7.8,IF(N1523="CNY",7.30034,1))</f>
        <v>7.3003400000000003</v>
      </c>
      <c r="R1523" s="10">
        <f>+ROUND(O1523/Q1523,4)</f>
        <v>0.71760000000000002</v>
      </c>
      <c r="S1523" s="11">
        <f>ROUND(R1523*L1523,2)</f>
        <v>8611.2000000000007</v>
      </c>
      <c r="T1523" s="10" t="s">
        <v>349</v>
      </c>
      <c r="U1523" t="s">
        <v>36</v>
      </c>
    </row>
    <row r="1524" spans="1:21">
      <c r="A1524" t="s">
        <v>2070</v>
      </c>
      <c r="B1524" s="20">
        <v>45705</v>
      </c>
      <c r="C1524" s="20">
        <v>45309</v>
      </c>
      <c r="D1524" t="s">
        <v>866</v>
      </c>
      <c r="E1524" t="s">
        <v>867</v>
      </c>
      <c r="G1524" t="s">
        <v>2183</v>
      </c>
      <c r="H1524" s="15" t="s">
        <v>1497</v>
      </c>
      <c r="I1524" s="15" t="s">
        <v>1498</v>
      </c>
      <c r="J1524" s="8" t="s">
        <v>1484</v>
      </c>
      <c r="K1524" t="s">
        <v>10</v>
      </c>
      <c r="L1524" s="46">
        <v>2000</v>
      </c>
      <c r="M1524" t="s">
        <v>1472</v>
      </c>
      <c r="N1524" t="s">
        <v>11</v>
      </c>
      <c r="O1524" s="49">
        <v>5.3574999999999999</v>
      </c>
      <c r="P1524" s="9">
        <f>ROUND(O1524*L1524,2)</f>
        <v>10715</v>
      </c>
      <c r="Q1524" s="10">
        <f>IF(N1524="HKD",7.8,IF(N1524="CNY",7.30034,1))</f>
        <v>7.3003400000000003</v>
      </c>
      <c r="R1524" s="10">
        <f>+ROUND(O1524/Q1524,4)</f>
        <v>0.7339</v>
      </c>
      <c r="S1524" s="11">
        <f>ROUND(R1524*L1524,2)</f>
        <v>1467.8</v>
      </c>
      <c r="T1524" s="10" t="s">
        <v>349</v>
      </c>
      <c r="U1524" t="s">
        <v>36</v>
      </c>
    </row>
    <row r="1525" spans="1:21">
      <c r="A1525" t="s">
        <v>910</v>
      </c>
      <c r="B1525" s="20">
        <v>45705</v>
      </c>
      <c r="C1525" s="20">
        <v>45287</v>
      </c>
      <c r="D1525" t="s">
        <v>866</v>
      </c>
      <c r="E1525" t="s">
        <v>867</v>
      </c>
      <c r="G1525" t="s">
        <v>2213</v>
      </c>
      <c r="H1525" s="15" t="s">
        <v>908</v>
      </c>
      <c r="I1525" s="15" t="s">
        <v>909</v>
      </c>
      <c r="J1525" s="8" t="s">
        <v>1484</v>
      </c>
      <c r="K1525" t="s">
        <v>10</v>
      </c>
      <c r="L1525" s="46">
        <v>2016</v>
      </c>
      <c r="M1525" t="s">
        <v>1472</v>
      </c>
      <c r="N1525" t="s">
        <v>11</v>
      </c>
      <c r="O1525" s="49">
        <v>5.3804999999999996</v>
      </c>
      <c r="P1525" s="9">
        <f>ROUND(O1525*L1525,2)</f>
        <v>10847.09</v>
      </c>
      <c r="Q1525" s="10">
        <f>IF(N1525="HKD",7.8,IF(N1525="CNY",7.30034,1))</f>
        <v>7.3003400000000003</v>
      </c>
      <c r="R1525" s="10">
        <f>+ROUND(O1525/Q1525,4)</f>
        <v>0.73699999999999999</v>
      </c>
      <c r="S1525" s="11">
        <f>ROUND(R1525*L1525,2)</f>
        <v>1485.79</v>
      </c>
      <c r="T1525" s="10" t="s">
        <v>349</v>
      </c>
      <c r="U1525" t="s">
        <v>36</v>
      </c>
    </row>
    <row r="1526" spans="1:21">
      <c r="A1526" t="s">
        <v>868</v>
      </c>
      <c r="B1526" s="20">
        <v>45705</v>
      </c>
      <c r="C1526" s="20">
        <v>45309</v>
      </c>
      <c r="D1526" t="s">
        <v>866</v>
      </c>
      <c r="E1526" t="s">
        <v>867</v>
      </c>
      <c r="G1526" t="s">
        <v>2183</v>
      </c>
      <c r="H1526" s="15" t="s">
        <v>864</v>
      </c>
      <c r="I1526" s="15" t="s">
        <v>865</v>
      </c>
      <c r="J1526" s="8" t="s">
        <v>1484</v>
      </c>
      <c r="K1526" t="s">
        <v>10</v>
      </c>
      <c r="L1526" s="46">
        <v>3520</v>
      </c>
      <c r="M1526" t="s">
        <v>1472</v>
      </c>
      <c r="N1526" t="s">
        <v>11</v>
      </c>
      <c r="O1526" s="49">
        <v>6.0212000000000003</v>
      </c>
      <c r="P1526" s="9">
        <f>ROUND(O1526*L1526,2)</f>
        <v>21194.62</v>
      </c>
      <c r="Q1526" s="10">
        <f>IF(N1526="HKD",7.8,IF(N1526="CNY",7.30034,1))</f>
        <v>7.3003400000000003</v>
      </c>
      <c r="R1526" s="10">
        <f>+ROUND(O1526/Q1526,4)</f>
        <v>0.82479999999999998</v>
      </c>
      <c r="S1526" s="11">
        <f>ROUND(R1526*L1526,2)</f>
        <v>2903.3</v>
      </c>
      <c r="T1526" s="10" t="s">
        <v>349</v>
      </c>
      <c r="U1526" t="s">
        <v>36</v>
      </c>
    </row>
    <row r="1527" spans="1:21">
      <c r="A1527" t="s">
        <v>876</v>
      </c>
      <c r="B1527" s="20">
        <v>45705</v>
      </c>
      <c r="C1527" s="20">
        <v>45287</v>
      </c>
      <c r="D1527" t="s">
        <v>866</v>
      </c>
      <c r="E1527" t="s">
        <v>867</v>
      </c>
      <c r="G1527" t="s">
        <v>2213</v>
      </c>
      <c r="H1527" s="15" t="s">
        <v>874</v>
      </c>
      <c r="I1527" s="15" t="s">
        <v>875</v>
      </c>
      <c r="J1527" s="8" t="s">
        <v>1484</v>
      </c>
      <c r="K1527" t="s">
        <v>10</v>
      </c>
      <c r="L1527" s="46">
        <v>1000</v>
      </c>
      <c r="M1527" t="s">
        <v>1472</v>
      </c>
      <c r="N1527" t="s">
        <v>11</v>
      </c>
      <c r="O1527" s="49">
        <v>6.6637000000000004</v>
      </c>
      <c r="P1527" s="9">
        <f>ROUND(O1527*L1527,2)</f>
        <v>6663.7</v>
      </c>
      <c r="Q1527" s="10">
        <f>IF(N1527="HKD",7.8,IF(N1527="CNY",7.30034,1))</f>
        <v>7.3003400000000003</v>
      </c>
      <c r="R1527" s="10">
        <f>+ROUND(O1527/Q1527,4)</f>
        <v>0.91279999999999994</v>
      </c>
      <c r="S1527" s="11">
        <f>ROUND(R1527*L1527,2)</f>
        <v>912.8</v>
      </c>
      <c r="T1527" s="10" t="s">
        <v>349</v>
      </c>
      <c r="U1527" t="s">
        <v>36</v>
      </c>
    </row>
    <row r="1528" spans="1:21">
      <c r="A1528" t="s">
        <v>882</v>
      </c>
      <c r="B1528" s="20">
        <v>45705</v>
      </c>
      <c r="C1528" s="20">
        <v>45287</v>
      </c>
      <c r="D1528" t="s">
        <v>866</v>
      </c>
      <c r="E1528" t="s">
        <v>867</v>
      </c>
      <c r="G1528" t="s">
        <v>2213</v>
      </c>
      <c r="H1528" s="15" t="s">
        <v>880</v>
      </c>
      <c r="I1528" s="15" t="s">
        <v>881</v>
      </c>
      <c r="J1528" s="8" t="s">
        <v>1484</v>
      </c>
      <c r="K1528" t="s">
        <v>10</v>
      </c>
      <c r="L1528" s="46">
        <v>2000</v>
      </c>
      <c r="M1528" t="s">
        <v>1472</v>
      </c>
      <c r="N1528" t="s">
        <v>11</v>
      </c>
      <c r="O1528" s="49">
        <v>8.1858000000000004</v>
      </c>
      <c r="P1528" s="9">
        <f>ROUND(O1528*L1528,2)</f>
        <v>16371.6</v>
      </c>
      <c r="Q1528" s="10">
        <f>IF(N1528="HKD",7.8,IF(N1528="CNY",7.30034,1))</f>
        <v>7.3003400000000003</v>
      </c>
      <c r="R1528" s="10">
        <f>+ROUND(O1528/Q1528,4)</f>
        <v>1.1213</v>
      </c>
      <c r="S1528" s="11">
        <f>ROUND(R1528*L1528,2)</f>
        <v>2242.6</v>
      </c>
      <c r="T1528" s="10" t="s">
        <v>349</v>
      </c>
      <c r="U1528" t="s">
        <v>36</v>
      </c>
    </row>
    <row r="1529" spans="1:21">
      <c r="A1529" t="s">
        <v>872</v>
      </c>
      <c r="B1529" s="20">
        <v>45705</v>
      </c>
      <c r="C1529" s="20">
        <v>45287</v>
      </c>
      <c r="D1529" t="s">
        <v>866</v>
      </c>
      <c r="E1529" t="s">
        <v>867</v>
      </c>
      <c r="G1529" t="s">
        <v>2213</v>
      </c>
      <c r="H1529" s="15" t="s">
        <v>870</v>
      </c>
      <c r="I1529" s="15" t="s">
        <v>871</v>
      </c>
      <c r="J1529" s="8" t="s">
        <v>1484</v>
      </c>
      <c r="K1529" t="s">
        <v>10</v>
      </c>
      <c r="L1529" s="46">
        <v>1000</v>
      </c>
      <c r="M1529" t="s">
        <v>1472</v>
      </c>
      <c r="N1529" t="s">
        <v>11</v>
      </c>
      <c r="O1529" s="49">
        <v>8.8053000000000008</v>
      </c>
      <c r="P1529" s="9">
        <f>ROUND(O1529*L1529,2)</f>
        <v>8805.2999999999993</v>
      </c>
      <c r="Q1529" s="10">
        <f>IF(N1529="HKD",7.8,IF(N1529="CNY",7.30034,1))</f>
        <v>7.3003400000000003</v>
      </c>
      <c r="R1529" s="10">
        <f>+ROUND(O1529/Q1529,4)</f>
        <v>1.2060999999999999</v>
      </c>
      <c r="S1529" s="11">
        <f>ROUND(R1529*L1529,2)</f>
        <v>1206.0999999999999</v>
      </c>
      <c r="T1529" s="10" t="s">
        <v>349</v>
      </c>
      <c r="U1529" t="s">
        <v>36</v>
      </c>
    </row>
    <row r="1530" spans="1:21">
      <c r="A1530" t="s">
        <v>889</v>
      </c>
      <c r="B1530" s="20">
        <v>45705</v>
      </c>
      <c r="C1530" s="20">
        <v>45526</v>
      </c>
      <c r="D1530" t="s">
        <v>866</v>
      </c>
      <c r="E1530" t="s">
        <v>867</v>
      </c>
      <c r="G1530" t="s">
        <v>2228</v>
      </c>
      <c r="H1530" s="15" t="s">
        <v>887</v>
      </c>
      <c r="I1530" s="15" t="s">
        <v>888</v>
      </c>
      <c r="J1530" s="8" t="s">
        <v>1484</v>
      </c>
      <c r="K1530" t="s">
        <v>10</v>
      </c>
      <c r="L1530" s="46">
        <v>3008</v>
      </c>
      <c r="M1530" t="s">
        <v>1472</v>
      </c>
      <c r="N1530" t="s">
        <v>11</v>
      </c>
      <c r="O1530" s="49">
        <v>9.2124000000000006</v>
      </c>
      <c r="P1530" s="9">
        <f>ROUND(O1530*L1530,2)</f>
        <v>27710.9</v>
      </c>
      <c r="Q1530" s="10">
        <f>IF(N1530="HKD",7.8,IF(N1530="CNY",7.30034,1))</f>
        <v>7.3003400000000003</v>
      </c>
      <c r="R1530" s="10">
        <f>+ROUND(O1530/Q1530,4)</f>
        <v>1.2619</v>
      </c>
      <c r="S1530" s="11">
        <f>ROUND(R1530*L1530,2)</f>
        <v>3795.8</v>
      </c>
      <c r="T1530" s="10" t="s">
        <v>349</v>
      </c>
      <c r="U1530" t="s">
        <v>36</v>
      </c>
    </row>
    <row r="1531" spans="1:21">
      <c r="A1531" t="s">
        <v>879</v>
      </c>
      <c r="B1531" s="20">
        <v>45705</v>
      </c>
      <c r="C1531" s="20">
        <v>45287</v>
      </c>
      <c r="D1531" t="s">
        <v>866</v>
      </c>
      <c r="E1531" t="s">
        <v>867</v>
      </c>
      <c r="G1531" t="s">
        <v>2213</v>
      </c>
      <c r="H1531" s="15" t="s">
        <v>877</v>
      </c>
      <c r="I1531" s="15" t="s">
        <v>878</v>
      </c>
      <c r="J1531" s="8" t="s">
        <v>1484</v>
      </c>
      <c r="K1531" t="s">
        <v>10</v>
      </c>
      <c r="L1531" s="46">
        <v>2004</v>
      </c>
      <c r="M1531" t="s">
        <v>1472</v>
      </c>
      <c r="N1531" t="s">
        <v>11</v>
      </c>
      <c r="O1531" s="49">
        <v>11.672599999999999</v>
      </c>
      <c r="P1531" s="9">
        <f>ROUND(O1531*L1531,2)</f>
        <v>23391.89</v>
      </c>
      <c r="Q1531" s="10">
        <f>IF(N1531="HKD",7.8,IF(N1531="CNY",7.30034,1))</f>
        <v>7.3003400000000003</v>
      </c>
      <c r="R1531" s="10">
        <f>+ROUND(O1531/Q1531,4)</f>
        <v>1.5989</v>
      </c>
      <c r="S1531" s="11">
        <f>ROUND(R1531*L1531,2)</f>
        <v>3204.2</v>
      </c>
      <c r="T1531" s="10" t="s">
        <v>349</v>
      </c>
      <c r="U1531" t="s">
        <v>36</v>
      </c>
    </row>
    <row r="1532" spans="1:21">
      <c r="A1532" t="s">
        <v>2120</v>
      </c>
      <c r="B1532" s="20">
        <v>45705</v>
      </c>
      <c r="C1532" s="20">
        <v>45646</v>
      </c>
      <c r="D1532" t="s">
        <v>866</v>
      </c>
      <c r="E1532" t="s">
        <v>867</v>
      </c>
      <c r="G1532" t="s">
        <v>2212</v>
      </c>
      <c r="H1532" s="15" t="s">
        <v>1546</v>
      </c>
      <c r="I1532" s="15" t="s">
        <v>1818</v>
      </c>
      <c r="J1532" s="8" t="s">
        <v>1484</v>
      </c>
      <c r="K1532" t="s">
        <v>10</v>
      </c>
      <c r="L1532" s="46">
        <v>2004</v>
      </c>
      <c r="M1532" t="s">
        <v>1472</v>
      </c>
      <c r="N1532" t="s">
        <v>11</v>
      </c>
      <c r="O1532" s="49">
        <v>17.805299999999999</v>
      </c>
      <c r="P1532" s="9">
        <f>ROUND(O1532*L1532,2)</f>
        <v>35681.82</v>
      </c>
      <c r="Q1532" s="10">
        <f>IF(N1532="HKD",7.8,IF(N1532="CNY",7.30034,1))</f>
        <v>7.3003400000000003</v>
      </c>
      <c r="R1532" s="10">
        <f>+ROUND(O1532/Q1532,4)</f>
        <v>2.4390000000000001</v>
      </c>
      <c r="S1532" s="11">
        <f>ROUND(R1532*L1532,2)</f>
        <v>4887.76</v>
      </c>
      <c r="T1532" s="10" t="s">
        <v>349</v>
      </c>
      <c r="U1532" t="s">
        <v>36</v>
      </c>
    </row>
    <row r="1533" spans="1:21">
      <c r="A1533" t="s">
        <v>2125</v>
      </c>
      <c r="B1533" s="20">
        <v>45705</v>
      </c>
      <c r="C1533" s="20">
        <v>45672</v>
      </c>
      <c r="D1533" t="s">
        <v>311</v>
      </c>
      <c r="E1533" t="s">
        <v>312</v>
      </c>
      <c r="G1533" t="s">
        <v>2237</v>
      </c>
      <c r="H1533" s="15" t="s">
        <v>323</v>
      </c>
      <c r="I1533" s="15" t="s">
        <v>324</v>
      </c>
      <c r="J1533" s="8" t="str">
        <f>+LEFT(U1533,4)</f>
        <v>INM-</v>
      </c>
      <c r="K1533" t="s">
        <v>10</v>
      </c>
      <c r="L1533" s="46">
        <v>25</v>
      </c>
      <c r="M1533" t="s">
        <v>186</v>
      </c>
      <c r="N1533" t="s">
        <v>11</v>
      </c>
      <c r="O1533" s="49">
        <v>69.026499999999999</v>
      </c>
      <c r="P1533" s="9">
        <f>ROUND(O1533*L1533,2)</f>
        <v>1725.66</v>
      </c>
      <c r="Q1533" s="10">
        <f>IF(N1533="HKD",7.8,IF(N1533="CNY",7.30034,1))</f>
        <v>7.3003400000000003</v>
      </c>
      <c r="R1533" s="10">
        <f>+ROUND(O1533/Q1533,4)</f>
        <v>9.4551999999999996</v>
      </c>
      <c r="S1533" s="11">
        <f>ROUND(R1533*L1533,2)</f>
        <v>236.38</v>
      </c>
      <c r="T1533" s="10" t="s">
        <v>349</v>
      </c>
      <c r="U1533" t="s">
        <v>327</v>
      </c>
    </row>
    <row r="1534" spans="1:21">
      <c r="A1534" t="s">
        <v>2065</v>
      </c>
      <c r="B1534" s="20">
        <v>45705</v>
      </c>
      <c r="C1534" s="20">
        <v>45630</v>
      </c>
      <c r="D1534" t="s">
        <v>143</v>
      </c>
      <c r="E1534" t="s">
        <v>144</v>
      </c>
      <c r="G1534" t="s">
        <v>2147</v>
      </c>
      <c r="H1534" s="15" t="s">
        <v>141</v>
      </c>
      <c r="I1534" s="15" t="s">
        <v>142</v>
      </c>
      <c r="J1534" s="8" t="str">
        <f>+LEFT(U1534,4)</f>
        <v>KNOB</v>
      </c>
      <c r="K1534" t="s">
        <v>10</v>
      </c>
      <c r="L1534" s="46">
        <v>12360</v>
      </c>
      <c r="M1534" t="s">
        <v>1472</v>
      </c>
      <c r="N1534" t="s">
        <v>11</v>
      </c>
      <c r="O1534" s="49">
        <v>5.0999999999999996</v>
      </c>
      <c r="P1534" s="9">
        <f>ROUND(O1534*L1534,2)</f>
        <v>63036</v>
      </c>
      <c r="Q1534" s="10">
        <f>IF(N1534="HKD",7.8,IF(N1534="CNY",7.30034,1))</f>
        <v>7.3003400000000003</v>
      </c>
      <c r="R1534" s="10">
        <f>+ROUND(O1534/Q1534,4)</f>
        <v>0.6986</v>
      </c>
      <c r="S1534" s="11">
        <f>ROUND(R1534*L1534,2)</f>
        <v>8634.7000000000007</v>
      </c>
      <c r="T1534" s="10" t="s">
        <v>349</v>
      </c>
      <c r="U1534" t="s">
        <v>32</v>
      </c>
    </row>
    <row r="1535" spans="1:21">
      <c r="A1535" t="s">
        <v>2017</v>
      </c>
      <c r="B1535" s="20">
        <v>45705</v>
      </c>
      <c r="C1535" s="20">
        <v>45636</v>
      </c>
      <c r="D1535" t="s">
        <v>94</v>
      </c>
      <c r="E1535" t="s">
        <v>95</v>
      </c>
      <c r="G1535" t="s">
        <v>2193</v>
      </c>
      <c r="H1535" s="15" t="s">
        <v>1001</v>
      </c>
      <c r="I1535" s="15" t="s">
        <v>1002</v>
      </c>
      <c r="J1535" s="8" t="str">
        <f>+LEFT(U1535,4)</f>
        <v>LID-</v>
      </c>
      <c r="K1535" t="s">
        <v>369</v>
      </c>
      <c r="L1535" s="46">
        <v>3360</v>
      </c>
      <c r="M1535" t="s">
        <v>1472</v>
      </c>
      <c r="N1535" t="s">
        <v>11</v>
      </c>
      <c r="O1535" s="49">
        <v>3.42</v>
      </c>
      <c r="P1535" s="9">
        <f>ROUND(O1535*L1535,2)</f>
        <v>11491.2</v>
      </c>
      <c r="Q1535" s="10">
        <f>IF(N1535="HKD",7.8,IF(N1535="CNY",7.30034,1))</f>
        <v>7.3003400000000003</v>
      </c>
      <c r="R1535" s="10">
        <f>+ROUND(O1535/Q1535,4)</f>
        <v>0.46850000000000003</v>
      </c>
      <c r="S1535" s="11">
        <f>ROUND(R1535*L1535,2)</f>
        <v>1574.16</v>
      </c>
      <c r="T1535" s="10" t="s">
        <v>349</v>
      </c>
      <c r="U1535" t="s">
        <v>368</v>
      </c>
    </row>
    <row r="1536" spans="1:21">
      <c r="A1536" t="s">
        <v>1867</v>
      </c>
      <c r="B1536" s="20">
        <v>45705</v>
      </c>
      <c r="C1536" s="20">
        <v>45671</v>
      </c>
      <c r="D1536" t="s">
        <v>235</v>
      </c>
      <c r="E1536" t="s">
        <v>236</v>
      </c>
      <c r="G1536" t="s">
        <v>2150</v>
      </c>
      <c r="H1536" s="15" t="s">
        <v>239</v>
      </c>
      <c r="I1536" s="15" t="s">
        <v>240</v>
      </c>
      <c r="J1536" s="8" t="str">
        <f>+LEFT(U1536,4)</f>
        <v>RIV-</v>
      </c>
      <c r="K1536" t="s">
        <v>10</v>
      </c>
      <c r="L1536" s="46">
        <v>10000</v>
      </c>
      <c r="M1536" t="s">
        <v>1472</v>
      </c>
      <c r="N1536" t="s">
        <v>11</v>
      </c>
      <c r="O1536" s="49">
        <v>0.16120000000000001</v>
      </c>
      <c r="P1536" s="9">
        <f>ROUND(O1536*L1536,2)</f>
        <v>1612</v>
      </c>
      <c r="Q1536" s="10">
        <f>IF(N1536="HKD",7.8,IF(N1536="CNY",7.30034,1))</f>
        <v>7.3003400000000003</v>
      </c>
      <c r="R1536" s="10">
        <f>+ROUND(O1536/Q1536,4)</f>
        <v>2.2100000000000002E-2</v>
      </c>
      <c r="S1536" s="11">
        <f>ROUND(R1536*L1536,2)</f>
        <v>221</v>
      </c>
      <c r="T1536" s="10" t="s">
        <v>349</v>
      </c>
      <c r="U1536" t="s">
        <v>132</v>
      </c>
    </row>
    <row r="1537" spans="1:21">
      <c r="A1537" t="s">
        <v>1868</v>
      </c>
      <c r="B1537" s="20">
        <v>45705</v>
      </c>
      <c r="C1537" s="20">
        <v>45674</v>
      </c>
      <c r="D1537" t="s">
        <v>235</v>
      </c>
      <c r="E1537" t="s">
        <v>236</v>
      </c>
      <c r="G1537" t="s">
        <v>2150</v>
      </c>
      <c r="H1537" s="15" t="s">
        <v>239</v>
      </c>
      <c r="I1537" s="15" t="s">
        <v>240</v>
      </c>
      <c r="J1537" s="8" t="str">
        <f>+LEFT(U1537,4)</f>
        <v>RIV-</v>
      </c>
      <c r="K1537" t="s">
        <v>10</v>
      </c>
      <c r="L1537" s="46">
        <v>15000</v>
      </c>
      <c r="M1537" t="s">
        <v>1472</v>
      </c>
      <c r="N1537" t="s">
        <v>11</v>
      </c>
      <c r="O1537" s="49">
        <v>0.16120000000000001</v>
      </c>
      <c r="P1537" s="9">
        <f>ROUND(O1537*L1537,2)</f>
        <v>2418</v>
      </c>
      <c r="Q1537" s="10">
        <f>IF(N1537="HKD",7.8,IF(N1537="CNY",7.30034,1))</f>
        <v>7.3003400000000003</v>
      </c>
      <c r="R1537" s="10">
        <f>+ROUND(O1537/Q1537,4)</f>
        <v>2.2100000000000002E-2</v>
      </c>
      <c r="S1537" s="11">
        <f>ROUND(R1537*L1537,2)</f>
        <v>331.5</v>
      </c>
      <c r="T1537" s="10" t="s">
        <v>349</v>
      </c>
      <c r="U1537" t="s">
        <v>132</v>
      </c>
    </row>
    <row r="1538" spans="1:21">
      <c r="A1538" t="s">
        <v>2084</v>
      </c>
      <c r="B1538" s="20">
        <v>45705</v>
      </c>
      <c r="C1538" s="20">
        <v>45677</v>
      </c>
      <c r="D1538" t="s">
        <v>5</v>
      </c>
      <c r="E1538" t="s">
        <v>6</v>
      </c>
      <c r="G1538" t="s">
        <v>2211</v>
      </c>
      <c r="H1538" s="15" t="s">
        <v>455</v>
      </c>
      <c r="I1538" s="15" t="s">
        <v>456</v>
      </c>
      <c r="J1538" s="8" t="str">
        <f>+LEFT(U1538,4)</f>
        <v>SHTS</v>
      </c>
      <c r="K1538" t="s">
        <v>10</v>
      </c>
      <c r="L1538" s="46">
        <v>500</v>
      </c>
      <c r="M1538" t="s">
        <v>1472</v>
      </c>
      <c r="N1538" t="s">
        <v>11</v>
      </c>
      <c r="O1538" s="49">
        <v>6.47</v>
      </c>
      <c r="P1538" s="9">
        <f>ROUND(O1538*L1538,2)</f>
        <v>3235</v>
      </c>
      <c r="Q1538" s="10">
        <f>IF(N1538="HKD",7.8,IF(N1538="CNY",7.30034,1))</f>
        <v>7.3003400000000003</v>
      </c>
      <c r="R1538" s="10">
        <f>+ROUND(O1538/Q1538,4)</f>
        <v>0.88629999999999998</v>
      </c>
      <c r="S1538" s="11">
        <f>ROUND(R1538*L1538,2)</f>
        <v>443.15</v>
      </c>
      <c r="T1538" s="10" t="s">
        <v>349</v>
      </c>
      <c r="U1538" t="s">
        <v>9</v>
      </c>
    </row>
    <row r="1539" spans="1:21">
      <c r="A1539" t="s">
        <v>1857</v>
      </c>
      <c r="B1539" s="20">
        <v>45705</v>
      </c>
      <c r="C1539" s="20">
        <v>45695</v>
      </c>
      <c r="D1539" t="s">
        <v>143</v>
      </c>
      <c r="E1539" t="s">
        <v>144</v>
      </c>
      <c r="G1539" t="s">
        <v>2147</v>
      </c>
      <c r="H1539" s="15" t="s">
        <v>245</v>
      </c>
      <c r="I1539" s="15" t="s">
        <v>246</v>
      </c>
      <c r="J1539" s="8" t="str">
        <f>+LEFT(U1539,4)</f>
        <v>WHR-</v>
      </c>
      <c r="K1539" t="s">
        <v>10</v>
      </c>
      <c r="L1539" s="46">
        <v>4000</v>
      </c>
      <c r="M1539" t="s">
        <v>1472</v>
      </c>
      <c r="N1539" t="s">
        <v>11</v>
      </c>
      <c r="O1539" s="49">
        <v>0.1096</v>
      </c>
      <c r="P1539" s="9">
        <f>ROUND(O1539*L1539,2)</f>
        <v>438.4</v>
      </c>
      <c r="Q1539" s="10">
        <f>IF(N1539="HKD",7.8,IF(N1539="CNY",7.30034,1))</f>
        <v>7.3003400000000003</v>
      </c>
      <c r="R1539" s="10">
        <f>+ROUND(O1539/Q1539,4)</f>
        <v>1.4999999999999999E-2</v>
      </c>
      <c r="S1539" s="11">
        <f>ROUND(R1539*L1539,2)</f>
        <v>60</v>
      </c>
      <c r="T1539" s="10" t="s">
        <v>349</v>
      </c>
      <c r="U1539" t="s">
        <v>248</v>
      </c>
    </row>
    <row r="1540" spans="1:21">
      <c r="A1540" t="s">
        <v>1858</v>
      </c>
      <c r="B1540" s="20">
        <v>45705</v>
      </c>
      <c r="C1540" s="20">
        <v>45698</v>
      </c>
      <c r="D1540" t="s">
        <v>143</v>
      </c>
      <c r="E1540" t="s">
        <v>144</v>
      </c>
      <c r="G1540" t="s">
        <v>2147</v>
      </c>
      <c r="H1540" s="15" t="s">
        <v>245</v>
      </c>
      <c r="I1540" s="15" t="s">
        <v>246</v>
      </c>
      <c r="J1540" s="8" t="str">
        <f>+LEFT(U1540,4)</f>
        <v>WHR-</v>
      </c>
      <c r="K1540" t="s">
        <v>10</v>
      </c>
      <c r="L1540" s="46">
        <v>10000</v>
      </c>
      <c r="M1540" t="s">
        <v>1472</v>
      </c>
      <c r="N1540" t="s">
        <v>11</v>
      </c>
      <c r="O1540" s="49">
        <v>0.1096</v>
      </c>
      <c r="P1540" s="9">
        <f>ROUND(O1540*L1540,2)</f>
        <v>1096</v>
      </c>
      <c r="Q1540" s="10">
        <f>IF(N1540="HKD",7.8,IF(N1540="CNY",7.30034,1))</f>
        <v>7.3003400000000003</v>
      </c>
      <c r="R1540" s="10">
        <f>+ROUND(O1540/Q1540,4)</f>
        <v>1.4999999999999999E-2</v>
      </c>
      <c r="S1540" s="11">
        <f>ROUND(R1540*L1540,2)</f>
        <v>150</v>
      </c>
      <c r="T1540" s="10" t="s">
        <v>349</v>
      </c>
      <c r="U1540" t="s">
        <v>248</v>
      </c>
    </row>
    <row r="1541" spans="1:21">
      <c r="A1541" t="s">
        <v>2065</v>
      </c>
      <c r="B1541" s="20">
        <v>45702</v>
      </c>
      <c r="C1541" s="20">
        <v>45630</v>
      </c>
      <c r="D1541" t="s">
        <v>143</v>
      </c>
      <c r="E1541" t="s">
        <v>144</v>
      </c>
      <c r="G1541" t="s">
        <v>2208</v>
      </c>
      <c r="H1541" s="15" t="s">
        <v>141</v>
      </c>
      <c r="I1541" s="15" t="s">
        <v>142</v>
      </c>
      <c r="J1541" s="8" t="str">
        <f>+LEFT(U1541,4)</f>
        <v>KNOB</v>
      </c>
      <c r="K1541" t="s">
        <v>10</v>
      </c>
      <c r="L1541" s="46">
        <v>8540</v>
      </c>
      <c r="M1541" t="s">
        <v>1472</v>
      </c>
      <c r="N1541" t="s">
        <v>11</v>
      </c>
      <c r="O1541" s="49">
        <v>5.0999999999999996</v>
      </c>
      <c r="P1541" s="9">
        <f>ROUND(O1541*L1541,2)</f>
        <v>43554</v>
      </c>
      <c r="Q1541" s="10">
        <f>IF(N1541="HKD",7.8,IF(N1541="CNY",7.30034,1))</f>
        <v>7.3003400000000003</v>
      </c>
      <c r="R1541" s="10">
        <f>+ROUND(O1541/Q1541,4)</f>
        <v>0.6986</v>
      </c>
      <c r="S1541" s="11">
        <f>ROUND(R1541*L1541,2)</f>
        <v>5966.04</v>
      </c>
      <c r="T1541" s="10" t="s">
        <v>349</v>
      </c>
      <c r="U1541" t="s">
        <v>32</v>
      </c>
    </row>
    <row r="1542" spans="1:21">
      <c r="A1542" t="s">
        <v>1886</v>
      </c>
      <c r="B1542" s="20">
        <v>45702</v>
      </c>
      <c r="C1542" s="20">
        <v>45674</v>
      </c>
      <c r="D1542" t="s">
        <v>169</v>
      </c>
      <c r="E1542" t="s">
        <v>170</v>
      </c>
      <c r="G1542" t="s">
        <v>2156</v>
      </c>
      <c r="H1542" s="15" t="s">
        <v>1095</v>
      </c>
      <c r="I1542" s="15" t="s">
        <v>1096</v>
      </c>
      <c r="J1542" s="8" t="str">
        <f>+LEFT(U1542,4)</f>
        <v>PAP-</v>
      </c>
      <c r="K1542" t="s">
        <v>10</v>
      </c>
      <c r="L1542" s="46">
        <v>20000</v>
      </c>
      <c r="M1542" t="s">
        <v>1472</v>
      </c>
      <c r="N1542" t="s">
        <v>11</v>
      </c>
      <c r="O1542" s="49">
        <v>0.28999999999999998</v>
      </c>
      <c r="P1542" s="9">
        <f>ROUND(O1542*L1542,2)</f>
        <v>5800</v>
      </c>
      <c r="Q1542" s="10">
        <f>IF(N1542="HKD",7.8,IF(N1542="CNY",7.30034,1))</f>
        <v>7.3003400000000003</v>
      </c>
      <c r="R1542" s="10">
        <f>+ROUND(O1542/Q1542,4)</f>
        <v>3.9699999999999999E-2</v>
      </c>
      <c r="S1542" s="11">
        <f>ROUND(R1542*L1542,2)</f>
        <v>794</v>
      </c>
      <c r="T1542" s="10" t="s">
        <v>349</v>
      </c>
      <c r="U1542" t="s">
        <v>1094</v>
      </c>
    </row>
    <row r="1543" spans="1:21">
      <c r="A1543" t="s">
        <v>1929</v>
      </c>
      <c r="B1543" s="20">
        <v>45702</v>
      </c>
      <c r="C1543" s="20">
        <v>45674</v>
      </c>
      <c r="D1543" t="s">
        <v>169</v>
      </c>
      <c r="E1543" t="s">
        <v>170</v>
      </c>
      <c r="G1543" t="s">
        <v>2171</v>
      </c>
      <c r="H1543" s="15" t="s">
        <v>1657</v>
      </c>
      <c r="I1543" s="15" t="s">
        <v>1658</v>
      </c>
      <c r="J1543" s="8" t="str">
        <f>+LEFT(U1543,4)</f>
        <v>PRIM</v>
      </c>
      <c r="K1543" t="s">
        <v>10</v>
      </c>
      <c r="L1543" s="46">
        <v>1900</v>
      </c>
      <c r="M1543" t="s">
        <v>1472</v>
      </c>
      <c r="N1543" t="s">
        <v>11</v>
      </c>
      <c r="O1543" s="49">
        <v>1.51</v>
      </c>
      <c r="P1543" s="9">
        <f>ROUND(O1543*L1543,2)</f>
        <v>2869</v>
      </c>
      <c r="Q1543" s="10">
        <f>IF(N1543="HKD",7.8,IF(N1543="CNY",7.30034,1))</f>
        <v>7.3003400000000003</v>
      </c>
      <c r="R1543" s="10">
        <f>+ROUND(O1543/Q1543,4)</f>
        <v>0.20680000000000001</v>
      </c>
      <c r="S1543" s="11">
        <f>ROUND(R1543*L1543,2)</f>
        <v>392.92</v>
      </c>
      <c r="T1543" s="10" t="s">
        <v>349</v>
      </c>
      <c r="U1543" t="s">
        <v>181</v>
      </c>
    </row>
    <row r="1544" spans="1:21">
      <c r="A1544" t="s">
        <v>1932</v>
      </c>
      <c r="B1544" s="20">
        <v>45702</v>
      </c>
      <c r="C1544" s="20">
        <v>45674</v>
      </c>
      <c r="D1544" t="s">
        <v>169</v>
      </c>
      <c r="E1544" t="s">
        <v>170</v>
      </c>
      <c r="G1544" t="s">
        <v>2171</v>
      </c>
      <c r="H1544" s="15" t="s">
        <v>178</v>
      </c>
      <c r="I1544" s="15" t="s">
        <v>179</v>
      </c>
      <c r="J1544" s="8" t="str">
        <f>+LEFT(U1544,4)</f>
        <v>PRIM</v>
      </c>
      <c r="K1544" t="s">
        <v>10</v>
      </c>
      <c r="L1544" s="46">
        <v>4000</v>
      </c>
      <c r="M1544" t="s">
        <v>1472</v>
      </c>
      <c r="N1544" t="s">
        <v>11</v>
      </c>
      <c r="O1544" s="49">
        <v>1.53</v>
      </c>
      <c r="P1544" s="9">
        <f>ROUND(O1544*L1544,2)</f>
        <v>6120</v>
      </c>
      <c r="Q1544" s="10">
        <f>IF(N1544="HKD",7.8,IF(N1544="CNY",7.30034,1))</f>
        <v>7.3003400000000003</v>
      </c>
      <c r="R1544" s="10">
        <f>+ROUND(O1544/Q1544,4)</f>
        <v>0.20960000000000001</v>
      </c>
      <c r="S1544" s="11">
        <f>ROUND(R1544*L1544,2)</f>
        <v>838.4</v>
      </c>
      <c r="T1544" s="10" t="s">
        <v>349</v>
      </c>
      <c r="U1544" t="s">
        <v>181</v>
      </c>
    </row>
    <row r="1545" spans="1:21">
      <c r="A1545" t="s">
        <v>1884</v>
      </c>
      <c r="B1545" s="20">
        <v>45702</v>
      </c>
      <c r="C1545" s="20">
        <v>45671</v>
      </c>
      <c r="D1545" t="s">
        <v>169</v>
      </c>
      <c r="E1545" t="s">
        <v>170</v>
      </c>
      <c r="G1545" t="s">
        <v>2155</v>
      </c>
      <c r="H1545" s="15" t="s">
        <v>1619</v>
      </c>
      <c r="I1545" s="15" t="s">
        <v>1620</v>
      </c>
      <c r="J1545" s="8" t="str">
        <f>+LEFT(U1545,4)</f>
        <v>U&amp;C-</v>
      </c>
      <c r="K1545" t="s">
        <v>10</v>
      </c>
      <c r="L1545" s="46">
        <v>1510</v>
      </c>
      <c r="M1545" t="s">
        <v>1472</v>
      </c>
      <c r="N1545" t="s">
        <v>11</v>
      </c>
      <c r="O1545" s="49">
        <v>0.27500000000000002</v>
      </c>
      <c r="P1545" s="9">
        <f>ROUND(O1545*L1545,2)</f>
        <v>415.25</v>
      </c>
      <c r="Q1545" s="10">
        <f>IF(N1545="HKD",7.8,IF(N1545="CNY",7.30034,1))</f>
        <v>7.3003400000000003</v>
      </c>
      <c r="R1545" s="10">
        <f>+ROUND(O1545/Q1545,4)</f>
        <v>3.7699999999999997E-2</v>
      </c>
      <c r="S1545" s="11">
        <f>ROUND(R1545*L1545,2)</f>
        <v>56.93</v>
      </c>
      <c r="T1545" s="10" t="s">
        <v>349</v>
      </c>
      <c r="U1545" t="s">
        <v>177</v>
      </c>
    </row>
    <row r="1546" spans="1:21">
      <c r="A1546" t="s">
        <v>1889</v>
      </c>
      <c r="B1546" s="20">
        <v>45702</v>
      </c>
      <c r="C1546" s="20">
        <v>45677</v>
      </c>
      <c r="D1546" t="s">
        <v>169</v>
      </c>
      <c r="E1546" t="s">
        <v>170</v>
      </c>
      <c r="G1546" t="s">
        <v>2155</v>
      </c>
      <c r="H1546" s="15" t="s">
        <v>1625</v>
      </c>
      <c r="I1546" s="15" t="s">
        <v>1626</v>
      </c>
      <c r="J1546" s="8" t="str">
        <f>+LEFT(U1546,4)</f>
        <v>U&amp;C-</v>
      </c>
      <c r="K1546" t="s">
        <v>10</v>
      </c>
      <c r="L1546" s="46">
        <v>1200</v>
      </c>
      <c r="M1546" t="s">
        <v>1472</v>
      </c>
      <c r="N1546" t="s">
        <v>11</v>
      </c>
      <c r="O1546" s="49">
        <v>0.32300000000000001</v>
      </c>
      <c r="P1546" s="9">
        <f>ROUND(O1546*L1546,2)</f>
        <v>387.6</v>
      </c>
      <c r="Q1546" s="10">
        <f>IF(N1546="HKD",7.8,IF(N1546="CNY",7.30034,1))</f>
        <v>7.3003400000000003</v>
      </c>
      <c r="R1546" s="10">
        <f>+ROUND(O1546/Q1546,4)</f>
        <v>4.4200000000000003E-2</v>
      </c>
      <c r="S1546" s="11">
        <f>ROUND(R1546*L1546,2)</f>
        <v>53.04</v>
      </c>
      <c r="T1546" s="10" t="s">
        <v>349</v>
      </c>
      <c r="U1546" t="s">
        <v>177</v>
      </c>
    </row>
    <row r="1547" spans="1:21">
      <c r="A1547" t="s">
        <v>1922</v>
      </c>
      <c r="B1547" s="20">
        <v>45702</v>
      </c>
      <c r="C1547" s="20">
        <v>45674</v>
      </c>
      <c r="D1547" t="s">
        <v>169</v>
      </c>
      <c r="E1547" t="s">
        <v>170</v>
      </c>
      <c r="G1547" t="s">
        <v>2171</v>
      </c>
      <c r="H1547" s="15" t="s">
        <v>642</v>
      </c>
      <c r="I1547" s="15" t="s">
        <v>643</v>
      </c>
      <c r="J1547" s="8" t="str">
        <f>+LEFT(U1547,4)</f>
        <v>U&amp;C-</v>
      </c>
      <c r="K1547" t="s">
        <v>10</v>
      </c>
      <c r="L1547" s="46">
        <v>2020</v>
      </c>
      <c r="M1547" t="s">
        <v>1472</v>
      </c>
      <c r="N1547" t="s">
        <v>11</v>
      </c>
      <c r="O1547" s="49">
        <v>1.29</v>
      </c>
      <c r="P1547" s="9">
        <f>ROUND(O1547*L1547,2)</f>
        <v>2605.8000000000002</v>
      </c>
      <c r="Q1547" s="10">
        <f>IF(N1547="HKD",7.8,IF(N1547="CNY",7.30034,1))</f>
        <v>7.3003400000000003</v>
      </c>
      <c r="R1547" s="10">
        <f>+ROUND(O1547/Q1547,4)</f>
        <v>0.1767</v>
      </c>
      <c r="S1547" s="11">
        <f>ROUND(R1547*L1547,2)</f>
        <v>356.93</v>
      </c>
      <c r="T1547" s="10" t="s">
        <v>349</v>
      </c>
      <c r="U1547" t="s">
        <v>177</v>
      </c>
    </row>
    <row r="1548" spans="1:21">
      <c r="A1548" t="s">
        <v>1923</v>
      </c>
      <c r="B1548" s="20">
        <v>45702</v>
      </c>
      <c r="C1548" s="20">
        <v>45674</v>
      </c>
      <c r="D1548" t="s">
        <v>169</v>
      </c>
      <c r="E1548" t="s">
        <v>170</v>
      </c>
      <c r="G1548" t="s">
        <v>2171</v>
      </c>
      <c r="H1548" s="15" t="s">
        <v>1124</v>
      </c>
      <c r="I1548" s="15" t="s">
        <v>643</v>
      </c>
      <c r="J1548" s="8" t="str">
        <f>+LEFT(U1548,4)</f>
        <v>U&amp;C-</v>
      </c>
      <c r="K1548" t="s">
        <v>10</v>
      </c>
      <c r="L1548" s="46">
        <v>2020</v>
      </c>
      <c r="M1548" t="s">
        <v>1472</v>
      </c>
      <c r="N1548" t="s">
        <v>11</v>
      </c>
      <c r="O1548" s="49">
        <v>1.29</v>
      </c>
      <c r="P1548" s="9">
        <f>ROUND(O1548*L1548,2)</f>
        <v>2605.8000000000002</v>
      </c>
      <c r="Q1548" s="10">
        <f>IF(N1548="HKD",7.8,IF(N1548="CNY",7.30034,1))</f>
        <v>7.3003400000000003</v>
      </c>
      <c r="R1548" s="10">
        <f>+ROUND(O1548/Q1548,4)</f>
        <v>0.1767</v>
      </c>
      <c r="S1548" s="11">
        <f>ROUND(R1548*L1548,2)</f>
        <v>356.93</v>
      </c>
      <c r="T1548" s="10" t="s">
        <v>349</v>
      </c>
      <c r="U1548" t="s">
        <v>177</v>
      </c>
    </row>
    <row r="1549" spans="1:21">
      <c r="A1549" t="s">
        <v>2131</v>
      </c>
      <c r="B1549" s="20">
        <v>45701</v>
      </c>
      <c r="C1549" s="20">
        <v>45630</v>
      </c>
      <c r="D1549" t="s">
        <v>311</v>
      </c>
      <c r="E1549" t="s">
        <v>312</v>
      </c>
      <c r="G1549" t="s">
        <v>2241</v>
      </c>
      <c r="H1549" s="15" t="s">
        <v>1825</v>
      </c>
      <c r="I1549" s="15" t="s">
        <v>1826</v>
      </c>
      <c r="J1549" s="8" t="str">
        <f>+LEFT(U1549,4)</f>
        <v>EXM-</v>
      </c>
      <c r="K1549" t="s">
        <v>10</v>
      </c>
      <c r="L1549" s="46">
        <v>50</v>
      </c>
      <c r="M1549" t="s">
        <v>186</v>
      </c>
      <c r="N1549" t="s">
        <v>11</v>
      </c>
      <c r="O1549" s="49">
        <v>108.3186</v>
      </c>
      <c r="P1549" s="9">
        <f>ROUND(O1549*L1549,2)</f>
        <v>5415.93</v>
      </c>
      <c r="Q1549" s="10">
        <f>IF(N1549="HKD",7.8,IF(N1549="CNY",7.30034,1))</f>
        <v>7.3003400000000003</v>
      </c>
      <c r="R1549" s="10">
        <f>+ROUND(O1549/Q1549,4)</f>
        <v>14.8375</v>
      </c>
      <c r="S1549" s="11">
        <f>ROUND(R1549*L1549,2)</f>
        <v>741.88</v>
      </c>
      <c r="T1549" s="10" t="s">
        <v>349</v>
      </c>
      <c r="U1549" t="s">
        <v>315</v>
      </c>
    </row>
    <row r="1550" spans="1:21">
      <c r="A1550" t="s">
        <v>2132</v>
      </c>
      <c r="B1550" s="20">
        <v>45701</v>
      </c>
      <c r="C1550" s="20">
        <v>45657</v>
      </c>
      <c r="D1550" t="s">
        <v>311</v>
      </c>
      <c r="E1550" t="s">
        <v>312</v>
      </c>
      <c r="G1550" t="s">
        <v>2242</v>
      </c>
      <c r="H1550" s="15" t="s">
        <v>1825</v>
      </c>
      <c r="I1550" s="15" t="s">
        <v>1826</v>
      </c>
      <c r="J1550" s="8" t="str">
        <f>+LEFT(U1550,4)</f>
        <v>EXM-</v>
      </c>
      <c r="K1550" t="s">
        <v>10</v>
      </c>
      <c r="L1550" s="46">
        <v>25</v>
      </c>
      <c r="M1550" t="s">
        <v>186</v>
      </c>
      <c r="N1550" t="s">
        <v>11</v>
      </c>
      <c r="O1550" s="49">
        <v>108.3186</v>
      </c>
      <c r="P1550" s="9">
        <f>ROUND(O1550*L1550,2)</f>
        <v>2707.97</v>
      </c>
      <c r="Q1550" s="10">
        <f>IF(N1550="HKD",7.8,IF(N1550="CNY",7.30034,1))</f>
        <v>7.3003400000000003</v>
      </c>
      <c r="R1550" s="10">
        <f>+ROUND(O1550/Q1550,4)</f>
        <v>14.8375</v>
      </c>
      <c r="S1550" s="11">
        <f>ROUND(R1550*L1550,2)</f>
        <v>370.94</v>
      </c>
      <c r="T1550" s="10" t="s">
        <v>349</v>
      </c>
      <c r="U1550" t="s">
        <v>315</v>
      </c>
    </row>
    <row r="1551" spans="1:21">
      <c r="A1551" t="s">
        <v>2133</v>
      </c>
      <c r="B1551" s="20">
        <v>45701</v>
      </c>
      <c r="C1551" s="20">
        <v>45672</v>
      </c>
      <c r="D1551" t="s">
        <v>311</v>
      </c>
      <c r="E1551" t="s">
        <v>312</v>
      </c>
      <c r="G1551" t="s">
        <v>2243</v>
      </c>
      <c r="H1551" s="15" t="s">
        <v>1825</v>
      </c>
      <c r="I1551" s="15" t="s">
        <v>1826</v>
      </c>
      <c r="J1551" s="8" t="str">
        <f>+LEFT(U1551,4)</f>
        <v>EXM-</v>
      </c>
      <c r="K1551" t="s">
        <v>10</v>
      </c>
      <c r="L1551" s="46">
        <v>25</v>
      </c>
      <c r="M1551" t="s">
        <v>186</v>
      </c>
      <c r="N1551" t="s">
        <v>11</v>
      </c>
      <c r="O1551" s="49">
        <v>108.3186</v>
      </c>
      <c r="P1551" s="9">
        <f>ROUND(O1551*L1551,2)</f>
        <v>2707.97</v>
      </c>
      <c r="Q1551" s="10">
        <f>IF(N1551="HKD",7.8,IF(N1551="CNY",7.30034,1))</f>
        <v>7.3003400000000003</v>
      </c>
      <c r="R1551" s="10">
        <f>+ROUND(O1551/Q1551,4)</f>
        <v>14.8375</v>
      </c>
      <c r="S1551" s="11">
        <f>ROUND(R1551*L1551,2)</f>
        <v>370.94</v>
      </c>
      <c r="T1551" s="10" t="s">
        <v>349</v>
      </c>
      <c r="U1551" t="s">
        <v>315</v>
      </c>
    </row>
    <row r="1552" spans="1:21">
      <c r="A1552" t="s">
        <v>2134</v>
      </c>
      <c r="B1552" s="20">
        <v>45701</v>
      </c>
      <c r="C1552" s="20">
        <v>45672</v>
      </c>
      <c r="D1552" t="s">
        <v>311</v>
      </c>
      <c r="E1552" t="s">
        <v>312</v>
      </c>
      <c r="G1552" t="s">
        <v>2243</v>
      </c>
      <c r="H1552" s="15" t="s">
        <v>1827</v>
      </c>
      <c r="I1552" s="15" t="s">
        <v>1828</v>
      </c>
      <c r="J1552" s="8" t="str">
        <f>+LEFT(U1552,4)</f>
        <v>EXM-</v>
      </c>
      <c r="K1552" t="s">
        <v>10</v>
      </c>
      <c r="L1552" s="46">
        <v>25</v>
      </c>
      <c r="M1552" t="s">
        <v>186</v>
      </c>
      <c r="N1552" t="s">
        <v>11</v>
      </c>
      <c r="O1552" s="49">
        <v>110.6195</v>
      </c>
      <c r="P1552" s="9">
        <f>ROUND(O1552*L1552,2)</f>
        <v>2765.49</v>
      </c>
      <c r="Q1552" s="10">
        <f>IF(N1552="HKD",7.8,IF(N1552="CNY",7.30034,1))</f>
        <v>7.3003400000000003</v>
      </c>
      <c r="R1552" s="10">
        <f>+ROUND(O1552/Q1552,4)</f>
        <v>15.152699999999999</v>
      </c>
      <c r="S1552" s="11">
        <f>ROUND(R1552*L1552,2)</f>
        <v>378.82</v>
      </c>
      <c r="T1552" s="10" t="s">
        <v>349</v>
      </c>
      <c r="U1552" t="s">
        <v>315</v>
      </c>
    </row>
    <row r="1553" spans="1:21">
      <c r="A1553" t="s">
        <v>2135</v>
      </c>
      <c r="B1553" s="20">
        <v>45701</v>
      </c>
      <c r="C1553" s="20">
        <v>45672</v>
      </c>
      <c r="D1553" t="s">
        <v>311</v>
      </c>
      <c r="E1553" t="s">
        <v>312</v>
      </c>
      <c r="G1553" t="s">
        <v>2243</v>
      </c>
      <c r="H1553" s="15" t="s">
        <v>320</v>
      </c>
      <c r="I1553" s="15" t="s">
        <v>321</v>
      </c>
      <c r="J1553" s="8" t="str">
        <f>+LEFT(U1553,4)</f>
        <v>EXM-</v>
      </c>
      <c r="K1553" t="s">
        <v>10</v>
      </c>
      <c r="L1553" s="46">
        <v>25</v>
      </c>
      <c r="M1553" t="s">
        <v>186</v>
      </c>
      <c r="N1553" t="s">
        <v>11</v>
      </c>
      <c r="O1553" s="49">
        <v>110.6195</v>
      </c>
      <c r="P1553" s="9">
        <f>ROUND(O1553*L1553,2)</f>
        <v>2765.49</v>
      </c>
      <c r="Q1553" s="10">
        <f>IF(N1553="HKD",7.8,IF(N1553="CNY",7.30034,1))</f>
        <v>7.3003400000000003</v>
      </c>
      <c r="R1553" s="10">
        <f>+ROUND(O1553/Q1553,4)</f>
        <v>15.152699999999999</v>
      </c>
      <c r="S1553" s="11">
        <f>ROUND(R1553*L1553,2)</f>
        <v>378.82</v>
      </c>
      <c r="T1553" s="10" t="s">
        <v>349</v>
      </c>
      <c r="U1553" t="s">
        <v>315</v>
      </c>
    </row>
    <row r="1554" spans="1:21">
      <c r="A1554" t="s">
        <v>2113</v>
      </c>
      <c r="B1554" s="20">
        <v>45701</v>
      </c>
      <c r="C1554" s="20">
        <v>45695</v>
      </c>
      <c r="D1554" t="s">
        <v>898</v>
      </c>
      <c r="E1554" t="s">
        <v>899</v>
      </c>
      <c r="G1554" t="s">
        <v>2229</v>
      </c>
      <c r="H1554" s="15" t="s">
        <v>902</v>
      </c>
      <c r="I1554" s="15" t="s">
        <v>903</v>
      </c>
      <c r="J1554" s="8" t="str">
        <f>+LEFT(U1554,4)</f>
        <v>GLID</v>
      </c>
      <c r="K1554" t="s">
        <v>10</v>
      </c>
      <c r="L1554" s="46">
        <v>400</v>
      </c>
      <c r="M1554" t="s">
        <v>1472</v>
      </c>
      <c r="N1554" t="s">
        <v>11</v>
      </c>
      <c r="O1554" s="49">
        <v>10.7965</v>
      </c>
      <c r="P1554" s="9">
        <f>ROUND(O1554*L1554,2)</f>
        <v>4318.6000000000004</v>
      </c>
      <c r="Q1554" s="10">
        <f>IF(N1554="HKD",7.8,IF(N1554="CNY",7.30034,1))</f>
        <v>7.3003400000000003</v>
      </c>
      <c r="R1554" s="10">
        <f>+ROUND(O1554/Q1554,4)</f>
        <v>1.4789000000000001</v>
      </c>
      <c r="S1554" s="11">
        <f>ROUND(R1554*L1554,2)</f>
        <v>591.55999999999995</v>
      </c>
      <c r="T1554" s="10" t="s">
        <v>349</v>
      </c>
      <c r="U1554" t="s">
        <v>78</v>
      </c>
    </row>
    <row r="1555" spans="1:21">
      <c r="A1555" t="s">
        <v>2090</v>
      </c>
      <c r="B1555" s="20">
        <v>45701</v>
      </c>
      <c r="C1555" s="20">
        <v>45630</v>
      </c>
      <c r="D1555" t="s">
        <v>252</v>
      </c>
      <c r="E1555" t="s">
        <v>253</v>
      </c>
      <c r="G1555" t="s">
        <v>2219</v>
      </c>
      <c r="H1555" s="15" t="s">
        <v>1788</v>
      </c>
      <c r="I1555" s="15" t="s">
        <v>1789</v>
      </c>
      <c r="J1555" s="8" t="str">
        <f>+LEFT(U1555,4)</f>
        <v>MISC</v>
      </c>
      <c r="K1555" t="s">
        <v>10</v>
      </c>
      <c r="L1555" s="46">
        <v>11350</v>
      </c>
      <c r="M1555" t="s">
        <v>1472</v>
      </c>
      <c r="N1555" t="s">
        <v>11</v>
      </c>
      <c r="O1555" s="49">
        <v>7.2556000000000003</v>
      </c>
      <c r="P1555" s="9">
        <f>ROUND(O1555*L1555,2)</f>
        <v>82351.06</v>
      </c>
      <c r="Q1555" s="10">
        <f>IF(N1555="HKD",7.8,IF(N1555="CNY",7.30034,1))</f>
        <v>7.3003400000000003</v>
      </c>
      <c r="R1555" s="10">
        <f>+ROUND(O1555/Q1555,4)</f>
        <v>0.99390000000000001</v>
      </c>
      <c r="S1555" s="11">
        <f>ROUND(R1555*L1555,2)</f>
        <v>11280.77</v>
      </c>
      <c r="T1555" s="10" t="s">
        <v>349</v>
      </c>
      <c r="U1555" t="s">
        <v>25</v>
      </c>
    </row>
    <row r="1556" spans="1:21">
      <c r="A1556" t="s">
        <v>1879</v>
      </c>
      <c r="B1556" s="20">
        <v>45701</v>
      </c>
      <c r="C1556" s="20">
        <v>45671</v>
      </c>
      <c r="D1556" t="s">
        <v>169</v>
      </c>
      <c r="E1556" t="s">
        <v>170</v>
      </c>
      <c r="G1556" t="s">
        <v>2152</v>
      </c>
      <c r="H1556" s="15" t="s">
        <v>1613</v>
      </c>
      <c r="I1556" s="15" t="s">
        <v>1614</v>
      </c>
      <c r="J1556" s="8" t="str">
        <f>+LEFT(U1556,4)</f>
        <v>U&amp;C-</v>
      </c>
      <c r="K1556" t="s">
        <v>10</v>
      </c>
      <c r="L1556" s="46">
        <v>4000</v>
      </c>
      <c r="M1556" t="s">
        <v>1472</v>
      </c>
      <c r="N1556" t="s">
        <v>11</v>
      </c>
      <c r="O1556" s="49">
        <v>0.22839999999999999</v>
      </c>
      <c r="P1556" s="9">
        <f>ROUND(O1556*L1556,2)</f>
        <v>913.6</v>
      </c>
      <c r="Q1556" s="10">
        <f>IF(N1556="HKD",7.8,IF(N1556="CNY",7.30034,1))</f>
        <v>7.3003400000000003</v>
      </c>
      <c r="R1556" s="10">
        <f>+ROUND(O1556/Q1556,4)</f>
        <v>3.1300000000000001E-2</v>
      </c>
      <c r="S1556" s="11">
        <f>ROUND(R1556*L1556,2)</f>
        <v>125.2</v>
      </c>
      <c r="T1556" s="10" t="s">
        <v>349</v>
      </c>
      <c r="U1556" t="s">
        <v>177</v>
      </c>
    </row>
    <row r="1557" spans="1:21">
      <c r="A1557" t="s">
        <v>1883</v>
      </c>
      <c r="B1557" s="20">
        <v>45701</v>
      </c>
      <c r="C1557" s="20">
        <v>45671</v>
      </c>
      <c r="D1557" t="s">
        <v>169</v>
      </c>
      <c r="E1557" t="s">
        <v>170</v>
      </c>
      <c r="G1557" t="s">
        <v>2152</v>
      </c>
      <c r="H1557" s="15" t="s">
        <v>1114</v>
      </c>
      <c r="I1557" s="15" t="s">
        <v>1115</v>
      </c>
      <c r="J1557" s="8" t="str">
        <f>+LEFT(U1557,4)</f>
        <v>U&amp;C-</v>
      </c>
      <c r="K1557" t="s">
        <v>10</v>
      </c>
      <c r="L1557" s="46">
        <v>2020</v>
      </c>
      <c r="M1557" t="s">
        <v>1472</v>
      </c>
      <c r="N1557" t="s">
        <v>11</v>
      </c>
      <c r="O1557" s="49">
        <v>0.26700000000000002</v>
      </c>
      <c r="P1557" s="9">
        <f>ROUND(O1557*L1557,2)</f>
        <v>539.34</v>
      </c>
      <c r="Q1557" s="10">
        <f>IF(N1557="HKD",7.8,IF(N1557="CNY",7.30034,1))</f>
        <v>7.3003400000000003</v>
      </c>
      <c r="R1557" s="10">
        <f>+ROUND(O1557/Q1557,4)</f>
        <v>3.6600000000000001E-2</v>
      </c>
      <c r="S1557" s="11">
        <f>ROUND(R1557*L1557,2)</f>
        <v>73.930000000000007</v>
      </c>
      <c r="T1557" s="10" t="s">
        <v>349</v>
      </c>
      <c r="U1557" t="s">
        <v>177</v>
      </c>
    </row>
    <row r="1558" spans="1:21">
      <c r="A1558" t="s">
        <v>1971</v>
      </c>
      <c r="B1558" s="20">
        <v>45699</v>
      </c>
      <c r="C1558" s="20">
        <v>45674</v>
      </c>
      <c r="D1558" t="s">
        <v>569</v>
      </c>
      <c r="E1558" t="s">
        <v>570</v>
      </c>
      <c r="G1558" t="s">
        <v>2148</v>
      </c>
      <c r="H1558" s="15" t="s">
        <v>1425</v>
      </c>
      <c r="I1558" s="15" t="s">
        <v>1426</v>
      </c>
      <c r="J1558" s="8" t="s">
        <v>1505</v>
      </c>
      <c r="K1558" t="s">
        <v>10</v>
      </c>
      <c r="L1558" s="46">
        <v>1050</v>
      </c>
      <c r="M1558" t="s">
        <v>1472</v>
      </c>
      <c r="N1558" t="s">
        <v>11</v>
      </c>
      <c r="O1558" s="49">
        <v>2.75</v>
      </c>
      <c r="P1558" s="9">
        <f>ROUND(O1558*L1558,2)</f>
        <v>2887.5</v>
      </c>
      <c r="Q1558" s="10">
        <f>IF(N1558="HKD",7.8,IF(N1558="CNY",7.30034,1))</f>
        <v>7.3003400000000003</v>
      </c>
      <c r="R1558" s="10">
        <f>+ROUND(O1558/Q1558,4)</f>
        <v>0.37669999999999998</v>
      </c>
      <c r="S1558" s="11">
        <f>ROUND(R1558*L1558,2)</f>
        <v>395.54</v>
      </c>
      <c r="T1558" s="10" t="s">
        <v>349</v>
      </c>
      <c r="U1558" t="s">
        <v>36</v>
      </c>
    </row>
    <row r="1559" spans="1:21">
      <c r="A1559" t="s">
        <v>1991</v>
      </c>
      <c r="B1559" s="20">
        <v>45699</v>
      </c>
      <c r="C1559" s="20">
        <v>45677</v>
      </c>
      <c r="D1559" t="s">
        <v>569</v>
      </c>
      <c r="E1559" t="s">
        <v>570</v>
      </c>
      <c r="G1559" t="s">
        <v>2186</v>
      </c>
      <c r="H1559" s="15" t="s">
        <v>1419</v>
      </c>
      <c r="I1559" s="15" t="s">
        <v>1420</v>
      </c>
      <c r="J1559" s="8" t="s">
        <v>1505</v>
      </c>
      <c r="K1559" t="s">
        <v>10</v>
      </c>
      <c r="L1559" s="46">
        <v>1000</v>
      </c>
      <c r="M1559" t="s">
        <v>1472</v>
      </c>
      <c r="N1559" t="s">
        <v>11</v>
      </c>
      <c r="O1559" s="49">
        <v>3.1</v>
      </c>
      <c r="P1559" s="9">
        <f>ROUND(O1559*L1559,2)</f>
        <v>3100</v>
      </c>
      <c r="Q1559" s="10">
        <f>IF(N1559="HKD",7.8,IF(N1559="CNY",7.30034,1))</f>
        <v>7.3003400000000003</v>
      </c>
      <c r="R1559" s="10">
        <f>+ROUND(O1559/Q1559,4)</f>
        <v>0.42459999999999998</v>
      </c>
      <c r="S1559" s="11">
        <f>ROUND(R1559*L1559,2)</f>
        <v>424.6</v>
      </c>
      <c r="T1559" s="10" t="s">
        <v>349</v>
      </c>
      <c r="U1559" t="s">
        <v>36</v>
      </c>
    </row>
    <row r="1560" spans="1:21">
      <c r="A1560" t="s">
        <v>2058</v>
      </c>
      <c r="B1560" s="20">
        <v>45699</v>
      </c>
      <c r="C1560" s="20">
        <v>45674</v>
      </c>
      <c r="D1560" t="s">
        <v>569</v>
      </c>
      <c r="E1560" t="s">
        <v>570</v>
      </c>
      <c r="G1560" t="s">
        <v>2186</v>
      </c>
      <c r="H1560" s="15" t="s">
        <v>769</v>
      </c>
      <c r="I1560" s="15" t="s">
        <v>770</v>
      </c>
      <c r="J1560" s="8" t="s">
        <v>1505</v>
      </c>
      <c r="K1560" t="s">
        <v>10</v>
      </c>
      <c r="L1560" s="46">
        <v>2100</v>
      </c>
      <c r="M1560" t="s">
        <v>1472</v>
      </c>
      <c r="N1560" t="s">
        <v>11</v>
      </c>
      <c r="O1560" s="49">
        <v>4.9000000000000004</v>
      </c>
      <c r="P1560" s="9">
        <f>ROUND(O1560*L1560,2)</f>
        <v>10290</v>
      </c>
      <c r="Q1560" s="10">
        <f>IF(N1560="HKD",7.8,IF(N1560="CNY",7.30034,1))</f>
        <v>7.3003400000000003</v>
      </c>
      <c r="R1560" s="10">
        <f>+ROUND(O1560/Q1560,4)</f>
        <v>0.67120000000000002</v>
      </c>
      <c r="S1560" s="11">
        <f>ROUND(R1560*L1560,2)</f>
        <v>1409.52</v>
      </c>
      <c r="T1560" s="10" t="s">
        <v>349</v>
      </c>
      <c r="U1560" t="s">
        <v>36</v>
      </c>
    </row>
    <row r="1561" spans="1:21">
      <c r="A1561" t="s">
        <v>2075</v>
      </c>
      <c r="B1561" s="20">
        <v>45699</v>
      </c>
      <c r="C1561" s="20">
        <v>45674</v>
      </c>
      <c r="D1561" t="s">
        <v>569</v>
      </c>
      <c r="E1561" t="s">
        <v>570</v>
      </c>
      <c r="G1561" t="s">
        <v>2186</v>
      </c>
      <c r="H1561" s="15" t="s">
        <v>766</v>
      </c>
      <c r="I1561" s="15" t="s">
        <v>767</v>
      </c>
      <c r="J1561" s="8" t="s">
        <v>1505</v>
      </c>
      <c r="K1561" t="s">
        <v>10</v>
      </c>
      <c r="L1561" s="46">
        <v>1300</v>
      </c>
      <c r="M1561" t="s">
        <v>1472</v>
      </c>
      <c r="N1561" t="s">
        <v>11</v>
      </c>
      <c r="O1561" s="49">
        <v>5.7</v>
      </c>
      <c r="P1561" s="9">
        <f>ROUND(O1561*L1561,2)</f>
        <v>7410</v>
      </c>
      <c r="Q1561" s="10">
        <f>IF(N1561="HKD",7.8,IF(N1561="CNY",7.30034,1))</f>
        <v>7.3003400000000003</v>
      </c>
      <c r="R1561" s="10">
        <f>+ROUND(O1561/Q1561,4)</f>
        <v>0.78080000000000005</v>
      </c>
      <c r="S1561" s="11">
        <f>ROUND(R1561*L1561,2)</f>
        <v>1015.04</v>
      </c>
      <c r="T1561" s="10" t="s">
        <v>349</v>
      </c>
      <c r="U1561" t="s">
        <v>36</v>
      </c>
    </row>
    <row r="1562" spans="1:21">
      <c r="A1562" t="s">
        <v>2122</v>
      </c>
      <c r="B1562" s="20">
        <v>45699</v>
      </c>
      <c r="C1562" s="20">
        <v>45664</v>
      </c>
      <c r="D1562" t="s">
        <v>2263</v>
      </c>
      <c r="E1562" t="s">
        <v>2264</v>
      </c>
      <c r="G1562" t="s">
        <v>2234</v>
      </c>
      <c r="H1562" s="15" t="s">
        <v>1821</v>
      </c>
      <c r="I1562" s="15" t="s">
        <v>1822</v>
      </c>
      <c r="J1562" s="8" t="str">
        <f>+LEFT(U1562,4)</f>
        <v>INM-</v>
      </c>
      <c r="K1562" t="s">
        <v>10</v>
      </c>
      <c r="L1562" s="46">
        <v>113.29300000000001</v>
      </c>
      <c r="M1562" t="s">
        <v>186</v>
      </c>
      <c r="N1562" t="s">
        <v>2246</v>
      </c>
      <c r="O1562" s="49">
        <v>21.21</v>
      </c>
      <c r="P1562" s="9">
        <f>ROUND(O1562*L1562,2)</f>
        <v>2402.94</v>
      </c>
      <c r="Q1562" s="10">
        <f>IF(N1562="HKD",7.8,IF(N1562="CNY",7.30034,1))</f>
        <v>1</v>
      </c>
      <c r="R1562" s="10">
        <f>+ROUND(O1562/Q1562,4)</f>
        <v>21.21</v>
      </c>
      <c r="S1562" s="11">
        <f>ROUND(R1562*L1562,2)</f>
        <v>2402.94</v>
      </c>
      <c r="T1562" s="10" t="s">
        <v>349</v>
      </c>
      <c r="U1562" t="s">
        <v>327</v>
      </c>
    </row>
    <row r="1563" spans="1:21">
      <c r="A1563" t="s">
        <v>2056</v>
      </c>
      <c r="B1563" s="20">
        <v>45699</v>
      </c>
      <c r="C1563" s="20">
        <v>45630</v>
      </c>
      <c r="D1563" t="s">
        <v>569</v>
      </c>
      <c r="E1563" t="s">
        <v>570</v>
      </c>
      <c r="G1563" t="s">
        <v>2148</v>
      </c>
      <c r="H1563" s="15" t="s">
        <v>1764</v>
      </c>
      <c r="I1563" s="15" t="s">
        <v>1765</v>
      </c>
      <c r="J1563" s="8" t="str">
        <f>+LEFT(U1563,4)</f>
        <v>MISC</v>
      </c>
      <c r="K1563" t="s">
        <v>10</v>
      </c>
      <c r="L1563" s="46">
        <v>1000</v>
      </c>
      <c r="M1563" t="s">
        <v>1472</v>
      </c>
      <c r="N1563" t="s">
        <v>11</v>
      </c>
      <c r="O1563" s="49">
        <v>4.6900000000000004</v>
      </c>
      <c r="P1563" s="9">
        <f>ROUND(O1563*L1563,2)</f>
        <v>4690</v>
      </c>
      <c r="Q1563" s="10">
        <f>IF(N1563="HKD",7.8,IF(N1563="CNY",7.30034,1))</f>
        <v>7.3003400000000003</v>
      </c>
      <c r="R1563" s="10">
        <f>+ROUND(O1563/Q1563,4)</f>
        <v>0.64239999999999997</v>
      </c>
      <c r="S1563" s="11">
        <f>ROUND(R1563*L1563,2)</f>
        <v>642.4</v>
      </c>
      <c r="T1563" s="10" t="s">
        <v>349</v>
      </c>
      <c r="U1563" t="s">
        <v>25</v>
      </c>
    </row>
    <row r="1564" spans="1:21">
      <c r="A1564" t="s">
        <v>2079</v>
      </c>
      <c r="B1564" s="20">
        <v>45699</v>
      </c>
      <c r="C1564" s="20">
        <v>45630</v>
      </c>
      <c r="D1564" t="s">
        <v>569</v>
      </c>
      <c r="E1564" t="s">
        <v>570</v>
      </c>
      <c r="G1564" t="s">
        <v>2148</v>
      </c>
      <c r="H1564" s="15" t="s">
        <v>1780</v>
      </c>
      <c r="I1564" s="15" t="s">
        <v>1781</v>
      </c>
      <c r="J1564" s="8" t="str">
        <f>+LEFT(U1564,4)</f>
        <v>MISC</v>
      </c>
      <c r="K1564" t="s">
        <v>10</v>
      </c>
      <c r="L1564" s="46">
        <v>6030</v>
      </c>
      <c r="M1564" t="s">
        <v>1472</v>
      </c>
      <c r="N1564" t="s">
        <v>11</v>
      </c>
      <c r="O1564" s="49">
        <v>5.8394000000000004</v>
      </c>
      <c r="P1564" s="9">
        <f>ROUND(O1564*L1564,2)</f>
        <v>35211.58</v>
      </c>
      <c r="Q1564" s="10">
        <f>IF(N1564="HKD",7.8,IF(N1564="CNY",7.30034,1))</f>
        <v>7.3003400000000003</v>
      </c>
      <c r="R1564" s="10">
        <f>+ROUND(O1564/Q1564,4)</f>
        <v>0.79990000000000006</v>
      </c>
      <c r="S1564" s="11">
        <f>ROUND(R1564*L1564,2)</f>
        <v>4823.3999999999996</v>
      </c>
      <c r="T1564" s="10" t="s">
        <v>349</v>
      </c>
      <c r="U1564" t="s">
        <v>25</v>
      </c>
    </row>
    <row r="1565" spans="1:21">
      <c r="A1565" t="s">
        <v>2080</v>
      </c>
      <c r="B1565" s="20">
        <v>45699</v>
      </c>
      <c r="C1565" s="20">
        <v>45646</v>
      </c>
      <c r="D1565" t="s">
        <v>569</v>
      </c>
      <c r="E1565" t="s">
        <v>570</v>
      </c>
      <c r="G1565" t="s">
        <v>2148</v>
      </c>
      <c r="H1565" s="15" t="s">
        <v>1780</v>
      </c>
      <c r="I1565" s="15" t="s">
        <v>1781</v>
      </c>
      <c r="J1565" s="8" t="str">
        <f>+LEFT(U1565,4)</f>
        <v>MISC</v>
      </c>
      <c r="K1565" t="s">
        <v>10</v>
      </c>
      <c r="L1565" s="46">
        <v>3520</v>
      </c>
      <c r="M1565" t="s">
        <v>1472</v>
      </c>
      <c r="N1565" t="s">
        <v>11</v>
      </c>
      <c r="O1565" s="49">
        <v>5.8996000000000004</v>
      </c>
      <c r="P1565" s="9">
        <f>ROUND(O1565*L1565,2)</f>
        <v>20766.59</v>
      </c>
      <c r="Q1565" s="10">
        <f>IF(N1565="HKD",7.8,IF(N1565="CNY",7.30034,1))</f>
        <v>7.3003400000000003</v>
      </c>
      <c r="R1565" s="10">
        <f>+ROUND(O1565/Q1565,4)</f>
        <v>0.80810000000000004</v>
      </c>
      <c r="S1565" s="11">
        <f>ROUND(R1565*L1565,2)</f>
        <v>2844.51</v>
      </c>
      <c r="T1565" s="10" t="s">
        <v>349</v>
      </c>
      <c r="U1565" t="s">
        <v>25</v>
      </c>
    </row>
    <row r="1566" spans="1:21">
      <c r="A1566" t="s">
        <v>2111</v>
      </c>
      <c r="B1566" s="20">
        <v>45699</v>
      </c>
      <c r="C1566" s="20">
        <v>45630</v>
      </c>
      <c r="D1566" t="s">
        <v>569</v>
      </c>
      <c r="E1566" t="s">
        <v>570</v>
      </c>
      <c r="G1566" t="s">
        <v>2148</v>
      </c>
      <c r="H1566" s="15" t="s">
        <v>1806</v>
      </c>
      <c r="I1566" s="15" t="s">
        <v>1807</v>
      </c>
      <c r="J1566" s="8" t="str">
        <f>+LEFT(U1566,4)</f>
        <v>MISC</v>
      </c>
      <c r="K1566" t="s">
        <v>10</v>
      </c>
      <c r="L1566" s="46">
        <v>2520</v>
      </c>
      <c r="M1566" t="s">
        <v>1472</v>
      </c>
      <c r="N1566" t="s">
        <v>11</v>
      </c>
      <c r="O1566" s="49">
        <v>10.632999999999999</v>
      </c>
      <c r="P1566" s="9">
        <f>ROUND(O1566*L1566,2)</f>
        <v>26795.16</v>
      </c>
      <c r="Q1566" s="10">
        <f>IF(N1566="HKD",7.8,IF(N1566="CNY",7.30034,1))</f>
        <v>7.3003400000000003</v>
      </c>
      <c r="R1566" s="10">
        <f>+ROUND(O1566/Q1566,4)</f>
        <v>1.4564999999999999</v>
      </c>
      <c r="S1566" s="11">
        <f>ROUND(R1566*L1566,2)</f>
        <v>3670.38</v>
      </c>
      <c r="T1566" s="10" t="s">
        <v>349</v>
      </c>
      <c r="U1566" t="s">
        <v>25</v>
      </c>
    </row>
    <row r="1567" spans="1:21">
      <c r="A1567" t="s">
        <v>2112</v>
      </c>
      <c r="B1567" s="20">
        <v>45699</v>
      </c>
      <c r="C1567" s="20">
        <v>45646</v>
      </c>
      <c r="D1567" t="s">
        <v>569</v>
      </c>
      <c r="E1567" t="s">
        <v>570</v>
      </c>
      <c r="G1567" t="s">
        <v>2148</v>
      </c>
      <c r="H1567" s="15" t="s">
        <v>1806</v>
      </c>
      <c r="I1567" s="15" t="s">
        <v>1807</v>
      </c>
      <c r="J1567" s="8" t="str">
        <f>+LEFT(U1567,4)</f>
        <v>MISC</v>
      </c>
      <c r="K1567" t="s">
        <v>10</v>
      </c>
      <c r="L1567" s="46">
        <v>2000</v>
      </c>
      <c r="M1567" t="s">
        <v>1472</v>
      </c>
      <c r="N1567" t="s">
        <v>11</v>
      </c>
      <c r="O1567" s="49">
        <v>10.632999999999999</v>
      </c>
      <c r="P1567" s="9">
        <f>ROUND(O1567*L1567,2)</f>
        <v>21266</v>
      </c>
      <c r="Q1567" s="10">
        <f>IF(N1567="HKD",7.8,IF(N1567="CNY",7.30034,1))</f>
        <v>7.3003400000000003</v>
      </c>
      <c r="R1567" s="10">
        <f>+ROUND(O1567/Q1567,4)</f>
        <v>1.4564999999999999</v>
      </c>
      <c r="S1567" s="11">
        <f>ROUND(R1567*L1567,2)</f>
        <v>2913</v>
      </c>
      <c r="T1567" s="10" t="s">
        <v>349</v>
      </c>
      <c r="U1567" t="s">
        <v>25</v>
      </c>
    </row>
    <row r="1568" spans="1:21">
      <c r="A1568" t="s">
        <v>1936</v>
      </c>
      <c r="B1568" s="20">
        <v>45699</v>
      </c>
      <c r="C1568" s="20">
        <v>45677</v>
      </c>
      <c r="D1568" t="s">
        <v>5</v>
      </c>
      <c r="E1568" t="s">
        <v>6</v>
      </c>
      <c r="G1568" t="s">
        <v>2172</v>
      </c>
      <c r="H1568" s="15" t="s">
        <v>1660</v>
      </c>
      <c r="I1568" s="15" t="s">
        <v>1661</v>
      </c>
      <c r="J1568" s="8" t="str">
        <f>+LEFT(U1568,4)</f>
        <v>SHTS</v>
      </c>
      <c r="K1568" t="s">
        <v>10</v>
      </c>
      <c r="L1568" s="46">
        <v>2020</v>
      </c>
      <c r="M1568" t="s">
        <v>1472</v>
      </c>
      <c r="N1568" t="s">
        <v>11</v>
      </c>
      <c r="O1568" s="49">
        <v>1.63</v>
      </c>
      <c r="P1568" s="9">
        <f>ROUND(O1568*L1568,2)</f>
        <v>3292.6</v>
      </c>
      <c r="Q1568" s="10">
        <f>IF(N1568="HKD",7.8,IF(N1568="CNY",7.30034,1))</f>
        <v>7.3003400000000003</v>
      </c>
      <c r="R1568" s="10">
        <f>+ROUND(O1568/Q1568,4)</f>
        <v>0.2233</v>
      </c>
      <c r="S1568" s="11">
        <f>ROUND(R1568*L1568,2)</f>
        <v>451.07</v>
      </c>
      <c r="T1568" s="10" t="s">
        <v>349</v>
      </c>
      <c r="U1568" t="s">
        <v>9</v>
      </c>
    </row>
    <row r="1569" spans="1:21">
      <c r="A1569" t="s">
        <v>1937</v>
      </c>
      <c r="B1569" s="20">
        <v>45699</v>
      </c>
      <c r="C1569" s="20">
        <v>45677</v>
      </c>
      <c r="D1569" t="s">
        <v>5</v>
      </c>
      <c r="E1569" t="s">
        <v>6</v>
      </c>
      <c r="G1569" t="s">
        <v>2172</v>
      </c>
      <c r="H1569" s="15" t="s">
        <v>493</v>
      </c>
      <c r="I1569" s="15" t="s">
        <v>494</v>
      </c>
      <c r="J1569" s="8" t="str">
        <f>+LEFT(U1569,4)</f>
        <v>SHTS</v>
      </c>
      <c r="K1569" t="s">
        <v>10</v>
      </c>
      <c r="L1569" s="46">
        <v>1010</v>
      </c>
      <c r="M1569" t="s">
        <v>1472</v>
      </c>
      <c r="N1569" t="s">
        <v>11</v>
      </c>
      <c r="O1569" s="49">
        <v>1.64</v>
      </c>
      <c r="P1569" s="9">
        <f>ROUND(O1569*L1569,2)</f>
        <v>1656.4</v>
      </c>
      <c r="Q1569" s="10">
        <f>IF(N1569="HKD",7.8,IF(N1569="CNY",7.30034,1))</f>
        <v>7.3003400000000003</v>
      </c>
      <c r="R1569" s="10">
        <f>+ROUND(O1569/Q1569,4)</f>
        <v>0.22459999999999999</v>
      </c>
      <c r="S1569" s="11">
        <f>ROUND(R1569*L1569,2)</f>
        <v>226.85</v>
      </c>
      <c r="T1569" s="10" t="s">
        <v>349</v>
      </c>
      <c r="U1569" t="s">
        <v>9</v>
      </c>
    </row>
    <row r="1570" spans="1:21">
      <c r="A1570" t="s">
        <v>1941</v>
      </c>
      <c r="B1570" s="20">
        <v>45699</v>
      </c>
      <c r="C1570" s="20">
        <v>45653</v>
      </c>
      <c r="D1570" t="s">
        <v>5</v>
      </c>
      <c r="E1570" t="s">
        <v>6</v>
      </c>
      <c r="G1570" t="s">
        <v>2172</v>
      </c>
      <c r="H1570" s="15" t="s">
        <v>489</v>
      </c>
      <c r="I1570" s="15" t="s">
        <v>490</v>
      </c>
      <c r="J1570" s="8" t="str">
        <f>+LEFT(U1570,4)</f>
        <v>SHTS</v>
      </c>
      <c r="K1570" t="s">
        <v>10</v>
      </c>
      <c r="L1570" s="46">
        <v>1010</v>
      </c>
      <c r="M1570" t="s">
        <v>1472</v>
      </c>
      <c r="N1570" t="s">
        <v>11</v>
      </c>
      <c r="O1570" s="49">
        <v>1.66</v>
      </c>
      <c r="P1570" s="9">
        <f>ROUND(O1570*L1570,2)</f>
        <v>1676.6</v>
      </c>
      <c r="Q1570" s="10">
        <f>IF(N1570="HKD",7.8,IF(N1570="CNY",7.30034,1))</f>
        <v>7.3003400000000003</v>
      </c>
      <c r="R1570" s="10">
        <f>+ROUND(O1570/Q1570,4)</f>
        <v>0.22739999999999999</v>
      </c>
      <c r="S1570" s="11">
        <f>ROUND(R1570*L1570,2)</f>
        <v>229.67</v>
      </c>
      <c r="T1570" s="10" t="s">
        <v>349</v>
      </c>
      <c r="U1570" t="s">
        <v>9</v>
      </c>
    </row>
    <row r="1571" spans="1:21">
      <c r="A1571" t="s">
        <v>1942</v>
      </c>
      <c r="B1571" s="20">
        <v>45699</v>
      </c>
      <c r="C1571" s="20">
        <v>45653</v>
      </c>
      <c r="D1571" t="s">
        <v>5</v>
      </c>
      <c r="E1571" t="s">
        <v>6</v>
      </c>
      <c r="G1571" t="s">
        <v>2172</v>
      </c>
      <c r="H1571" s="15" t="s">
        <v>489</v>
      </c>
      <c r="I1571" s="15" t="s">
        <v>490</v>
      </c>
      <c r="J1571" s="8" t="str">
        <f>+LEFT(U1571,4)</f>
        <v>SHTS</v>
      </c>
      <c r="K1571" t="s">
        <v>10</v>
      </c>
      <c r="L1571" s="46">
        <v>2020</v>
      </c>
      <c r="M1571" t="s">
        <v>1472</v>
      </c>
      <c r="N1571" t="s">
        <v>11</v>
      </c>
      <c r="O1571" s="49">
        <v>1.66</v>
      </c>
      <c r="P1571" s="9">
        <f>ROUND(O1571*L1571,2)</f>
        <v>3353.2</v>
      </c>
      <c r="Q1571" s="10">
        <f>IF(N1571="HKD",7.8,IF(N1571="CNY",7.30034,1))</f>
        <v>7.3003400000000003</v>
      </c>
      <c r="R1571" s="10">
        <f>+ROUND(O1571/Q1571,4)</f>
        <v>0.22739999999999999</v>
      </c>
      <c r="S1571" s="11">
        <f>ROUND(R1571*L1571,2)</f>
        <v>459.35</v>
      </c>
      <c r="T1571" s="10" t="s">
        <v>349</v>
      </c>
      <c r="U1571" t="s">
        <v>9</v>
      </c>
    </row>
    <row r="1572" spans="1:21">
      <c r="A1572" t="s">
        <v>1944</v>
      </c>
      <c r="B1572" s="20">
        <v>45699</v>
      </c>
      <c r="C1572" s="20">
        <v>45677</v>
      </c>
      <c r="D1572" t="s">
        <v>5</v>
      </c>
      <c r="E1572" t="s">
        <v>6</v>
      </c>
      <c r="G1572" t="s">
        <v>2172</v>
      </c>
      <c r="H1572" s="15" t="s">
        <v>1664</v>
      </c>
      <c r="I1572" s="15" t="s">
        <v>1665</v>
      </c>
      <c r="J1572" s="8" t="str">
        <f>+LEFT(U1572,4)</f>
        <v>SHTS</v>
      </c>
      <c r="K1572" t="s">
        <v>10</v>
      </c>
      <c r="L1572" s="46">
        <v>3020</v>
      </c>
      <c r="M1572" t="s">
        <v>1472</v>
      </c>
      <c r="N1572" t="s">
        <v>11</v>
      </c>
      <c r="O1572" s="49">
        <v>1.82</v>
      </c>
      <c r="P1572" s="9">
        <f>ROUND(O1572*L1572,2)</f>
        <v>5496.4</v>
      </c>
      <c r="Q1572" s="10">
        <f>IF(N1572="HKD",7.8,IF(N1572="CNY",7.30034,1))</f>
        <v>7.3003400000000003</v>
      </c>
      <c r="R1572" s="10">
        <f>+ROUND(O1572/Q1572,4)</f>
        <v>0.24929999999999999</v>
      </c>
      <c r="S1572" s="11">
        <f>ROUND(R1572*L1572,2)</f>
        <v>752.89</v>
      </c>
      <c r="T1572" s="10" t="s">
        <v>349</v>
      </c>
      <c r="U1572" t="s">
        <v>9</v>
      </c>
    </row>
    <row r="1573" spans="1:21">
      <c r="A1573" t="s">
        <v>1953</v>
      </c>
      <c r="B1573" s="20">
        <v>45699</v>
      </c>
      <c r="C1573" s="20">
        <v>45677</v>
      </c>
      <c r="D1573" t="s">
        <v>5</v>
      </c>
      <c r="E1573" t="s">
        <v>6</v>
      </c>
      <c r="G1573" t="s">
        <v>2172</v>
      </c>
      <c r="H1573" s="15" t="s">
        <v>1670</v>
      </c>
      <c r="I1573" s="15" t="s">
        <v>1671</v>
      </c>
      <c r="J1573" s="8" t="str">
        <f>+LEFT(U1573,4)</f>
        <v>SHTS</v>
      </c>
      <c r="K1573" t="s">
        <v>10</v>
      </c>
      <c r="L1573" s="46">
        <v>1010</v>
      </c>
      <c r="M1573" t="s">
        <v>1472</v>
      </c>
      <c r="N1573" t="s">
        <v>11</v>
      </c>
      <c r="O1573" s="49">
        <v>2.02</v>
      </c>
      <c r="P1573" s="9">
        <f>ROUND(O1573*L1573,2)</f>
        <v>2040.2</v>
      </c>
      <c r="Q1573" s="10">
        <f>IF(N1573="HKD",7.8,IF(N1573="CNY",7.30034,1))</f>
        <v>7.3003400000000003</v>
      </c>
      <c r="R1573" s="10">
        <f>+ROUND(O1573/Q1573,4)</f>
        <v>0.2767</v>
      </c>
      <c r="S1573" s="11">
        <f>ROUND(R1573*L1573,2)</f>
        <v>279.47000000000003</v>
      </c>
      <c r="T1573" s="10" t="s">
        <v>349</v>
      </c>
      <c r="U1573" t="s">
        <v>9</v>
      </c>
    </row>
    <row r="1574" spans="1:21">
      <c r="A1574" t="s">
        <v>1955</v>
      </c>
      <c r="B1574" s="20">
        <v>45699</v>
      </c>
      <c r="C1574" s="20">
        <v>45677</v>
      </c>
      <c r="D1574" t="s">
        <v>5</v>
      </c>
      <c r="E1574" t="s">
        <v>6</v>
      </c>
      <c r="G1574" t="s">
        <v>2172</v>
      </c>
      <c r="H1574" s="15" t="s">
        <v>1672</v>
      </c>
      <c r="I1574" s="15" t="s">
        <v>1673</v>
      </c>
      <c r="J1574" s="8" t="str">
        <f>+LEFT(U1574,4)</f>
        <v>SHTS</v>
      </c>
      <c r="K1574" t="s">
        <v>10</v>
      </c>
      <c r="L1574" s="46">
        <v>2020</v>
      </c>
      <c r="M1574" t="s">
        <v>1472</v>
      </c>
      <c r="N1574" t="s">
        <v>11</v>
      </c>
      <c r="O1574" s="49">
        <v>2.12</v>
      </c>
      <c r="P1574" s="9">
        <f>ROUND(O1574*L1574,2)</f>
        <v>4282.3999999999996</v>
      </c>
      <c r="Q1574" s="10">
        <f>IF(N1574="HKD",7.8,IF(N1574="CNY",7.30034,1))</f>
        <v>7.3003400000000003</v>
      </c>
      <c r="R1574" s="10">
        <f>+ROUND(O1574/Q1574,4)</f>
        <v>0.29039999999999999</v>
      </c>
      <c r="S1574" s="11">
        <f>ROUND(R1574*L1574,2)</f>
        <v>586.61</v>
      </c>
      <c r="T1574" s="10" t="s">
        <v>349</v>
      </c>
      <c r="U1574" t="s">
        <v>9</v>
      </c>
    </row>
    <row r="1575" spans="1:21">
      <c r="A1575" t="s">
        <v>1958</v>
      </c>
      <c r="B1575" s="20">
        <v>45699</v>
      </c>
      <c r="C1575" s="20">
        <v>45677</v>
      </c>
      <c r="D1575" t="s">
        <v>5</v>
      </c>
      <c r="E1575" t="s">
        <v>6</v>
      </c>
      <c r="G1575" t="s">
        <v>2172</v>
      </c>
      <c r="H1575" s="15" t="s">
        <v>1676</v>
      </c>
      <c r="I1575" s="15" t="s">
        <v>1677</v>
      </c>
      <c r="J1575" s="8" t="str">
        <f>+LEFT(U1575,4)</f>
        <v>SHTS</v>
      </c>
      <c r="K1575" t="s">
        <v>10</v>
      </c>
      <c r="L1575" s="46">
        <v>1010</v>
      </c>
      <c r="M1575" t="s">
        <v>1472</v>
      </c>
      <c r="N1575" t="s">
        <v>11</v>
      </c>
      <c r="O1575" s="49">
        <v>2.27</v>
      </c>
      <c r="P1575" s="9">
        <f>ROUND(O1575*L1575,2)</f>
        <v>2292.6999999999998</v>
      </c>
      <c r="Q1575" s="10">
        <f>IF(N1575="HKD",7.8,IF(N1575="CNY",7.30034,1))</f>
        <v>7.3003400000000003</v>
      </c>
      <c r="R1575" s="10">
        <f>+ROUND(O1575/Q1575,4)</f>
        <v>0.31090000000000001</v>
      </c>
      <c r="S1575" s="11">
        <f>ROUND(R1575*L1575,2)</f>
        <v>314.01</v>
      </c>
      <c r="T1575" s="10" t="s">
        <v>349</v>
      </c>
      <c r="U1575" t="s">
        <v>9</v>
      </c>
    </row>
    <row r="1576" spans="1:21">
      <c r="A1576" t="s">
        <v>1962</v>
      </c>
      <c r="B1576" s="20">
        <v>45699</v>
      </c>
      <c r="C1576" s="20">
        <v>45677</v>
      </c>
      <c r="D1576" t="s">
        <v>5</v>
      </c>
      <c r="E1576" t="s">
        <v>6</v>
      </c>
      <c r="G1576" t="s">
        <v>2172</v>
      </c>
      <c r="H1576" s="15" t="s">
        <v>1680</v>
      </c>
      <c r="I1576" s="15" t="s">
        <v>1681</v>
      </c>
      <c r="J1576" s="8" t="str">
        <f>+LEFT(U1576,4)</f>
        <v>SHTS</v>
      </c>
      <c r="K1576" t="s">
        <v>10</v>
      </c>
      <c r="L1576" s="46">
        <v>1260</v>
      </c>
      <c r="M1576" t="s">
        <v>1472</v>
      </c>
      <c r="N1576" t="s">
        <v>11</v>
      </c>
      <c r="O1576" s="49">
        <v>2.59</v>
      </c>
      <c r="P1576" s="9">
        <f>ROUND(O1576*L1576,2)</f>
        <v>3263.4</v>
      </c>
      <c r="Q1576" s="10">
        <f>IF(N1576="HKD",7.8,IF(N1576="CNY",7.30034,1))</f>
        <v>7.3003400000000003</v>
      </c>
      <c r="R1576" s="10">
        <f>+ROUND(O1576/Q1576,4)</f>
        <v>0.3548</v>
      </c>
      <c r="S1576" s="11">
        <f>ROUND(R1576*L1576,2)</f>
        <v>447.05</v>
      </c>
      <c r="T1576" s="10" t="s">
        <v>349</v>
      </c>
      <c r="U1576" t="s">
        <v>9</v>
      </c>
    </row>
    <row r="1577" spans="1:21">
      <c r="A1577" t="s">
        <v>1988</v>
      </c>
      <c r="B1577" s="20">
        <v>45699</v>
      </c>
      <c r="C1577" s="20">
        <v>45677</v>
      </c>
      <c r="D1577" t="s">
        <v>5</v>
      </c>
      <c r="E1577" t="s">
        <v>6</v>
      </c>
      <c r="G1577" t="s">
        <v>2172</v>
      </c>
      <c r="H1577" s="15" t="s">
        <v>1711</v>
      </c>
      <c r="I1577" s="15" t="s">
        <v>1712</v>
      </c>
      <c r="J1577" s="8" t="str">
        <f>+LEFT(U1577,4)</f>
        <v>SHTS</v>
      </c>
      <c r="K1577" t="s">
        <v>10</v>
      </c>
      <c r="L1577" s="46">
        <v>1010</v>
      </c>
      <c r="M1577" t="s">
        <v>1472</v>
      </c>
      <c r="N1577" t="s">
        <v>11</v>
      </c>
      <c r="O1577" s="49">
        <v>3.09</v>
      </c>
      <c r="P1577" s="9">
        <f>ROUND(O1577*L1577,2)</f>
        <v>3120.9</v>
      </c>
      <c r="Q1577" s="10">
        <f>IF(N1577="HKD",7.8,IF(N1577="CNY",7.30034,1))</f>
        <v>7.3003400000000003</v>
      </c>
      <c r="R1577" s="10">
        <f>+ROUND(O1577/Q1577,4)</f>
        <v>0.42330000000000001</v>
      </c>
      <c r="S1577" s="11">
        <f>ROUND(R1577*L1577,2)</f>
        <v>427.53</v>
      </c>
      <c r="T1577" s="10" t="s">
        <v>349</v>
      </c>
      <c r="U1577" t="s">
        <v>9</v>
      </c>
    </row>
    <row r="1578" spans="1:21">
      <c r="A1578" t="s">
        <v>2052</v>
      </c>
      <c r="B1578" s="20">
        <v>45699</v>
      </c>
      <c r="C1578" s="20">
        <v>45677</v>
      </c>
      <c r="D1578" t="s">
        <v>5</v>
      </c>
      <c r="E1578" t="s">
        <v>6</v>
      </c>
      <c r="G1578" t="s">
        <v>2172</v>
      </c>
      <c r="H1578" s="15" t="s">
        <v>1081</v>
      </c>
      <c r="I1578" s="15" t="s">
        <v>1082</v>
      </c>
      <c r="J1578" s="8" t="str">
        <f>+LEFT(U1578,4)</f>
        <v>SHTS</v>
      </c>
      <c r="K1578" t="s">
        <v>10</v>
      </c>
      <c r="L1578" s="46">
        <v>1010</v>
      </c>
      <c r="M1578" t="s">
        <v>1472</v>
      </c>
      <c r="N1578" t="s">
        <v>11</v>
      </c>
      <c r="O1578" s="49">
        <v>4.5199999999999996</v>
      </c>
      <c r="P1578" s="9">
        <f>ROUND(O1578*L1578,2)</f>
        <v>4565.2</v>
      </c>
      <c r="Q1578" s="10">
        <f>IF(N1578="HKD",7.8,IF(N1578="CNY",7.30034,1))</f>
        <v>7.3003400000000003</v>
      </c>
      <c r="R1578" s="10">
        <f>+ROUND(O1578/Q1578,4)</f>
        <v>0.61909999999999998</v>
      </c>
      <c r="S1578" s="11">
        <f>ROUND(R1578*L1578,2)</f>
        <v>625.29</v>
      </c>
      <c r="T1578" s="10" t="s">
        <v>349</v>
      </c>
      <c r="U1578" t="s">
        <v>9</v>
      </c>
    </row>
    <row r="1579" spans="1:21">
      <c r="A1579" t="s">
        <v>2061</v>
      </c>
      <c r="B1579" s="20">
        <v>45699</v>
      </c>
      <c r="C1579" s="20">
        <v>45677</v>
      </c>
      <c r="D1579" t="s">
        <v>5</v>
      </c>
      <c r="E1579" t="s">
        <v>6</v>
      </c>
      <c r="G1579" t="s">
        <v>2172</v>
      </c>
      <c r="H1579" s="15" t="s">
        <v>1766</v>
      </c>
      <c r="I1579" s="15" t="s">
        <v>1767</v>
      </c>
      <c r="J1579" s="8" t="str">
        <f>+LEFT(U1579,4)</f>
        <v>SHTS</v>
      </c>
      <c r="K1579" t="s">
        <v>10</v>
      </c>
      <c r="L1579" s="46">
        <v>1010</v>
      </c>
      <c r="M1579" t="s">
        <v>1472</v>
      </c>
      <c r="N1579" t="s">
        <v>11</v>
      </c>
      <c r="O1579" s="49">
        <v>5.0199999999999996</v>
      </c>
      <c r="P1579" s="9">
        <f>ROUND(O1579*L1579,2)</f>
        <v>5070.2</v>
      </c>
      <c r="Q1579" s="10">
        <f>IF(N1579="HKD",7.8,IF(N1579="CNY",7.30034,1))</f>
        <v>7.3003400000000003</v>
      </c>
      <c r="R1579" s="10">
        <f>+ROUND(O1579/Q1579,4)</f>
        <v>0.68759999999999999</v>
      </c>
      <c r="S1579" s="11">
        <f>ROUND(R1579*L1579,2)</f>
        <v>694.48</v>
      </c>
      <c r="T1579" s="10" t="s">
        <v>349</v>
      </c>
      <c r="U1579" t="s">
        <v>9</v>
      </c>
    </row>
    <row r="1580" spans="1:21">
      <c r="A1580" t="s">
        <v>1862</v>
      </c>
      <c r="B1580" s="20">
        <v>45699</v>
      </c>
      <c r="C1580" s="20">
        <v>45674</v>
      </c>
      <c r="D1580" t="s">
        <v>569</v>
      </c>
      <c r="E1580" t="s">
        <v>570</v>
      </c>
      <c r="G1580" t="s">
        <v>2148</v>
      </c>
      <c r="H1580" s="15" t="s">
        <v>1412</v>
      </c>
      <c r="I1580" s="15" t="s">
        <v>1413</v>
      </c>
      <c r="J1580" s="8" t="str">
        <f>+LEFT(U1580,4)</f>
        <v>WHR-</v>
      </c>
      <c r="K1580" t="s">
        <v>10</v>
      </c>
      <c r="L1580" s="46">
        <v>500</v>
      </c>
      <c r="M1580" t="s">
        <v>1472</v>
      </c>
      <c r="N1580" t="s">
        <v>11</v>
      </c>
      <c r="O1580" s="49">
        <v>0.12</v>
      </c>
      <c r="P1580" s="9">
        <f>ROUND(O1580*L1580,2)</f>
        <v>60</v>
      </c>
      <c r="Q1580" s="10">
        <f>IF(N1580="HKD",7.8,IF(N1580="CNY",7.30034,1))</f>
        <v>7.3003400000000003</v>
      </c>
      <c r="R1580" s="10">
        <f>+ROUND(O1580/Q1580,4)</f>
        <v>1.6400000000000001E-2</v>
      </c>
      <c r="S1580" s="11">
        <f>ROUND(R1580*L1580,2)</f>
        <v>8.1999999999999993</v>
      </c>
      <c r="T1580" s="10" t="s">
        <v>349</v>
      </c>
      <c r="U1580" t="s">
        <v>248</v>
      </c>
    </row>
    <row r="1581" spans="1:21">
      <c r="A1581" t="s">
        <v>1891</v>
      </c>
      <c r="B1581" s="20">
        <v>45699</v>
      </c>
      <c r="C1581" s="20">
        <v>45674</v>
      </c>
      <c r="D1581" t="s">
        <v>569</v>
      </c>
      <c r="E1581" t="s">
        <v>570</v>
      </c>
      <c r="G1581" t="s">
        <v>2148</v>
      </c>
      <c r="H1581" s="15" t="s">
        <v>772</v>
      </c>
      <c r="I1581" s="15" t="s">
        <v>773</v>
      </c>
      <c r="J1581" s="8" t="str">
        <f>+LEFT(U1581,4)</f>
        <v>WHR-</v>
      </c>
      <c r="K1581" t="s">
        <v>10</v>
      </c>
      <c r="L1581" s="46">
        <v>1300</v>
      </c>
      <c r="M1581" t="s">
        <v>1472</v>
      </c>
      <c r="N1581" t="s">
        <v>11</v>
      </c>
      <c r="O1581" s="49">
        <v>0.45</v>
      </c>
      <c r="P1581" s="9">
        <f>ROUND(O1581*L1581,2)</f>
        <v>585</v>
      </c>
      <c r="Q1581" s="10">
        <f>IF(N1581="HKD",7.8,IF(N1581="CNY",7.30034,1))</f>
        <v>7.3003400000000003</v>
      </c>
      <c r="R1581" s="10">
        <f>+ROUND(O1581/Q1581,4)</f>
        <v>6.1600000000000002E-2</v>
      </c>
      <c r="S1581" s="11">
        <f>ROUND(R1581*L1581,2)</f>
        <v>80.08</v>
      </c>
      <c r="T1581" s="10" t="s">
        <v>349</v>
      </c>
      <c r="U1581" t="s">
        <v>248</v>
      </c>
    </row>
    <row r="1582" spans="1:21">
      <c r="A1582" t="s">
        <v>2067</v>
      </c>
      <c r="B1582" s="20">
        <v>45698</v>
      </c>
      <c r="C1582" s="20">
        <v>45677</v>
      </c>
      <c r="D1582" t="s">
        <v>5</v>
      </c>
      <c r="E1582" t="s">
        <v>6</v>
      </c>
      <c r="G1582" t="s">
        <v>2211</v>
      </c>
      <c r="H1582" s="15" t="s">
        <v>1774</v>
      </c>
      <c r="I1582" s="15" t="s">
        <v>1775</v>
      </c>
      <c r="J1582" s="8" t="str">
        <f>+LEFT(U1582,4)</f>
        <v>BOX-</v>
      </c>
      <c r="K1582" t="s">
        <v>10</v>
      </c>
      <c r="L1582" s="46">
        <v>505</v>
      </c>
      <c r="M1582" t="s">
        <v>1472</v>
      </c>
      <c r="N1582" t="s">
        <v>11</v>
      </c>
      <c r="O1582" s="49">
        <v>5.18</v>
      </c>
      <c r="P1582" s="9">
        <f>ROUND(O1582*L1582,2)</f>
        <v>2615.9</v>
      </c>
      <c r="Q1582" s="10">
        <f>IF(N1582="HKD",7.8,IF(N1582="CNY",7.30034,1))</f>
        <v>7.3003400000000003</v>
      </c>
      <c r="R1582" s="10">
        <f>+ROUND(O1582/Q1582,4)</f>
        <v>0.70960000000000001</v>
      </c>
      <c r="S1582" s="11">
        <f>ROUND(R1582*L1582,2)</f>
        <v>358.35</v>
      </c>
      <c r="T1582" s="10" t="s">
        <v>349</v>
      </c>
      <c r="U1582" t="s">
        <v>1</v>
      </c>
    </row>
    <row r="1583" spans="1:21">
      <c r="A1583" t="s">
        <v>2073</v>
      </c>
      <c r="B1583" s="20">
        <v>45698</v>
      </c>
      <c r="C1583" s="20">
        <v>45677</v>
      </c>
      <c r="D1583" t="s">
        <v>5</v>
      </c>
      <c r="E1583" t="s">
        <v>6</v>
      </c>
      <c r="G1583" t="s">
        <v>2211</v>
      </c>
      <c r="H1583" s="15" t="s">
        <v>459</v>
      </c>
      <c r="I1583" s="15" t="s">
        <v>460</v>
      </c>
      <c r="J1583" s="8" t="str">
        <f>+LEFT(U1583,4)</f>
        <v>BOX-</v>
      </c>
      <c r="K1583" t="s">
        <v>10</v>
      </c>
      <c r="L1583" s="46">
        <v>500</v>
      </c>
      <c r="M1583" t="s">
        <v>1472</v>
      </c>
      <c r="N1583" t="s">
        <v>11</v>
      </c>
      <c r="O1583" s="49">
        <v>5.55</v>
      </c>
      <c r="P1583" s="9">
        <f>ROUND(O1583*L1583,2)</f>
        <v>2775</v>
      </c>
      <c r="Q1583" s="10">
        <f>IF(N1583="HKD",7.8,IF(N1583="CNY",7.30034,1))</f>
        <v>7.3003400000000003</v>
      </c>
      <c r="R1583" s="10">
        <f>+ROUND(O1583/Q1583,4)</f>
        <v>0.76019999999999999</v>
      </c>
      <c r="S1583" s="11">
        <f>ROUND(R1583*L1583,2)</f>
        <v>380.1</v>
      </c>
      <c r="T1583" s="10" t="s">
        <v>349</v>
      </c>
      <c r="U1583" t="s">
        <v>1</v>
      </c>
    </row>
    <row r="1584" spans="1:21">
      <c r="A1584" t="s">
        <v>2049</v>
      </c>
      <c r="B1584" s="20">
        <v>45698</v>
      </c>
      <c r="C1584" s="20">
        <v>45630</v>
      </c>
      <c r="D1584" t="s">
        <v>651</v>
      </c>
      <c r="E1584" t="s">
        <v>652</v>
      </c>
      <c r="G1584" t="s">
        <v>2204</v>
      </c>
      <c r="H1584" s="15" t="s">
        <v>1760</v>
      </c>
      <c r="I1584" s="15" t="s">
        <v>1761</v>
      </c>
      <c r="J1584" s="8" t="str">
        <f>+LEFT(U1584,4)</f>
        <v>KNOB</v>
      </c>
      <c r="K1584" t="s">
        <v>10</v>
      </c>
      <c r="L1584" s="46">
        <v>19000</v>
      </c>
      <c r="M1584" t="s">
        <v>1472</v>
      </c>
      <c r="N1584" t="s">
        <v>11</v>
      </c>
      <c r="O1584" s="49">
        <v>4.4320000000000004</v>
      </c>
      <c r="P1584" s="9">
        <f>ROUND(O1584*L1584,2)</f>
        <v>84208</v>
      </c>
      <c r="Q1584" s="10">
        <f>IF(N1584="HKD",7.8,IF(N1584="CNY",7.30034,1))</f>
        <v>7.3003400000000003</v>
      </c>
      <c r="R1584" s="10">
        <f>+ROUND(O1584/Q1584,4)</f>
        <v>0.60709999999999997</v>
      </c>
      <c r="S1584" s="11">
        <f>ROUND(R1584*L1584,2)</f>
        <v>11534.9</v>
      </c>
      <c r="T1584" s="10" t="s">
        <v>349</v>
      </c>
      <c r="U1584" t="s">
        <v>32</v>
      </c>
    </row>
    <row r="1585" spans="1:21">
      <c r="A1585" t="s">
        <v>2050</v>
      </c>
      <c r="B1585" s="20">
        <v>45698</v>
      </c>
      <c r="C1585" s="20">
        <v>45646</v>
      </c>
      <c r="D1585" t="s">
        <v>651</v>
      </c>
      <c r="E1585" t="s">
        <v>652</v>
      </c>
      <c r="G1585" t="s">
        <v>2204</v>
      </c>
      <c r="H1585" s="15" t="s">
        <v>1760</v>
      </c>
      <c r="I1585" s="15" t="s">
        <v>1761</v>
      </c>
      <c r="J1585" s="8" t="str">
        <f>+LEFT(U1585,4)</f>
        <v>KNOB</v>
      </c>
      <c r="K1585" t="s">
        <v>10</v>
      </c>
      <c r="L1585" s="46">
        <v>13500</v>
      </c>
      <c r="M1585" t="s">
        <v>1472</v>
      </c>
      <c r="N1585" t="s">
        <v>11</v>
      </c>
      <c r="O1585" s="49">
        <v>4.4320000000000004</v>
      </c>
      <c r="P1585" s="9">
        <f>ROUND(O1585*L1585,2)</f>
        <v>59832</v>
      </c>
      <c r="Q1585" s="10">
        <f>IF(N1585="HKD",7.8,IF(N1585="CNY",7.30034,1))</f>
        <v>7.3003400000000003</v>
      </c>
      <c r="R1585" s="10">
        <f>+ROUND(O1585/Q1585,4)</f>
        <v>0.60709999999999997</v>
      </c>
      <c r="S1585" s="11">
        <f>ROUND(R1585*L1585,2)</f>
        <v>8195.85</v>
      </c>
      <c r="T1585" s="10" t="s">
        <v>349</v>
      </c>
      <c r="U1585" t="s">
        <v>32</v>
      </c>
    </row>
    <row r="1586" spans="1:21">
      <c r="A1586" t="s">
        <v>2032</v>
      </c>
      <c r="B1586" s="20">
        <v>45698</v>
      </c>
      <c r="C1586" s="20">
        <v>45636</v>
      </c>
      <c r="D1586" t="s">
        <v>94</v>
      </c>
      <c r="E1586" t="s">
        <v>95</v>
      </c>
      <c r="G1586" t="s">
        <v>2198</v>
      </c>
      <c r="H1586" s="15" t="s">
        <v>1742</v>
      </c>
      <c r="I1586" s="15" t="s">
        <v>1743</v>
      </c>
      <c r="J1586" s="8" t="str">
        <f>+LEFT(U1586,4)</f>
        <v>LID-</v>
      </c>
      <c r="K1586" t="s">
        <v>369</v>
      </c>
      <c r="L1586" s="46">
        <v>3090</v>
      </c>
      <c r="M1586" t="s">
        <v>1472</v>
      </c>
      <c r="N1586" t="s">
        <v>11</v>
      </c>
      <c r="O1586" s="49">
        <v>3.75</v>
      </c>
      <c r="P1586" s="9">
        <f>ROUND(O1586*L1586,2)</f>
        <v>11587.5</v>
      </c>
      <c r="Q1586" s="10">
        <f>IF(N1586="HKD",7.8,IF(N1586="CNY",7.30034,1))</f>
        <v>7.3003400000000003</v>
      </c>
      <c r="R1586" s="10">
        <f>+ROUND(O1586/Q1586,4)</f>
        <v>0.51370000000000005</v>
      </c>
      <c r="S1586" s="11">
        <f>ROUND(R1586*L1586,2)</f>
        <v>1587.33</v>
      </c>
      <c r="T1586" s="10" t="s">
        <v>349</v>
      </c>
      <c r="U1586" t="s">
        <v>368</v>
      </c>
    </row>
    <row r="1587" spans="1:21">
      <c r="A1587" t="s">
        <v>2033</v>
      </c>
      <c r="B1587" s="20">
        <v>45698</v>
      </c>
      <c r="C1587" s="20">
        <v>45636</v>
      </c>
      <c r="D1587" t="s">
        <v>94</v>
      </c>
      <c r="E1587" t="s">
        <v>95</v>
      </c>
      <c r="G1587" t="s">
        <v>2198</v>
      </c>
      <c r="H1587" s="15" t="s">
        <v>1742</v>
      </c>
      <c r="I1587" s="15" t="s">
        <v>1743</v>
      </c>
      <c r="J1587" s="8" t="str">
        <f>+LEFT(U1587,4)</f>
        <v>LID-</v>
      </c>
      <c r="K1587" t="s">
        <v>369</v>
      </c>
      <c r="L1587" s="46">
        <v>1030</v>
      </c>
      <c r="M1587" t="s">
        <v>1472</v>
      </c>
      <c r="N1587" t="s">
        <v>11</v>
      </c>
      <c r="O1587" s="49">
        <v>3.75</v>
      </c>
      <c r="P1587" s="9">
        <f>ROUND(O1587*L1587,2)</f>
        <v>3862.5</v>
      </c>
      <c r="Q1587" s="10">
        <f>IF(N1587="HKD",7.8,IF(N1587="CNY",7.30034,1))</f>
        <v>7.3003400000000003</v>
      </c>
      <c r="R1587" s="10">
        <f>+ROUND(O1587/Q1587,4)</f>
        <v>0.51370000000000005</v>
      </c>
      <c r="S1587" s="11">
        <f>ROUND(R1587*L1587,2)</f>
        <v>529.11</v>
      </c>
      <c r="T1587" s="10" t="s">
        <v>349</v>
      </c>
      <c r="U1587" t="s">
        <v>368</v>
      </c>
    </row>
    <row r="1588" spans="1:21">
      <c r="A1588" t="s">
        <v>1943</v>
      </c>
      <c r="B1588" s="20">
        <v>45698</v>
      </c>
      <c r="C1588" s="20">
        <v>45653</v>
      </c>
      <c r="D1588" t="s">
        <v>5</v>
      </c>
      <c r="E1588" t="s">
        <v>6</v>
      </c>
      <c r="G1588" t="s">
        <v>2174</v>
      </c>
      <c r="H1588" s="15" t="s">
        <v>1662</v>
      </c>
      <c r="I1588" s="15" t="s">
        <v>1663</v>
      </c>
      <c r="J1588" s="8" t="str">
        <f>+LEFT(U1588,4)</f>
        <v>SHTS</v>
      </c>
      <c r="K1588" t="s">
        <v>10</v>
      </c>
      <c r="L1588" s="46">
        <v>1010</v>
      </c>
      <c r="M1588" t="s">
        <v>1472</v>
      </c>
      <c r="N1588" t="s">
        <v>11</v>
      </c>
      <c r="O1588" s="49">
        <v>1.77</v>
      </c>
      <c r="P1588" s="9">
        <f>ROUND(O1588*L1588,2)</f>
        <v>1787.7</v>
      </c>
      <c r="Q1588" s="10">
        <f>IF(N1588="HKD",7.8,IF(N1588="CNY",7.30034,1))</f>
        <v>7.3003400000000003</v>
      </c>
      <c r="R1588" s="10">
        <f>+ROUND(O1588/Q1588,4)</f>
        <v>0.24249999999999999</v>
      </c>
      <c r="S1588" s="11">
        <f>ROUND(R1588*L1588,2)</f>
        <v>244.93</v>
      </c>
      <c r="T1588" s="10" t="s">
        <v>349</v>
      </c>
      <c r="U1588" t="s">
        <v>9</v>
      </c>
    </row>
    <row r="1589" spans="1:21">
      <c r="A1589" t="s">
        <v>1960</v>
      </c>
      <c r="B1589" s="20">
        <v>45698</v>
      </c>
      <c r="C1589" s="20">
        <v>45677</v>
      </c>
      <c r="D1589" t="s">
        <v>5</v>
      </c>
      <c r="E1589" t="s">
        <v>6</v>
      </c>
      <c r="G1589" t="s">
        <v>2174</v>
      </c>
      <c r="H1589" s="15" t="s">
        <v>512</v>
      </c>
      <c r="I1589" s="15" t="s">
        <v>513</v>
      </c>
      <c r="J1589" s="8" t="str">
        <f>+LEFT(U1589,4)</f>
        <v>SHTS</v>
      </c>
      <c r="K1589" t="s">
        <v>10</v>
      </c>
      <c r="L1589" s="46">
        <v>1010</v>
      </c>
      <c r="M1589" t="s">
        <v>1472</v>
      </c>
      <c r="N1589" t="s">
        <v>11</v>
      </c>
      <c r="O1589" s="49">
        <v>2.56</v>
      </c>
      <c r="P1589" s="9">
        <f>ROUND(O1589*L1589,2)</f>
        <v>2585.6</v>
      </c>
      <c r="Q1589" s="10">
        <f>IF(N1589="HKD",7.8,IF(N1589="CNY",7.30034,1))</f>
        <v>7.3003400000000003</v>
      </c>
      <c r="R1589" s="10">
        <f>+ROUND(O1589/Q1589,4)</f>
        <v>0.35070000000000001</v>
      </c>
      <c r="S1589" s="11">
        <f>ROUND(R1589*L1589,2)</f>
        <v>354.21</v>
      </c>
      <c r="T1589" s="10" t="s">
        <v>349</v>
      </c>
      <c r="U1589" t="s">
        <v>9</v>
      </c>
    </row>
    <row r="1590" spans="1:21">
      <c r="A1590" t="s">
        <v>1973</v>
      </c>
      <c r="B1590" s="20">
        <v>45698</v>
      </c>
      <c r="C1590" s="20">
        <v>45677</v>
      </c>
      <c r="D1590" t="s">
        <v>5</v>
      </c>
      <c r="E1590" t="s">
        <v>6</v>
      </c>
      <c r="G1590" t="s">
        <v>2174</v>
      </c>
      <c r="H1590" s="15" t="s">
        <v>1691</v>
      </c>
      <c r="I1590" s="15" t="s">
        <v>1692</v>
      </c>
      <c r="J1590" s="8" t="str">
        <f>+LEFT(U1590,4)</f>
        <v>SHTS</v>
      </c>
      <c r="K1590" t="s">
        <v>10</v>
      </c>
      <c r="L1590" s="46">
        <v>1010</v>
      </c>
      <c r="M1590" t="s">
        <v>1472</v>
      </c>
      <c r="N1590" t="s">
        <v>11</v>
      </c>
      <c r="O1590" s="49">
        <v>2.8</v>
      </c>
      <c r="P1590" s="9">
        <f>ROUND(O1590*L1590,2)</f>
        <v>2828</v>
      </c>
      <c r="Q1590" s="10">
        <f>IF(N1590="HKD",7.8,IF(N1590="CNY",7.30034,1))</f>
        <v>7.3003400000000003</v>
      </c>
      <c r="R1590" s="10">
        <f>+ROUND(O1590/Q1590,4)</f>
        <v>0.38350000000000001</v>
      </c>
      <c r="S1590" s="11">
        <f>ROUND(R1590*L1590,2)</f>
        <v>387.34</v>
      </c>
      <c r="T1590" s="10" t="s">
        <v>349</v>
      </c>
      <c r="U1590" t="s">
        <v>9</v>
      </c>
    </row>
    <row r="1591" spans="1:21">
      <c r="A1591" t="s">
        <v>2043</v>
      </c>
      <c r="B1591" s="20">
        <v>45698</v>
      </c>
      <c r="C1591" s="20">
        <v>45677</v>
      </c>
      <c r="D1591" t="s">
        <v>5</v>
      </c>
      <c r="E1591" t="s">
        <v>6</v>
      </c>
      <c r="G1591" t="s">
        <v>2174</v>
      </c>
      <c r="H1591" s="15" t="s">
        <v>1754</v>
      </c>
      <c r="I1591" s="15" t="s">
        <v>1755</v>
      </c>
      <c r="J1591" s="8" t="str">
        <f>+LEFT(U1591,4)</f>
        <v>SHTS</v>
      </c>
      <c r="K1591" t="s">
        <v>10</v>
      </c>
      <c r="L1591" s="46">
        <v>1010</v>
      </c>
      <c r="M1591" t="s">
        <v>1472</v>
      </c>
      <c r="N1591" t="s">
        <v>11</v>
      </c>
      <c r="O1591" s="49">
        <v>4.0199999999999996</v>
      </c>
      <c r="P1591" s="9">
        <f>ROUND(O1591*L1591,2)</f>
        <v>4060.2</v>
      </c>
      <c r="Q1591" s="10">
        <f>IF(N1591="HKD",7.8,IF(N1591="CNY",7.30034,1))</f>
        <v>7.3003400000000003</v>
      </c>
      <c r="R1591" s="10">
        <f>+ROUND(O1591/Q1591,4)</f>
        <v>0.55069999999999997</v>
      </c>
      <c r="S1591" s="11">
        <f>ROUND(R1591*L1591,2)</f>
        <v>556.21</v>
      </c>
      <c r="T1591" s="10" t="s">
        <v>349</v>
      </c>
      <c r="U1591" t="s">
        <v>9</v>
      </c>
    </row>
    <row r="1592" spans="1:21">
      <c r="A1592" t="s">
        <v>1840</v>
      </c>
      <c r="B1592" s="20">
        <v>45698</v>
      </c>
      <c r="C1592" s="20">
        <v>45643</v>
      </c>
      <c r="D1592" t="s">
        <v>169</v>
      </c>
      <c r="E1592" t="s">
        <v>170</v>
      </c>
      <c r="G1592" t="s">
        <v>2144</v>
      </c>
      <c r="H1592" s="15" t="s">
        <v>1577</v>
      </c>
      <c r="I1592" s="15" t="s">
        <v>1578</v>
      </c>
      <c r="J1592" s="8" t="str">
        <f>+LEFT(U1592,4)</f>
        <v>STKR</v>
      </c>
      <c r="K1592" t="s">
        <v>10</v>
      </c>
      <c r="L1592" s="46">
        <v>1010</v>
      </c>
      <c r="M1592" t="s">
        <v>1472</v>
      </c>
      <c r="N1592" t="s">
        <v>11</v>
      </c>
      <c r="O1592" s="49">
        <v>0.08</v>
      </c>
      <c r="P1592" s="9">
        <f>ROUND(O1592*L1592,2)</f>
        <v>80.8</v>
      </c>
      <c r="Q1592" s="10">
        <f>IF(N1592="HKD",7.8,IF(N1592="CNY",7.30034,1))</f>
        <v>7.3003400000000003</v>
      </c>
      <c r="R1592" s="10">
        <f>+ROUND(O1592/Q1592,4)</f>
        <v>1.0999999999999999E-2</v>
      </c>
      <c r="S1592" s="11">
        <f>ROUND(R1592*L1592,2)</f>
        <v>11.11</v>
      </c>
      <c r="T1592" s="10" t="s">
        <v>349</v>
      </c>
      <c r="U1592" t="s">
        <v>18</v>
      </c>
    </row>
    <row r="1593" spans="1:21">
      <c r="A1593" t="s">
        <v>1843</v>
      </c>
      <c r="B1593" s="20">
        <v>45698</v>
      </c>
      <c r="C1593" s="20">
        <v>45698</v>
      </c>
      <c r="D1593" t="s">
        <v>101</v>
      </c>
      <c r="E1593" t="s">
        <v>102</v>
      </c>
      <c r="G1593" t="s">
        <v>2145</v>
      </c>
      <c r="H1593" s="15" t="s">
        <v>1581</v>
      </c>
      <c r="I1593" s="15" t="s">
        <v>1582</v>
      </c>
      <c r="J1593" s="8" t="str">
        <f>+LEFT(U1593,4)</f>
        <v>STKR</v>
      </c>
      <c r="K1593" t="s">
        <v>10</v>
      </c>
      <c r="L1593" s="46">
        <v>600</v>
      </c>
      <c r="M1593" t="s">
        <v>1472</v>
      </c>
      <c r="N1593" t="s">
        <v>11</v>
      </c>
      <c r="O1593" s="49">
        <v>8.3299999999999999E-2</v>
      </c>
      <c r="P1593" s="9">
        <f>ROUND(O1593*L1593,2)</f>
        <v>49.98</v>
      </c>
      <c r="Q1593" s="10">
        <f>IF(N1593="HKD",7.8,IF(N1593="CNY",7.30034,1))</f>
        <v>7.3003400000000003</v>
      </c>
      <c r="R1593" s="10">
        <f>+ROUND(O1593/Q1593,4)</f>
        <v>1.14E-2</v>
      </c>
      <c r="S1593" s="11">
        <f>ROUND(R1593*L1593,2)</f>
        <v>6.84</v>
      </c>
      <c r="T1593" s="10" t="s">
        <v>349</v>
      </c>
      <c r="U1593" t="s">
        <v>18</v>
      </c>
    </row>
    <row r="1594" spans="1:21">
      <c r="A1594" t="s">
        <v>1853</v>
      </c>
      <c r="B1594" s="20">
        <v>45698</v>
      </c>
      <c r="C1594" s="20">
        <v>45698</v>
      </c>
      <c r="D1594" t="s">
        <v>101</v>
      </c>
      <c r="E1594" t="s">
        <v>102</v>
      </c>
      <c r="G1594" t="s">
        <v>2145</v>
      </c>
      <c r="H1594" s="15" t="s">
        <v>1589</v>
      </c>
      <c r="I1594" s="15" t="s">
        <v>1590</v>
      </c>
      <c r="J1594" s="8" t="str">
        <f>+LEFT(U1594,4)</f>
        <v>STKR</v>
      </c>
      <c r="K1594" t="s">
        <v>10</v>
      </c>
      <c r="L1594" s="46">
        <v>600</v>
      </c>
      <c r="M1594" t="s">
        <v>1472</v>
      </c>
      <c r="N1594" t="s">
        <v>11</v>
      </c>
      <c r="O1594" s="49">
        <v>0.10829999999999999</v>
      </c>
      <c r="P1594" s="9">
        <f>ROUND(O1594*L1594,2)</f>
        <v>64.98</v>
      </c>
      <c r="Q1594" s="10">
        <f>IF(N1594="HKD",7.8,IF(N1594="CNY",7.30034,1))</f>
        <v>7.3003400000000003</v>
      </c>
      <c r="R1594" s="10">
        <f>+ROUND(O1594/Q1594,4)</f>
        <v>1.4800000000000001E-2</v>
      </c>
      <c r="S1594" s="11">
        <f>ROUND(R1594*L1594,2)</f>
        <v>8.8800000000000008</v>
      </c>
      <c r="T1594" s="10" t="s">
        <v>349</v>
      </c>
      <c r="U1594" t="s">
        <v>18</v>
      </c>
    </row>
    <row r="1595" spans="1:21">
      <c r="A1595" t="s">
        <v>1854</v>
      </c>
      <c r="B1595" s="20">
        <v>45698</v>
      </c>
      <c r="C1595" s="20">
        <v>45698</v>
      </c>
      <c r="D1595" t="s">
        <v>101</v>
      </c>
      <c r="E1595" t="s">
        <v>102</v>
      </c>
      <c r="G1595" t="s">
        <v>2145</v>
      </c>
      <c r="H1595" s="15" t="s">
        <v>1591</v>
      </c>
      <c r="I1595" s="15" t="s">
        <v>1592</v>
      </c>
      <c r="J1595" s="8" t="str">
        <f>+LEFT(U1595,4)</f>
        <v>STKR</v>
      </c>
      <c r="K1595" t="s">
        <v>10</v>
      </c>
      <c r="L1595" s="46">
        <v>600</v>
      </c>
      <c r="M1595" t="s">
        <v>1472</v>
      </c>
      <c r="N1595" t="s">
        <v>11</v>
      </c>
      <c r="O1595" s="49">
        <v>0.10829999999999999</v>
      </c>
      <c r="P1595" s="9">
        <f>ROUND(O1595*L1595,2)</f>
        <v>64.98</v>
      </c>
      <c r="Q1595" s="10">
        <f>IF(N1595="HKD",7.8,IF(N1595="CNY",7.30034,1))</f>
        <v>7.3003400000000003</v>
      </c>
      <c r="R1595" s="10">
        <f>+ROUND(O1595/Q1595,4)</f>
        <v>1.4800000000000001E-2</v>
      </c>
      <c r="S1595" s="11">
        <f>ROUND(R1595*L1595,2)</f>
        <v>8.8800000000000008</v>
      </c>
      <c r="T1595" s="10" t="s">
        <v>349</v>
      </c>
      <c r="U1595" t="s">
        <v>18</v>
      </c>
    </row>
    <row r="1596" spans="1:21">
      <c r="A1596" t="s">
        <v>1855</v>
      </c>
      <c r="B1596" s="20">
        <v>45698</v>
      </c>
      <c r="C1596" s="20">
        <v>45698</v>
      </c>
      <c r="D1596" t="s">
        <v>101</v>
      </c>
      <c r="E1596" t="s">
        <v>102</v>
      </c>
      <c r="G1596" t="s">
        <v>2145</v>
      </c>
      <c r="H1596" s="15" t="s">
        <v>1593</v>
      </c>
      <c r="I1596" s="15" t="s">
        <v>1594</v>
      </c>
      <c r="J1596" s="8" t="str">
        <f>+LEFT(U1596,4)</f>
        <v>STKR</v>
      </c>
      <c r="K1596" t="s">
        <v>10</v>
      </c>
      <c r="L1596" s="46">
        <v>600</v>
      </c>
      <c r="M1596" t="s">
        <v>1472</v>
      </c>
      <c r="N1596" t="s">
        <v>11</v>
      </c>
      <c r="O1596" s="49">
        <v>0.10829999999999999</v>
      </c>
      <c r="P1596" s="9">
        <f>ROUND(O1596*L1596,2)</f>
        <v>64.98</v>
      </c>
      <c r="Q1596" s="10">
        <f>IF(N1596="HKD",7.8,IF(N1596="CNY",7.30034,1))</f>
        <v>7.3003400000000003</v>
      </c>
      <c r="R1596" s="10">
        <f>+ROUND(O1596/Q1596,4)</f>
        <v>1.4800000000000001E-2</v>
      </c>
      <c r="S1596" s="11">
        <f>ROUND(R1596*L1596,2)</f>
        <v>8.8800000000000008</v>
      </c>
      <c r="T1596" s="10" t="s">
        <v>349</v>
      </c>
      <c r="U1596" t="s">
        <v>18</v>
      </c>
    </row>
    <row r="1597" spans="1:21">
      <c r="A1597" t="s">
        <v>1856</v>
      </c>
      <c r="B1597" s="20">
        <v>45698</v>
      </c>
      <c r="C1597" s="20">
        <v>45698</v>
      </c>
      <c r="D1597" t="s">
        <v>101</v>
      </c>
      <c r="E1597" t="s">
        <v>102</v>
      </c>
      <c r="G1597" t="s">
        <v>2145</v>
      </c>
      <c r="H1597" s="15" t="s">
        <v>1595</v>
      </c>
      <c r="I1597" s="15" t="s">
        <v>1596</v>
      </c>
      <c r="J1597" s="8" t="str">
        <f>+LEFT(U1597,4)</f>
        <v>STKR</v>
      </c>
      <c r="K1597" t="s">
        <v>10</v>
      </c>
      <c r="L1597" s="46">
        <v>600</v>
      </c>
      <c r="M1597" t="s">
        <v>1472</v>
      </c>
      <c r="N1597" t="s">
        <v>11</v>
      </c>
      <c r="O1597" s="49">
        <v>0.10829999999999999</v>
      </c>
      <c r="P1597" s="9">
        <f>ROUND(O1597*L1597,2)</f>
        <v>64.98</v>
      </c>
      <c r="Q1597" s="10">
        <f>IF(N1597="HKD",7.8,IF(N1597="CNY",7.30034,1))</f>
        <v>7.3003400000000003</v>
      </c>
      <c r="R1597" s="10">
        <f>+ROUND(O1597/Q1597,4)</f>
        <v>1.4800000000000001E-2</v>
      </c>
      <c r="S1597" s="11">
        <f>ROUND(R1597*L1597,2)</f>
        <v>8.8800000000000008</v>
      </c>
      <c r="T1597" s="10" t="s">
        <v>349</v>
      </c>
      <c r="U1597" t="s">
        <v>18</v>
      </c>
    </row>
    <row r="1598" spans="1:21">
      <c r="A1598" t="s">
        <v>1902</v>
      </c>
      <c r="B1598" s="20">
        <v>45698</v>
      </c>
      <c r="C1598" s="20">
        <v>45698</v>
      </c>
      <c r="D1598" t="s">
        <v>101</v>
      </c>
      <c r="E1598" t="s">
        <v>102</v>
      </c>
      <c r="G1598" t="s">
        <v>2145</v>
      </c>
      <c r="H1598" s="15" t="s">
        <v>1633</v>
      </c>
      <c r="I1598" s="15" t="s">
        <v>1634</v>
      </c>
      <c r="J1598" s="8" t="str">
        <f>+LEFT(U1598,4)</f>
        <v>STKR</v>
      </c>
      <c r="K1598" t="s">
        <v>10</v>
      </c>
      <c r="L1598" s="46">
        <v>100</v>
      </c>
      <c r="M1598" t="s">
        <v>1472</v>
      </c>
      <c r="N1598" t="s">
        <v>11</v>
      </c>
      <c r="O1598" s="49">
        <v>0.65</v>
      </c>
      <c r="P1598" s="9">
        <f>ROUND(O1598*L1598,2)</f>
        <v>65</v>
      </c>
      <c r="Q1598" s="10">
        <f>IF(N1598="HKD",7.8,IF(N1598="CNY",7.30034,1))</f>
        <v>7.3003400000000003</v>
      </c>
      <c r="R1598" s="10">
        <f>+ROUND(O1598/Q1598,4)</f>
        <v>8.8999999999999996E-2</v>
      </c>
      <c r="S1598" s="11">
        <f>ROUND(R1598*L1598,2)</f>
        <v>8.9</v>
      </c>
      <c r="T1598" s="10" t="s">
        <v>349</v>
      </c>
      <c r="U1598" t="s">
        <v>18</v>
      </c>
    </row>
    <row r="1599" spans="1:21">
      <c r="A1599" s="15" t="s">
        <v>7</v>
      </c>
      <c r="B1599" s="16">
        <v>45681</v>
      </c>
      <c r="C1599" s="16">
        <v>45575</v>
      </c>
      <c r="D1599" s="15" t="s">
        <v>5</v>
      </c>
      <c r="E1599" s="15" t="s">
        <v>6</v>
      </c>
      <c r="G1599" s="15" t="s">
        <v>8</v>
      </c>
      <c r="H1599" s="15" t="s">
        <v>3</v>
      </c>
      <c r="I1599" s="15" t="s">
        <v>4</v>
      </c>
      <c r="J1599" s="8" t="str">
        <f>+LEFT(U1599,4)</f>
        <v>SHTS</v>
      </c>
      <c r="K1599" s="15" t="s">
        <v>10</v>
      </c>
      <c r="L1599" s="46">
        <v>500</v>
      </c>
      <c r="M1599" s="15" t="s">
        <v>1472</v>
      </c>
      <c r="N1599" s="15" t="s">
        <v>11</v>
      </c>
      <c r="O1599" s="49">
        <v>2.94</v>
      </c>
      <c r="P1599" s="9">
        <f>ROUND(O1599*L1599,2)</f>
        <v>1470</v>
      </c>
      <c r="Q1599" s="10">
        <f>IF(N1599="HKD",7.8,IF(N1599="CNY",7.30034,1))</f>
        <v>7.3003400000000003</v>
      </c>
      <c r="R1599" s="10">
        <f>+ROUND(O1599/Q1599,4)</f>
        <v>0.4027</v>
      </c>
      <c r="S1599" s="11">
        <f>ROUND(R1599*L1599,2)</f>
        <v>201.35</v>
      </c>
      <c r="T1599" s="10" t="s">
        <v>349</v>
      </c>
      <c r="U1599" s="15" t="s">
        <v>9</v>
      </c>
    </row>
    <row r="1600" spans="1:21">
      <c r="A1600" s="15" t="s">
        <v>30</v>
      </c>
      <c r="B1600" s="16">
        <v>45680</v>
      </c>
      <c r="C1600" s="16">
        <v>45646</v>
      </c>
      <c r="D1600" s="15" t="s">
        <v>28</v>
      </c>
      <c r="E1600" s="15" t="s">
        <v>29</v>
      </c>
      <c r="G1600" s="15" t="s">
        <v>31</v>
      </c>
      <c r="H1600" s="15" t="s">
        <v>26</v>
      </c>
      <c r="I1600" s="15" t="s">
        <v>27</v>
      </c>
      <c r="J1600" s="8" t="str">
        <f>+LEFT(U1600,4)</f>
        <v>KNOB</v>
      </c>
      <c r="K1600" s="15" t="s">
        <v>10</v>
      </c>
      <c r="L1600" s="46">
        <v>9250</v>
      </c>
      <c r="M1600" s="15" t="s">
        <v>1472</v>
      </c>
      <c r="N1600" s="15" t="s">
        <v>11</v>
      </c>
      <c r="O1600" s="49">
        <v>2.2488000000000001</v>
      </c>
      <c r="P1600" s="9">
        <f>ROUND(O1600*L1600,2)</f>
        <v>20801.400000000001</v>
      </c>
      <c r="Q1600" s="10">
        <f>IF(N1600="HKD",7.8,IF(N1600="CNY",7.30034,1))</f>
        <v>7.3003400000000003</v>
      </c>
      <c r="R1600" s="10">
        <f>+ROUND(O1600/Q1600,4)</f>
        <v>0.308</v>
      </c>
      <c r="S1600" s="11">
        <f>ROUND(R1600*L1600,2)</f>
        <v>2849</v>
      </c>
      <c r="T1600" s="10" t="s">
        <v>349</v>
      </c>
      <c r="U1600" s="15" t="s">
        <v>32</v>
      </c>
    </row>
    <row r="1601" spans="1:22">
      <c r="A1601" s="15" t="s">
        <v>23</v>
      </c>
      <c r="B1601" s="16">
        <v>45680</v>
      </c>
      <c r="C1601" s="16">
        <v>45670</v>
      </c>
      <c r="D1601" s="15" t="s">
        <v>21</v>
      </c>
      <c r="E1601" s="15" t="s">
        <v>22</v>
      </c>
      <c r="G1601" s="15" t="s">
        <v>24</v>
      </c>
      <c r="H1601" s="15" t="s">
        <v>19</v>
      </c>
      <c r="I1601" s="15" t="s">
        <v>20</v>
      </c>
      <c r="J1601" s="8" t="str">
        <f>+LEFT(U1601,4)</f>
        <v>MISC</v>
      </c>
      <c r="K1601" s="15" t="s">
        <v>10</v>
      </c>
      <c r="L1601" s="46">
        <v>500</v>
      </c>
      <c r="M1601" s="15" t="s">
        <v>1472</v>
      </c>
      <c r="N1601" s="15" t="s">
        <v>11</v>
      </c>
      <c r="O1601" s="49">
        <v>0.25180000000000002</v>
      </c>
      <c r="P1601" s="9">
        <f>ROUND(O1601*L1601,2)</f>
        <v>125.9</v>
      </c>
      <c r="Q1601" s="10">
        <f>IF(N1601="HKD",7.8,IF(N1601="CNY",7.30034,1))</f>
        <v>7.3003400000000003</v>
      </c>
      <c r="R1601" s="10">
        <f>+ROUND(O1601/Q1601,4)</f>
        <v>3.4500000000000003E-2</v>
      </c>
      <c r="S1601" s="11">
        <f>ROUND(R1601*L1601,2)</f>
        <v>17.25</v>
      </c>
      <c r="T1601" s="10" t="s">
        <v>349</v>
      </c>
      <c r="U1601" s="15" t="s">
        <v>25</v>
      </c>
    </row>
    <row r="1602" spans="1:22">
      <c r="A1602" s="15" t="s">
        <v>16</v>
      </c>
      <c r="B1602" s="16">
        <v>45680</v>
      </c>
      <c r="C1602" s="16">
        <v>45671</v>
      </c>
      <c r="D1602" s="15" t="s">
        <v>14</v>
      </c>
      <c r="E1602" s="15" t="s">
        <v>15</v>
      </c>
      <c r="G1602" s="15" t="s">
        <v>17</v>
      </c>
      <c r="H1602" s="15" t="s">
        <v>12</v>
      </c>
      <c r="I1602" s="15" t="s">
        <v>13</v>
      </c>
      <c r="J1602" s="8" t="str">
        <f>+LEFT(U1602,4)</f>
        <v>STKR</v>
      </c>
      <c r="K1602" s="15" t="s">
        <v>10</v>
      </c>
      <c r="L1602" s="46">
        <v>60000</v>
      </c>
      <c r="M1602" s="15" t="s">
        <v>1472</v>
      </c>
      <c r="N1602" s="15" t="s">
        <v>11</v>
      </c>
      <c r="O1602" s="49">
        <v>2.8199999999999999E-2</v>
      </c>
      <c r="P1602" s="9">
        <f>ROUND(O1602*L1602,2)</f>
        <v>1692</v>
      </c>
      <c r="Q1602" s="10">
        <f>IF(N1602="HKD",7.8,IF(N1602="CNY",7.30034,1))</f>
        <v>7.3003400000000003</v>
      </c>
      <c r="R1602" s="10">
        <f>+ROUND(O1602/Q1602,4)</f>
        <v>3.8999999999999998E-3</v>
      </c>
      <c r="S1602" s="11">
        <f>ROUND(R1602*L1602,2)</f>
        <v>234</v>
      </c>
      <c r="T1602" s="10" t="s">
        <v>349</v>
      </c>
      <c r="U1602" s="15" t="s">
        <v>18</v>
      </c>
    </row>
    <row r="1603" spans="1:22">
      <c r="A1603" s="15" t="s">
        <v>58</v>
      </c>
      <c r="B1603" s="16">
        <v>45679</v>
      </c>
      <c r="C1603" s="16">
        <v>45677</v>
      </c>
      <c r="D1603" s="15" t="s">
        <v>5</v>
      </c>
      <c r="E1603" s="15" t="s">
        <v>6</v>
      </c>
      <c r="G1603" s="15" t="s">
        <v>40</v>
      </c>
      <c r="H1603" s="15" t="s">
        <v>56</v>
      </c>
      <c r="I1603" s="15" t="s">
        <v>57</v>
      </c>
      <c r="J1603" s="8" t="str">
        <f>+LEFT(U1603,4)</f>
        <v>BOX-</v>
      </c>
      <c r="K1603" s="15" t="s">
        <v>10</v>
      </c>
      <c r="L1603" s="46">
        <v>505</v>
      </c>
      <c r="M1603" s="15" t="s">
        <v>1472</v>
      </c>
      <c r="N1603" s="15" t="s">
        <v>11</v>
      </c>
      <c r="O1603" s="49">
        <v>3.81</v>
      </c>
      <c r="P1603" s="9">
        <f>ROUND(O1603*L1603,2)</f>
        <v>1924.05</v>
      </c>
      <c r="Q1603" s="10">
        <f>IF(N1603="HKD",7.8,IF(N1603="CNY",7.30034,1))</f>
        <v>7.3003400000000003</v>
      </c>
      <c r="R1603" s="10">
        <f>+ROUND(O1603/Q1603,4)</f>
        <v>0.52190000000000003</v>
      </c>
      <c r="S1603" s="11">
        <f>ROUND(R1603*L1603,2)</f>
        <v>263.56</v>
      </c>
      <c r="T1603" s="10" t="s">
        <v>349</v>
      </c>
      <c r="U1603" s="15" t="s">
        <v>1</v>
      </c>
    </row>
    <row r="1604" spans="1:22">
      <c r="A1604" s="15" t="s">
        <v>52</v>
      </c>
      <c r="B1604" s="16">
        <v>45679</v>
      </c>
      <c r="C1604" s="16">
        <v>45677</v>
      </c>
      <c r="D1604" s="15" t="s">
        <v>5</v>
      </c>
      <c r="E1604" s="15" t="s">
        <v>6</v>
      </c>
      <c r="G1604" s="15" t="s">
        <v>40</v>
      </c>
      <c r="H1604" s="15" t="s">
        <v>50</v>
      </c>
      <c r="I1604" s="15" t="s">
        <v>51</v>
      </c>
      <c r="J1604" s="8" t="str">
        <f>+LEFT(U1604,4)</f>
        <v>BOX-</v>
      </c>
      <c r="K1604" s="15" t="s">
        <v>10</v>
      </c>
      <c r="L1604" s="46">
        <v>505</v>
      </c>
      <c r="M1604" s="15" t="s">
        <v>1472</v>
      </c>
      <c r="N1604" s="15" t="s">
        <v>11</v>
      </c>
      <c r="O1604" s="49">
        <v>4.49</v>
      </c>
      <c r="P1604" s="9">
        <f>ROUND(O1604*L1604,2)</f>
        <v>2267.4499999999998</v>
      </c>
      <c r="Q1604" s="10">
        <f>IF(N1604="HKD",7.8,IF(N1604="CNY",7.30034,1))</f>
        <v>7.3003400000000003</v>
      </c>
      <c r="R1604" s="10">
        <f>+ROUND(O1604/Q1604,4)</f>
        <v>0.61499999999999999</v>
      </c>
      <c r="S1604" s="11">
        <f>ROUND(R1604*L1604,2)</f>
        <v>310.58</v>
      </c>
      <c r="T1604" s="10" t="s">
        <v>349</v>
      </c>
      <c r="U1604" s="15" t="s">
        <v>1</v>
      </c>
    </row>
    <row r="1605" spans="1:22">
      <c r="A1605" s="15" t="s">
        <v>43</v>
      </c>
      <c r="B1605" s="16">
        <v>45679</v>
      </c>
      <c r="C1605" s="16">
        <v>45677</v>
      </c>
      <c r="D1605" s="15" t="s">
        <v>5</v>
      </c>
      <c r="E1605" s="15" t="s">
        <v>6</v>
      </c>
      <c r="G1605" s="15" t="s">
        <v>40</v>
      </c>
      <c r="H1605" s="15" t="s">
        <v>41</v>
      </c>
      <c r="I1605" s="15" t="s">
        <v>42</v>
      </c>
      <c r="J1605" s="8" t="str">
        <f>+LEFT(U1605,4)</f>
        <v>BOX-</v>
      </c>
      <c r="K1605" s="15" t="s">
        <v>10</v>
      </c>
      <c r="L1605" s="46">
        <v>500</v>
      </c>
      <c r="M1605" s="15" t="s">
        <v>1472</v>
      </c>
      <c r="N1605" s="15" t="s">
        <v>11</v>
      </c>
      <c r="O1605" s="49">
        <v>4.49</v>
      </c>
      <c r="P1605" s="9">
        <f>ROUND(O1605*L1605,2)</f>
        <v>2245</v>
      </c>
      <c r="Q1605" s="10">
        <f>IF(N1605="HKD",7.8,IF(N1605="CNY",7.30034,1))</f>
        <v>7.3003400000000003</v>
      </c>
      <c r="R1605" s="10">
        <f>+ROUND(O1605/Q1605,4)</f>
        <v>0.61499999999999999</v>
      </c>
      <c r="S1605" s="11">
        <f>ROUND(R1605*L1605,2)</f>
        <v>307.5</v>
      </c>
      <c r="T1605" s="10" t="s">
        <v>349</v>
      </c>
      <c r="U1605" s="15" t="s">
        <v>1</v>
      </c>
    </row>
    <row r="1606" spans="1:22">
      <c r="A1606" s="15" t="s">
        <v>39</v>
      </c>
      <c r="B1606" s="16">
        <v>45679</v>
      </c>
      <c r="C1606" s="16">
        <v>45677</v>
      </c>
      <c r="D1606" s="15" t="s">
        <v>5</v>
      </c>
      <c r="E1606" s="15" t="s">
        <v>6</v>
      </c>
      <c r="G1606" s="15" t="s">
        <v>40</v>
      </c>
      <c r="H1606" s="15" t="s">
        <v>37</v>
      </c>
      <c r="I1606" s="15" t="s">
        <v>38</v>
      </c>
      <c r="J1606" s="8" t="str">
        <f>+LEFT(U1606,4)</f>
        <v>BOX-</v>
      </c>
      <c r="K1606" s="15" t="s">
        <v>10</v>
      </c>
      <c r="L1606" s="46">
        <v>500</v>
      </c>
      <c r="M1606" s="15" t="s">
        <v>1472</v>
      </c>
      <c r="N1606" s="15" t="s">
        <v>11</v>
      </c>
      <c r="O1606" s="49">
        <v>4.49</v>
      </c>
      <c r="P1606" s="9">
        <f>ROUND(O1606*L1606,2)</f>
        <v>2245</v>
      </c>
      <c r="Q1606" s="10">
        <f>IF(N1606="HKD",7.8,IF(N1606="CNY",7.30034,1))</f>
        <v>7.3003400000000003</v>
      </c>
      <c r="R1606" s="10">
        <f>+ROUND(O1606/Q1606,4)</f>
        <v>0.61499999999999999</v>
      </c>
      <c r="S1606" s="11">
        <f>ROUND(R1606*L1606,2)</f>
        <v>307.5</v>
      </c>
      <c r="T1606" s="10" t="s">
        <v>349</v>
      </c>
      <c r="U1606" s="15" t="s">
        <v>1</v>
      </c>
    </row>
    <row r="1607" spans="1:22">
      <c r="A1607" s="15" t="s">
        <v>46</v>
      </c>
      <c r="B1607" s="16">
        <v>45679</v>
      </c>
      <c r="C1607" s="16">
        <v>45677</v>
      </c>
      <c r="D1607" s="15" t="s">
        <v>5</v>
      </c>
      <c r="E1607" s="15" t="s">
        <v>6</v>
      </c>
      <c r="G1607" s="15" t="s">
        <v>40</v>
      </c>
      <c r="H1607" s="15" t="s">
        <v>44</v>
      </c>
      <c r="I1607" s="15" t="s">
        <v>45</v>
      </c>
      <c r="J1607" s="8" t="str">
        <f>+LEFT(U1607,4)</f>
        <v>BOX-</v>
      </c>
      <c r="K1607" s="15" t="s">
        <v>10</v>
      </c>
      <c r="L1607" s="46">
        <v>505</v>
      </c>
      <c r="M1607" s="15" t="s">
        <v>1472</v>
      </c>
      <c r="N1607" s="15" t="s">
        <v>11</v>
      </c>
      <c r="O1607" s="49">
        <v>5.17</v>
      </c>
      <c r="P1607" s="9">
        <f>ROUND(O1607*L1607,2)</f>
        <v>2610.85</v>
      </c>
      <c r="Q1607" s="10">
        <f>IF(N1607="HKD",7.8,IF(N1607="CNY",7.30034,1))</f>
        <v>7.3003400000000003</v>
      </c>
      <c r="R1607" s="10">
        <f>+ROUND(O1607/Q1607,4)</f>
        <v>0.70820000000000005</v>
      </c>
      <c r="S1607" s="11">
        <f>ROUND(R1607*L1607,2)</f>
        <v>357.64</v>
      </c>
      <c r="T1607" s="10" t="s">
        <v>349</v>
      </c>
      <c r="U1607" s="15" t="s">
        <v>1</v>
      </c>
    </row>
    <row r="1608" spans="1:22">
      <c r="A1608" s="15" t="s">
        <v>49</v>
      </c>
      <c r="B1608" s="16">
        <v>45679</v>
      </c>
      <c r="C1608" s="16">
        <v>45677</v>
      </c>
      <c r="D1608" s="15" t="s">
        <v>5</v>
      </c>
      <c r="E1608" s="15" t="s">
        <v>6</v>
      </c>
      <c r="G1608" s="15" t="s">
        <v>40</v>
      </c>
      <c r="H1608" s="15" t="s">
        <v>47</v>
      </c>
      <c r="I1608" s="15" t="s">
        <v>48</v>
      </c>
      <c r="J1608" s="8" t="str">
        <f>+LEFT(U1608,4)</f>
        <v>BOX-</v>
      </c>
      <c r="K1608" s="15" t="s">
        <v>10</v>
      </c>
      <c r="L1608" s="46">
        <v>505</v>
      </c>
      <c r="M1608" s="15" t="s">
        <v>1472</v>
      </c>
      <c r="N1608" s="15" t="s">
        <v>11</v>
      </c>
      <c r="O1608" s="49">
        <v>5.41</v>
      </c>
      <c r="P1608" s="9">
        <f>ROUND(O1608*L1608,2)</f>
        <v>2732.05</v>
      </c>
      <c r="Q1608" s="10">
        <f>IF(N1608="HKD",7.8,IF(N1608="CNY",7.30034,1))</f>
        <v>7.3003400000000003</v>
      </c>
      <c r="R1608" s="10">
        <f>+ROUND(O1608/Q1608,4)</f>
        <v>0.74109999999999998</v>
      </c>
      <c r="S1608" s="11">
        <f>ROUND(R1608*L1608,2)</f>
        <v>374.26</v>
      </c>
      <c r="T1608" s="10" t="s">
        <v>349</v>
      </c>
      <c r="U1608" s="15" t="s">
        <v>1</v>
      </c>
    </row>
    <row r="1609" spans="1:22">
      <c r="A1609" s="15" t="s">
        <v>55</v>
      </c>
      <c r="B1609" s="16">
        <v>45679</v>
      </c>
      <c r="C1609" s="16">
        <v>45677</v>
      </c>
      <c r="D1609" s="15" t="s">
        <v>5</v>
      </c>
      <c r="E1609" s="15" t="s">
        <v>6</v>
      </c>
      <c r="G1609" s="15" t="s">
        <v>40</v>
      </c>
      <c r="H1609" s="15" t="s">
        <v>53</v>
      </c>
      <c r="I1609" s="15" t="s">
        <v>54</v>
      </c>
      <c r="J1609" s="8" t="str">
        <f>+LEFT(U1609,4)</f>
        <v>BOX-</v>
      </c>
      <c r="K1609" s="15" t="s">
        <v>10</v>
      </c>
      <c r="L1609" s="46">
        <v>505</v>
      </c>
      <c r="M1609" s="15" t="s">
        <v>1472</v>
      </c>
      <c r="N1609" s="15" t="s">
        <v>11</v>
      </c>
      <c r="O1609" s="49">
        <v>5.45</v>
      </c>
      <c r="P1609" s="9">
        <f>ROUND(O1609*L1609,2)</f>
        <v>2752.25</v>
      </c>
      <c r="Q1609" s="10">
        <f>IF(N1609="HKD",7.8,IF(N1609="CNY",7.30034,1))</f>
        <v>7.3003400000000003</v>
      </c>
      <c r="R1609" s="10">
        <f>+ROUND(O1609/Q1609,4)</f>
        <v>0.74650000000000005</v>
      </c>
      <c r="S1609" s="11">
        <f>ROUND(R1609*L1609,2)</f>
        <v>376.98</v>
      </c>
      <c r="T1609" s="10" t="s">
        <v>349</v>
      </c>
      <c r="U1609" s="15" t="s">
        <v>1</v>
      </c>
    </row>
    <row r="1610" spans="1:22">
      <c r="A1610" s="15" t="s">
        <v>62</v>
      </c>
      <c r="B1610" s="16">
        <v>45679</v>
      </c>
      <c r="C1610" s="16">
        <v>45653</v>
      </c>
      <c r="D1610" s="15" t="s">
        <v>61</v>
      </c>
      <c r="E1610" s="15" t="s">
        <v>61</v>
      </c>
      <c r="G1610" s="15" t="s">
        <v>63</v>
      </c>
      <c r="H1610" s="15" t="s">
        <v>59</v>
      </c>
      <c r="I1610" s="15" t="s">
        <v>60</v>
      </c>
      <c r="J1610" s="8" t="str">
        <f>+LEFT(U1610,4)</f>
        <v>FG--</v>
      </c>
      <c r="K1610" s="15" t="s">
        <v>10</v>
      </c>
      <c r="L1610" s="46">
        <v>1600</v>
      </c>
      <c r="M1610" s="15" t="s">
        <v>1472</v>
      </c>
      <c r="N1610" s="15" t="s">
        <v>11</v>
      </c>
      <c r="O1610" s="49">
        <v>1.3002</v>
      </c>
      <c r="P1610" s="9">
        <f>ROUND(O1610*L1610,2)</f>
        <v>2080.3200000000002</v>
      </c>
      <c r="Q1610" s="10">
        <f>IF(N1610="HKD",7.8,IF(N1610="CNY",7.30034,1))</f>
        <v>7.3003400000000003</v>
      </c>
      <c r="R1610" s="10">
        <f>+ROUND(O1610/Q1610,4)</f>
        <v>0.17810000000000001</v>
      </c>
      <c r="S1610" s="11">
        <f>ROUND(R1610*L1610,2)</f>
        <v>284.95999999999998</v>
      </c>
      <c r="T1610" s="10" t="s">
        <v>349</v>
      </c>
      <c r="U1610" s="15" t="s">
        <v>64</v>
      </c>
    </row>
    <row r="1611" spans="1:22">
      <c r="A1611" s="15" t="s">
        <v>86</v>
      </c>
      <c r="B1611" s="16">
        <v>45678</v>
      </c>
      <c r="C1611" s="16">
        <v>45677</v>
      </c>
      <c r="D1611" s="15" t="s">
        <v>5</v>
      </c>
      <c r="E1611" s="15" t="s">
        <v>6</v>
      </c>
      <c r="G1611" s="15" t="s">
        <v>87</v>
      </c>
      <c r="H1611" s="15" t="s">
        <v>84</v>
      </c>
      <c r="I1611" s="15" t="s">
        <v>85</v>
      </c>
      <c r="J1611" s="8" t="str">
        <f>+LEFT(U1611,4)</f>
        <v>BOX-</v>
      </c>
      <c r="K1611" s="15" t="s">
        <v>10</v>
      </c>
      <c r="L1611" s="46">
        <v>910</v>
      </c>
      <c r="M1611" s="15" t="s">
        <v>1472</v>
      </c>
      <c r="N1611" s="15" t="s">
        <v>11</v>
      </c>
      <c r="O1611" s="49">
        <v>5.2</v>
      </c>
      <c r="P1611" s="9">
        <f>ROUND(O1611*L1611,2)</f>
        <v>4732</v>
      </c>
      <c r="Q1611" s="10">
        <f>IF(N1611="HKD",7.8,IF(N1611="CNY",7.30034,1))</f>
        <v>7.3003400000000003</v>
      </c>
      <c r="R1611" s="10">
        <f>+ROUND(O1611/Q1611,4)</f>
        <v>0.71230000000000004</v>
      </c>
      <c r="S1611" s="11">
        <f>ROUND(R1611*L1611,2)</f>
        <v>648.19000000000005</v>
      </c>
      <c r="T1611" s="10" t="s">
        <v>349</v>
      </c>
      <c r="U1611" s="15" t="s">
        <v>1</v>
      </c>
    </row>
    <row r="1612" spans="1:22">
      <c r="A1612" s="15" t="s">
        <v>69</v>
      </c>
      <c r="B1612" s="16">
        <v>45678</v>
      </c>
      <c r="C1612" s="16">
        <v>45678</v>
      </c>
      <c r="D1612" s="15" t="s">
        <v>67</v>
      </c>
      <c r="E1612" s="15" t="s">
        <v>68</v>
      </c>
      <c r="G1612" s="15" t="s">
        <v>70</v>
      </c>
      <c r="H1612" s="15" t="s">
        <v>65</v>
      </c>
      <c r="I1612" s="15" t="s">
        <v>66</v>
      </c>
      <c r="J1612" s="8" t="str">
        <f>+LEFT(U1612,4)</f>
        <v>MISC</v>
      </c>
      <c r="K1612" s="15" t="s">
        <v>10</v>
      </c>
      <c r="L1612" s="46">
        <v>1000</v>
      </c>
      <c r="M1612" s="15" t="s">
        <v>1472</v>
      </c>
      <c r="N1612" s="15" t="s">
        <v>11</v>
      </c>
      <c r="O1612" s="49">
        <v>6.1100000000000002E-2</v>
      </c>
      <c r="P1612" s="9">
        <f>ROUND(O1612*L1612,2)</f>
        <v>61.1</v>
      </c>
      <c r="Q1612" s="10">
        <f>IF(N1612="HKD",7.8,IF(N1612="CNY",7.30034,1))</f>
        <v>7.3003400000000003</v>
      </c>
      <c r="R1612" s="10">
        <f>+ROUND(O1612/Q1612,4)</f>
        <v>8.3999999999999995E-3</v>
      </c>
      <c r="S1612" s="11">
        <f>ROUND(R1612*L1612,2)</f>
        <v>8.4</v>
      </c>
      <c r="T1612" s="10" t="s">
        <v>349</v>
      </c>
      <c r="U1612" s="15" t="s">
        <v>25</v>
      </c>
    </row>
    <row r="1613" spans="1:22">
      <c r="A1613" s="15" t="s">
        <v>90</v>
      </c>
      <c r="B1613" s="16">
        <v>45678</v>
      </c>
      <c r="C1613" s="16">
        <v>45677</v>
      </c>
      <c r="D1613" s="15" t="s">
        <v>5</v>
      </c>
      <c r="E1613" s="15" t="s">
        <v>6</v>
      </c>
      <c r="G1613" s="15" t="s">
        <v>91</v>
      </c>
      <c r="H1613" s="15" t="s">
        <v>88</v>
      </c>
      <c r="I1613" s="15" t="s">
        <v>89</v>
      </c>
      <c r="J1613" s="8" t="str">
        <f>+LEFT(U1613,4)</f>
        <v>SHTS</v>
      </c>
      <c r="K1613" s="15" t="s">
        <v>10</v>
      </c>
      <c r="L1613" s="46">
        <v>1010</v>
      </c>
      <c r="M1613" s="15" t="s">
        <v>1472</v>
      </c>
      <c r="N1613" s="15" t="s">
        <v>11</v>
      </c>
      <c r="O1613" s="49">
        <v>3.22</v>
      </c>
      <c r="P1613" s="9">
        <f>ROUND(O1613*L1613,2)</f>
        <v>3252.2</v>
      </c>
      <c r="Q1613" s="10">
        <f>IF(N1613="HKD",7.8,IF(N1613="CNY",7.30034,1))</f>
        <v>7.3003400000000003</v>
      </c>
      <c r="R1613" s="10">
        <f>+ROUND(O1613/Q1613,4)</f>
        <v>0.44109999999999999</v>
      </c>
      <c r="S1613" s="11">
        <f>ROUND(R1613*L1613,2)</f>
        <v>445.51</v>
      </c>
      <c r="T1613" s="10" t="s">
        <v>349</v>
      </c>
      <c r="U1613" s="15" t="s">
        <v>9</v>
      </c>
    </row>
    <row r="1614" spans="1:22">
      <c r="A1614" s="15" t="s">
        <v>96</v>
      </c>
      <c r="B1614" s="16">
        <v>45678</v>
      </c>
      <c r="C1614" s="16">
        <v>45615</v>
      </c>
      <c r="D1614" s="15" t="s">
        <v>94</v>
      </c>
      <c r="E1614" s="15" t="s">
        <v>95</v>
      </c>
      <c r="G1614" s="15" t="s">
        <v>97</v>
      </c>
      <c r="H1614" s="15" t="s">
        <v>92</v>
      </c>
      <c r="I1614" s="15" t="s">
        <v>93</v>
      </c>
      <c r="J1614" s="8" t="str">
        <f>+LEFT(U1614,4)</f>
        <v>SKU-</v>
      </c>
      <c r="K1614" s="15" t="s">
        <v>98</v>
      </c>
      <c r="L1614" s="46">
        <v>600</v>
      </c>
      <c r="M1614" s="15" t="s">
        <v>1472</v>
      </c>
      <c r="N1614" s="15" t="s">
        <v>11</v>
      </c>
      <c r="O1614" s="49">
        <v>6.298</v>
      </c>
      <c r="P1614" s="9">
        <f>ROUND(O1614*L1614,2)</f>
        <v>3778.8</v>
      </c>
      <c r="Q1614" s="10">
        <f>IF(N1614="HKD",7.8,IF(N1614="CNY",7.30034,1))</f>
        <v>7.3003400000000003</v>
      </c>
      <c r="R1614" s="10">
        <f>+ROUND(O1614/Q1614,4)</f>
        <v>0.86270000000000002</v>
      </c>
      <c r="S1614" s="11">
        <f>ROUND(R1614*L1614,2)</f>
        <v>517.62</v>
      </c>
      <c r="T1614" s="10" t="s">
        <v>349</v>
      </c>
      <c r="U1614" s="15" t="s">
        <v>2</v>
      </c>
    </row>
    <row r="1615" spans="1:22">
      <c r="A1615" s="15" t="s">
        <v>116</v>
      </c>
      <c r="B1615" s="16">
        <v>45678</v>
      </c>
      <c r="C1615" s="16">
        <v>45677</v>
      </c>
      <c r="D1615" s="15" t="s">
        <v>101</v>
      </c>
      <c r="E1615" s="15" t="s">
        <v>102</v>
      </c>
      <c r="F1615" s="17"/>
      <c r="G1615" s="15" t="s">
        <v>117</v>
      </c>
      <c r="H1615" s="15" t="s">
        <v>114</v>
      </c>
      <c r="I1615" s="15" t="s">
        <v>115</v>
      </c>
      <c r="J1615" s="8" t="str">
        <f>+LEFT(U1615,4)</f>
        <v>STKR</v>
      </c>
      <c r="K1615" s="15" t="s">
        <v>10</v>
      </c>
      <c r="L1615" s="46">
        <v>5000</v>
      </c>
      <c r="M1615" s="15" t="s">
        <v>1472</v>
      </c>
      <c r="N1615" s="15" t="s">
        <v>11</v>
      </c>
      <c r="O1615" s="49">
        <v>2.5000000000000001E-2</v>
      </c>
      <c r="P1615" s="9">
        <f>ROUND(O1615*L1615,2)</f>
        <v>125</v>
      </c>
      <c r="Q1615" s="10">
        <f>IF(N1615="HKD",7.8,IF(N1615="CNY",7.30034,1))</f>
        <v>7.3003400000000003</v>
      </c>
      <c r="R1615" s="10">
        <f>+ROUND(O1615/Q1615,4)</f>
        <v>3.3999999999999998E-3</v>
      </c>
      <c r="S1615" s="11">
        <f>ROUND(R1615*L1615,2)</f>
        <v>17</v>
      </c>
      <c r="T1615" s="10" t="s">
        <v>349</v>
      </c>
      <c r="U1615" s="15" t="s">
        <v>18</v>
      </c>
      <c r="V1615" s="18"/>
    </row>
    <row r="1616" spans="1:22">
      <c r="A1616" s="15" t="s">
        <v>113</v>
      </c>
      <c r="B1616" s="16">
        <v>45678</v>
      </c>
      <c r="C1616" s="16">
        <v>45643</v>
      </c>
      <c r="D1616" s="15" t="s">
        <v>101</v>
      </c>
      <c r="E1616" s="15" t="s">
        <v>102</v>
      </c>
      <c r="G1616" s="15" t="s">
        <v>104</v>
      </c>
      <c r="H1616" s="15" t="s">
        <v>111</v>
      </c>
      <c r="I1616" s="15" t="s">
        <v>112</v>
      </c>
      <c r="J1616" s="8" t="str">
        <f>+LEFT(U1616,4)</f>
        <v>STKR</v>
      </c>
      <c r="K1616" s="15" t="s">
        <v>10</v>
      </c>
      <c r="L1616" s="46">
        <v>2270</v>
      </c>
      <c r="M1616" s="15" t="s">
        <v>1472</v>
      </c>
      <c r="N1616" s="15" t="s">
        <v>11</v>
      </c>
      <c r="O1616" s="49">
        <v>0.05</v>
      </c>
      <c r="P1616" s="9">
        <f>ROUND(O1616*L1616,2)</f>
        <v>113.5</v>
      </c>
      <c r="Q1616" s="10">
        <f>IF(N1616="HKD",7.8,IF(N1616="CNY",7.30034,1))</f>
        <v>7.3003400000000003</v>
      </c>
      <c r="R1616" s="10">
        <f>+ROUND(O1616/Q1616,4)</f>
        <v>6.7999999999999996E-3</v>
      </c>
      <c r="S1616" s="11">
        <f>ROUND(R1616*L1616,2)</f>
        <v>15.44</v>
      </c>
      <c r="T1616" s="10" t="s">
        <v>349</v>
      </c>
      <c r="U1616" s="15" t="s">
        <v>18</v>
      </c>
    </row>
    <row r="1617" spans="1:21">
      <c r="A1617" s="15" t="s">
        <v>110</v>
      </c>
      <c r="B1617" s="16">
        <v>45678</v>
      </c>
      <c r="C1617" s="16">
        <v>45643</v>
      </c>
      <c r="D1617" s="15" t="s">
        <v>101</v>
      </c>
      <c r="E1617" s="15" t="s">
        <v>102</v>
      </c>
      <c r="G1617" s="15" t="s">
        <v>104</v>
      </c>
      <c r="H1617" s="15" t="s">
        <v>108</v>
      </c>
      <c r="I1617" s="15" t="s">
        <v>109</v>
      </c>
      <c r="J1617" s="8" t="str">
        <f>+LEFT(U1617,4)</f>
        <v>STKR</v>
      </c>
      <c r="K1617" s="15" t="s">
        <v>10</v>
      </c>
      <c r="L1617" s="46">
        <v>1880</v>
      </c>
      <c r="M1617" s="15" t="s">
        <v>1472</v>
      </c>
      <c r="N1617" s="15" t="s">
        <v>11</v>
      </c>
      <c r="O1617" s="49">
        <v>0.05</v>
      </c>
      <c r="P1617" s="9">
        <f>ROUND(O1617*L1617,2)</f>
        <v>94</v>
      </c>
      <c r="Q1617" s="10">
        <f>IF(N1617="HKD",7.8,IF(N1617="CNY",7.30034,1))</f>
        <v>7.3003400000000003</v>
      </c>
      <c r="R1617" s="10">
        <f>+ROUND(O1617/Q1617,4)</f>
        <v>6.7999999999999996E-3</v>
      </c>
      <c r="S1617" s="11">
        <f>ROUND(R1617*L1617,2)</f>
        <v>12.78</v>
      </c>
      <c r="T1617" s="10" t="s">
        <v>349</v>
      </c>
      <c r="U1617" s="15" t="s">
        <v>18</v>
      </c>
    </row>
    <row r="1618" spans="1:21">
      <c r="A1618" s="15" t="s">
        <v>107</v>
      </c>
      <c r="B1618" s="16">
        <v>45678</v>
      </c>
      <c r="C1618" s="16">
        <v>45643</v>
      </c>
      <c r="D1618" s="15" t="s">
        <v>101</v>
      </c>
      <c r="E1618" s="15" t="s">
        <v>102</v>
      </c>
      <c r="G1618" s="15" t="s">
        <v>104</v>
      </c>
      <c r="H1618" s="15" t="s">
        <v>105</v>
      </c>
      <c r="I1618" s="15" t="s">
        <v>106</v>
      </c>
      <c r="J1618" s="8" t="str">
        <f>+LEFT(U1618,4)</f>
        <v>STKR</v>
      </c>
      <c r="K1618" s="15" t="s">
        <v>10</v>
      </c>
      <c r="L1618" s="46">
        <v>1200</v>
      </c>
      <c r="M1618" s="15" t="s">
        <v>1472</v>
      </c>
      <c r="N1618" s="15" t="s">
        <v>11</v>
      </c>
      <c r="O1618" s="49">
        <v>0.05</v>
      </c>
      <c r="P1618" s="9">
        <f>ROUND(O1618*L1618,2)</f>
        <v>60</v>
      </c>
      <c r="Q1618" s="10">
        <f>IF(N1618="HKD",7.8,IF(N1618="CNY",7.30034,1))</f>
        <v>7.3003400000000003</v>
      </c>
      <c r="R1618" s="10">
        <f>+ROUND(O1618/Q1618,4)</f>
        <v>6.7999999999999996E-3</v>
      </c>
      <c r="S1618" s="11">
        <f>ROUND(R1618*L1618,2)</f>
        <v>8.16</v>
      </c>
      <c r="T1618" s="10" t="s">
        <v>349</v>
      </c>
      <c r="U1618" s="15" t="s">
        <v>18</v>
      </c>
    </row>
    <row r="1619" spans="1:21">
      <c r="A1619" s="15" t="s">
        <v>103</v>
      </c>
      <c r="B1619" s="16">
        <v>45678</v>
      </c>
      <c r="C1619" s="16">
        <v>45643</v>
      </c>
      <c r="D1619" s="15" t="s">
        <v>101</v>
      </c>
      <c r="E1619" s="15" t="s">
        <v>102</v>
      </c>
      <c r="G1619" s="15" t="s">
        <v>104</v>
      </c>
      <c r="H1619" s="15" t="s">
        <v>99</v>
      </c>
      <c r="I1619" s="15" t="s">
        <v>100</v>
      </c>
      <c r="J1619" s="8" t="str">
        <f>+LEFT(U1619,4)</f>
        <v>STKR</v>
      </c>
      <c r="K1619" s="15" t="s">
        <v>10</v>
      </c>
      <c r="L1619" s="46">
        <v>1010</v>
      </c>
      <c r="M1619" s="15" t="s">
        <v>1472</v>
      </c>
      <c r="N1619" s="15" t="s">
        <v>11</v>
      </c>
      <c r="O1619" s="49">
        <v>0.11</v>
      </c>
      <c r="P1619" s="9">
        <f>ROUND(O1619*L1619,2)</f>
        <v>111.1</v>
      </c>
      <c r="Q1619" s="10">
        <f>IF(N1619="HKD",7.8,IF(N1619="CNY",7.30034,1))</f>
        <v>7.3003400000000003</v>
      </c>
      <c r="R1619" s="10">
        <f>+ROUND(O1619/Q1619,4)</f>
        <v>1.5100000000000001E-2</v>
      </c>
      <c r="S1619" s="11">
        <f>ROUND(R1619*L1619,2)</f>
        <v>15.25</v>
      </c>
      <c r="T1619" s="10" t="s">
        <v>349</v>
      </c>
      <c r="U1619" s="15" t="s">
        <v>18</v>
      </c>
    </row>
    <row r="1620" spans="1:21">
      <c r="A1620" s="15" t="s">
        <v>123</v>
      </c>
      <c r="B1620" s="16">
        <v>45677</v>
      </c>
      <c r="C1620" s="16">
        <v>45672</v>
      </c>
      <c r="D1620" s="15" t="s">
        <v>121</v>
      </c>
      <c r="E1620" s="15" t="s">
        <v>122</v>
      </c>
      <c r="G1620" s="15" t="s">
        <v>124</v>
      </c>
      <c r="H1620" s="15" t="s">
        <v>119</v>
      </c>
      <c r="I1620" s="15" t="s">
        <v>120</v>
      </c>
      <c r="J1620" s="8" t="str">
        <f>+LEFT(U1620,4)</f>
        <v>LHDL</v>
      </c>
      <c r="K1620" s="15" t="s">
        <v>10</v>
      </c>
      <c r="L1620" s="46">
        <v>32</v>
      </c>
      <c r="M1620" s="15" t="s">
        <v>1472</v>
      </c>
      <c r="N1620" s="15" t="s">
        <v>11</v>
      </c>
      <c r="O1620" s="49">
        <v>7.4566999999999997</v>
      </c>
      <c r="P1620" s="9">
        <f>ROUND(O1620*L1620,2)</f>
        <v>238.61</v>
      </c>
      <c r="Q1620" s="10">
        <f>IF(N1620="HKD",7.8,IF(N1620="CNY",7.30034,1))</f>
        <v>7.3003400000000003</v>
      </c>
      <c r="R1620" s="10">
        <f>+ROUND(O1620/Q1620,4)</f>
        <v>1.0214000000000001</v>
      </c>
      <c r="S1620" s="11">
        <f>ROUND(R1620*L1620,2)</f>
        <v>32.68</v>
      </c>
      <c r="T1620" s="10" t="s">
        <v>349</v>
      </c>
      <c r="U1620" s="15" t="s">
        <v>125</v>
      </c>
    </row>
    <row r="1621" spans="1:21">
      <c r="A1621" s="15" t="s">
        <v>130</v>
      </c>
      <c r="B1621" s="16">
        <v>45677</v>
      </c>
      <c r="C1621" s="16">
        <v>45664</v>
      </c>
      <c r="D1621" s="15" t="s">
        <v>128</v>
      </c>
      <c r="E1621" s="15" t="s">
        <v>129</v>
      </c>
      <c r="G1621" s="15" t="s">
        <v>131</v>
      </c>
      <c r="H1621" s="15" t="s">
        <v>126</v>
      </c>
      <c r="I1621" s="15" t="s">
        <v>127</v>
      </c>
      <c r="J1621" s="8" t="str">
        <f>+LEFT(U1621,4)</f>
        <v>RIV-</v>
      </c>
      <c r="K1621" s="15" t="s">
        <v>10</v>
      </c>
      <c r="L1621" s="46">
        <v>1000</v>
      </c>
      <c r="M1621" s="15" t="s">
        <v>1472</v>
      </c>
      <c r="N1621" s="15" t="s">
        <v>11</v>
      </c>
      <c r="O1621" s="49">
        <v>8.7300000000000003E-2</v>
      </c>
      <c r="P1621" s="9">
        <f>ROUND(O1621*L1621,2)</f>
        <v>87.3</v>
      </c>
      <c r="Q1621" s="10">
        <f>IF(N1621="HKD",7.8,IF(N1621="CNY",7.30034,1))</f>
        <v>7.3003400000000003</v>
      </c>
      <c r="R1621" s="10">
        <f>+ROUND(O1621/Q1621,4)</f>
        <v>1.2E-2</v>
      </c>
      <c r="S1621" s="11">
        <f>ROUND(R1621*L1621,2)</f>
        <v>12</v>
      </c>
      <c r="T1621" s="10" t="s">
        <v>349</v>
      </c>
      <c r="U1621" s="15" t="s">
        <v>132</v>
      </c>
    </row>
    <row r="1622" spans="1:21">
      <c r="A1622" s="15" t="s">
        <v>96</v>
      </c>
      <c r="B1622" s="16">
        <v>45677</v>
      </c>
      <c r="C1622" s="16">
        <v>45615</v>
      </c>
      <c r="D1622" s="15" t="s">
        <v>94</v>
      </c>
      <c r="E1622" s="15" t="s">
        <v>95</v>
      </c>
      <c r="G1622" s="15" t="s">
        <v>118</v>
      </c>
      <c r="H1622" s="15" t="s">
        <v>92</v>
      </c>
      <c r="I1622" s="15" t="s">
        <v>93</v>
      </c>
      <c r="J1622" s="8" t="str">
        <f>+LEFT(U1622,4)</f>
        <v>SKU-</v>
      </c>
      <c r="K1622" s="15" t="s">
        <v>98</v>
      </c>
      <c r="L1622" s="46">
        <v>600</v>
      </c>
      <c r="M1622" s="15" t="s">
        <v>1472</v>
      </c>
      <c r="N1622" s="15" t="s">
        <v>11</v>
      </c>
      <c r="O1622" s="49">
        <v>6.298</v>
      </c>
      <c r="P1622" s="9">
        <f>ROUND(O1622*L1622,2)</f>
        <v>3778.8</v>
      </c>
      <c r="Q1622" s="10">
        <f>IF(N1622="HKD",7.8,IF(N1622="CNY",7.30034,1))</f>
        <v>7.3003400000000003</v>
      </c>
      <c r="R1622" s="10">
        <f>+ROUND(O1622/Q1622,4)</f>
        <v>0.86270000000000002</v>
      </c>
      <c r="S1622" s="11">
        <f>ROUND(R1622*L1622,2)</f>
        <v>517.62</v>
      </c>
      <c r="T1622" s="10" t="s">
        <v>349</v>
      </c>
      <c r="U1622" s="15" t="s">
        <v>2</v>
      </c>
    </row>
    <row r="1623" spans="1:21">
      <c r="A1623" s="15" t="s">
        <v>96</v>
      </c>
      <c r="B1623" s="16">
        <v>45677</v>
      </c>
      <c r="C1623" s="16">
        <v>45615</v>
      </c>
      <c r="D1623" s="15" t="s">
        <v>94</v>
      </c>
      <c r="E1623" s="15" t="s">
        <v>95</v>
      </c>
      <c r="G1623" s="15" t="s">
        <v>133</v>
      </c>
      <c r="H1623" s="15" t="s">
        <v>92</v>
      </c>
      <c r="I1623" s="15" t="s">
        <v>93</v>
      </c>
      <c r="J1623" s="8" t="str">
        <f>+LEFT(U1623,4)</f>
        <v>SKU-</v>
      </c>
      <c r="K1623" s="15" t="s">
        <v>98</v>
      </c>
      <c r="L1623" s="46">
        <v>1800</v>
      </c>
      <c r="M1623" s="15" t="s">
        <v>1472</v>
      </c>
      <c r="N1623" s="15" t="s">
        <v>11</v>
      </c>
      <c r="O1623" s="49">
        <v>6.298</v>
      </c>
      <c r="P1623" s="9">
        <f>ROUND(O1623*L1623,2)</f>
        <v>11336.4</v>
      </c>
      <c r="Q1623" s="10">
        <f>IF(N1623="HKD",7.8,IF(N1623="CNY",7.30034,1))</f>
        <v>7.3003400000000003</v>
      </c>
      <c r="R1623" s="10">
        <f>+ROUND(O1623/Q1623,4)</f>
        <v>0.86270000000000002</v>
      </c>
      <c r="S1623" s="11">
        <f>ROUND(R1623*L1623,2)</f>
        <v>1552.86</v>
      </c>
      <c r="T1623" s="10" t="s">
        <v>349</v>
      </c>
      <c r="U1623" s="15" t="s">
        <v>2</v>
      </c>
    </row>
    <row r="1624" spans="1:21">
      <c r="A1624" s="15" t="s">
        <v>155</v>
      </c>
      <c r="B1624" s="16">
        <v>45675</v>
      </c>
      <c r="C1624" s="16">
        <v>45653</v>
      </c>
      <c r="D1624" s="15" t="s">
        <v>149</v>
      </c>
      <c r="E1624" s="15" t="s">
        <v>150</v>
      </c>
      <c r="G1624" s="15" t="s">
        <v>156</v>
      </c>
      <c r="H1624" s="15" t="s">
        <v>153</v>
      </c>
      <c r="I1624" s="15" t="s">
        <v>154</v>
      </c>
      <c r="J1624" s="8" t="str">
        <f>+LEFT(U1624,4)</f>
        <v>GLID</v>
      </c>
      <c r="K1624" s="15" t="s">
        <v>10</v>
      </c>
      <c r="L1624" s="46">
        <v>1000</v>
      </c>
      <c r="M1624" s="15" t="s">
        <v>1472</v>
      </c>
      <c r="N1624" s="15" t="s">
        <v>11</v>
      </c>
      <c r="O1624" s="49">
        <v>3.0440999999999998</v>
      </c>
      <c r="P1624" s="9">
        <f>ROUND(O1624*L1624,2)</f>
        <v>3044.1</v>
      </c>
      <c r="Q1624" s="10">
        <f>IF(N1624="HKD",7.8,IF(N1624="CNY",7.30034,1))</f>
        <v>7.3003400000000003</v>
      </c>
      <c r="R1624" s="10">
        <f>+ROUND(O1624/Q1624,4)</f>
        <v>0.41699999999999998</v>
      </c>
      <c r="S1624" s="11">
        <f>ROUND(R1624*L1624,2)</f>
        <v>417</v>
      </c>
      <c r="T1624" s="10" t="s">
        <v>349</v>
      </c>
      <c r="U1624" s="15" t="s">
        <v>78</v>
      </c>
    </row>
    <row r="1625" spans="1:21">
      <c r="A1625" s="15" t="s">
        <v>159</v>
      </c>
      <c r="B1625" s="16">
        <v>45675</v>
      </c>
      <c r="C1625" s="16">
        <v>45646</v>
      </c>
      <c r="D1625" s="15" t="s">
        <v>149</v>
      </c>
      <c r="E1625" s="15" t="s">
        <v>150</v>
      </c>
      <c r="G1625" s="15" t="s">
        <v>156</v>
      </c>
      <c r="H1625" s="15" t="s">
        <v>157</v>
      </c>
      <c r="I1625" s="15" t="s">
        <v>158</v>
      </c>
      <c r="J1625" s="8" t="str">
        <f>+LEFT(U1625,4)</f>
        <v>GLID</v>
      </c>
      <c r="K1625" s="15" t="s">
        <v>10</v>
      </c>
      <c r="L1625" s="46">
        <v>7100</v>
      </c>
      <c r="M1625" s="15" t="s">
        <v>1472</v>
      </c>
      <c r="N1625" s="15" t="s">
        <v>11</v>
      </c>
      <c r="O1625" s="49">
        <v>3.3437000000000001</v>
      </c>
      <c r="P1625" s="9">
        <f>ROUND(O1625*L1625,2)</f>
        <v>23740.27</v>
      </c>
      <c r="Q1625" s="10">
        <f>IF(N1625="HKD",7.8,IF(N1625="CNY",7.30034,1))</f>
        <v>7.3003400000000003</v>
      </c>
      <c r="R1625" s="10">
        <f>+ROUND(O1625/Q1625,4)</f>
        <v>0.45800000000000002</v>
      </c>
      <c r="S1625" s="11">
        <f>ROUND(R1625*L1625,2)</f>
        <v>3251.8</v>
      </c>
      <c r="T1625" s="10" t="s">
        <v>349</v>
      </c>
      <c r="U1625" s="15" t="s">
        <v>78</v>
      </c>
    </row>
    <row r="1626" spans="1:21">
      <c r="A1626" s="15" t="s">
        <v>145</v>
      </c>
      <c r="B1626" s="16">
        <v>45675</v>
      </c>
      <c r="C1626" s="16">
        <v>45646</v>
      </c>
      <c r="D1626" s="15" t="s">
        <v>143</v>
      </c>
      <c r="E1626" s="15" t="s">
        <v>144</v>
      </c>
      <c r="G1626" s="15" t="s">
        <v>146</v>
      </c>
      <c r="H1626" s="15" t="s">
        <v>141</v>
      </c>
      <c r="I1626" s="15" t="s">
        <v>142</v>
      </c>
      <c r="J1626" s="8" t="str">
        <f>+LEFT(U1626,4)</f>
        <v>KNOB</v>
      </c>
      <c r="K1626" s="15" t="s">
        <v>10</v>
      </c>
      <c r="L1626" s="46">
        <v>9500</v>
      </c>
      <c r="M1626" s="15" t="s">
        <v>1472</v>
      </c>
      <c r="N1626" s="15" t="s">
        <v>11</v>
      </c>
      <c r="O1626" s="49">
        <v>5.0999999999999996</v>
      </c>
      <c r="P1626" s="9">
        <f>ROUND(O1626*L1626,2)</f>
        <v>48450</v>
      </c>
      <c r="Q1626" s="10">
        <f>IF(N1626="HKD",7.8,IF(N1626="CNY",7.30034,1))</f>
        <v>7.3003400000000003</v>
      </c>
      <c r="R1626" s="10">
        <f>+ROUND(O1626/Q1626,4)</f>
        <v>0.6986</v>
      </c>
      <c r="S1626" s="11">
        <f>ROUND(R1626*L1626,2)</f>
        <v>6636.7</v>
      </c>
      <c r="T1626" s="10" t="s">
        <v>349</v>
      </c>
      <c r="U1626" s="15" t="s">
        <v>32</v>
      </c>
    </row>
    <row r="1627" spans="1:21">
      <c r="A1627" s="15" t="s">
        <v>139</v>
      </c>
      <c r="B1627" s="16">
        <v>45675</v>
      </c>
      <c r="C1627" s="16">
        <v>45671</v>
      </c>
      <c r="D1627" s="15" t="s">
        <v>137</v>
      </c>
      <c r="E1627" s="15" t="s">
        <v>138</v>
      </c>
      <c r="G1627" s="15" t="s">
        <v>140</v>
      </c>
      <c r="H1627" s="15" t="s">
        <v>134</v>
      </c>
      <c r="I1627" s="15" t="s">
        <v>135</v>
      </c>
      <c r="J1627" s="8" t="str">
        <f>+LEFT(U1627,4)</f>
        <v>MISC</v>
      </c>
      <c r="K1627" s="15" t="s">
        <v>10</v>
      </c>
      <c r="L1627" s="46">
        <v>900</v>
      </c>
      <c r="M1627" s="15" t="s">
        <v>136</v>
      </c>
      <c r="N1627" s="15" t="s">
        <v>11</v>
      </c>
      <c r="O1627" s="49">
        <v>6.5</v>
      </c>
      <c r="P1627" s="9">
        <f>ROUND(O1627*L1627,2)</f>
        <v>5850</v>
      </c>
      <c r="Q1627" s="10">
        <f>IF(N1627="HKD",7.8,IF(N1627="CNY",7.30034,1))</f>
        <v>7.3003400000000003</v>
      </c>
      <c r="R1627" s="10">
        <f>+ROUND(O1627/Q1627,4)</f>
        <v>0.89039999999999997</v>
      </c>
      <c r="S1627" s="11">
        <f>ROUND(R1627*L1627,2)</f>
        <v>801.36</v>
      </c>
      <c r="T1627" s="10" t="s">
        <v>349</v>
      </c>
      <c r="U1627" s="15" t="s">
        <v>25</v>
      </c>
    </row>
    <row r="1628" spans="1:21">
      <c r="A1628" s="15" t="s">
        <v>164</v>
      </c>
      <c r="B1628" s="16">
        <v>45675</v>
      </c>
      <c r="C1628" s="16">
        <v>45670</v>
      </c>
      <c r="D1628" s="15" t="s">
        <v>162</v>
      </c>
      <c r="E1628" s="15" t="s">
        <v>163</v>
      </c>
      <c r="G1628" s="15" t="s">
        <v>165</v>
      </c>
      <c r="H1628" s="15" t="s">
        <v>160</v>
      </c>
      <c r="I1628" s="15" t="s">
        <v>161</v>
      </c>
      <c r="J1628" s="8" t="str">
        <f>+LEFT(U1628,4)</f>
        <v>SCR-</v>
      </c>
      <c r="K1628" s="15" t="s">
        <v>10</v>
      </c>
      <c r="L1628" s="46">
        <v>3200</v>
      </c>
      <c r="M1628" s="15" t="s">
        <v>1472</v>
      </c>
      <c r="N1628" s="15" t="s">
        <v>11</v>
      </c>
      <c r="O1628" s="49">
        <v>0.14199999999999999</v>
      </c>
      <c r="P1628" s="9">
        <f>ROUND(O1628*L1628,2)</f>
        <v>454.4</v>
      </c>
      <c r="Q1628" s="10">
        <f>IF(N1628="HKD",7.8,IF(N1628="CNY",7.30034,1))</f>
        <v>7.3003400000000003</v>
      </c>
      <c r="R1628" s="10">
        <f>+ROUND(O1628/Q1628,4)</f>
        <v>1.95E-2</v>
      </c>
      <c r="S1628" s="11">
        <f>ROUND(R1628*L1628,2)</f>
        <v>62.4</v>
      </c>
      <c r="T1628" s="10" t="s">
        <v>349</v>
      </c>
      <c r="U1628" s="15" t="s">
        <v>166</v>
      </c>
    </row>
    <row r="1629" spans="1:21">
      <c r="A1629" s="15" t="s">
        <v>151</v>
      </c>
      <c r="B1629" s="16">
        <v>45675</v>
      </c>
      <c r="C1629" s="16">
        <v>45639</v>
      </c>
      <c r="D1629" s="15" t="s">
        <v>149</v>
      </c>
      <c r="E1629" s="15" t="s">
        <v>150</v>
      </c>
      <c r="G1629" s="15" t="s">
        <v>152</v>
      </c>
      <c r="H1629" s="15" t="s">
        <v>147</v>
      </c>
      <c r="I1629" s="15" t="s">
        <v>148</v>
      </c>
      <c r="J1629" s="8" t="str">
        <f>+LEFT(U1629,4)</f>
        <v>SKU-</v>
      </c>
      <c r="K1629" s="15" t="s">
        <v>98</v>
      </c>
      <c r="L1629" s="46">
        <v>910</v>
      </c>
      <c r="M1629" s="15" t="s">
        <v>1472</v>
      </c>
      <c r="N1629" s="15" t="s">
        <v>11</v>
      </c>
      <c r="O1629" s="49">
        <v>8.6722999999999999</v>
      </c>
      <c r="P1629" s="9">
        <f>ROUND(O1629*L1629,2)</f>
        <v>7891.79</v>
      </c>
      <c r="Q1629" s="10">
        <f>IF(N1629="HKD",7.8,IF(N1629="CNY",7.30034,1))</f>
        <v>7.3003400000000003</v>
      </c>
      <c r="R1629" s="10">
        <f>+ROUND(O1629/Q1629,4)</f>
        <v>1.1879</v>
      </c>
      <c r="S1629" s="11">
        <f>ROUND(R1629*L1629,2)</f>
        <v>1080.99</v>
      </c>
      <c r="T1629" s="10" t="s">
        <v>349</v>
      </c>
      <c r="U1629" s="15" t="s">
        <v>2</v>
      </c>
    </row>
    <row r="1630" spans="1:21">
      <c r="A1630" s="15" t="s">
        <v>220</v>
      </c>
      <c r="B1630" s="16">
        <v>45674</v>
      </c>
      <c r="C1630" s="16">
        <v>45663</v>
      </c>
      <c r="D1630" s="15" t="s">
        <v>187</v>
      </c>
      <c r="E1630" s="15" t="s">
        <v>188</v>
      </c>
      <c r="G1630" s="15" t="s">
        <v>195</v>
      </c>
      <c r="H1630" s="15" t="s">
        <v>211</v>
      </c>
      <c r="I1630" s="15" t="s">
        <v>212</v>
      </c>
      <c r="J1630" s="8" t="str">
        <f>+LEFT(U1630,4)</f>
        <v>ALM-</v>
      </c>
      <c r="K1630" s="15" t="s">
        <v>98</v>
      </c>
      <c r="L1630" s="46">
        <v>400</v>
      </c>
      <c r="M1630" s="15" t="s">
        <v>186</v>
      </c>
      <c r="N1630" s="15" t="s">
        <v>11</v>
      </c>
      <c r="O1630" s="49">
        <v>3.1415999999999999</v>
      </c>
      <c r="P1630" s="9">
        <f>ROUND(O1630*L1630,2)</f>
        <v>1256.6400000000001</v>
      </c>
      <c r="Q1630" s="10">
        <f>IF(N1630="HKD",7.8,IF(N1630="CNY",7.30034,1))</f>
        <v>7.3003400000000003</v>
      </c>
      <c r="R1630" s="10">
        <f>+ROUND(O1630/Q1630,4)</f>
        <v>0.43030000000000002</v>
      </c>
      <c r="S1630" s="11">
        <f>ROUND(R1630*L1630,2)</f>
        <v>172.12</v>
      </c>
      <c r="T1630" s="10" t="s">
        <v>349</v>
      </c>
      <c r="U1630" s="15" t="s">
        <v>191</v>
      </c>
    </row>
    <row r="1631" spans="1:21">
      <c r="A1631" s="15" t="s">
        <v>219</v>
      </c>
      <c r="B1631" s="16">
        <v>45674</v>
      </c>
      <c r="C1631" s="16">
        <v>45663</v>
      </c>
      <c r="D1631" s="15" t="s">
        <v>187</v>
      </c>
      <c r="E1631" s="15" t="s">
        <v>188</v>
      </c>
      <c r="G1631" s="15" t="s">
        <v>195</v>
      </c>
      <c r="H1631" s="15" t="s">
        <v>217</v>
      </c>
      <c r="I1631" s="15" t="s">
        <v>218</v>
      </c>
      <c r="J1631" s="8" t="str">
        <f>+LEFT(U1631,4)</f>
        <v>ALM-</v>
      </c>
      <c r="K1631" s="15" t="s">
        <v>98</v>
      </c>
      <c r="L1631" s="46">
        <v>100</v>
      </c>
      <c r="M1631" s="15" t="s">
        <v>186</v>
      </c>
      <c r="N1631" s="15" t="s">
        <v>11</v>
      </c>
      <c r="O1631" s="49">
        <v>3.1415999999999999</v>
      </c>
      <c r="P1631" s="9">
        <f>ROUND(O1631*L1631,2)</f>
        <v>314.16000000000003</v>
      </c>
      <c r="Q1631" s="10">
        <f>IF(N1631="HKD",7.8,IF(N1631="CNY",7.30034,1))</f>
        <v>7.3003400000000003</v>
      </c>
      <c r="R1631" s="10">
        <f>+ROUND(O1631/Q1631,4)</f>
        <v>0.43030000000000002</v>
      </c>
      <c r="S1631" s="11">
        <f>ROUND(R1631*L1631,2)</f>
        <v>43.03</v>
      </c>
      <c r="T1631" s="10" t="s">
        <v>349</v>
      </c>
      <c r="U1631" s="15" t="s">
        <v>191</v>
      </c>
    </row>
    <row r="1632" spans="1:21">
      <c r="A1632" s="15" t="s">
        <v>216</v>
      </c>
      <c r="B1632" s="16">
        <v>45674</v>
      </c>
      <c r="C1632" s="16">
        <v>45663</v>
      </c>
      <c r="D1632" s="15" t="s">
        <v>187</v>
      </c>
      <c r="E1632" s="15" t="s">
        <v>188</v>
      </c>
      <c r="G1632" s="15" t="s">
        <v>195</v>
      </c>
      <c r="H1632" s="15" t="s">
        <v>214</v>
      </c>
      <c r="I1632" s="15" t="s">
        <v>215</v>
      </c>
      <c r="J1632" s="8" t="str">
        <f>+LEFT(U1632,4)</f>
        <v>ALM-</v>
      </c>
      <c r="K1632" s="15" t="s">
        <v>98</v>
      </c>
      <c r="L1632" s="46">
        <v>350</v>
      </c>
      <c r="M1632" s="15" t="s">
        <v>186</v>
      </c>
      <c r="N1632" s="15" t="s">
        <v>11</v>
      </c>
      <c r="O1632" s="49">
        <v>3.1415999999999999</v>
      </c>
      <c r="P1632" s="9">
        <f>ROUND(O1632*L1632,2)</f>
        <v>1099.56</v>
      </c>
      <c r="Q1632" s="10">
        <f>IF(N1632="HKD",7.8,IF(N1632="CNY",7.30034,1))</f>
        <v>7.3003400000000003</v>
      </c>
      <c r="R1632" s="10">
        <f>+ROUND(O1632/Q1632,4)</f>
        <v>0.43030000000000002</v>
      </c>
      <c r="S1632" s="11">
        <f>ROUND(R1632*L1632,2)</f>
        <v>150.61000000000001</v>
      </c>
      <c r="T1632" s="10" t="s">
        <v>349</v>
      </c>
      <c r="U1632" s="15" t="s">
        <v>191</v>
      </c>
    </row>
    <row r="1633" spans="1:21">
      <c r="A1633" s="15" t="s">
        <v>213</v>
      </c>
      <c r="B1633" s="16">
        <v>45674</v>
      </c>
      <c r="C1633" s="16">
        <v>45663</v>
      </c>
      <c r="D1633" s="15" t="s">
        <v>187</v>
      </c>
      <c r="E1633" s="15" t="s">
        <v>188</v>
      </c>
      <c r="G1633" s="15" t="s">
        <v>195</v>
      </c>
      <c r="H1633" s="15" t="s">
        <v>211</v>
      </c>
      <c r="I1633" s="15" t="s">
        <v>212</v>
      </c>
      <c r="J1633" s="8" t="str">
        <f>+LEFT(U1633,4)</f>
        <v>ALM-</v>
      </c>
      <c r="K1633" s="15" t="s">
        <v>98</v>
      </c>
      <c r="L1633" s="46">
        <v>800</v>
      </c>
      <c r="M1633" s="15" t="s">
        <v>186</v>
      </c>
      <c r="N1633" s="15" t="s">
        <v>11</v>
      </c>
      <c r="O1633" s="49">
        <v>3.1415999999999999</v>
      </c>
      <c r="P1633" s="9">
        <f>ROUND(O1633*L1633,2)</f>
        <v>2513.2800000000002</v>
      </c>
      <c r="Q1633" s="10">
        <f>IF(N1633="HKD",7.8,IF(N1633="CNY",7.30034,1))</f>
        <v>7.3003400000000003</v>
      </c>
      <c r="R1633" s="10">
        <f>+ROUND(O1633/Q1633,4)</f>
        <v>0.43030000000000002</v>
      </c>
      <c r="S1633" s="11">
        <f>ROUND(R1633*L1633,2)</f>
        <v>344.24</v>
      </c>
      <c r="T1633" s="10" t="s">
        <v>349</v>
      </c>
      <c r="U1633" s="15" t="s">
        <v>191</v>
      </c>
    </row>
    <row r="1634" spans="1:21">
      <c r="A1634" s="15" t="s">
        <v>210</v>
      </c>
      <c r="B1634" s="16">
        <v>45674</v>
      </c>
      <c r="C1634" s="16">
        <v>45663</v>
      </c>
      <c r="D1634" s="15" t="s">
        <v>187</v>
      </c>
      <c r="E1634" s="15" t="s">
        <v>188</v>
      </c>
      <c r="G1634" s="15" t="s">
        <v>195</v>
      </c>
      <c r="H1634" s="15" t="s">
        <v>208</v>
      </c>
      <c r="I1634" s="15" t="s">
        <v>209</v>
      </c>
      <c r="J1634" s="8" t="str">
        <f>+LEFT(U1634,4)</f>
        <v>ALM-</v>
      </c>
      <c r="K1634" s="15" t="s">
        <v>98</v>
      </c>
      <c r="L1634" s="46">
        <v>550</v>
      </c>
      <c r="M1634" s="15" t="s">
        <v>186</v>
      </c>
      <c r="N1634" s="15" t="s">
        <v>11</v>
      </c>
      <c r="O1634" s="49">
        <v>3.1415999999999999</v>
      </c>
      <c r="P1634" s="9">
        <f>ROUND(O1634*L1634,2)</f>
        <v>1727.88</v>
      </c>
      <c r="Q1634" s="10">
        <f>IF(N1634="HKD",7.8,IF(N1634="CNY",7.30034,1))</f>
        <v>7.3003400000000003</v>
      </c>
      <c r="R1634" s="10">
        <f>+ROUND(O1634/Q1634,4)</f>
        <v>0.43030000000000002</v>
      </c>
      <c r="S1634" s="11">
        <f>ROUND(R1634*L1634,2)</f>
        <v>236.67</v>
      </c>
      <c r="T1634" s="10" t="s">
        <v>349</v>
      </c>
      <c r="U1634" s="15" t="s">
        <v>191</v>
      </c>
    </row>
    <row r="1635" spans="1:21">
      <c r="A1635" s="15" t="s">
        <v>207</v>
      </c>
      <c r="B1635" s="16">
        <v>45674</v>
      </c>
      <c r="C1635" s="16">
        <v>45663</v>
      </c>
      <c r="D1635" s="15" t="s">
        <v>187</v>
      </c>
      <c r="E1635" s="15" t="s">
        <v>188</v>
      </c>
      <c r="G1635" s="15" t="s">
        <v>195</v>
      </c>
      <c r="H1635" s="15" t="s">
        <v>205</v>
      </c>
      <c r="I1635" s="15" t="s">
        <v>206</v>
      </c>
      <c r="J1635" s="8" t="str">
        <f>+LEFT(U1635,4)</f>
        <v>ALM-</v>
      </c>
      <c r="K1635" s="15" t="s">
        <v>98</v>
      </c>
      <c r="L1635" s="46">
        <v>400</v>
      </c>
      <c r="M1635" s="15" t="s">
        <v>186</v>
      </c>
      <c r="N1635" s="15" t="s">
        <v>11</v>
      </c>
      <c r="O1635" s="49">
        <v>3.1415999999999999</v>
      </c>
      <c r="P1635" s="9">
        <f>ROUND(O1635*L1635,2)</f>
        <v>1256.6400000000001</v>
      </c>
      <c r="Q1635" s="10">
        <f>IF(N1635="HKD",7.8,IF(N1635="CNY",7.30034,1))</f>
        <v>7.3003400000000003</v>
      </c>
      <c r="R1635" s="10">
        <f>+ROUND(O1635/Q1635,4)</f>
        <v>0.43030000000000002</v>
      </c>
      <c r="S1635" s="11">
        <f>ROUND(R1635*L1635,2)</f>
        <v>172.12</v>
      </c>
      <c r="T1635" s="10" t="s">
        <v>349</v>
      </c>
      <c r="U1635" s="15" t="s">
        <v>191</v>
      </c>
    </row>
    <row r="1636" spans="1:21">
      <c r="A1636" s="15" t="s">
        <v>204</v>
      </c>
      <c r="B1636" s="16">
        <v>45674</v>
      </c>
      <c r="C1636" s="16">
        <v>45663</v>
      </c>
      <c r="D1636" s="15" t="s">
        <v>187</v>
      </c>
      <c r="E1636" s="15" t="s">
        <v>188</v>
      </c>
      <c r="G1636" s="15" t="s">
        <v>195</v>
      </c>
      <c r="H1636" s="15" t="s">
        <v>202</v>
      </c>
      <c r="I1636" s="15" t="s">
        <v>203</v>
      </c>
      <c r="J1636" s="8" t="str">
        <f>+LEFT(U1636,4)</f>
        <v>ALM-</v>
      </c>
      <c r="K1636" s="15" t="s">
        <v>98</v>
      </c>
      <c r="L1636" s="46">
        <v>500</v>
      </c>
      <c r="M1636" s="15" t="s">
        <v>186</v>
      </c>
      <c r="N1636" s="15" t="s">
        <v>11</v>
      </c>
      <c r="O1636" s="49">
        <v>3.1415999999999999</v>
      </c>
      <c r="P1636" s="9">
        <f>ROUND(O1636*L1636,2)</f>
        <v>1570.8</v>
      </c>
      <c r="Q1636" s="10">
        <f>IF(N1636="HKD",7.8,IF(N1636="CNY",7.30034,1))</f>
        <v>7.3003400000000003</v>
      </c>
      <c r="R1636" s="10">
        <f>+ROUND(O1636/Q1636,4)</f>
        <v>0.43030000000000002</v>
      </c>
      <c r="S1636" s="11">
        <f>ROUND(R1636*L1636,2)</f>
        <v>215.15</v>
      </c>
      <c r="T1636" s="10" t="s">
        <v>349</v>
      </c>
      <c r="U1636" s="15" t="s">
        <v>191</v>
      </c>
    </row>
    <row r="1637" spans="1:21">
      <c r="A1637" s="15" t="s">
        <v>201</v>
      </c>
      <c r="B1637" s="16">
        <v>45674</v>
      </c>
      <c r="C1637" s="16">
        <v>45663</v>
      </c>
      <c r="D1637" s="15" t="s">
        <v>187</v>
      </c>
      <c r="E1637" s="15" t="s">
        <v>188</v>
      </c>
      <c r="G1637" s="15" t="s">
        <v>195</v>
      </c>
      <c r="H1637" s="15" t="s">
        <v>199</v>
      </c>
      <c r="I1637" s="15" t="s">
        <v>200</v>
      </c>
      <c r="J1637" s="8" t="str">
        <f>+LEFT(U1637,4)</f>
        <v>ALM-</v>
      </c>
      <c r="K1637" s="15" t="s">
        <v>98</v>
      </c>
      <c r="L1637" s="46">
        <v>1200</v>
      </c>
      <c r="M1637" s="15" t="s">
        <v>186</v>
      </c>
      <c r="N1637" s="15" t="s">
        <v>11</v>
      </c>
      <c r="O1637" s="49">
        <v>3.1415999999999999</v>
      </c>
      <c r="P1637" s="9">
        <f>ROUND(O1637*L1637,2)</f>
        <v>3769.92</v>
      </c>
      <c r="Q1637" s="10">
        <f>IF(N1637="HKD",7.8,IF(N1637="CNY",7.30034,1))</f>
        <v>7.3003400000000003</v>
      </c>
      <c r="R1637" s="10">
        <f>+ROUND(O1637/Q1637,4)</f>
        <v>0.43030000000000002</v>
      </c>
      <c r="S1637" s="11">
        <f>ROUND(R1637*L1637,2)</f>
        <v>516.36</v>
      </c>
      <c r="T1637" s="10" t="s">
        <v>349</v>
      </c>
      <c r="U1637" s="15" t="s">
        <v>191</v>
      </c>
    </row>
    <row r="1638" spans="1:21">
      <c r="A1638" s="15" t="s">
        <v>198</v>
      </c>
      <c r="B1638" s="16">
        <v>45674</v>
      </c>
      <c r="C1638" s="16">
        <v>45664</v>
      </c>
      <c r="D1638" s="15" t="s">
        <v>187</v>
      </c>
      <c r="E1638" s="15" t="s">
        <v>188</v>
      </c>
      <c r="G1638" s="15" t="s">
        <v>195</v>
      </c>
      <c r="H1638" s="15" t="s">
        <v>196</v>
      </c>
      <c r="I1638" s="15" t="s">
        <v>197</v>
      </c>
      <c r="J1638" s="8" t="str">
        <f>+LEFT(U1638,4)</f>
        <v>ALM-</v>
      </c>
      <c r="K1638" s="15" t="s">
        <v>98</v>
      </c>
      <c r="L1638" s="46">
        <v>2400</v>
      </c>
      <c r="M1638" s="15" t="s">
        <v>186</v>
      </c>
      <c r="N1638" s="15" t="s">
        <v>11</v>
      </c>
      <c r="O1638" s="49">
        <v>3.1415999999999999</v>
      </c>
      <c r="P1638" s="9">
        <f>ROUND(O1638*L1638,2)</f>
        <v>7539.84</v>
      </c>
      <c r="Q1638" s="10">
        <f>IF(N1638="HKD",7.8,IF(N1638="CNY",7.30034,1))</f>
        <v>7.3003400000000003</v>
      </c>
      <c r="R1638" s="10">
        <f>+ROUND(O1638/Q1638,4)</f>
        <v>0.43030000000000002</v>
      </c>
      <c r="S1638" s="11">
        <f>ROUND(R1638*L1638,2)</f>
        <v>1032.72</v>
      </c>
      <c r="T1638" s="10" t="s">
        <v>349</v>
      </c>
      <c r="U1638" s="15" t="s">
        <v>191</v>
      </c>
    </row>
    <row r="1639" spans="1:21">
      <c r="A1639" s="15" t="s">
        <v>189</v>
      </c>
      <c r="B1639" s="16">
        <v>45674</v>
      </c>
      <c r="C1639" s="16">
        <v>45650</v>
      </c>
      <c r="D1639" s="15" t="s">
        <v>187</v>
      </c>
      <c r="E1639" s="15" t="s">
        <v>188</v>
      </c>
      <c r="G1639" s="15" t="s">
        <v>190</v>
      </c>
      <c r="H1639" s="15" t="s">
        <v>184</v>
      </c>
      <c r="I1639" s="15" t="s">
        <v>185</v>
      </c>
      <c r="J1639" s="8" t="str">
        <f>+LEFT(U1639,4)</f>
        <v>ALM-</v>
      </c>
      <c r="K1639" s="15" t="s">
        <v>98</v>
      </c>
      <c r="L1639" s="46">
        <v>100</v>
      </c>
      <c r="M1639" s="15" t="s">
        <v>186</v>
      </c>
      <c r="N1639" s="15" t="s">
        <v>11</v>
      </c>
      <c r="O1639" s="49">
        <v>3.6282999999999999</v>
      </c>
      <c r="P1639" s="9">
        <f>ROUND(O1639*L1639,2)</f>
        <v>362.83</v>
      </c>
      <c r="Q1639" s="10">
        <f>IF(N1639="HKD",7.8,IF(N1639="CNY",7.30034,1))</f>
        <v>7.3003400000000003</v>
      </c>
      <c r="R1639" s="10">
        <f>+ROUND(O1639/Q1639,4)</f>
        <v>0.497</v>
      </c>
      <c r="S1639" s="11">
        <f>ROUND(R1639*L1639,2)</f>
        <v>49.7</v>
      </c>
      <c r="T1639" s="10" t="s">
        <v>349</v>
      </c>
      <c r="U1639" s="15" t="s">
        <v>191</v>
      </c>
    </row>
    <row r="1640" spans="1:21">
      <c r="A1640" s="15" t="s">
        <v>194</v>
      </c>
      <c r="B1640" s="16">
        <v>45674</v>
      </c>
      <c r="C1640" s="16">
        <v>45667</v>
      </c>
      <c r="D1640" s="15" t="s">
        <v>187</v>
      </c>
      <c r="E1640" s="15" t="s">
        <v>188</v>
      </c>
      <c r="G1640" s="15" t="s">
        <v>195</v>
      </c>
      <c r="H1640" s="15" t="s">
        <v>192</v>
      </c>
      <c r="I1640" s="15" t="s">
        <v>193</v>
      </c>
      <c r="J1640" s="8" t="str">
        <f>+LEFT(U1640,4)</f>
        <v>ALM-</v>
      </c>
      <c r="K1640" s="15" t="s">
        <v>98</v>
      </c>
      <c r="L1640" s="46">
        <v>50</v>
      </c>
      <c r="M1640" s="15" t="s">
        <v>186</v>
      </c>
      <c r="N1640" s="15" t="s">
        <v>11</v>
      </c>
      <c r="O1640" s="49">
        <v>3.6282999999999999</v>
      </c>
      <c r="P1640" s="9">
        <f>ROUND(O1640*L1640,2)</f>
        <v>181.42</v>
      </c>
      <c r="Q1640" s="10">
        <f>IF(N1640="HKD",7.8,IF(N1640="CNY",7.30034,1))</f>
        <v>7.3003400000000003</v>
      </c>
      <c r="R1640" s="10">
        <f>+ROUND(O1640/Q1640,4)</f>
        <v>0.497</v>
      </c>
      <c r="S1640" s="11">
        <f>ROUND(R1640*L1640,2)</f>
        <v>24.85</v>
      </c>
      <c r="T1640" s="10" t="s">
        <v>349</v>
      </c>
      <c r="U1640" s="15" t="s">
        <v>191</v>
      </c>
    </row>
    <row r="1641" spans="1:21">
      <c r="A1641" s="15" t="s">
        <v>171</v>
      </c>
      <c r="B1641" s="16">
        <v>45674</v>
      </c>
      <c r="C1641" s="16">
        <v>45660</v>
      </c>
      <c r="D1641" s="15" t="s">
        <v>169</v>
      </c>
      <c r="E1641" s="15" t="s">
        <v>170</v>
      </c>
      <c r="G1641" s="15" t="s">
        <v>172</v>
      </c>
      <c r="H1641" s="15" t="s">
        <v>167</v>
      </c>
      <c r="I1641" s="15" t="s">
        <v>168</v>
      </c>
      <c r="J1641" s="8" t="str">
        <f>+LEFT(U1641,4)</f>
        <v>BHRE</v>
      </c>
      <c r="K1641" s="15" t="s">
        <v>10</v>
      </c>
      <c r="L1641" s="46">
        <v>2850</v>
      </c>
      <c r="M1641" s="15" t="s">
        <v>1472</v>
      </c>
      <c r="N1641" s="15" t="s">
        <v>11</v>
      </c>
      <c r="O1641" s="49">
        <v>2.79</v>
      </c>
      <c r="P1641" s="9">
        <f>ROUND(O1641*L1641,2)</f>
        <v>7951.5</v>
      </c>
      <c r="Q1641" s="10">
        <f>IF(N1641="HKD",7.8,IF(N1641="CNY",7.30034,1))</f>
        <v>7.3003400000000003</v>
      </c>
      <c r="R1641" s="10">
        <f>+ROUND(O1641/Q1641,4)</f>
        <v>0.38219999999999998</v>
      </c>
      <c r="S1641" s="11">
        <f>ROUND(R1641*L1641,2)</f>
        <v>1089.27</v>
      </c>
      <c r="T1641" s="10" t="s">
        <v>349</v>
      </c>
      <c r="U1641" s="15" t="s">
        <v>173</v>
      </c>
    </row>
    <row r="1642" spans="1:21">
      <c r="A1642" s="15" t="s">
        <v>227</v>
      </c>
      <c r="B1642" s="16">
        <v>45674</v>
      </c>
      <c r="C1642" s="16">
        <v>45653</v>
      </c>
      <c r="D1642" s="15" t="s">
        <v>61</v>
      </c>
      <c r="E1642" s="15" t="s">
        <v>61</v>
      </c>
      <c r="G1642" s="15" t="s">
        <v>224</v>
      </c>
      <c r="H1642" s="15" t="s">
        <v>225</v>
      </c>
      <c r="I1642" s="15" t="s">
        <v>226</v>
      </c>
      <c r="J1642" s="8" t="str">
        <f>+LEFT(U1642,4)</f>
        <v>HDL-</v>
      </c>
      <c r="K1642" s="15" t="s">
        <v>10</v>
      </c>
      <c r="L1642" s="46">
        <v>1050</v>
      </c>
      <c r="M1642" s="15" t="s">
        <v>1472</v>
      </c>
      <c r="N1642" s="15" t="s">
        <v>11</v>
      </c>
      <c r="O1642" s="49">
        <v>1.3992</v>
      </c>
      <c r="P1642" s="9">
        <f>ROUND(O1642*L1642,2)</f>
        <v>1469.16</v>
      </c>
      <c r="Q1642" s="10">
        <f>IF(N1642="HKD",7.8,IF(N1642="CNY",7.30034,1))</f>
        <v>7.3003400000000003</v>
      </c>
      <c r="R1642" s="10">
        <f>+ROUND(O1642/Q1642,4)</f>
        <v>0.19170000000000001</v>
      </c>
      <c r="S1642" s="11">
        <f>ROUND(R1642*L1642,2)</f>
        <v>201.29</v>
      </c>
      <c r="T1642" s="10" t="s">
        <v>349</v>
      </c>
      <c r="U1642" s="15" t="s">
        <v>228</v>
      </c>
    </row>
    <row r="1643" spans="1:21">
      <c r="A1643" s="15" t="s">
        <v>223</v>
      </c>
      <c r="B1643" s="16">
        <v>45674</v>
      </c>
      <c r="C1643" s="16">
        <v>45653</v>
      </c>
      <c r="D1643" s="15" t="s">
        <v>61</v>
      </c>
      <c r="E1643" s="15" t="s">
        <v>61</v>
      </c>
      <c r="G1643" s="15" t="s">
        <v>224</v>
      </c>
      <c r="H1643" s="15" t="s">
        <v>221</v>
      </c>
      <c r="I1643" s="15" t="s">
        <v>222</v>
      </c>
      <c r="J1643" s="8" t="str">
        <f>+LEFT(U1643,4)</f>
        <v>KNOB</v>
      </c>
      <c r="K1643" s="15" t="s">
        <v>10</v>
      </c>
      <c r="L1643" s="46">
        <v>1350</v>
      </c>
      <c r="M1643" s="15" t="s">
        <v>1472</v>
      </c>
      <c r="N1643" s="15" t="s">
        <v>11</v>
      </c>
      <c r="O1643" s="49">
        <v>1.2455000000000001</v>
      </c>
      <c r="P1643" s="9">
        <f>ROUND(O1643*L1643,2)</f>
        <v>1681.43</v>
      </c>
      <c r="Q1643" s="10">
        <f>IF(N1643="HKD",7.8,IF(N1643="CNY",7.30034,1))</f>
        <v>7.3003400000000003</v>
      </c>
      <c r="R1643" s="10">
        <f>+ROUND(O1643/Q1643,4)</f>
        <v>0.1706</v>
      </c>
      <c r="S1643" s="11">
        <f>ROUND(R1643*L1643,2)</f>
        <v>230.31</v>
      </c>
      <c r="T1643" s="10" t="s">
        <v>349</v>
      </c>
      <c r="U1643" s="15" t="s">
        <v>32</v>
      </c>
    </row>
    <row r="1644" spans="1:21">
      <c r="A1644" s="15" t="s">
        <v>249</v>
      </c>
      <c r="B1644" s="16">
        <v>45674</v>
      </c>
      <c r="C1644" s="16">
        <v>45639</v>
      </c>
      <c r="D1644" s="15" t="s">
        <v>143</v>
      </c>
      <c r="E1644" s="15" t="s">
        <v>144</v>
      </c>
      <c r="G1644" s="15" t="s">
        <v>182</v>
      </c>
      <c r="H1644" s="15" t="s">
        <v>141</v>
      </c>
      <c r="I1644" s="15" t="s">
        <v>142</v>
      </c>
      <c r="J1644" s="8" t="str">
        <f>+LEFT(U1644,4)</f>
        <v>KNOB</v>
      </c>
      <c r="K1644" s="15" t="s">
        <v>10</v>
      </c>
      <c r="L1644" s="46">
        <v>5100</v>
      </c>
      <c r="M1644" s="15" t="s">
        <v>1472</v>
      </c>
      <c r="N1644" s="15" t="s">
        <v>11</v>
      </c>
      <c r="O1644" s="49">
        <v>5.0999999999999996</v>
      </c>
      <c r="P1644" s="9">
        <f>ROUND(O1644*L1644,2)</f>
        <v>26010</v>
      </c>
      <c r="Q1644" s="10">
        <f>IF(N1644="HKD",7.8,IF(N1644="CNY",7.30034,1))</f>
        <v>7.3003400000000003</v>
      </c>
      <c r="R1644" s="10">
        <f>+ROUND(O1644/Q1644,4)</f>
        <v>0.6986</v>
      </c>
      <c r="S1644" s="11">
        <f>ROUND(R1644*L1644,2)</f>
        <v>3562.86</v>
      </c>
      <c r="T1644" s="10" t="s">
        <v>349</v>
      </c>
      <c r="U1644" s="15" t="s">
        <v>32</v>
      </c>
    </row>
    <row r="1645" spans="1:21">
      <c r="A1645" s="15" t="s">
        <v>145</v>
      </c>
      <c r="B1645" s="16">
        <v>45674</v>
      </c>
      <c r="C1645" s="16">
        <v>45646</v>
      </c>
      <c r="D1645" s="15" t="s">
        <v>143</v>
      </c>
      <c r="E1645" s="15" t="s">
        <v>144</v>
      </c>
      <c r="G1645" s="15" t="s">
        <v>182</v>
      </c>
      <c r="H1645" s="15" t="s">
        <v>141</v>
      </c>
      <c r="I1645" s="15" t="s">
        <v>142</v>
      </c>
      <c r="J1645" s="8" t="str">
        <f>+LEFT(U1645,4)</f>
        <v>KNOB</v>
      </c>
      <c r="K1645" s="15" t="s">
        <v>10</v>
      </c>
      <c r="L1645" s="46">
        <v>4000</v>
      </c>
      <c r="M1645" s="15" t="s">
        <v>1472</v>
      </c>
      <c r="N1645" s="15" t="s">
        <v>11</v>
      </c>
      <c r="O1645" s="49">
        <v>5.0999999999999996</v>
      </c>
      <c r="P1645" s="9">
        <f>ROUND(O1645*L1645,2)</f>
        <v>20400</v>
      </c>
      <c r="Q1645" s="10">
        <f>IF(N1645="HKD",7.8,IF(N1645="CNY",7.30034,1))</f>
        <v>7.3003400000000003</v>
      </c>
      <c r="R1645" s="10">
        <f>+ROUND(O1645/Q1645,4)</f>
        <v>0.6986</v>
      </c>
      <c r="S1645" s="11">
        <f>ROUND(R1645*L1645,2)</f>
        <v>2794.4</v>
      </c>
      <c r="T1645" s="10" t="s">
        <v>349</v>
      </c>
      <c r="U1645" s="15" t="s">
        <v>32</v>
      </c>
    </row>
    <row r="1646" spans="1:21">
      <c r="A1646" s="15" t="s">
        <v>145</v>
      </c>
      <c r="B1646" s="16">
        <v>45674</v>
      </c>
      <c r="C1646" s="16">
        <v>45646</v>
      </c>
      <c r="D1646" s="15" t="s">
        <v>143</v>
      </c>
      <c r="E1646" s="15" t="s">
        <v>144</v>
      </c>
      <c r="G1646" s="15" t="s">
        <v>183</v>
      </c>
      <c r="H1646" s="15" t="s">
        <v>141</v>
      </c>
      <c r="I1646" s="15" t="s">
        <v>142</v>
      </c>
      <c r="J1646" s="8" t="str">
        <f>+LEFT(U1646,4)</f>
        <v>KNOB</v>
      </c>
      <c r="K1646" s="15" t="s">
        <v>10</v>
      </c>
      <c r="L1646" s="46">
        <v>-400</v>
      </c>
      <c r="M1646" s="15" t="s">
        <v>1472</v>
      </c>
      <c r="N1646" s="15" t="s">
        <v>11</v>
      </c>
      <c r="O1646" s="49">
        <v>5.0999999999999996</v>
      </c>
      <c r="P1646" s="9">
        <f>ROUND(O1646*L1646,2)</f>
        <v>-2040</v>
      </c>
      <c r="Q1646" s="10">
        <f>IF(N1646="HKD",7.8,IF(N1646="CNY",7.30034,1))</f>
        <v>7.3003400000000003</v>
      </c>
      <c r="R1646" s="10">
        <f>+ROUND(O1646/Q1646,4)</f>
        <v>0.6986</v>
      </c>
      <c r="S1646" s="11">
        <f>ROUND(R1646*L1646,2)</f>
        <v>-279.44</v>
      </c>
      <c r="T1646" s="10" t="s">
        <v>349</v>
      </c>
      <c r="U1646" s="15" t="s">
        <v>32</v>
      </c>
    </row>
    <row r="1647" spans="1:21">
      <c r="A1647" s="15" t="s">
        <v>145</v>
      </c>
      <c r="B1647" s="16">
        <v>45674</v>
      </c>
      <c r="C1647" s="16">
        <v>45646</v>
      </c>
      <c r="D1647" s="15" t="s">
        <v>143</v>
      </c>
      <c r="E1647" s="15" t="s">
        <v>144</v>
      </c>
      <c r="G1647" s="15" t="s">
        <v>182</v>
      </c>
      <c r="H1647" s="15" t="s">
        <v>141</v>
      </c>
      <c r="I1647" s="15" t="s">
        <v>142</v>
      </c>
      <c r="J1647" s="8" t="str">
        <f>+LEFT(U1647,4)</f>
        <v>KNOB</v>
      </c>
      <c r="K1647" s="15" t="s">
        <v>10</v>
      </c>
      <c r="L1647" s="46">
        <v>400</v>
      </c>
      <c r="M1647" s="15" t="s">
        <v>1472</v>
      </c>
      <c r="N1647" s="15" t="s">
        <v>11</v>
      </c>
      <c r="O1647" s="49">
        <v>5.0999999999999996</v>
      </c>
      <c r="P1647" s="9">
        <f>ROUND(O1647*L1647,2)</f>
        <v>2040</v>
      </c>
      <c r="Q1647" s="10">
        <f>IF(N1647="HKD",7.8,IF(N1647="CNY",7.30034,1))</f>
        <v>7.3003400000000003</v>
      </c>
      <c r="R1647" s="10">
        <f>+ROUND(O1647/Q1647,4)</f>
        <v>0.6986</v>
      </c>
      <c r="S1647" s="11">
        <f>ROUND(R1647*L1647,2)</f>
        <v>279.44</v>
      </c>
      <c r="T1647" s="10" t="s">
        <v>349</v>
      </c>
      <c r="U1647" s="15" t="s">
        <v>32</v>
      </c>
    </row>
    <row r="1648" spans="1:21">
      <c r="A1648" s="15" t="s">
        <v>180</v>
      </c>
      <c r="B1648" s="16">
        <v>45674</v>
      </c>
      <c r="C1648" s="16">
        <v>45663</v>
      </c>
      <c r="D1648" s="15" t="s">
        <v>169</v>
      </c>
      <c r="E1648" s="15" t="s">
        <v>170</v>
      </c>
      <c r="G1648" s="15" t="s">
        <v>172</v>
      </c>
      <c r="H1648" s="15" t="s">
        <v>178</v>
      </c>
      <c r="I1648" s="15" t="s">
        <v>179</v>
      </c>
      <c r="J1648" s="8" t="str">
        <f>+LEFT(U1648,4)</f>
        <v>PRIM</v>
      </c>
      <c r="K1648" s="15" t="s">
        <v>10</v>
      </c>
      <c r="L1648" s="46">
        <v>1000</v>
      </c>
      <c r="M1648" s="15" t="s">
        <v>1472</v>
      </c>
      <c r="N1648" s="15" t="s">
        <v>11</v>
      </c>
      <c r="O1648" s="49">
        <v>1.53</v>
      </c>
      <c r="P1648" s="9">
        <f>ROUND(O1648*L1648,2)</f>
        <v>1530</v>
      </c>
      <c r="Q1648" s="10">
        <f>IF(N1648="HKD",7.8,IF(N1648="CNY",7.30034,1))</f>
        <v>7.3003400000000003</v>
      </c>
      <c r="R1648" s="10">
        <f>+ROUND(O1648/Q1648,4)</f>
        <v>0.20960000000000001</v>
      </c>
      <c r="S1648" s="11">
        <f>ROUND(R1648*L1648,2)</f>
        <v>209.6</v>
      </c>
      <c r="T1648" s="10" t="s">
        <v>349</v>
      </c>
      <c r="U1648" s="15" t="s">
        <v>181</v>
      </c>
    </row>
    <row r="1649" spans="1:21">
      <c r="A1649" s="15" t="s">
        <v>237</v>
      </c>
      <c r="B1649" s="16">
        <v>45674</v>
      </c>
      <c r="C1649" s="16">
        <v>45660</v>
      </c>
      <c r="D1649" s="15" t="s">
        <v>235</v>
      </c>
      <c r="E1649" s="15" t="s">
        <v>236</v>
      </c>
      <c r="G1649" s="15" t="s">
        <v>238</v>
      </c>
      <c r="H1649" s="15" t="s">
        <v>233</v>
      </c>
      <c r="I1649" s="15" t="s">
        <v>234</v>
      </c>
      <c r="J1649" s="8" t="str">
        <f>+LEFT(U1649,4)</f>
        <v>RIV-</v>
      </c>
      <c r="K1649" s="15" t="s">
        <v>10</v>
      </c>
      <c r="L1649" s="46">
        <v>2000</v>
      </c>
      <c r="M1649" s="15" t="s">
        <v>1472</v>
      </c>
      <c r="N1649" s="15" t="s">
        <v>11</v>
      </c>
      <c r="O1649" s="49">
        <v>4.1599999999999998E-2</v>
      </c>
      <c r="P1649" s="9">
        <f>ROUND(O1649*L1649,2)</f>
        <v>83.2</v>
      </c>
      <c r="Q1649" s="10">
        <f>IF(N1649="HKD",7.8,IF(N1649="CNY",7.30034,1))</f>
        <v>7.3003400000000003</v>
      </c>
      <c r="R1649" s="10">
        <f>+ROUND(O1649/Q1649,4)</f>
        <v>5.7000000000000002E-3</v>
      </c>
      <c r="S1649" s="11">
        <f>ROUND(R1649*L1649,2)</f>
        <v>11.4</v>
      </c>
      <c r="T1649" s="10" t="s">
        <v>349</v>
      </c>
      <c r="U1649" s="15" t="s">
        <v>132</v>
      </c>
    </row>
    <row r="1650" spans="1:21">
      <c r="A1650" s="15" t="s">
        <v>241</v>
      </c>
      <c r="B1650" s="16">
        <v>45674</v>
      </c>
      <c r="C1650" s="16">
        <v>45646</v>
      </c>
      <c r="D1650" s="15" t="s">
        <v>235</v>
      </c>
      <c r="E1650" s="15" t="s">
        <v>236</v>
      </c>
      <c r="G1650" s="15" t="s">
        <v>238</v>
      </c>
      <c r="H1650" s="15" t="s">
        <v>239</v>
      </c>
      <c r="I1650" s="15" t="s">
        <v>240</v>
      </c>
      <c r="J1650" s="8" t="str">
        <f>+LEFT(U1650,4)</f>
        <v>RIV-</v>
      </c>
      <c r="K1650" s="15" t="s">
        <v>10</v>
      </c>
      <c r="L1650" s="46">
        <v>18400</v>
      </c>
      <c r="M1650" s="15" t="s">
        <v>1472</v>
      </c>
      <c r="N1650" s="15" t="s">
        <v>11</v>
      </c>
      <c r="O1650" s="49">
        <v>0.16120000000000001</v>
      </c>
      <c r="P1650" s="9">
        <f>ROUND(O1650*L1650,2)</f>
        <v>2966.08</v>
      </c>
      <c r="Q1650" s="10">
        <f>IF(N1650="HKD",7.8,IF(N1650="CNY",7.30034,1))</f>
        <v>7.3003400000000003</v>
      </c>
      <c r="R1650" s="10">
        <f>+ROUND(O1650/Q1650,4)</f>
        <v>2.2100000000000002E-2</v>
      </c>
      <c r="S1650" s="11">
        <f>ROUND(R1650*L1650,2)</f>
        <v>406.64</v>
      </c>
      <c r="T1650" s="10" t="s">
        <v>349</v>
      </c>
      <c r="U1650" s="15" t="s">
        <v>132</v>
      </c>
    </row>
    <row r="1651" spans="1:21">
      <c r="A1651" s="15" t="s">
        <v>244</v>
      </c>
      <c r="B1651" s="16">
        <v>45674</v>
      </c>
      <c r="C1651" s="16">
        <v>45611</v>
      </c>
      <c r="D1651" s="15" t="s">
        <v>235</v>
      </c>
      <c r="E1651" s="15" t="s">
        <v>236</v>
      </c>
      <c r="G1651" s="15" t="s">
        <v>238</v>
      </c>
      <c r="H1651" s="15" t="s">
        <v>242</v>
      </c>
      <c r="I1651" s="15" t="s">
        <v>243</v>
      </c>
      <c r="J1651" s="8" t="str">
        <f>+LEFT(U1651,4)</f>
        <v>RIV-</v>
      </c>
      <c r="K1651" s="15" t="s">
        <v>10</v>
      </c>
      <c r="L1651" s="46">
        <v>4100</v>
      </c>
      <c r="M1651" s="15" t="s">
        <v>1472</v>
      </c>
      <c r="N1651" s="15" t="s">
        <v>11</v>
      </c>
      <c r="O1651" s="49">
        <v>0.1865</v>
      </c>
      <c r="P1651" s="9">
        <f>ROUND(O1651*L1651,2)</f>
        <v>764.65</v>
      </c>
      <c r="Q1651" s="10">
        <f>IF(N1651="HKD",7.8,IF(N1651="CNY",7.30034,1))</f>
        <v>7.3003400000000003</v>
      </c>
      <c r="R1651" s="10">
        <f>+ROUND(O1651/Q1651,4)</f>
        <v>2.5499999999999998E-2</v>
      </c>
      <c r="S1651" s="11">
        <f>ROUND(R1651*L1651,2)</f>
        <v>104.55</v>
      </c>
      <c r="T1651" s="10" t="s">
        <v>349</v>
      </c>
      <c r="U1651" s="15" t="s">
        <v>132</v>
      </c>
    </row>
    <row r="1652" spans="1:21">
      <c r="A1652" s="15" t="s">
        <v>231</v>
      </c>
      <c r="B1652" s="16">
        <v>45674</v>
      </c>
      <c r="C1652" s="16">
        <v>45653</v>
      </c>
      <c r="D1652" s="15" t="s">
        <v>101</v>
      </c>
      <c r="E1652" s="15" t="s">
        <v>102</v>
      </c>
      <c r="G1652" s="15" t="s">
        <v>232</v>
      </c>
      <c r="H1652" s="15" t="s">
        <v>229</v>
      </c>
      <c r="I1652" s="15" t="s">
        <v>230</v>
      </c>
      <c r="J1652" s="8" t="str">
        <f>+LEFT(U1652,4)</f>
        <v>STKR</v>
      </c>
      <c r="K1652" s="15" t="s">
        <v>10</v>
      </c>
      <c r="L1652" s="46">
        <v>1010</v>
      </c>
      <c r="M1652" s="15" t="s">
        <v>1472</v>
      </c>
      <c r="N1652" s="15" t="s">
        <v>11</v>
      </c>
      <c r="O1652" s="49">
        <v>0.05</v>
      </c>
      <c r="P1652" s="9">
        <f>ROUND(O1652*L1652,2)</f>
        <v>50.5</v>
      </c>
      <c r="Q1652" s="10">
        <f>IF(N1652="HKD",7.8,IF(N1652="CNY",7.30034,1))</f>
        <v>7.3003400000000003</v>
      </c>
      <c r="R1652" s="10">
        <f>+ROUND(O1652/Q1652,4)</f>
        <v>6.7999999999999996E-3</v>
      </c>
      <c r="S1652" s="11">
        <f>ROUND(R1652*L1652,2)</f>
        <v>6.87</v>
      </c>
      <c r="T1652" s="10" t="s">
        <v>349</v>
      </c>
      <c r="U1652" s="15" t="s">
        <v>18</v>
      </c>
    </row>
    <row r="1653" spans="1:21">
      <c r="A1653" s="15" t="s">
        <v>176</v>
      </c>
      <c r="B1653" s="16">
        <v>45674</v>
      </c>
      <c r="C1653" s="16">
        <v>45660</v>
      </c>
      <c r="D1653" s="15" t="s">
        <v>169</v>
      </c>
      <c r="E1653" s="15" t="s">
        <v>170</v>
      </c>
      <c r="G1653" s="15" t="s">
        <v>172</v>
      </c>
      <c r="H1653" s="15" t="s">
        <v>174</v>
      </c>
      <c r="I1653" s="15" t="s">
        <v>175</v>
      </c>
      <c r="J1653" s="8" t="str">
        <f>+LEFT(U1653,4)</f>
        <v>U&amp;C-</v>
      </c>
      <c r="K1653" s="15" t="s">
        <v>10</v>
      </c>
      <c r="L1653" s="46">
        <v>1000</v>
      </c>
      <c r="M1653" s="15" t="s">
        <v>1472</v>
      </c>
      <c r="N1653" s="15" t="s">
        <v>11</v>
      </c>
      <c r="O1653" s="49">
        <v>0.28000000000000003</v>
      </c>
      <c r="P1653" s="9">
        <f>ROUND(O1653*L1653,2)</f>
        <v>280</v>
      </c>
      <c r="Q1653" s="10">
        <f>IF(N1653="HKD",7.8,IF(N1653="CNY",7.30034,1))</f>
        <v>7.3003400000000003</v>
      </c>
      <c r="R1653" s="10">
        <f>+ROUND(O1653/Q1653,4)</f>
        <v>3.8399999999999997E-2</v>
      </c>
      <c r="S1653" s="11">
        <f>ROUND(R1653*L1653,2)</f>
        <v>38.4</v>
      </c>
      <c r="T1653" s="10" t="s">
        <v>349</v>
      </c>
      <c r="U1653" s="15" t="s">
        <v>177</v>
      </c>
    </row>
    <row r="1654" spans="1:21">
      <c r="A1654" s="15" t="s">
        <v>247</v>
      </c>
      <c r="B1654" s="16">
        <v>45674</v>
      </c>
      <c r="C1654" s="16">
        <v>45664</v>
      </c>
      <c r="D1654" s="15" t="s">
        <v>143</v>
      </c>
      <c r="E1654" s="15" t="s">
        <v>144</v>
      </c>
      <c r="G1654" s="15" t="s">
        <v>182</v>
      </c>
      <c r="H1654" s="15" t="s">
        <v>245</v>
      </c>
      <c r="I1654" s="15" t="s">
        <v>246</v>
      </c>
      <c r="J1654" s="8" t="str">
        <f>+LEFT(U1654,4)</f>
        <v>WHR-</v>
      </c>
      <c r="K1654" s="15" t="s">
        <v>10</v>
      </c>
      <c r="L1654" s="46">
        <v>9000</v>
      </c>
      <c r="M1654" s="15" t="s">
        <v>1472</v>
      </c>
      <c r="N1654" s="15" t="s">
        <v>11</v>
      </c>
      <c r="O1654" s="49">
        <v>0.1096</v>
      </c>
      <c r="P1654" s="9">
        <f>ROUND(O1654*L1654,2)</f>
        <v>986.4</v>
      </c>
      <c r="Q1654" s="10">
        <f>IF(N1654="HKD",7.8,IF(N1654="CNY",7.30034,1))</f>
        <v>7.3003400000000003</v>
      </c>
      <c r="R1654" s="10">
        <f>+ROUND(O1654/Q1654,4)</f>
        <v>1.4999999999999999E-2</v>
      </c>
      <c r="S1654" s="11">
        <f>ROUND(R1654*L1654,2)</f>
        <v>135</v>
      </c>
      <c r="T1654" s="10" t="s">
        <v>349</v>
      </c>
      <c r="U1654" s="15" t="s">
        <v>248</v>
      </c>
    </row>
    <row r="1655" spans="1:21">
      <c r="A1655" s="15" t="s">
        <v>286</v>
      </c>
      <c r="B1655" s="16">
        <v>45673</v>
      </c>
      <c r="C1655" s="16">
        <v>45639</v>
      </c>
      <c r="D1655" s="15" t="s">
        <v>280</v>
      </c>
      <c r="E1655" s="15" t="s">
        <v>281</v>
      </c>
      <c r="G1655" s="15" t="s">
        <v>283</v>
      </c>
      <c r="H1655" s="15" t="s">
        <v>284</v>
      </c>
      <c r="I1655" s="15" t="s">
        <v>285</v>
      </c>
      <c r="J1655" s="8" t="str">
        <f>+LEFT(U1655,4)</f>
        <v>BOX-</v>
      </c>
      <c r="K1655" s="15" t="s">
        <v>10</v>
      </c>
      <c r="L1655" s="46">
        <v>3050</v>
      </c>
      <c r="M1655" s="15" t="s">
        <v>1472</v>
      </c>
      <c r="N1655" s="15" t="s">
        <v>11</v>
      </c>
      <c r="O1655" s="49">
        <v>3.18</v>
      </c>
      <c r="P1655" s="9">
        <f>ROUND(O1655*L1655,2)</f>
        <v>9699</v>
      </c>
      <c r="Q1655" s="10">
        <f>IF(N1655="HKD",7.8,IF(N1655="CNY",7.30034,1))</f>
        <v>7.3003400000000003</v>
      </c>
      <c r="R1655" s="10">
        <f>+ROUND(O1655/Q1655,4)</f>
        <v>0.43559999999999999</v>
      </c>
      <c r="S1655" s="11">
        <f>ROUND(R1655*L1655,2)</f>
        <v>1328.58</v>
      </c>
      <c r="T1655" s="10" t="s">
        <v>349</v>
      </c>
      <c r="U1655" s="15" t="s">
        <v>1</v>
      </c>
    </row>
    <row r="1656" spans="1:21">
      <c r="A1656" s="15" t="s">
        <v>282</v>
      </c>
      <c r="B1656" s="16">
        <v>45673</v>
      </c>
      <c r="C1656" s="16">
        <v>45639</v>
      </c>
      <c r="D1656" s="15" t="s">
        <v>280</v>
      </c>
      <c r="E1656" s="15" t="s">
        <v>281</v>
      </c>
      <c r="G1656" s="15" t="s">
        <v>283</v>
      </c>
      <c r="H1656" s="15" t="s">
        <v>278</v>
      </c>
      <c r="I1656" s="15" t="s">
        <v>279</v>
      </c>
      <c r="J1656" s="8" t="str">
        <f>+LEFT(U1656,4)</f>
        <v>BOX-</v>
      </c>
      <c r="K1656" s="15" t="s">
        <v>10</v>
      </c>
      <c r="L1656" s="46">
        <v>3000</v>
      </c>
      <c r="M1656" s="15" t="s">
        <v>1472</v>
      </c>
      <c r="N1656" s="15" t="s">
        <v>11</v>
      </c>
      <c r="O1656" s="49">
        <v>5</v>
      </c>
      <c r="P1656" s="9">
        <f>ROUND(O1656*L1656,2)</f>
        <v>15000</v>
      </c>
      <c r="Q1656" s="10">
        <f>IF(N1656="HKD",7.8,IF(N1656="CNY",7.30034,1))</f>
        <v>7.3003400000000003</v>
      </c>
      <c r="R1656" s="10">
        <f>+ROUND(O1656/Q1656,4)</f>
        <v>0.68489999999999995</v>
      </c>
      <c r="S1656" s="11">
        <f>ROUND(R1656*L1656,2)</f>
        <v>2054.6999999999998</v>
      </c>
      <c r="T1656" s="10" t="s">
        <v>349</v>
      </c>
      <c r="U1656" s="15" t="s">
        <v>1</v>
      </c>
    </row>
    <row r="1657" spans="1:21">
      <c r="A1657" s="15" t="s">
        <v>289</v>
      </c>
      <c r="B1657" s="16">
        <v>45673</v>
      </c>
      <c r="C1657" s="16">
        <v>45604</v>
      </c>
      <c r="D1657" s="15" t="s">
        <v>287</v>
      </c>
      <c r="E1657" s="15" t="s">
        <v>288</v>
      </c>
      <c r="G1657" s="15" t="s">
        <v>290</v>
      </c>
      <c r="H1657" s="15" t="s">
        <v>81</v>
      </c>
      <c r="I1657" s="15" t="s">
        <v>82</v>
      </c>
      <c r="J1657" s="8" t="s">
        <v>1478</v>
      </c>
      <c r="K1657" s="15" t="s">
        <v>10</v>
      </c>
      <c r="L1657" s="46">
        <v>540</v>
      </c>
      <c r="M1657" s="15" t="s">
        <v>1472</v>
      </c>
      <c r="N1657" s="15" t="s">
        <v>11</v>
      </c>
      <c r="O1657" s="49">
        <v>6.4610000000000003</v>
      </c>
      <c r="P1657" s="9">
        <f>ROUND(O1657*L1657,2)</f>
        <v>3488.94</v>
      </c>
      <c r="Q1657" s="10">
        <f>IF(N1657="HKD",7.8,IF(N1657="CNY",7.30034,1))</f>
        <v>7.3003400000000003</v>
      </c>
      <c r="R1657" s="10">
        <f>+ROUND(O1657/Q1657,4)</f>
        <v>0.88500000000000001</v>
      </c>
      <c r="S1657" s="11">
        <f>ROUND(R1657*L1657,2)</f>
        <v>477.9</v>
      </c>
      <c r="T1657" s="10" t="s">
        <v>349</v>
      </c>
      <c r="U1657" s="15" t="s">
        <v>36</v>
      </c>
    </row>
    <row r="1658" spans="1:21">
      <c r="A1658" s="15" t="s">
        <v>291</v>
      </c>
      <c r="B1658" s="16">
        <v>45673</v>
      </c>
      <c r="C1658" s="16">
        <v>45670</v>
      </c>
      <c r="D1658" s="15" t="s">
        <v>287</v>
      </c>
      <c r="E1658" s="15" t="s">
        <v>288</v>
      </c>
      <c r="G1658" s="15" t="s">
        <v>290</v>
      </c>
      <c r="H1658" s="15" t="s">
        <v>76</v>
      </c>
      <c r="I1658" s="15" t="s">
        <v>77</v>
      </c>
      <c r="J1658" s="8" t="str">
        <f>+LEFT(U1658,4)</f>
        <v>GLID</v>
      </c>
      <c r="K1658" s="15" t="s">
        <v>10</v>
      </c>
      <c r="L1658" s="46">
        <v>200</v>
      </c>
      <c r="M1658" s="15" t="s">
        <v>1472</v>
      </c>
      <c r="N1658" s="15" t="s">
        <v>11</v>
      </c>
      <c r="O1658" s="49">
        <v>6.5929000000000002</v>
      </c>
      <c r="P1658" s="9">
        <f>ROUND(O1658*L1658,2)</f>
        <v>1318.58</v>
      </c>
      <c r="Q1658" s="10">
        <f>IF(N1658="HKD",7.8,IF(N1658="CNY",7.30034,1))</f>
        <v>7.3003400000000003</v>
      </c>
      <c r="R1658" s="10">
        <f>+ROUND(O1658/Q1658,4)</f>
        <v>0.90310000000000001</v>
      </c>
      <c r="S1658" s="11">
        <f>ROUND(R1658*L1658,2)</f>
        <v>180.62</v>
      </c>
      <c r="T1658" s="10" t="s">
        <v>349</v>
      </c>
      <c r="U1658" s="15" t="s">
        <v>78</v>
      </c>
    </row>
    <row r="1659" spans="1:21">
      <c r="A1659" s="15" t="s">
        <v>258</v>
      </c>
      <c r="B1659" s="16">
        <v>45673</v>
      </c>
      <c r="C1659" s="16">
        <v>45639</v>
      </c>
      <c r="D1659" s="15" t="s">
        <v>252</v>
      </c>
      <c r="E1659" s="15" t="s">
        <v>253</v>
      </c>
      <c r="G1659" s="15" t="s">
        <v>255</v>
      </c>
      <c r="H1659" s="15" t="s">
        <v>256</v>
      </c>
      <c r="I1659" s="15" t="s">
        <v>257</v>
      </c>
      <c r="J1659" s="8" t="str">
        <f>+LEFT(U1659,4)</f>
        <v>GLID</v>
      </c>
      <c r="K1659" s="15" t="s">
        <v>10</v>
      </c>
      <c r="L1659" s="46">
        <v>300</v>
      </c>
      <c r="M1659" s="15" t="s">
        <v>1472</v>
      </c>
      <c r="N1659" s="15" t="s">
        <v>11</v>
      </c>
      <c r="O1659" s="49">
        <v>8.6329999999999991</v>
      </c>
      <c r="P1659" s="9">
        <f>ROUND(O1659*L1659,2)</f>
        <v>2589.9</v>
      </c>
      <c r="Q1659" s="10">
        <f>IF(N1659="HKD",7.8,IF(N1659="CNY",7.30034,1))</f>
        <v>7.3003400000000003</v>
      </c>
      <c r="R1659" s="10">
        <f>+ROUND(O1659/Q1659,4)</f>
        <v>1.1825000000000001</v>
      </c>
      <c r="S1659" s="11">
        <f>ROUND(R1659*L1659,2)</f>
        <v>354.75</v>
      </c>
      <c r="T1659" s="10" t="s">
        <v>349</v>
      </c>
      <c r="U1659" s="15" t="s">
        <v>78</v>
      </c>
    </row>
    <row r="1660" spans="1:21">
      <c r="A1660" s="15" t="s">
        <v>260</v>
      </c>
      <c r="B1660" s="16">
        <v>45673</v>
      </c>
      <c r="C1660" s="16">
        <v>45644</v>
      </c>
      <c r="D1660" s="15" t="s">
        <v>252</v>
      </c>
      <c r="E1660" s="15" t="s">
        <v>253</v>
      </c>
      <c r="G1660" s="15" t="s">
        <v>255</v>
      </c>
      <c r="H1660" s="15" t="s">
        <v>256</v>
      </c>
      <c r="I1660" s="15" t="s">
        <v>257</v>
      </c>
      <c r="J1660" s="8" t="str">
        <f>+LEFT(U1660,4)</f>
        <v>GLID</v>
      </c>
      <c r="K1660" s="15" t="s">
        <v>10</v>
      </c>
      <c r="L1660" s="46">
        <v>600</v>
      </c>
      <c r="M1660" s="15" t="s">
        <v>1472</v>
      </c>
      <c r="N1660" s="15" t="s">
        <v>11</v>
      </c>
      <c r="O1660" s="49">
        <v>8.7219999999999995</v>
      </c>
      <c r="P1660" s="9">
        <f>ROUND(O1660*L1660,2)</f>
        <v>5233.2</v>
      </c>
      <c r="Q1660" s="10">
        <f>IF(N1660="HKD",7.8,IF(N1660="CNY",7.30034,1))</f>
        <v>7.3003400000000003</v>
      </c>
      <c r="R1660" s="10">
        <f>+ROUND(O1660/Q1660,4)</f>
        <v>1.1947000000000001</v>
      </c>
      <c r="S1660" s="11">
        <f>ROUND(R1660*L1660,2)</f>
        <v>716.82</v>
      </c>
      <c r="T1660" s="10" t="s">
        <v>349</v>
      </c>
      <c r="U1660" s="15" t="s">
        <v>78</v>
      </c>
    </row>
    <row r="1661" spans="1:21">
      <c r="A1661" s="15" t="s">
        <v>254</v>
      </c>
      <c r="B1661" s="16">
        <v>45673</v>
      </c>
      <c r="C1661" s="16">
        <v>45639</v>
      </c>
      <c r="D1661" s="15" t="s">
        <v>252</v>
      </c>
      <c r="E1661" s="15" t="s">
        <v>253</v>
      </c>
      <c r="G1661" s="15" t="s">
        <v>255</v>
      </c>
      <c r="H1661" s="15" t="s">
        <v>250</v>
      </c>
      <c r="I1661" s="15" t="s">
        <v>251</v>
      </c>
      <c r="J1661" s="8" t="str">
        <f>+LEFT(U1661,4)</f>
        <v>GLID</v>
      </c>
      <c r="K1661" s="15" t="s">
        <v>10</v>
      </c>
      <c r="L1661" s="46">
        <v>660</v>
      </c>
      <c r="M1661" s="15" t="s">
        <v>1472</v>
      </c>
      <c r="N1661" s="15" t="s">
        <v>11</v>
      </c>
      <c r="O1661" s="49">
        <v>10.7476</v>
      </c>
      <c r="P1661" s="9">
        <f>ROUND(O1661*L1661,2)</f>
        <v>7093.42</v>
      </c>
      <c r="Q1661" s="10">
        <f>IF(N1661="HKD",7.8,IF(N1661="CNY",7.30034,1))</f>
        <v>7.3003400000000003</v>
      </c>
      <c r="R1661" s="10">
        <f>+ROUND(O1661/Q1661,4)</f>
        <v>1.4722</v>
      </c>
      <c r="S1661" s="11">
        <f>ROUND(R1661*L1661,2)</f>
        <v>971.65</v>
      </c>
      <c r="T1661" s="10" t="s">
        <v>349</v>
      </c>
      <c r="U1661" s="15" t="s">
        <v>78</v>
      </c>
    </row>
    <row r="1662" spans="1:21">
      <c r="A1662" s="15" t="s">
        <v>259</v>
      </c>
      <c r="B1662" s="16">
        <v>45673</v>
      </c>
      <c r="C1662" s="16">
        <v>45644</v>
      </c>
      <c r="D1662" s="15" t="s">
        <v>252</v>
      </c>
      <c r="E1662" s="15" t="s">
        <v>253</v>
      </c>
      <c r="G1662" s="15" t="s">
        <v>255</v>
      </c>
      <c r="H1662" s="15" t="s">
        <v>250</v>
      </c>
      <c r="I1662" s="15" t="s">
        <v>251</v>
      </c>
      <c r="J1662" s="8" t="str">
        <f>+LEFT(U1662,4)</f>
        <v>GLID</v>
      </c>
      <c r="K1662" s="15" t="s">
        <v>10</v>
      </c>
      <c r="L1662" s="46">
        <v>1000</v>
      </c>
      <c r="M1662" s="15" t="s">
        <v>1472</v>
      </c>
      <c r="N1662" s="15" t="s">
        <v>11</v>
      </c>
      <c r="O1662" s="49">
        <v>10.8584</v>
      </c>
      <c r="P1662" s="9">
        <f>ROUND(O1662*L1662,2)</f>
        <v>10858.4</v>
      </c>
      <c r="Q1662" s="10">
        <f>IF(N1662="HKD",7.8,IF(N1662="CNY",7.30034,1))</f>
        <v>7.3003400000000003</v>
      </c>
      <c r="R1662" s="10">
        <f>+ROUND(O1662/Q1662,4)</f>
        <v>1.4874000000000001</v>
      </c>
      <c r="S1662" s="11">
        <f>ROUND(R1662*L1662,2)</f>
        <v>1487.4</v>
      </c>
      <c r="T1662" s="10" t="s">
        <v>349</v>
      </c>
      <c r="U1662" s="15" t="s">
        <v>78</v>
      </c>
    </row>
    <row r="1663" spans="1:21">
      <c r="A1663" s="15" t="s">
        <v>264</v>
      </c>
      <c r="B1663" s="16">
        <v>45673</v>
      </c>
      <c r="C1663" s="16">
        <v>45636</v>
      </c>
      <c r="D1663" s="15" t="s">
        <v>263</v>
      </c>
      <c r="E1663" s="15" t="s">
        <v>0</v>
      </c>
      <c r="G1663" s="15" t="s">
        <v>265</v>
      </c>
      <c r="H1663" s="15" t="s">
        <v>261</v>
      </c>
      <c r="I1663" s="15" t="s">
        <v>262</v>
      </c>
      <c r="J1663" s="8" t="str">
        <f>+LEFT(U1663,4)</f>
        <v>LHDL</v>
      </c>
      <c r="K1663" s="15" t="s">
        <v>10</v>
      </c>
      <c r="L1663" s="46">
        <v>1000</v>
      </c>
      <c r="M1663" s="15" t="s">
        <v>1472</v>
      </c>
      <c r="N1663" s="15" t="s">
        <v>11</v>
      </c>
      <c r="O1663" s="49">
        <v>6.492</v>
      </c>
      <c r="P1663" s="9">
        <f>ROUND(O1663*L1663,2)</f>
        <v>6492</v>
      </c>
      <c r="Q1663" s="10">
        <f>IF(N1663="HKD",7.8,IF(N1663="CNY",7.30034,1))</f>
        <v>7.3003400000000003</v>
      </c>
      <c r="R1663" s="10">
        <f>+ROUND(O1663/Q1663,4)</f>
        <v>0.88929999999999998</v>
      </c>
      <c r="S1663" s="11">
        <f>ROUND(R1663*L1663,2)</f>
        <v>889.3</v>
      </c>
      <c r="T1663" s="10" t="s">
        <v>349</v>
      </c>
      <c r="U1663" s="15" t="s">
        <v>125</v>
      </c>
    </row>
    <row r="1664" spans="1:21">
      <c r="A1664" s="15" t="s">
        <v>270</v>
      </c>
      <c r="B1664" s="16">
        <v>45673</v>
      </c>
      <c r="C1664" s="16">
        <v>45651</v>
      </c>
      <c r="D1664" s="15" t="s">
        <v>268</v>
      </c>
      <c r="E1664" s="15" t="s">
        <v>269</v>
      </c>
      <c r="G1664" s="15" t="s">
        <v>271</v>
      </c>
      <c r="H1664" s="15" t="s">
        <v>266</v>
      </c>
      <c r="I1664" s="15" t="s">
        <v>267</v>
      </c>
      <c r="J1664" s="8" t="str">
        <f>+LEFT(U1664,4)</f>
        <v>POLM</v>
      </c>
      <c r="K1664" s="15" t="s">
        <v>10</v>
      </c>
      <c r="L1664" s="46">
        <v>400</v>
      </c>
      <c r="M1664" s="15" t="s">
        <v>136</v>
      </c>
      <c r="N1664" s="15" t="s">
        <v>11</v>
      </c>
      <c r="O1664" s="49">
        <v>43.3628</v>
      </c>
      <c r="P1664" s="9">
        <f>ROUND(O1664*L1664,2)</f>
        <v>17345.12</v>
      </c>
      <c r="Q1664" s="10">
        <f>IF(N1664="HKD",7.8,IF(N1664="CNY",7.30034,1))</f>
        <v>7.3003400000000003</v>
      </c>
      <c r="R1664" s="10">
        <f>+ROUND(O1664/Q1664,4)</f>
        <v>5.9398</v>
      </c>
      <c r="S1664" s="11">
        <f>ROUND(R1664*L1664,2)</f>
        <v>2375.92</v>
      </c>
      <c r="T1664" s="10" t="s">
        <v>349</v>
      </c>
      <c r="U1664" s="15" t="s">
        <v>272</v>
      </c>
    </row>
    <row r="1665" spans="1:21">
      <c r="A1665" s="15" t="s">
        <v>277</v>
      </c>
      <c r="B1665" s="16">
        <v>45673</v>
      </c>
      <c r="C1665" s="16">
        <v>45615</v>
      </c>
      <c r="D1665" s="15" t="s">
        <v>149</v>
      </c>
      <c r="E1665" s="15" t="s">
        <v>150</v>
      </c>
      <c r="G1665" s="15" t="s">
        <v>273</v>
      </c>
      <c r="H1665" s="15" t="s">
        <v>274</v>
      </c>
      <c r="I1665" s="15" t="s">
        <v>275</v>
      </c>
      <c r="J1665" s="8" t="str">
        <f>+LEFT(U1665,4)</f>
        <v>SKU-</v>
      </c>
      <c r="K1665" s="15" t="s">
        <v>98</v>
      </c>
      <c r="L1665" s="46">
        <v>500</v>
      </c>
      <c r="M1665" s="15" t="s">
        <v>1472</v>
      </c>
      <c r="N1665" s="15" t="s">
        <v>11</v>
      </c>
      <c r="O1665" s="49">
        <v>5.7253999999999996</v>
      </c>
      <c r="P1665" s="9">
        <f>ROUND(O1665*L1665,2)</f>
        <v>2862.7</v>
      </c>
      <c r="Q1665" s="10">
        <f>IF(N1665="HKD",7.8,IF(N1665="CNY",7.30034,1))</f>
        <v>7.3003400000000003</v>
      </c>
      <c r="R1665" s="10">
        <f>+ROUND(O1665/Q1665,4)</f>
        <v>0.7843</v>
      </c>
      <c r="S1665" s="11">
        <f>ROUND(R1665*L1665,2)</f>
        <v>392.15</v>
      </c>
      <c r="T1665" s="10" t="s">
        <v>349</v>
      </c>
      <c r="U1665" s="15" t="s">
        <v>2</v>
      </c>
    </row>
    <row r="1666" spans="1:21">
      <c r="A1666" s="15" t="s">
        <v>276</v>
      </c>
      <c r="B1666" s="16">
        <v>45673</v>
      </c>
      <c r="C1666" s="16">
        <v>45639</v>
      </c>
      <c r="D1666" s="15" t="s">
        <v>149</v>
      </c>
      <c r="E1666" s="15" t="s">
        <v>150</v>
      </c>
      <c r="G1666" s="15" t="s">
        <v>273</v>
      </c>
      <c r="H1666" s="15" t="s">
        <v>274</v>
      </c>
      <c r="I1666" s="15" t="s">
        <v>275</v>
      </c>
      <c r="J1666" s="8" t="str">
        <f>+LEFT(U1666,4)</f>
        <v>SKU-</v>
      </c>
      <c r="K1666" s="15" t="s">
        <v>98</v>
      </c>
      <c r="L1666" s="46">
        <v>4500</v>
      </c>
      <c r="M1666" s="15" t="s">
        <v>1472</v>
      </c>
      <c r="N1666" s="15" t="s">
        <v>11</v>
      </c>
      <c r="O1666" s="49">
        <v>5.7253999999999996</v>
      </c>
      <c r="P1666" s="9">
        <f>ROUND(O1666*L1666,2)</f>
        <v>25764.3</v>
      </c>
      <c r="Q1666" s="10">
        <f>IF(N1666="HKD",7.8,IF(N1666="CNY",7.30034,1))</f>
        <v>7.3003400000000003</v>
      </c>
      <c r="R1666" s="10">
        <f>+ROUND(O1666/Q1666,4)</f>
        <v>0.7843</v>
      </c>
      <c r="S1666" s="11">
        <f>ROUND(R1666*L1666,2)</f>
        <v>3529.35</v>
      </c>
      <c r="T1666" s="10" t="s">
        <v>349</v>
      </c>
      <c r="U1666" s="15" t="s">
        <v>2</v>
      </c>
    </row>
    <row r="1667" spans="1:21">
      <c r="A1667" s="15" t="s">
        <v>151</v>
      </c>
      <c r="B1667" s="16">
        <v>45673</v>
      </c>
      <c r="C1667" s="16">
        <v>45639</v>
      </c>
      <c r="D1667" s="15" t="s">
        <v>149</v>
      </c>
      <c r="E1667" s="15" t="s">
        <v>150</v>
      </c>
      <c r="G1667" s="15" t="s">
        <v>273</v>
      </c>
      <c r="H1667" s="15" t="s">
        <v>147</v>
      </c>
      <c r="I1667" s="15" t="s">
        <v>148</v>
      </c>
      <c r="J1667" s="8" t="str">
        <f>+LEFT(U1667,4)</f>
        <v>SKU-</v>
      </c>
      <c r="K1667" s="15" t="s">
        <v>98</v>
      </c>
      <c r="L1667" s="46">
        <v>2090</v>
      </c>
      <c r="M1667" s="15" t="s">
        <v>1472</v>
      </c>
      <c r="N1667" s="15" t="s">
        <v>11</v>
      </c>
      <c r="O1667" s="49">
        <v>8.6722999999999999</v>
      </c>
      <c r="P1667" s="9">
        <f>ROUND(O1667*L1667,2)</f>
        <v>18125.11</v>
      </c>
      <c r="Q1667" s="10">
        <f>IF(N1667="HKD",7.8,IF(N1667="CNY",7.30034,1))</f>
        <v>7.3003400000000003</v>
      </c>
      <c r="R1667" s="10">
        <f>+ROUND(O1667/Q1667,4)</f>
        <v>1.1879</v>
      </c>
      <c r="S1667" s="11">
        <f>ROUND(R1667*L1667,2)</f>
        <v>2482.71</v>
      </c>
      <c r="T1667" s="10" t="s">
        <v>349</v>
      </c>
      <c r="U1667" s="15" t="s">
        <v>2</v>
      </c>
    </row>
    <row r="1668" spans="1:21">
      <c r="A1668" s="15" t="s">
        <v>336</v>
      </c>
      <c r="B1668" s="16">
        <v>45672</v>
      </c>
      <c r="C1668" s="16">
        <v>45657</v>
      </c>
      <c r="D1668" s="15" t="s">
        <v>311</v>
      </c>
      <c r="E1668" s="15" t="s">
        <v>312</v>
      </c>
      <c r="G1668" s="15" t="s">
        <v>326</v>
      </c>
      <c r="H1668" s="15" t="s">
        <v>334</v>
      </c>
      <c r="I1668" s="15" t="s">
        <v>335</v>
      </c>
      <c r="J1668" s="8" t="str">
        <f>+LEFT(U1668,4)</f>
        <v>EXM-</v>
      </c>
      <c r="K1668" s="15" t="s">
        <v>10</v>
      </c>
      <c r="L1668" s="46">
        <v>75</v>
      </c>
      <c r="M1668" s="15" t="s">
        <v>186</v>
      </c>
      <c r="N1668" s="15" t="s">
        <v>11</v>
      </c>
      <c r="O1668" s="49">
        <v>70.353999999999999</v>
      </c>
      <c r="P1668" s="9">
        <f>ROUND(O1668*L1668,2)</f>
        <v>5276.55</v>
      </c>
      <c r="Q1668" s="10">
        <f>IF(N1668="HKD",7.8,IF(N1668="CNY",7.30034,1))</f>
        <v>7.3003400000000003</v>
      </c>
      <c r="R1668" s="10">
        <f>+ROUND(O1668/Q1668,4)</f>
        <v>9.6371000000000002</v>
      </c>
      <c r="S1668" s="11">
        <f>ROUND(R1668*L1668,2)</f>
        <v>722.78</v>
      </c>
      <c r="T1668" s="10" t="s">
        <v>349</v>
      </c>
      <c r="U1668" s="15" t="s">
        <v>315</v>
      </c>
    </row>
    <row r="1669" spans="1:21">
      <c r="A1669" s="15" t="s">
        <v>339</v>
      </c>
      <c r="B1669" s="16">
        <v>45672</v>
      </c>
      <c r="C1669" s="16">
        <v>45657</v>
      </c>
      <c r="D1669" s="15" t="s">
        <v>311</v>
      </c>
      <c r="E1669" s="15" t="s">
        <v>312</v>
      </c>
      <c r="G1669" s="15" t="s">
        <v>326</v>
      </c>
      <c r="H1669" s="15" t="s">
        <v>337</v>
      </c>
      <c r="I1669" s="15" t="s">
        <v>338</v>
      </c>
      <c r="J1669" s="8" t="str">
        <f>+LEFT(U1669,4)</f>
        <v>EXM-</v>
      </c>
      <c r="K1669" s="15" t="s">
        <v>10</v>
      </c>
      <c r="L1669" s="46">
        <v>75</v>
      </c>
      <c r="M1669" s="15" t="s">
        <v>186</v>
      </c>
      <c r="N1669" s="15" t="s">
        <v>11</v>
      </c>
      <c r="O1669" s="49">
        <v>71.769900000000007</v>
      </c>
      <c r="P1669" s="9">
        <f>ROUND(O1669*L1669,2)</f>
        <v>5382.74</v>
      </c>
      <c r="Q1669" s="10">
        <f>IF(N1669="HKD",7.8,IF(N1669="CNY",7.30034,1))</f>
        <v>7.3003400000000003</v>
      </c>
      <c r="R1669" s="10">
        <f>+ROUND(O1669/Q1669,4)</f>
        <v>9.8309999999999995</v>
      </c>
      <c r="S1669" s="11">
        <f>ROUND(R1669*L1669,2)</f>
        <v>737.33</v>
      </c>
      <c r="T1669" s="10" t="s">
        <v>349</v>
      </c>
      <c r="U1669" s="15" t="s">
        <v>315</v>
      </c>
    </row>
    <row r="1670" spans="1:21">
      <c r="A1670" s="15" t="s">
        <v>313</v>
      </c>
      <c r="B1670" s="16">
        <v>45672</v>
      </c>
      <c r="C1670" s="16">
        <v>45664</v>
      </c>
      <c r="D1670" s="15" t="s">
        <v>311</v>
      </c>
      <c r="E1670" s="15" t="s">
        <v>312</v>
      </c>
      <c r="G1670" s="15" t="s">
        <v>314</v>
      </c>
      <c r="H1670" s="15" t="s">
        <v>309</v>
      </c>
      <c r="I1670" s="15" t="s">
        <v>310</v>
      </c>
      <c r="J1670" s="8" t="str">
        <f>+LEFT(U1670,4)</f>
        <v>EXM-</v>
      </c>
      <c r="K1670" s="15" t="s">
        <v>10</v>
      </c>
      <c r="L1670" s="46">
        <v>25</v>
      </c>
      <c r="M1670" s="15" t="s">
        <v>186</v>
      </c>
      <c r="N1670" s="15" t="s">
        <v>11</v>
      </c>
      <c r="O1670" s="49">
        <v>102.0354</v>
      </c>
      <c r="P1670" s="9">
        <f>ROUND(O1670*L1670,2)</f>
        <v>2550.89</v>
      </c>
      <c r="Q1670" s="10">
        <f>IF(N1670="HKD",7.8,IF(N1670="CNY",7.30034,1))</f>
        <v>7.3003400000000003</v>
      </c>
      <c r="R1670" s="10">
        <f>+ROUND(O1670/Q1670,4)</f>
        <v>13.976800000000001</v>
      </c>
      <c r="S1670" s="11">
        <f>ROUND(R1670*L1670,2)</f>
        <v>349.42</v>
      </c>
      <c r="T1670" s="10" t="s">
        <v>349</v>
      </c>
      <c r="U1670" s="15" t="s">
        <v>315</v>
      </c>
    </row>
    <row r="1671" spans="1:21">
      <c r="A1671" s="15" t="s">
        <v>322</v>
      </c>
      <c r="B1671" s="16">
        <v>45672</v>
      </c>
      <c r="C1671" s="16">
        <v>45657</v>
      </c>
      <c r="D1671" s="15" t="s">
        <v>311</v>
      </c>
      <c r="E1671" s="15" t="s">
        <v>312</v>
      </c>
      <c r="G1671" s="15" t="s">
        <v>319</v>
      </c>
      <c r="H1671" s="15" t="s">
        <v>320</v>
      </c>
      <c r="I1671" s="15" t="s">
        <v>321</v>
      </c>
      <c r="J1671" s="8" t="str">
        <f>+LEFT(U1671,4)</f>
        <v>EXM-</v>
      </c>
      <c r="K1671" s="15" t="s">
        <v>10</v>
      </c>
      <c r="L1671" s="46">
        <v>125</v>
      </c>
      <c r="M1671" s="15" t="s">
        <v>186</v>
      </c>
      <c r="N1671" s="15" t="s">
        <v>11</v>
      </c>
      <c r="O1671" s="49">
        <v>110.6195</v>
      </c>
      <c r="P1671" s="9">
        <f>ROUND(O1671*L1671,2)</f>
        <v>13827.44</v>
      </c>
      <c r="Q1671" s="10">
        <f>IF(N1671="HKD",7.8,IF(N1671="CNY",7.30034,1))</f>
        <v>7.3003400000000003</v>
      </c>
      <c r="R1671" s="10">
        <f>+ROUND(O1671/Q1671,4)</f>
        <v>15.152699999999999</v>
      </c>
      <c r="S1671" s="11">
        <f>ROUND(R1671*L1671,2)</f>
        <v>1894.09</v>
      </c>
      <c r="T1671" s="10" t="s">
        <v>349</v>
      </c>
      <c r="U1671" s="15" t="s">
        <v>315</v>
      </c>
    </row>
    <row r="1672" spans="1:21">
      <c r="A1672" s="15" t="s">
        <v>318</v>
      </c>
      <c r="B1672" s="16">
        <v>45672</v>
      </c>
      <c r="C1672" s="16">
        <v>45657</v>
      </c>
      <c r="D1672" s="15" t="s">
        <v>311</v>
      </c>
      <c r="E1672" s="15" t="s">
        <v>312</v>
      </c>
      <c r="G1672" s="15" t="s">
        <v>319</v>
      </c>
      <c r="H1672" s="15" t="s">
        <v>316</v>
      </c>
      <c r="I1672" s="15" t="s">
        <v>317</v>
      </c>
      <c r="J1672" s="8" t="str">
        <f>+LEFT(U1672,4)</f>
        <v>EXM-</v>
      </c>
      <c r="K1672" s="15" t="s">
        <v>10</v>
      </c>
      <c r="L1672" s="46">
        <v>25</v>
      </c>
      <c r="M1672" s="15" t="s">
        <v>186</v>
      </c>
      <c r="N1672" s="15" t="s">
        <v>11</v>
      </c>
      <c r="O1672" s="49">
        <v>117.3451</v>
      </c>
      <c r="P1672" s="9">
        <f>ROUND(O1672*L1672,2)</f>
        <v>2933.63</v>
      </c>
      <c r="Q1672" s="10">
        <f>IF(N1672="HKD",7.8,IF(N1672="CNY",7.30034,1))</f>
        <v>7.3003400000000003</v>
      </c>
      <c r="R1672" s="10">
        <f>+ROUND(O1672/Q1672,4)</f>
        <v>16.073899999999998</v>
      </c>
      <c r="S1672" s="11">
        <f>ROUND(R1672*L1672,2)</f>
        <v>401.85</v>
      </c>
      <c r="T1672" s="10" t="s">
        <v>349</v>
      </c>
      <c r="U1672" s="15" t="s">
        <v>315</v>
      </c>
    </row>
    <row r="1673" spans="1:21">
      <c r="A1673" s="15" t="s">
        <v>260</v>
      </c>
      <c r="B1673" s="16">
        <v>45672</v>
      </c>
      <c r="C1673" s="16">
        <v>45644</v>
      </c>
      <c r="D1673" s="15" t="s">
        <v>252</v>
      </c>
      <c r="E1673" s="15" t="s">
        <v>253</v>
      </c>
      <c r="G1673" s="15" t="s">
        <v>292</v>
      </c>
      <c r="H1673" s="15" t="s">
        <v>256</v>
      </c>
      <c r="I1673" s="15" t="s">
        <v>257</v>
      </c>
      <c r="J1673" s="8" t="str">
        <f>+LEFT(U1673,4)</f>
        <v>GLID</v>
      </c>
      <c r="K1673" s="15" t="s">
        <v>10</v>
      </c>
      <c r="L1673" s="46">
        <v>3420</v>
      </c>
      <c r="M1673" s="15" t="s">
        <v>1472</v>
      </c>
      <c r="N1673" s="15" t="s">
        <v>11</v>
      </c>
      <c r="O1673" s="49">
        <v>8.7219999999999995</v>
      </c>
      <c r="P1673" s="9">
        <f>ROUND(O1673*L1673,2)</f>
        <v>29829.24</v>
      </c>
      <c r="Q1673" s="10">
        <f>IF(N1673="HKD",7.8,IF(N1673="CNY",7.30034,1))</f>
        <v>7.3003400000000003</v>
      </c>
      <c r="R1673" s="10">
        <f>+ROUND(O1673/Q1673,4)</f>
        <v>1.1947000000000001</v>
      </c>
      <c r="S1673" s="11">
        <f>ROUND(R1673*L1673,2)</f>
        <v>4085.87</v>
      </c>
      <c r="T1673" s="10" t="s">
        <v>349</v>
      </c>
      <c r="U1673" s="15" t="s">
        <v>78</v>
      </c>
    </row>
    <row r="1674" spans="1:21">
      <c r="A1674" s="15" t="s">
        <v>259</v>
      </c>
      <c r="B1674" s="16">
        <v>45672</v>
      </c>
      <c r="C1674" s="16">
        <v>45644</v>
      </c>
      <c r="D1674" s="15" t="s">
        <v>252</v>
      </c>
      <c r="E1674" s="15" t="s">
        <v>253</v>
      </c>
      <c r="G1674" s="15" t="s">
        <v>292</v>
      </c>
      <c r="H1674" s="15" t="s">
        <v>250</v>
      </c>
      <c r="I1674" s="15" t="s">
        <v>251</v>
      </c>
      <c r="J1674" s="8" t="str">
        <f>+LEFT(U1674,4)</f>
        <v>GLID</v>
      </c>
      <c r="K1674" s="15" t="s">
        <v>10</v>
      </c>
      <c r="L1674" s="46">
        <v>2220</v>
      </c>
      <c r="M1674" s="15" t="s">
        <v>1472</v>
      </c>
      <c r="N1674" s="15" t="s">
        <v>11</v>
      </c>
      <c r="O1674" s="49">
        <v>10.8584</v>
      </c>
      <c r="P1674" s="9">
        <f>ROUND(O1674*L1674,2)</f>
        <v>24105.65</v>
      </c>
      <c r="Q1674" s="10">
        <f>IF(N1674="HKD",7.8,IF(N1674="CNY",7.30034,1))</f>
        <v>7.3003400000000003</v>
      </c>
      <c r="R1674" s="10">
        <f>+ROUND(O1674/Q1674,4)</f>
        <v>1.4874000000000001</v>
      </c>
      <c r="S1674" s="11">
        <f>ROUND(R1674*L1674,2)</f>
        <v>3302.03</v>
      </c>
      <c r="T1674" s="10" t="s">
        <v>349</v>
      </c>
      <c r="U1674" s="15" t="s">
        <v>78</v>
      </c>
    </row>
    <row r="1675" spans="1:21">
      <c r="A1675" s="15" t="s">
        <v>343</v>
      </c>
      <c r="B1675" s="16">
        <v>45672</v>
      </c>
      <c r="C1675" s="16">
        <v>45652</v>
      </c>
      <c r="D1675" s="15" t="s">
        <v>311</v>
      </c>
      <c r="E1675" s="15" t="s">
        <v>312</v>
      </c>
      <c r="G1675" s="15" t="s">
        <v>344</v>
      </c>
      <c r="H1675" s="15" t="s">
        <v>341</v>
      </c>
      <c r="I1675" s="15" t="s">
        <v>342</v>
      </c>
      <c r="J1675" s="8" t="str">
        <f>+LEFT(U1675,4)</f>
        <v>INM-</v>
      </c>
      <c r="K1675" s="15" t="s">
        <v>10</v>
      </c>
      <c r="L1675" s="46">
        <v>100</v>
      </c>
      <c r="M1675" s="15" t="s">
        <v>186</v>
      </c>
      <c r="N1675" s="15" t="s">
        <v>11</v>
      </c>
      <c r="O1675" s="49">
        <v>63.008800000000001</v>
      </c>
      <c r="P1675" s="9">
        <f>ROUND(O1675*L1675,2)</f>
        <v>6300.88</v>
      </c>
      <c r="Q1675" s="10">
        <f>IF(N1675="HKD",7.8,IF(N1675="CNY",7.30034,1))</f>
        <v>7.3003400000000003</v>
      </c>
      <c r="R1675" s="10">
        <f>+ROUND(O1675/Q1675,4)</f>
        <v>8.6309000000000005</v>
      </c>
      <c r="S1675" s="11">
        <f>ROUND(R1675*L1675,2)</f>
        <v>863.09</v>
      </c>
      <c r="T1675" s="10" t="s">
        <v>349</v>
      </c>
      <c r="U1675" s="15" t="s">
        <v>327</v>
      </c>
    </row>
    <row r="1676" spans="1:21">
      <c r="A1676" s="15" t="s">
        <v>333</v>
      </c>
      <c r="B1676" s="16">
        <v>45672</v>
      </c>
      <c r="C1676" s="16">
        <v>45657</v>
      </c>
      <c r="D1676" s="15" t="s">
        <v>311</v>
      </c>
      <c r="E1676" s="15" t="s">
        <v>312</v>
      </c>
      <c r="G1676" s="15" t="s">
        <v>326</v>
      </c>
      <c r="H1676" s="15" t="s">
        <v>331</v>
      </c>
      <c r="I1676" s="15" t="s">
        <v>332</v>
      </c>
      <c r="J1676" s="8" t="str">
        <f>+LEFT(U1676,4)</f>
        <v>INM-</v>
      </c>
      <c r="K1676" s="15" t="s">
        <v>10</v>
      </c>
      <c r="L1676" s="46">
        <v>25</v>
      </c>
      <c r="M1676" s="15" t="s">
        <v>186</v>
      </c>
      <c r="N1676" s="15" t="s">
        <v>11</v>
      </c>
      <c r="O1676" s="49">
        <v>64.778800000000004</v>
      </c>
      <c r="P1676" s="9">
        <f>ROUND(O1676*L1676,2)</f>
        <v>1619.47</v>
      </c>
      <c r="Q1676" s="10">
        <f>IF(N1676="HKD",7.8,IF(N1676="CNY",7.30034,1))</f>
        <v>7.3003400000000003</v>
      </c>
      <c r="R1676" s="10">
        <f>+ROUND(O1676/Q1676,4)</f>
        <v>8.8734000000000002</v>
      </c>
      <c r="S1676" s="11">
        <f>ROUND(R1676*L1676,2)</f>
        <v>221.84</v>
      </c>
      <c r="T1676" s="10" t="s">
        <v>349</v>
      </c>
      <c r="U1676" s="15" t="s">
        <v>327</v>
      </c>
    </row>
    <row r="1677" spans="1:21">
      <c r="A1677" s="15" t="s">
        <v>340</v>
      </c>
      <c r="B1677" s="16">
        <v>45672</v>
      </c>
      <c r="C1677" s="16">
        <v>45657</v>
      </c>
      <c r="D1677" s="15" t="s">
        <v>311</v>
      </c>
      <c r="E1677" s="15" t="s">
        <v>312</v>
      </c>
      <c r="G1677" s="15" t="s">
        <v>326</v>
      </c>
      <c r="H1677" s="15" t="s">
        <v>328</v>
      </c>
      <c r="I1677" s="15" t="s">
        <v>329</v>
      </c>
      <c r="J1677" s="8" t="str">
        <f>+LEFT(U1677,4)</f>
        <v>INM-</v>
      </c>
      <c r="K1677" s="15" t="s">
        <v>10</v>
      </c>
      <c r="L1677" s="46">
        <v>25</v>
      </c>
      <c r="M1677" s="15" t="s">
        <v>186</v>
      </c>
      <c r="N1677" s="15" t="s">
        <v>11</v>
      </c>
      <c r="O1677" s="49">
        <v>69.026499999999999</v>
      </c>
      <c r="P1677" s="9">
        <f>ROUND(O1677*L1677,2)</f>
        <v>1725.66</v>
      </c>
      <c r="Q1677" s="10">
        <f>IF(N1677="HKD",7.8,IF(N1677="CNY",7.30034,1))</f>
        <v>7.3003400000000003</v>
      </c>
      <c r="R1677" s="10">
        <f>+ROUND(O1677/Q1677,4)</f>
        <v>9.4551999999999996</v>
      </c>
      <c r="S1677" s="11">
        <f>ROUND(R1677*L1677,2)</f>
        <v>236.38</v>
      </c>
      <c r="T1677" s="10" t="s">
        <v>349</v>
      </c>
      <c r="U1677" s="15" t="s">
        <v>327</v>
      </c>
    </row>
    <row r="1678" spans="1:21">
      <c r="A1678" s="15" t="s">
        <v>330</v>
      </c>
      <c r="B1678" s="16">
        <v>45672</v>
      </c>
      <c r="C1678" s="16">
        <v>45657</v>
      </c>
      <c r="D1678" s="15" t="s">
        <v>311</v>
      </c>
      <c r="E1678" s="15" t="s">
        <v>312</v>
      </c>
      <c r="G1678" s="15" t="s">
        <v>326</v>
      </c>
      <c r="H1678" s="15" t="s">
        <v>328</v>
      </c>
      <c r="I1678" s="15" t="s">
        <v>329</v>
      </c>
      <c r="J1678" s="8" t="str">
        <f>+LEFT(U1678,4)</f>
        <v>INM-</v>
      </c>
      <c r="K1678" s="15" t="s">
        <v>10</v>
      </c>
      <c r="L1678" s="46">
        <v>75</v>
      </c>
      <c r="M1678" s="15" t="s">
        <v>186</v>
      </c>
      <c r="N1678" s="15" t="s">
        <v>11</v>
      </c>
      <c r="O1678" s="49">
        <v>69.026499999999999</v>
      </c>
      <c r="P1678" s="9">
        <f>ROUND(O1678*L1678,2)</f>
        <v>5176.99</v>
      </c>
      <c r="Q1678" s="10">
        <f>IF(N1678="HKD",7.8,IF(N1678="CNY",7.30034,1))</f>
        <v>7.3003400000000003</v>
      </c>
      <c r="R1678" s="10">
        <f>+ROUND(O1678/Q1678,4)</f>
        <v>9.4551999999999996</v>
      </c>
      <c r="S1678" s="11">
        <f>ROUND(R1678*L1678,2)</f>
        <v>709.14</v>
      </c>
      <c r="T1678" s="10" t="s">
        <v>349</v>
      </c>
      <c r="U1678" s="15" t="s">
        <v>327</v>
      </c>
    </row>
    <row r="1679" spans="1:21">
      <c r="A1679" s="15" t="s">
        <v>325</v>
      </c>
      <c r="B1679" s="16">
        <v>45672</v>
      </c>
      <c r="C1679" s="16">
        <v>45657</v>
      </c>
      <c r="D1679" s="15" t="s">
        <v>311</v>
      </c>
      <c r="E1679" s="15" t="s">
        <v>312</v>
      </c>
      <c r="G1679" s="15" t="s">
        <v>326</v>
      </c>
      <c r="H1679" s="15" t="s">
        <v>323</v>
      </c>
      <c r="I1679" s="15" t="s">
        <v>324</v>
      </c>
      <c r="J1679" s="8" t="str">
        <f>+LEFT(U1679,4)</f>
        <v>INM-</v>
      </c>
      <c r="K1679" s="15" t="s">
        <v>10</v>
      </c>
      <c r="L1679" s="46">
        <v>25</v>
      </c>
      <c r="M1679" s="15" t="s">
        <v>186</v>
      </c>
      <c r="N1679" s="15" t="s">
        <v>11</v>
      </c>
      <c r="O1679" s="49">
        <v>69.026499999999999</v>
      </c>
      <c r="P1679" s="9">
        <f>ROUND(O1679*L1679,2)</f>
        <v>1725.66</v>
      </c>
      <c r="Q1679" s="10">
        <f>IF(N1679="HKD",7.8,IF(N1679="CNY",7.30034,1))</f>
        <v>7.3003400000000003</v>
      </c>
      <c r="R1679" s="10">
        <f>+ROUND(O1679/Q1679,4)</f>
        <v>9.4551999999999996</v>
      </c>
      <c r="S1679" s="11">
        <f>ROUND(R1679*L1679,2)</f>
        <v>236.38</v>
      </c>
      <c r="T1679" s="10" t="s">
        <v>349</v>
      </c>
      <c r="U1679" s="15" t="s">
        <v>327</v>
      </c>
    </row>
    <row r="1680" spans="1:21">
      <c r="A1680" s="15" t="s">
        <v>308</v>
      </c>
      <c r="B1680" s="16">
        <v>45672</v>
      </c>
      <c r="C1680" s="16">
        <v>45670</v>
      </c>
      <c r="D1680" s="15" t="s">
        <v>295</v>
      </c>
      <c r="E1680" s="15" t="s">
        <v>296</v>
      </c>
      <c r="G1680" s="15" t="s">
        <v>305</v>
      </c>
      <c r="H1680" s="15" t="s">
        <v>306</v>
      </c>
      <c r="I1680" s="15" t="s">
        <v>307</v>
      </c>
      <c r="J1680" s="8" t="str">
        <f>+LEFT(U1680,4)</f>
        <v>LHDL</v>
      </c>
      <c r="K1680" s="15" t="s">
        <v>10</v>
      </c>
      <c r="L1680" s="46">
        <v>52</v>
      </c>
      <c r="M1680" s="15" t="s">
        <v>1472</v>
      </c>
      <c r="N1680" s="15" t="s">
        <v>11</v>
      </c>
      <c r="O1680" s="49">
        <v>1.0327</v>
      </c>
      <c r="P1680" s="9">
        <f>ROUND(O1680*L1680,2)</f>
        <v>53.7</v>
      </c>
      <c r="Q1680" s="10">
        <f>IF(N1680="HKD",7.8,IF(N1680="CNY",7.30034,1))</f>
        <v>7.3003400000000003</v>
      </c>
      <c r="R1680" s="10">
        <f>+ROUND(O1680/Q1680,4)</f>
        <v>0.14149999999999999</v>
      </c>
      <c r="S1680" s="11">
        <f>ROUND(R1680*L1680,2)</f>
        <v>7.36</v>
      </c>
      <c r="T1680" s="10" t="s">
        <v>349</v>
      </c>
      <c r="U1680" s="15" t="s">
        <v>125</v>
      </c>
    </row>
    <row r="1681" spans="1:21">
      <c r="A1681" s="15" t="s">
        <v>304</v>
      </c>
      <c r="B1681" s="16">
        <v>45672</v>
      </c>
      <c r="C1681" s="16">
        <v>45670</v>
      </c>
      <c r="D1681" s="15" t="s">
        <v>295</v>
      </c>
      <c r="E1681" s="15" t="s">
        <v>296</v>
      </c>
      <c r="G1681" s="15" t="s">
        <v>305</v>
      </c>
      <c r="H1681" s="15" t="s">
        <v>302</v>
      </c>
      <c r="I1681" s="15" t="s">
        <v>303</v>
      </c>
      <c r="J1681" s="8" t="str">
        <f>+LEFT(U1681,4)</f>
        <v>LHDL</v>
      </c>
      <c r="K1681" s="15" t="s">
        <v>10</v>
      </c>
      <c r="L1681" s="46">
        <v>38</v>
      </c>
      <c r="M1681" s="15" t="s">
        <v>1472</v>
      </c>
      <c r="N1681" s="15" t="s">
        <v>11</v>
      </c>
      <c r="O1681" s="49">
        <v>1.073</v>
      </c>
      <c r="P1681" s="9">
        <f>ROUND(O1681*L1681,2)</f>
        <v>40.770000000000003</v>
      </c>
      <c r="Q1681" s="10">
        <f>IF(N1681="HKD",7.8,IF(N1681="CNY",7.30034,1))</f>
        <v>7.3003400000000003</v>
      </c>
      <c r="R1681" s="10">
        <f>+ROUND(O1681/Q1681,4)</f>
        <v>0.14699999999999999</v>
      </c>
      <c r="S1681" s="11">
        <f>ROUND(R1681*L1681,2)</f>
        <v>5.59</v>
      </c>
      <c r="T1681" s="10" t="s">
        <v>349</v>
      </c>
      <c r="U1681" s="15" t="s">
        <v>125</v>
      </c>
    </row>
    <row r="1682" spans="1:21">
      <c r="A1682" s="15" t="s">
        <v>301</v>
      </c>
      <c r="B1682" s="16">
        <v>45672</v>
      </c>
      <c r="C1682" s="16">
        <v>45670</v>
      </c>
      <c r="D1682" s="15" t="s">
        <v>295</v>
      </c>
      <c r="E1682" s="15" t="s">
        <v>296</v>
      </c>
      <c r="G1682" s="15" t="s">
        <v>298</v>
      </c>
      <c r="H1682" s="15" t="s">
        <v>299</v>
      </c>
      <c r="I1682" s="15" t="s">
        <v>300</v>
      </c>
      <c r="J1682" s="8" t="str">
        <f>+LEFT(U1682,4)</f>
        <v>LHDL</v>
      </c>
      <c r="K1682" s="15" t="s">
        <v>10</v>
      </c>
      <c r="L1682" s="46">
        <v>75</v>
      </c>
      <c r="M1682" s="15" t="s">
        <v>1472</v>
      </c>
      <c r="N1682" s="15" t="s">
        <v>11</v>
      </c>
      <c r="O1682" s="49">
        <v>1.073</v>
      </c>
      <c r="P1682" s="9">
        <f>ROUND(O1682*L1682,2)</f>
        <v>80.48</v>
      </c>
      <c r="Q1682" s="10">
        <f>IF(N1682="HKD",7.8,IF(N1682="CNY",7.30034,1))</f>
        <v>7.3003400000000003</v>
      </c>
      <c r="R1682" s="10">
        <f>+ROUND(O1682/Q1682,4)</f>
        <v>0.14699999999999999</v>
      </c>
      <c r="S1682" s="11">
        <f>ROUND(R1682*L1682,2)</f>
        <v>11.03</v>
      </c>
      <c r="T1682" s="10" t="s">
        <v>349</v>
      </c>
      <c r="U1682" s="15" t="s">
        <v>125</v>
      </c>
    </row>
    <row r="1683" spans="1:21">
      <c r="A1683" s="15" t="s">
        <v>297</v>
      </c>
      <c r="B1683" s="16">
        <v>45672</v>
      </c>
      <c r="C1683" s="16">
        <v>45670</v>
      </c>
      <c r="D1683" s="15" t="s">
        <v>295</v>
      </c>
      <c r="E1683" s="15" t="s">
        <v>296</v>
      </c>
      <c r="G1683" s="15" t="s">
        <v>298</v>
      </c>
      <c r="H1683" s="15" t="s">
        <v>293</v>
      </c>
      <c r="I1683" s="15" t="s">
        <v>294</v>
      </c>
      <c r="J1683" s="8" t="str">
        <f>+LEFT(U1683,4)</f>
        <v>LHDL</v>
      </c>
      <c r="K1683" s="15" t="s">
        <v>10</v>
      </c>
      <c r="L1683" s="46">
        <v>58</v>
      </c>
      <c r="M1683" s="15" t="s">
        <v>1472</v>
      </c>
      <c r="N1683" s="15" t="s">
        <v>11</v>
      </c>
      <c r="O1683" s="49">
        <v>1.073</v>
      </c>
      <c r="P1683" s="9">
        <f>ROUND(O1683*L1683,2)</f>
        <v>62.23</v>
      </c>
      <c r="Q1683" s="10">
        <f>IF(N1683="HKD",7.8,IF(N1683="CNY",7.30034,1))</f>
        <v>7.3003400000000003</v>
      </c>
      <c r="R1683" s="10">
        <f>+ROUND(O1683/Q1683,4)</f>
        <v>0.14699999999999999</v>
      </c>
      <c r="S1683" s="11">
        <f>ROUND(R1683*L1683,2)</f>
        <v>8.5299999999999994</v>
      </c>
      <c r="T1683" s="10" t="s">
        <v>349</v>
      </c>
      <c r="U1683" s="15" t="s">
        <v>125</v>
      </c>
    </row>
    <row r="1684" spans="1:21">
      <c r="A1684" s="15" t="s">
        <v>277</v>
      </c>
      <c r="B1684" s="16">
        <v>45672</v>
      </c>
      <c r="C1684" s="16">
        <v>45615</v>
      </c>
      <c r="D1684" s="15" t="s">
        <v>149</v>
      </c>
      <c r="E1684" s="15" t="s">
        <v>150</v>
      </c>
      <c r="G1684" s="15" t="s">
        <v>348</v>
      </c>
      <c r="H1684" s="15" t="s">
        <v>274</v>
      </c>
      <c r="I1684" s="15" t="s">
        <v>275</v>
      </c>
      <c r="J1684" s="8" t="str">
        <f>+LEFT(U1684,4)</f>
        <v>SKU-</v>
      </c>
      <c r="K1684" s="15" t="s">
        <v>98</v>
      </c>
      <c r="L1684" s="46">
        <v>4000</v>
      </c>
      <c r="M1684" s="15" t="s">
        <v>1472</v>
      </c>
      <c r="N1684" s="15" t="s">
        <v>11</v>
      </c>
      <c r="O1684" s="49">
        <v>5.7253999999999996</v>
      </c>
      <c r="P1684" s="9">
        <f>ROUND(O1684*L1684,2)</f>
        <v>22901.599999999999</v>
      </c>
      <c r="Q1684" s="10">
        <f>IF(N1684="HKD",7.8,IF(N1684="CNY",7.30034,1))</f>
        <v>7.3003400000000003</v>
      </c>
      <c r="R1684" s="10">
        <f>+ROUND(O1684/Q1684,4)</f>
        <v>0.7843</v>
      </c>
      <c r="S1684" s="11">
        <f>ROUND(R1684*L1684,2)</f>
        <v>3137.2</v>
      </c>
      <c r="T1684" s="10" t="s">
        <v>349</v>
      </c>
      <c r="U1684" s="15" t="s">
        <v>2</v>
      </c>
    </row>
    <row r="1685" spans="1:21">
      <c r="A1685" s="15" t="s">
        <v>347</v>
      </c>
      <c r="B1685" s="16">
        <v>45672</v>
      </c>
      <c r="C1685" s="16">
        <v>45639</v>
      </c>
      <c r="D1685" s="15" t="s">
        <v>149</v>
      </c>
      <c r="E1685" s="15" t="s">
        <v>150</v>
      </c>
      <c r="G1685" s="15" t="s">
        <v>348</v>
      </c>
      <c r="H1685" s="15" t="s">
        <v>345</v>
      </c>
      <c r="I1685" s="15" t="s">
        <v>346</v>
      </c>
      <c r="J1685" s="8" t="str">
        <f>+LEFT(U1685,4)</f>
        <v>SKU-</v>
      </c>
      <c r="K1685" s="15" t="s">
        <v>98</v>
      </c>
      <c r="L1685" s="46">
        <v>2400</v>
      </c>
      <c r="M1685" s="15" t="s">
        <v>1472</v>
      </c>
      <c r="N1685" s="15" t="s">
        <v>11</v>
      </c>
      <c r="O1685" s="49">
        <v>7.4157999999999999</v>
      </c>
      <c r="P1685" s="9">
        <f>ROUND(O1685*L1685,2)</f>
        <v>17797.919999999998</v>
      </c>
      <c r="Q1685" s="10">
        <f>IF(N1685="HKD",7.8,IF(N1685="CNY",7.30034,1))</f>
        <v>7.3003400000000003</v>
      </c>
      <c r="R1685" s="10">
        <f>+ROUND(O1685/Q1685,4)</f>
        <v>1.0158</v>
      </c>
      <c r="S1685" s="11">
        <f>ROUND(R1685*L1685,2)</f>
        <v>2437.92</v>
      </c>
      <c r="T1685" s="10" t="s">
        <v>349</v>
      </c>
      <c r="U1685" s="15" t="s">
        <v>2</v>
      </c>
    </row>
    <row r="1686" spans="1:21">
      <c r="A1686" s="15" t="s">
        <v>374</v>
      </c>
      <c r="B1686" s="16">
        <v>45671</v>
      </c>
      <c r="C1686" s="16">
        <v>45653</v>
      </c>
      <c r="D1686" s="15" t="s">
        <v>372</v>
      </c>
      <c r="E1686" s="15" t="s">
        <v>373</v>
      </c>
      <c r="G1686" s="15" t="s">
        <v>375</v>
      </c>
      <c r="H1686" s="15" t="s">
        <v>370</v>
      </c>
      <c r="I1686" s="15" t="s">
        <v>371</v>
      </c>
      <c r="J1686" s="8" t="str">
        <f>+LEFT(U1686,4)</f>
        <v>HDL-</v>
      </c>
      <c r="K1686" s="15" t="s">
        <v>98</v>
      </c>
      <c r="L1686" s="46">
        <v>1050</v>
      </c>
      <c r="M1686" s="15" t="s">
        <v>1472</v>
      </c>
      <c r="N1686" s="15" t="s">
        <v>11</v>
      </c>
      <c r="O1686" s="49">
        <v>1.4438</v>
      </c>
      <c r="P1686" s="9">
        <f>ROUND(O1686*L1686,2)</f>
        <v>1515.99</v>
      </c>
      <c r="Q1686" s="10">
        <f>IF(N1686="HKD",7.8,IF(N1686="CNY",7.30034,1))</f>
        <v>7.3003400000000003</v>
      </c>
      <c r="R1686" s="10">
        <f>+ROUND(O1686/Q1686,4)</f>
        <v>0.1978</v>
      </c>
      <c r="S1686" s="11">
        <f>ROUND(R1686*L1686,2)</f>
        <v>207.69</v>
      </c>
      <c r="T1686" s="10" t="s">
        <v>349</v>
      </c>
      <c r="U1686" s="15" t="s">
        <v>228</v>
      </c>
    </row>
    <row r="1687" spans="1:21">
      <c r="A1687" s="15" t="s">
        <v>359</v>
      </c>
      <c r="B1687" s="16">
        <v>45671</v>
      </c>
      <c r="C1687" s="16">
        <v>45639</v>
      </c>
      <c r="D1687" s="15" t="s">
        <v>121</v>
      </c>
      <c r="E1687" s="15" t="s">
        <v>122</v>
      </c>
      <c r="G1687" s="15" t="s">
        <v>353</v>
      </c>
      <c r="H1687" s="15" t="s">
        <v>357</v>
      </c>
      <c r="I1687" s="15" t="s">
        <v>358</v>
      </c>
      <c r="J1687" s="8" t="str">
        <f>+LEFT(U1687,4)</f>
        <v>HDL-</v>
      </c>
      <c r="K1687" s="15" t="s">
        <v>10</v>
      </c>
      <c r="L1687" s="46">
        <v>302</v>
      </c>
      <c r="M1687" s="15" t="s">
        <v>1472</v>
      </c>
      <c r="N1687" s="15" t="s">
        <v>11</v>
      </c>
      <c r="O1687" s="49">
        <v>3.5398000000000001</v>
      </c>
      <c r="P1687" s="9">
        <f>ROUND(O1687*L1687,2)</f>
        <v>1069.02</v>
      </c>
      <c r="Q1687" s="10">
        <f>IF(N1687="HKD",7.8,IF(N1687="CNY",7.30034,1))</f>
        <v>7.3003400000000003</v>
      </c>
      <c r="R1687" s="10">
        <f>+ROUND(O1687/Q1687,4)</f>
        <v>0.4849</v>
      </c>
      <c r="S1687" s="11">
        <f>ROUND(R1687*L1687,2)</f>
        <v>146.44</v>
      </c>
      <c r="T1687" s="10" t="s">
        <v>349</v>
      </c>
      <c r="U1687" s="15" t="s">
        <v>228</v>
      </c>
    </row>
    <row r="1688" spans="1:21">
      <c r="A1688" s="15" t="s">
        <v>356</v>
      </c>
      <c r="B1688" s="16">
        <v>45671</v>
      </c>
      <c r="C1688" s="16">
        <v>45636</v>
      </c>
      <c r="D1688" s="15" t="s">
        <v>121</v>
      </c>
      <c r="E1688" s="15" t="s">
        <v>122</v>
      </c>
      <c r="G1688" s="15" t="s">
        <v>353</v>
      </c>
      <c r="H1688" s="15" t="s">
        <v>354</v>
      </c>
      <c r="I1688" s="15" t="s">
        <v>355</v>
      </c>
      <c r="J1688" s="8" t="str">
        <f>+LEFT(U1688,4)</f>
        <v>HDL-</v>
      </c>
      <c r="K1688" s="15" t="s">
        <v>10</v>
      </c>
      <c r="L1688" s="46">
        <v>1020</v>
      </c>
      <c r="M1688" s="15" t="s">
        <v>1472</v>
      </c>
      <c r="N1688" s="15" t="s">
        <v>11</v>
      </c>
      <c r="O1688" s="49">
        <v>3.9580000000000002</v>
      </c>
      <c r="P1688" s="9">
        <f>ROUND(O1688*L1688,2)</f>
        <v>4037.16</v>
      </c>
      <c r="Q1688" s="10">
        <f>IF(N1688="HKD",7.8,IF(N1688="CNY",7.30034,1))</f>
        <v>7.3003400000000003</v>
      </c>
      <c r="R1688" s="10">
        <f>+ROUND(O1688/Q1688,4)</f>
        <v>0.54220000000000002</v>
      </c>
      <c r="S1688" s="11">
        <f>ROUND(R1688*L1688,2)</f>
        <v>553.04</v>
      </c>
      <c r="T1688" s="10" t="s">
        <v>349</v>
      </c>
      <c r="U1688" s="15" t="s">
        <v>228</v>
      </c>
    </row>
    <row r="1689" spans="1:21">
      <c r="A1689" s="15" t="s">
        <v>352</v>
      </c>
      <c r="B1689" s="16">
        <v>45671</v>
      </c>
      <c r="C1689" s="16">
        <v>45636</v>
      </c>
      <c r="D1689" s="15" t="s">
        <v>121</v>
      </c>
      <c r="E1689" s="15" t="s">
        <v>122</v>
      </c>
      <c r="G1689" s="15" t="s">
        <v>353</v>
      </c>
      <c r="H1689" s="15" t="s">
        <v>350</v>
      </c>
      <c r="I1689" s="15" t="s">
        <v>351</v>
      </c>
      <c r="J1689" s="8" t="str">
        <f>+LEFT(U1689,4)</f>
        <v>HDL-</v>
      </c>
      <c r="K1689" s="15" t="s">
        <v>10</v>
      </c>
      <c r="L1689" s="46">
        <v>1030</v>
      </c>
      <c r="M1689" s="15" t="s">
        <v>1472</v>
      </c>
      <c r="N1689" s="15" t="s">
        <v>11</v>
      </c>
      <c r="O1689" s="49">
        <v>3.9580000000000002</v>
      </c>
      <c r="P1689" s="9">
        <f>ROUND(O1689*L1689,2)</f>
        <v>4076.74</v>
      </c>
      <c r="Q1689" s="10">
        <f>IF(N1689="HKD",7.8,IF(N1689="CNY",7.30034,1))</f>
        <v>7.3003400000000003</v>
      </c>
      <c r="R1689" s="10">
        <f>+ROUND(O1689/Q1689,4)</f>
        <v>0.54220000000000002</v>
      </c>
      <c r="S1689" s="11">
        <f>ROUND(R1689*L1689,2)</f>
        <v>558.47</v>
      </c>
      <c r="T1689" s="10" t="s">
        <v>349</v>
      </c>
      <c r="U1689" s="15" t="s">
        <v>228</v>
      </c>
    </row>
    <row r="1690" spans="1:21">
      <c r="A1690" s="15" t="s">
        <v>366</v>
      </c>
      <c r="B1690" s="16">
        <v>45671</v>
      </c>
      <c r="C1690" s="16">
        <v>45638</v>
      </c>
      <c r="D1690" s="15" t="s">
        <v>94</v>
      </c>
      <c r="E1690" s="15" t="s">
        <v>95</v>
      </c>
      <c r="G1690" s="15" t="s">
        <v>367</v>
      </c>
      <c r="H1690" s="15" t="s">
        <v>364</v>
      </c>
      <c r="I1690" s="15" t="s">
        <v>365</v>
      </c>
      <c r="J1690" s="8" t="str">
        <f>+LEFT(U1690,4)</f>
        <v>LID-</v>
      </c>
      <c r="K1690" s="15" t="s">
        <v>369</v>
      </c>
      <c r="L1690" s="46">
        <v>1030</v>
      </c>
      <c r="M1690" s="15" t="s">
        <v>1472</v>
      </c>
      <c r="N1690" s="15" t="s">
        <v>11</v>
      </c>
      <c r="O1690" s="49">
        <v>3.32</v>
      </c>
      <c r="P1690" s="9">
        <f>ROUND(O1690*L1690,2)</f>
        <v>3419.6</v>
      </c>
      <c r="Q1690" s="10">
        <f>IF(N1690="HKD",7.8,IF(N1690="CNY",7.30034,1))</f>
        <v>7.3003400000000003</v>
      </c>
      <c r="R1690" s="10">
        <f>+ROUND(O1690/Q1690,4)</f>
        <v>0.45479999999999998</v>
      </c>
      <c r="S1690" s="11">
        <f>ROUND(R1690*L1690,2)</f>
        <v>468.44</v>
      </c>
      <c r="T1690" s="10" t="s">
        <v>349</v>
      </c>
      <c r="U1690" s="15" t="s">
        <v>368</v>
      </c>
    </row>
    <row r="1691" spans="1:21">
      <c r="A1691" s="15" t="s">
        <v>378</v>
      </c>
      <c r="B1691" s="16">
        <v>45671</v>
      </c>
      <c r="C1691" s="16">
        <v>45663</v>
      </c>
      <c r="D1691" s="15" t="s">
        <v>5</v>
      </c>
      <c r="E1691" s="15" t="s">
        <v>6</v>
      </c>
      <c r="G1691" s="15" t="s">
        <v>379</v>
      </c>
      <c r="H1691" s="15" t="s">
        <v>376</v>
      </c>
      <c r="I1691" s="15" t="s">
        <v>377</v>
      </c>
      <c r="J1691" s="8" t="str">
        <f>+LEFT(U1691,4)</f>
        <v>SHTS</v>
      </c>
      <c r="K1691" s="15" t="s">
        <v>10</v>
      </c>
      <c r="L1691" s="46">
        <v>1005</v>
      </c>
      <c r="M1691" s="15" t="s">
        <v>1472</v>
      </c>
      <c r="N1691" s="15" t="s">
        <v>11</v>
      </c>
      <c r="O1691" s="49">
        <v>3</v>
      </c>
      <c r="P1691" s="9">
        <f>ROUND(O1691*L1691,2)</f>
        <v>3015</v>
      </c>
      <c r="Q1691" s="10">
        <f>IF(N1691="HKD",7.8,IF(N1691="CNY",7.30034,1))</f>
        <v>7.3003400000000003</v>
      </c>
      <c r="R1691" s="10">
        <f>+ROUND(O1691/Q1691,4)</f>
        <v>0.41089999999999999</v>
      </c>
      <c r="S1691" s="11">
        <f>ROUND(R1691*L1691,2)</f>
        <v>412.95</v>
      </c>
      <c r="T1691" s="10" t="s">
        <v>349</v>
      </c>
      <c r="U1691" s="15" t="s">
        <v>9</v>
      </c>
    </row>
    <row r="1692" spans="1:21">
      <c r="A1692" s="15" t="s">
        <v>362</v>
      </c>
      <c r="B1692" s="16">
        <v>45671</v>
      </c>
      <c r="C1692" s="16">
        <v>45615</v>
      </c>
      <c r="D1692" s="15" t="s">
        <v>94</v>
      </c>
      <c r="E1692" s="15" t="s">
        <v>95</v>
      </c>
      <c r="G1692" s="15" t="s">
        <v>363</v>
      </c>
      <c r="H1692" s="15" t="s">
        <v>360</v>
      </c>
      <c r="I1692" s="15" t="s">
        <v>361</v>
      </c>
      <c r="J1692" s="8" t="str">
        <f>+LEFT(U1692,4)</f>
        <v>SKU-</v>
      </c>
      <c r="K1692" s="15" t="s">
        <v>98</v>
      </c>
      <c r="L1692" s="46">
        <v>2860</v>
      </c>
      <c r="M1692" s="15" t="s">
        <v>1472</v>
      </c>
      <c r="N1692" s="15" t="s">
        <v>11</v>
      </c>
      <c r="O1692" s="49">
        <v>5.8230000000000004</v>
      </c>
      <c r="P1692" s="9">
        <f>ROUND(O1692*L1692,2)</f>
        <v>16653.78</v>
      </c>
      <c r="Q1692" s="10">
        <f>IF(N1692="HKD",7.8,IF(N1692="CNY",7.30034,1))</f>
        <v>7.3003400000000003</v>
      </c>
      <c r="R1692" s="10">
        <f>+ROUND(O1692/Q1692,4)</f>
        <v>0.79759999999999998</v>
      </c>
      <c r="S1692" s="11">
        <f>ROUND(R1692*L1692,2)</f>
        <v>2281.14</v>
      </c>
      <c r="T1692" s="10" t="s">
        <v>349</v>
      </c>
      <c r="U1692" s="15" t="s">
        <v>2</v>
      </c>
    </row>
    <row r="1693" spans="1:21">
      <c r="A1693" s="15" t="s">
        <v>420</v>
      </c>
      <c r="B1693" s="16">
        <v>45670</v>
      </c>
      <c r="C1693" s="16">
        <v>45664</v>
      </c>
      <c r="D1693" s="15" t="s">
        <v>5</v>
      </c>
      <c r="E1693" s="15" t="s">
        <v>6</v>
      </c>
      <c r="G1693" s="15" t="s">
        <v>393</v>
      </c>
      <c r="H1693" s="15" t="s">
        <v>418</v>
      </c>
      <c r="I1693" s="15" t="s">
        <v>419</v>
      </c>
      <c r="J1693" s="8" t="str">
        <f>+LEFT(U1693,4)</f>
        <v>BOX-</v>
      </c>
      <c r="K1693" s="15" t="s">
        <v>10</v>
      </c>
      <c r="L1693" s="46">
        <v>2020</v>
      </c>
      <c r="M1693" s="15" t="s">
        <v>1472</v>
      </c>
      <c r="N1693" s="15" t="s">
        <v>11</v>
      </c>
      <c r="O1693" s="49">
        <v>1.94</v>
      </c>
      <c r="P1693" s="9">
        <f>ROUND(O1693*L1693,2)</f>
        <v>3918.8</v>
      </c>
      <c r="Q1693" s="10">
        <f>IF(N1693="HKD",7.8,IF(N1693="CNY",7.30034,1))</f>
        <v>7.3003400000000003</v>
      </c>
      <c r="R1693" s="10">
        <f>+ROUND(O1693/Q1693,4)</f>
        <v>0.26569999999999999</v>
      </c>
      <c r="S1693" s="11">
        <f>ROUND(R1693*L1693,2)</f>
        <v>536.71</v>
      </c>
      <c r="T1693" s="10" t="s">
        <v>349</v>
      </c>
      <c r="U1693" s="15" t="s">
        <v>1</v>
      </c>
    </row>
    <row r="1694" spans="1:21">
      <c r="A1694" s="15" t="s">
        <v>417</v>
      </c>
      <c r="B1694" s="16">
        <v>45670</v>
      </c>
      <c r="C1694" s="16">
        <v>45664</v>
      </c>
      <c r="D1694" s="15" t="s">
        <v>5</v>
      </c>
      <c r="E1694" s="15" t="s">
        <v>6</v>
      </c>
      <c r="G1694" s="15" t="s">
        <v>393</v>
      </c>
      <c r="H1694" s="15" t="s">
        <v>415</v>
      </c>
      <c r="I1694" s="15" t="s">
        <v>416</v>
      </c>
      <c r="J1694" s="8" t="str">
        <f>+LEFT(U1694,4)</f>
        <v>BOX-</v>
      </c>
      <c r="K1694" s="15" t="s">
        <v>10</v>
      </c>
      <c r="L1694" s="46">
        <v>2020</v>
      </c>
      <c r="M1694" s="15" t="s">
        <v>1472</v>
      </c>
      <c r="N1694" s="15" t="s">
        <v>11</v>
      </c>
      <c r="O1694" s="49">
        <v>2.0299999999999998</v>
      </c>
      <c r="P1694" s="9">
        <f>ROUND(O1694*L1694,2)</f>
        <v>4100.6000000000004</v>
      </c>
      <c r="Q1694" s="10">
        <f>IF(N1694="HKD",7.8,IF(N1694="CNY",7.30034,1))</f>
        <v>7.3003400000000003</v>
      </c>
      <c r="R1694" s="10">
        <f>+ROUND(O1694/Q1694,4)</f>
        <v>0.27810000000000001</v>
      </c>
      <c r="S1694" s="11">
        <f>ROUND(R1694*L1694,2)</f>
        <v>561.76</v>
      </c>
      <c r="T1694" s="10" t="s">
        <v>349</v>
      </c>
      <c r="U1694" s="15" t="s">
        <v>1</v>
      </c>
    </row>
    <row r="1695" spans="1:21">
      <c r="A1695" s="15" t="s">
        <v>386</v>
      </c>
      <c r="B1695" s="16">
        <v>45670</v>
      </c>
      <c r="C1695" s="16">
        <v>45663</v>
      </c>
      <c r="D1695" s="15" t="s">
        <v>5</v>
      </c>
      <c r="E1695" s="15" t="s">
        <v>6</v>
      </c>
      <c r="G1695" s="15" t="s">
        <v>383</v>
      </c>
      <c r="H1695" s="15" t="s">
        <v>384</v>
      </c>
      <c r="I1695" s="15" t="s">
        <v>385</v>
      </c>
      <c r="J1695" s="8" t="str">
        <f>+LEFT(U1695,4)</f>
        <v>BOX-</v>
      </c>
      <c r="K1695" s="15" t="s">
        <v>10</v>
      </c>
      <c r="L1695" s="46">
        <v>1010</v>
      </c>
      <c r="M1695" s="15" t="s">
        <v>1472</v>
      </c>
      <c r="N1695" s="15" t="s">
        <v>11</v>
      </c>
      <c r="O1695" s="49">
        <v>2.5</v>
      </c>
      <c r="P1695" s="9">
        <f>ROUND(O1695*L1695,2)</f>
        <v>2525</v>
      </c>
      <c r="Q1695" s="10">
        <f>IF(N1695="HKD",7.8,IF(N1695="CNY",7.30034,1))</f>
        <v>7.3003400000000003</v>
      </c>
      <c r="R1695" s="10">
        <f>+ROUND(O1695/Q1695,4)</f>
        <v>0.34239999999999998</v>
      </c>
      <c r="S1695" s="11">
        <f>ROUND(R1695*L1695,2)</f>
        <v>345.82</v>
      </c>
      <c r="T1695" s="10" t="s">
        <v>349</v>
      </c>
      <c r="U1695" s="15" t="s">
        <v>1</v>
      </c>
    </row>
    <row r="1696" spans="1:21">
      <c r="A1696" s="15" t="s">
        <v>411</v>
      </c>
      <c r="B1696" s="16">
        <v>45670</v>
      </c>
      <c r="C1696" s="16">
        <v>45664</v>
      </c>
      <c r="D1696" s="15" t="s">
        <v>5</v>
      </c>
      <c r="E1696" s="15" t="s">
        <v>6</v>
      </c>
      <c r="G1696" s="15" t="s">
        <v>393</v>
      </c>
      <c r="H1696" s="15" t="s">
        <v>409</v>
      </c>
      <c r="I1696" s="15" t="s">
        <v>410</v>
      </c>
      <c r="J1696" s="8" t="str">
        <f>+LEFT(U1696,4)</f>
        <v>BOX-</v>
      </c>
      <c r="K1696" s="15" t="s">
        <v>10</v>
      </c>
      <c r="L1696" s="46">
        <v>2020</v>
      </c>
      <c r="M1696" s="15" t="s">
        <v>1472</v>
      </c>
      <c r="N1696" s="15" t="s">
        <v>11</v>
      </c>
      <c r="O1696" s="49">
        <v>2.52</v>
      </c>
      <c r="P1696" s="9">
        <f>ROUND(O1696*L1696,2)</f>
        <v>5090.3999999999996</v>
      </c>
      <c r="Q1696" s="10">
        <f>IF(N1696="HKD",7.8,IF(N1696="CNY",7.30034,1))</f>
        <v>7.3003400000000003</v>
      </c>
      <c r="R1696" s="10">
        <f>+ROUND(O1696/Q1696,4)</f>
        <v>0.34520000000000001</v>
      </c>
      <c r="S1696" s="11">
        <f>ROUND(R1696*L1696,2)</f>
        <v>697.3</v>
      </c>
      <c r="T1696" s="10" t="s">
        <v>349</v>
      </c>
      <c r="U1696" s="15" t="s">
        <v>1</v>
      </c>
    </row>
    <row r="1697" spans="1:21">
      <c r="A1697" s="15" t="s">
        <v>414</v>
      </c>
      <c r="B1697" s="16">
        <v>45670</v>
      </c>
      <c r="C1697" s="16">
        <v>45664</v>
      </c>
      <c r="D1697" s="15" t="s">
        <v>5</v>
      </c>
      <c r="E1697" s="15" t="s">
        <v>6</v>
      </c>
      <c r="G1697" s="15" t="s">
        <v>393</v>
      </c>
      <c r="H1697" s="15" t="s">
        <v>412</v>
      </c>
      <c r="I1697" s="15" t="s">
        <v>413</v>
      </c>
      <c r="J1697" s="8" t="str">
        <f>+LEFT(U1697,4)</f>
        <v>BOX-</v>
      </c>
      <c r="K1697" s="15" t="s">
        <v>10</v>
      </c>
      <c r="L1697" s="46">
        <v>2020</v>
      </c>
      <c r="M1697" s="15" t="s">
        <v>1472</v>
      </c>
      <c r="N1697" s="15" t="s">
        <v>11</v>
      </c>
      <c r="O1697" s="49">
        <v>2.6</v>
      </c>
      <c r="P1697" s="9">
        <f>ROUND(O1697*L1697,2)</f>
        <v>5252</v>
      </c>
      <c r="Q1697" s="10">
        <f>IF(N1697="HKD",7.8,IF(N1697="CNY",7.30034,1))</f>
        <v>7.3003400000000003</v>
      </c>
      <c r="R1697" s="10">
        <f>+ROUND(O1697/Q1697,4)</f>
        <v>0.35610000000000003</v>
      </c>
      <c r="S1697" s="11">
        <f>ROUND(R1697*L1697,2)</f>
        <v>719.32</v>
      </c>
      <c r="T1697" s="10" t="s">
        <v>349</v>
      </c>
      <c r="U1697" s="15" t="s">
        <v>1</v>
      </c>
    </row>
    <row r="1698" spans="1:21">
      <c r="A1698" s="15" t="s">
        <v>408</v>
      </c>
      <c r="B1698" s="16">
        <v>45670</v>
      </c>
      <c r="C1698" s="16">
        <v>45664</v>
      </c>
      <c r="D1698" s="15" t="s">
        <v>5</v>
      </c>
      <c r="E1698" s="15" t="s">
        <v>6</v>
      </c>
      <c r="G1698" s="15" t="s">
        <v>393</v>
      </c>
      <c r="H1698" s="15" t="s">
        <v>406</v>
      </c>
      <c r="I1698" s="15" t="s">
        <v>407</v>
      </c>
      <c r="J1698" s="8" t="str">
        <f>+LEFT(U1698,4)</f>
        <v>BOX-</v>
      </c>
      <c r="K1698" s="15" t="s">
        <v>10</v>
      </c>
      <c r="L1698" s="46">
        <v>2020</v>
      </c>
      <c r="M1698" s="15" t="s">
        <v>1472</v>
      </c>
      <c r="N1698" s="15" t="s">
        <v>11</v>
      </c>
      <c r="O1698" s="49">
        <v>2.76</v>
      </c>
      <c r="P1698" s="9">
        <f>ROUND(O1698*L1698,2)</f>
        <v>5575.2</v>
      </c>
      <c r="Q1698" s="10">
        <f>IF(N1698="HKD",7.8,IF(N1698="CNY",7.30034,1))</f>
        <v>7.3003400000000003</v>
      </c>
      <c r="R1698" s="10">
        <f>+ROUND(O1698/Q1698,4)</f>
        <v>0.37809999999999999</v>
      </c>
      <c r="S1698" s="11">
        <f>ROUND(R1698*L1698,2)</f>
        <v>763.76</v>
      </c>
      <c r="T1698" s="10" t="s">
        <v>349</v>
      </c>
      <c r="U1698" s="15" t="s">
        <v>1</v>
      </c>
    </row>
    <row r="1699" spans="1:21">
      <c r="A1699" s="15" t="s">
        <v>461</v>
      </c>
      <c r="B1699" s="16">
        <v>45670</v>
      </c>
      <c r="C1699" s="16">
        <v>45663</v>
      </c>
      <c r="D1699" s="15" t="s">
        <v>5</v>
      </c>
      <c r="E1699" s="15" t="s">
        <v>6</v>
      </c>
      <c r="G1699" s="15" t="s">
        <v>458</v>
      </c>
      <c r="H1699" s="15" t="s">
        <v>459</v>
      </c>
      <c r="I1699" s="15" t="s">
        <v>460</v>
      </c>
      <c r="J1699" s="8" t="str">
        <f>+LEFT(U1699,4)</f>
        <v>BOX-</v>
      </c>
      <c r="K1699" s="15" t="s">
        <v>10</v>
      </c>
      <c r="L1699" s="46">
        <v>2020</v>
      </c>
      <c r="M1699" s="15" t="s">
        <v>1472</v>
      </c>
      <c r="N1699" s="15" t="s">
        <v>11</v>
      </c>
      <c r="O1699" s="49">
        <v>3.05</v>
      </c>
      <c r="P1699" s="9">
        <f>ROUND(O1699*L1699,2)</f>
        <v>6161</v>
      </c>
      <c r="Q1699" s="10">
        <f>IF(N1699="HKD",7.8,IF(N1699="CNY",7.30034,1))</f>
        <v>7.3003400000000003</v>
      </c>
      <c r="R1699" s="10">
        <f>+ROUND(O1699/Q1699,4)</f>
        <v>0.4178</v>
      </c>
      <c r="S1699" s="11">
        <f>ROUND(R1699*L1699,2)</f>
        <v>843.96</v>
      </c>
      <c r="T1699" s="10" t="s">
        <v>349</v>
      </c>
      <c r="U1699" s="15" t="s">
        <v>1</v>
      </c>
    </row>
    <row r="1700" spans="1:21">
      <c r="A1700" s="15" t="s">
        <v>382</v>
      </c>
      <c r="B1700" s="16">
        <v>45670</v>
      </c>
      <c r="C1700" s="16">
        <v>45663</v>
      </c>
      <c r="D1700" s="15" t="s">
        <v>5</v>
      </c>
      <c r="E1700" s="15" t="s">
        <v>6</v>
      </c>
      <c r="G1700" s="15" t="s">
        <v>383</v>
      </c>
      <c r="H1700" s="15" t="s">
        <v>380</v>
      </c>
      <c r="I1700" s="15" t="s">
        <v>381</v>
      </c>
      <c r="J1700" s="8" t="str">
        <f>+LEFT(U1700,4)</f>
        <v>BOX-</v>
      </c>
      <c r="K1700" s="15" t="s">
        <v>10</v>
      </c>
      <c r="L1700" s="46">
        <v>1010</v>
      </c>
      <c r="M1700" s="15" t="s">
        <v>1472</v>
      </c>
      <c r="N1700" s="15" t="s">
        <v>11</v>
      </c>
      <c r="O1700" s="49">
        <v>3.08</v>
      </c>
      <c r="P1700" s="9">
        <f>ROUND(O1700*L1700,2)</f>
        <v>3110.8</v>
      </c>
      <c r="Q1700" s="10">
        <f>IF(N1700="HKD",7.8,IF(N1700="CNY",7.30034,1))</f>
        <v>7.3003400000000003</v>
      </c>
      <c r="R1700" s="10">
        <f>+ROUND(O1700/Q1700,4)</f>
        <v>0.4219</v>
      </c>
      <c r="S1700" s="11">
        <f>ROUND(R1700*L1700,2)</f>
        <v>426.12</v>
      </c>
      <c r="T1700" s="10" t="s">
        <v>349</v>
      </c>
      <c r="U1700" s="15" t="s">
        <v>1</v>
      </c>
    </row>
    <row r="1701" spans="1:21">
      <c r="A1701" s="15" t="s">
        <v>405</v>
      </c>
      <c r="B1701" s="16">
        <v>45670</v>
      </c>
      <c r="C1701" s="16">
        <v>45664</v>
      </c>
      <c r="D1701" s="15" t="s">
        <v>5</v>
      </c>
      <c r="E1701" s="15" t="s">
        <v>6</v>
      </c>
      <c r="G1701" s="15" t="s">
        <v>393</v>
      </c>
      <c r="H1701" s="15" t="s">
        <v>403</v>
      </c>
      <c r="I1701" s="15" t="s">
        <v>404</v>
      </c>
      <c r="J1701" s="8" t="str">
        <f>+LEFT(U1701,4)</f>
        <v>BOX-</v>
      </c>
      <c r="K1701" s="15" t="s">
        <v>10</v>
      </c>
      <c r="L1701" s="46">
        <v>2020</v>
      </c>
      <c r="M1701" s="15" t="s">
        <v>1472</v>
      </c>
      <c r="N1701" s="15" t="s">
        <v>11</v>
      </c>
      <c r="O1701" s="49">
        <v>3.23</v>
      </c>
      <c r="P1701" s="9">
        <f>ROUND(O1701*L1701,2)</f>
        <v>6524.6</v>
      </c>
      <c r="Q1701" s="10">
        <f>IF(N1701="HKD",7.8,IF(N1701="CNY",7.30034,1))</f>
        <v>7.3003400000000003</v>
      </c>
      <c r="R1701" s="10">
        <f>+ROUND(O1701/Q1701,4)</f>
        <v>0.44240000000000002</v>
      </c>
      <c r="S1701" s="11">
        <f>ROUND(R1701*L1701,2)</f>
        <v>893.65</v>
      </c>
      <c r="T1701" s="10" t="s">
        <v>349</v>
      </c>
      <c r="U1701" s="15" t="s">
        <v>1</v>
      </c>
    </row>
    <row r="1702" spans="1:21">
      <c r="A1702" s="15" t="s">
        <v>526</v>
      </c>
      <c r="B1702" s="16">
        <v>45670</v>
      </c>
      <c r="C1702" s="16">
        <v>45663</v>
      </c>
      <c r="D1702" s="15" t="s">
        <v>5</v>
      </c>
      <c r="E1702" s="15" t="s">
        <v>6</v>
      </c>
      <c r="G1702" s="15" t="s">
        <v>527</v>
      </c>
      <c r="H1702" s="15" t="s">
        <v>524</v>
      </c>
      <c r="I1702" s="15" t="s">
        <v>525</v>
      </c>
      <c r="J1702" s="8" t="str">
        <f>+LEFT(U1702,4)</f>
        <v>BOX-</v>
      </c>
      <c r="K1702" s="15" t="s">
        <v>10</v>
      </c>
      <c r="L1702" s="46">
        <v>505</v>
      </c>
      <c r="M1702" s="15" t="s">
        <v>1472</v>
      </c>
      <c r="N1702" s="15" t="s">
        <v>11</v>
      </c>
      <c r="O1702" s="49">
        <v>3.49</v>
      </c>
      <c r="P1702" s="9">
        <f>ROUND(O1702*L1702,2)</f>
        <v>1762.45</v>
      </c>
      <c r="Q1702" s="10">
        <f>IF(N1702="HKD",7.8,IF(N1702="CNY",7.30034,1))</f>
        <v>7.3003400000000003</v>
      </c>
      <c r="R1702" s="10">
        <f>+ROUND(O1702/Q1702,4)</f>
        <v>0.47810000000000002</v>
      </c>
      <c r="S1702" s="11">
        <f>ROUND(R1702*L1702,2)</f>
        <v>241.44</v>
      </c>
      <c r="T1702" s="10" t="s">
        <v>349</v>
      </c>
      <c r="U1702" s="15" t="s">
        <v>1</v>
      </c>
    </row>
    <row r="1703" spans="1:21">
      <c r="A1703" s="15" t="s">
        <v>402</v>
      </c>
      <c r="B1703" s="16">
        <v>45670</v>
      </c>
      <c r="C1703" s="16">
        <v>45664</v>
      </c>
      <c r="D1703" s="15" t="s">
        <v>5</v>
      </c>
      <c r="E1703" s="15" t="s">
        <v>6</v>
      </c>
      <c r="G1703" s="15" t="s">
        <v>393</v>
      </c>
      <c r="H1703" s="15" t="s">
        <v>400</v>
      </c>
      <c r="I1703" s="15" t="s">
        <v>401</v>
      </c>
      <c r="J1703" s="8" t="str">
        <f>+LEFT(U1703,4)</f>
        <v>BOX-</v>
      </c>
      <c r="K1703" s="15" t="s">
        <v>10</v>
      </c>
      <c r="L1703" s="46">
        <v>2020</v>
      </c>
      <c r="M1703" s="15" t="s">
        <v>1472</v>
      </c>
      <c r="N1703" s="15" t="s">
        <v>11</v>
      </c>
      <c r="O1703" s="49">
        <v>3.94</v>
      </c>
      <c r="P1703" s="9">
        <f>ROUND(O1703*L1703,2)</f>
        <v>7958.8</v>
      </c>
      <c r="Q1703" s="10">
        <f>IF(N1703="HKD",7.8,IF(N1703="CNY",7.30034,1))</f>
        <v>7.3003400000000003</v>
      </c>
      <c r="R1703" s="10">
        <f>+ROUND(O1703/Q1703,4)</f>
        <v>0.53969999999999996</v>
      </c>
      <c r="S1703" s="11">
        <f>ROUND(R1703*L1703,2)</f>
        <v>1090.19</v>
      </c>
      <c r="T1703" s="10" t="s">
        <v>349</v>
      </c>
      <c r="U1703" s="15" t="s">
        <v>1</v>
      </c>
    </row>
    <row r="1704" spans="1:21">
      <c r="A1704" s="15" t="s">
        <v>423</v>
      </c>
      <c r="B1704" s="16">
        <v>45670</v>
      </c>
      <c r="C1704" s="16">
        <v>45664</v>
      </c>
      <c r="D1704" s="15" t="s">
        <v>5</v>
      </c>
      <c r="E1704" s="15" t="s">
        <v>6</v>
      </c>
      <c r="G1704" s="15" t="s">
        <v>393</v>
      </c>
      <c r="H1704" s="15" t="s">
        <v>421</v>
      </c>
      <c r="I1704" s="15" t="s">
        <v>422</v>
      </c>
      <c r="J1704" s="8" t="str">
        <f>+LEFT(U1704,4)</f>
        <v>BOX-</v>
      </c>
      <c r="K1704" s="15" t="s">
        <v>10</v>
      </c>
      <c r="L1704" s="46">
        <v>2200</v>
      </c>
      <c r="M1704" s="15" t="s">
        <v>1472</v>
      </c>
      <c r="N1704" s="15" t="s">
        <v>11</v>
      </c>
      <c r="O1704" s="49">
        <v>4.45</v>
      </c>
      <c r="P1704" s="9">
        <f>ROUND(O1704*L1704,2)</f>
        <v>9790</v>
      </c>
      <c r="Q1704" s="10">
        <f>IF(N1704="HKD",7.8,IF(N1704="CNY",7.30034,1))</f>
        <v>7.3003400000000003</v>
      </c>
      <c r="R1704" s="10">
        <f>+ROUND(O1704/Q1704,4)</f>
        <v>0.60960000000000003</v>
      </c>
      <c r="S1704" s="11">
        <f>ROUND(R1704*L1704,2)</f>
        <v>1341.12</v>
      </c>
      <c r="T1704" s="10" t="s">
        <v>349</v>
      </c>
      <c r="U1704" s="15" t="s">
        <v>1</v>
      </c>
    </row>
    <row r="1705" spans="1:21">
      <c r="A1705" s="15" t="s">
        <v>429</v>
      </c>
      <c r="B1705" s="16">
        <v>45670</v>
      </c>
      <c r="C1705" s="16">
        <v>45664</v>
      </c>
      <c r="D1705" s="15" t="s">
        <v>5</v>
      </c>
      <c r="E1705" s="15" t="s">
        <v>6</v>
      </c>
      <c r="G1705" s="15" t="s">
        <v>393</v>
      </c>
      <c r="H1705" s="15" t="s">
        <v>427</v>
      </c>
      <c r="I1705" s="15" t="s">
        <v>428</v>
      </c>
      <c r="J1705" s="8" t="str">
        <f>+LEFT(U1705,4)</f>
        <v>BOX-</v>
      </c>
      <c r="K1705" s="15" t="s">
        <v>10</v>
      </c>
      <c r="L1705" s="46">
        <v>1150</v>
      </c>
      <c r="M1705" s="15" t="s">
        <v>1472</v>
      </c>
      <c r="N1705" s="15" t="s">
        <v>11</v>
      </c>
      <c r="O1705" s="49">
        <v>4.7699999999999996</v>
      </c>
      <c r="P1705" s="9">
        <f>ROUND(O1705*L1705,2)</f>
        <v>5485.5</v>
      </c>
      <c r="Q1705" s="10">
        <f>IF(N1705="HKD",7.8,IF(N1705="CNY",7.30034,1))</f>
        <v>7.3003400000000003</v>
      </c>
      <c r="R1705" s="10">
        <f>+ROUND(O1705/Q1705,4)</f>
        <v>0.65339999999999998</v>
      </c>
      <c r="S1705" s="11">
        <f>ROUND(R1705*L1705,2)</f>
        <v>751.41</v>
      </c>
      <c r="T1705" s="10" t="s">
        <v>349</v>
      </c>
      <c r="U1705" s="15" t="s">
        <v>1</v>
      </c>
    </row>
    <row r="1706" spans="1:21">
      <c r="A1706" s="15" t="s">
        <v>476</v>
      </c>
      <c r="B1706" s="16">
        <v>45670</v>
      </c>
      <c r="C1706" s="16">
        <v>45663</v>
      </c>
      <c r="D1706" s="15" t="s">
        <v>5</v>
      </c>
      <c r="E1706" s="15" t="s">
        <v>6</v>
      </c>
      <c r="G1706" s="15" t="s">
        <v>458</v>
      </c>
      <c r="H1706" s="15" t="s">
        <v>474</v>
      </c>
      <c r="I1706" s="15" t="s">
        <v>475</v>
      </c>
      <c r="J1706" s="8" t="str">
        <f>+LEFT(U1706,4)</f>
        <v>BOX-</v>
      </c>
      <c r="K1706" s="15" t="s">
        <v>10</v>
      </c>
      <c r="L1706" s="46">
        <v>1010</v>
      </c>
      <c r="M1706" s="15" t="s">
        <v>1472</v>
      </c>
      <c r="N1706" s="15" t="s">
        <v>11</v>
      </c>
      <c r="O1706" s="49">
        <v>4.9800000000000004</v>
      </c>
      <c r="P1706" s="9">
        <f>ROUND(O1706*L1706,2)</f>
        <v>5029.8</v>
      </c>
      <c r="Q1706" s="10">
        <f>IF(N1706="HKD",7.8,IF(N1706="CNY",7.30034,1))</f>
        <v>7.3003400000000003</v>
      </c>
      <c r="R1706" s="10">
        <f>+ROUND(O1706/Q1706,4)</f>
        <v>0.68220000000000003</v>
      </c>
      <c r="S1706" s="11">
        <f>ROUND(R1706*L1706,2)</f>
        <v>689.02</v>
      </c>
      <c r="T1706" s="10" t="s">
        <v>349</v>
      </c>
      <c r="U1706" s="15" t="s">
        <v>1</v>
      </c>
    </row>
    <row r="1707" spans="1:21">
      <c r="A1707" s="15" t="s">
        <v>473</v>
      </c>
      <c r="B1707" s="16">
        <v>45670</v>
      </c>
      <c r="C1707" s="16">
        <v>45663</v>
      </c>
      <c r="D1707" s="15" t="s">
        <v>5</v>
      </c>
      <c r="E1707" s="15" t="s">
        <v>6</v>
      </c>
      <c r="G1707" s="15" t="s">
        <v>458</v>
      </c>
      <c r="H1707" s="15" t="s">
        <v>471</v>
      </c>
      <c r="I1707" s="15" t="s">
        <v>472</v>
      </c>
      <c r="J1707" s="8" t="str">
        <f>+LEFT(U1707,4)</f>
        <v>BOX-</v>
      </c>
      <c r="K1707" s="15" t="s">
        <v>10</v>
      </c>
      <c r="L1707" s="46">
        <v>1010</v>
      </c>
      <c r="M1707" s="15" t="s">
        <v>1472</v>
      </c>
      <c r="N1707" s="15" t="s">
        <v>11</v>
      </c>
      <c r="O1707" s="49">
        <v>5.46</v>
      </c>
      <c r="P1707" s="9">
        <f>ROUND(O1707*L1707,2)</f>
        <v>5514.6</v>
      </c>
      <c r="Q1707" s="10">
        <f>IF(N1707="HKD",7.8,IF(N1707="CNY",7.30034,1))</f>
        <v>7.3003400000000003</v>
      </c>
      <c r="R1707" s="10">
        <f>+ROUND(O1707/Q1707,4)</f>
        <v>0.74790000000000001</v>
      </c>
      <c r="S1707" s="11">
        <f>ROUND(R1707*L1707,2)</f>
        <v>755.38</v>
      </c>
      <c r="T1707" s="10" t="s">
        <v>349</v>
      </c>
      <c r="U1707" s="15" t="s">
        <v>1</v>
      </c>
    </row>
    <row r="1708" spans="1:21">
      <c r="A1708" s="15" t="s">
        <v>399</v>
      </c>
      <c r="B1708" s="16">
        <v>45670</v>
      </c>
      <c r="C1708" s="16">
        <v>45664</v>
      </c>
      <c r="D1708" s="15" t="s">
        <v>5</v>
      </c>
      <c r="E1708" s="15" t="s">
        <v>6</v>
      </c>
      <c r="G1708" s="15" t="s">
        <v>393</v>
      </c>
      <c r="H1708" s="15" t="s">
        <v>397</v>
      </c>
      <c r="I1708" s="15" t="s">
        <v>398</v>
      </c>
      <c r="J1708" s="8" t="str">
        <f>+LEFT(U1708,4)</f>
        <v>BOX-</v>
      </c>
      <c r="K1708" s="15" t="s">
        <v>10</v>
      </c>
      <c r="L1708" s="46">
        <v>2020</v>
      </c>
      <c r="M1708" s="15" t="s">
        <v>1472</v>
      </c>
      <c r="N1708" s="15" t="s">
        <v>11</v>
      </c>
      <c r="O1708" s="49">
        <v>5.64</v>
      </c>
      <c r="P1708" s="9">
        <f>ROUND(O1708*L1708,2)</f>
        <v>11392.8</v>
      </c>
      <c r="Q1708" s="10">
        <f>IF(N1708="HKD",7.8,IF(N1708="CNY",7.30034,1))</f>
        <v>7.3003400000000003</v>
      </c>
      <c r="R1708" s="10">
        <f>+ROUND(O1708/Q1708,4)</f>
        <v>0.77259999999999995</v>
      </c>
      <c r="S1708" s="11">
        <f>ROUND(R1708*L1708,2)</f>
        <v>1560.65</v>
      </c>
      <c r="T1708" s="10" t="s">
        <v>349</v>
      </c>
      <c r="U1708" s="15" t="s">
        <v>1</v>
      </c>
    </row>
    <row r="1709" spans="1:21">
      <c r="A1709" s="15" t="s">
        <v>396</v>
      </c>
      <c r="B1709" s="16">
        <v>45670</v>
      </c>
      <c r="C1709" s="16">
        <v>45664</v>
      </c>
      <c r="D1709" s="15" t="s">
        <v>5</v>
      </c>
      <c r="E1709" s="15" t="s">
        <v>6</v>
      </c>
      <c r="G1709" s="15" t="s">
        <v>393</v>
      </c>
      <c r="H1709" s="15" t="s">
        <v>394</v>
      </c>
      <c r="I1709" s="15" t="s">
        <v>395</v>
      </c>
      <c r="J1709" s="8" t="str">
        <f>+LEFT(U1709,4)</f>
        <v>BOX-</v>
      </c>
      <c r="K1709" s="15" t="s">
        <v>10</v>
      </c>
      <c r="L1709" s="46">
        <v>2020</v>
      </c>
      <c r="M1709" s="15" t="s">
        <v>1472</v>
      </c>
      <c r="N1709" s="15" t="s">
        <v>11</v>
      </c>
      <c r="O1709" s="49">
        <v>5.64</v>
      </c>
      <c r="P1709" s="9">
        <f>ROUND(O1709*L1709,2)</f>
        <v>11392.8</v>
      </c>
      <c r="Q1709" s="10">
        <f>IF(N1709="HKD",7.8,IF(N1709="CNY",7.30034,1))</f>
        <v>7.3003400000000003</v>
      </c>
      <c r="R1709" s="10">
        <f>+ROUND(O1709/Q1709,4)</f>
        <v>0.77259999999999995</v>
      </c>
      <c r="S1709" s="11">
        <f>ROUND(R1709*L1709,2)</f>
        <v>1560.65</v>
      </c>
      <c r="T1709" s="10" t="s">
        <v>349</v>
      </c>
      <c r="U1709" s="15" t="s">
        <v>1</v>
      </c>
    </row>
    <row r="1710" spans="1:21">
      <c r="A1710" s="15" t="s">
        <v>488</v>
      </c>
      <c r="B1710" s="16">
        <v>45670</v>
      </c>
      <c r="C1710" s="16">
        <v>45663</v>
      </c>
      <c r="D1710" s="15" t="s">
        <v>5</v>
      </c>
      <c r="E1710" s="15" t="s">
        <v>6</v>
      </c>
      <c r="G1710" s="15" t="s">
        <v>458</v>
      </c>
      <c r="H1710" s="15" t="s">
        <v>486</v>
      </c>
      <c r="I1710" s="15" t="s">
        <v>487</v>
      </c>
      <c r="J1710" s="8" t="str">
        <f>+LEFT(U1710,4)</f>
        <v>BOX-</v>
      </c>
      <c r="K1710" s="15" t="s">
        <v>10</v>
      </c>
      <c r="L1710" s="46">
        <v>1010</v>
      </c>
      <c r="M1710" s="15" t="s">
        <v>1472</v>
      </c>
      <c r="N1710" s="15" t="s">
        <v>11</v>
      </c>
      <c r="O1710" s="49">
        <v>6.27</v>
      </c>
      <c r="P1710" s="9">
        <f>ROUND(O1710*L1710,2)</f>
        <v>6332.7</v>
      </c>
      <c r="Q1710" s="10">
        <f>IF(N1710="HKD",7.8,IF(N1710="CNY",7.30034,1))</f>
        <v>7.3003400000000003</v>
      </c>
      <c r="R1710" s="10">
        <f>+ROUND(O1710/Q1710,4)</f>
        <v>0.8589</v>
      </c>
      <c r="S1710" s="11">
        <f>ROUND(R1710*L1710,2)</f>
        <v>867.49</v>
      </c>
      <c r="T1710" s="10" t="s">
        <v>349</v>
      </c>
      <c r="U1710" s="15" t="s">
        <v>1</v>
      </c>
    </row>
    <row r="1711" spans="1:21">
      <c r="A1711" s="15" t="s">
        <v>426</v>
      </c>
      <c r="B1711" s="16">
        <v>45670</v>
      </c>
      <c r="C1711" s="16">
        <v>45664</v>
      </c>
      <c r="D1711" s="15" t="s">
        <v>5</v>
      </c>
      <c r="E1711" s="15" t="s">
        <v>6</v>
      </c>
      <c r="G1711" s="15" t="s">
        <v>393</v>
      </c>
      <c r="H1711" s="15" t="s">
        <v>424</v>
      </c>
      <c r="I1711" s="15" t="s">
        <v>425</v>
      </c>
      <c r="J1711" s="8" t="str">
        <f>+LEFT(U1711,4)</f>
        <v>BOX-</v>
      </c>
      <c r="K1711" s="15" t="s">
        <v>10</v>
      </c>
      <c r="L1711" s="46">
        <v>2120</v>
      </c>
      <c r="M1711" s="15" t="s">
        <v>1472</v>
      </c>
      <c r="N1711" s="15" t="s">
        <v>11</v>
      </c>
      <c r="O1711" s="49">
        <v>7.13</v>
      </c>
      <c r="P1711" s="9">
        <f>ROUND(O1711*L1711,2)</f>
        <v>15115.6</v>
      </c>
      <c r="Q1711" s="10">
        <f>IF(N1711="HKD",7.8,IF(N1711="CNY",7.30034,1))</f>
        <v>7.3003400000000003</v>
      </c>
      <c r="R1711" s="10">
        <f>+ROUND(O1711/Q1711,4)</f>
        <v>0.97670000000000001</v>
      </c>
      <c r="S1711" s="11">
        <f>ROUND(R1711*L1711,2)</f>
        <v>2070.6</v>
      </c>
      <c r="T1711" s="10" t="s">
        <v>349</v>
      </c>
      <c r="U1711" s="15" t="s">
        <v>1</v>
      </c>
    </row>
    <row r="1712" spans="1:21">
      <c r="A1712" s="15" t="s">
        <v>482</v>
      </c>
      <c r="B1712" s="16">
        <v>45670</v>
      </c>
      <c r="C1712" s="16">
        <v>45663</v>
      </c>
      <c r="D1712" s="15" t="s">
        <v>5</v>
      </c>
      <c r="E1712" s="15" t="s">
        <v>6</v>
      </c>
      <c r="G1712" s="15" t="s">
        <v>458</v>
      </c>
      <c r="H1712" s="15" t="s">
        <v>480</v>
      </c>
      <c r="I1712" s="15" t="s">
        <v>481</v>
      </c>
      <c r="J1712" s="8" t="str">
        <f>+LEFT(U1712,4)</f>
        <v>BOX-</v>
      </c>
      <c r="K1712" s="15" t="s">
        <v>10</v>
      </c>
      <c r="L1712" s="46">
        <v>1010</v>
      </c>
      <c r="M1712" s="15" t="s">
        <v>1472</v>
      </c>
      <c r="N1712" s="15" t="s">
        <v>11</v>
      </c>
      <c r="O1712" s="49">
        <v>7.6</v>
      </c>
      <c r="P1712" s="9">
        <f>ROUND(O1712*L1712,2)</f>
        <v>7676</v>
      </c>
      <c r="Q1712" s="10">
        <f>IF(N1712="HKD",7.8,IF(N1712="CNY",7.30034,1))</f>
        <v>7.3003400000000003</v>
      </c>
      <c r="R1712" s="10">
        <f>+ROUND(O1712/Q1712,4)</f>
        <v>1.0409999999999999</v>
      </c>
      <c r="S1712" s="11">
        <f>ROUND(R1712*L1712,2)</f>
        <v>1051.4100000000001</v>
      </c>
      <c r="T1712" s="10" t="s">
        <v>349</v>
      </c>
      <c r="U1712" s="15" t="s">
        <v>1</v>
      </c>
    </row>
    <row r="1713" spans="1:21">
      <c r="A1713" s="15" t="s">
        <v>389</v>
      </c>
      <c r="B1713" s="16">
        <v>45670</v>
      </c>
      <c r="C1713" s="16">
        <v>45663</v>
      </c>
      <c r="D1713" s="15" t="s">
        <v>5</v>
      </c>
      <c r="E1713" s="15" t="s">
        <v>6</v>
      </c>
      <c r="G1713" s="15" t="s">
        <v>383</v>
      </c>
      <c r="H1713" s="15" t="s">
        <v>387</v>
      </c>
      <c r="I1713" s="15" t="s">
        <v>388</v>
      </c>
      <c r="J1713" s="8" t="str">
        <f>+LEFT(U1713,4)</f>
        <v>BOX-</v>
      </c>
      <c r="K1713" s="15" t="s">
        <v>10</v>
      </c>
      <c r="L1713" s="46">
        <v>1510</v>
      </c>
      <c r="M1713" s="15" t="s">
        <v>1472</v>
      </c>
      <c r="N1713" s="15" t="s">
        <v>11</v>
      </c>
      <c r="O1713" s="49">
        <v>7.75</v>
      </c>
      <c r="P1713" s="9">
        <f>ROUND(O1713*L1713,2)</f>
        <v>11702.5</v>
      </c>
      <c r="Q1713" s="10">
        <f>IF(N1713="HKD",7.8,IF(N1713="CNY",7.30034,1))</f>
        <v>7.3003400000000003</v>
      </c>
      <c r="R1713" s="10">
        <f>+ROUND(O1713/Q1713,4)</f>
        <v>1.0616000000000001</v>
      </c>
      <c r="S1713" s="11">
        <f>ROUND(R1713*L1713,2)</f>
        <v>1603.02</v>
      </c>
      <c r="T1713" s="10" t="s">
        <v>349</v>
      </c>
      <c r="U1713" s="15" t="s">
        <v>1</v>
      </c>
    </row>
    <row r="1714" spans="1:21">
      <c r="A1714" s="15" t="s">
        <v>485</v>
      </c>
      <c r="B1714" s="16">
        <v>45670</v>
      </c>
      <c r="C1714" s="16">
        <v>45663</v>
      </c>
      <c r="D1714" s="15" t="s">
        <v>5</v>
      </c>
      <c r="E1714" s="15" t="s">
        <v>6</v>
      </c>
      <c r="G1714" s="15" t="s">
        <v>458</v>
      </c>
      <c r="H1714" s="15" t="s">
        <v>483</v>
      </c>
      <c r="I1714" s="15" t="s">
        <v>484</v>
      </c>
      <c r="J1714" s="8" t="str">
        <f>+LEFT(U1714,4)</f>
        <v>BOX-</v>
      </c>
      <c r="K1714" s="15" t="s">
        <v>10</v>
      </c>
      <c r="L1714" s="46">
        <v>1010</v>
      </c>
      <c r="M1714" s="15" t="s">
        <v>1472</v>
      </c>
      <c r="N1714" s="15" t="s">
        <v>11</v>
      </c>
      <c r="O1714" s="49">
        <v>7.86</v>
      </c>
      <c r="P1714" s="9">
        <f>ROUND(O1714*L1714,2)</f>
        <v>7938.6</v>
      </c>
      <c r="Q1714" s="10">
        <f>IF(N1714="HKD",7.8,IF(N1714="CNY",7.30034,1))</f>
        <v>7.3003400000000003</v>
      </c>
      <c r="R1714" s="10">
        <f>+ROUND(O1714/Q1714,4)</f>
        <v>1.0767</v>
      </c>
      <c r="S1714" s="11">
        <f>ROUND(R1714*L1714,2)</f>
        <v>1087.47</v>
      </c>
      <c r="T1714" s="10" t="s">
        <v>349</v>
      </c>
      <c r="U1714" s="15" t="s">
        <v>1</v>
      </c>
    </row>
    <row r="1715" spans="1:21">
      <c r="A1715" s="15" t="s">
        <v>479</v>
      </c>
      <c r="B1715" s="16">
        <v>45670</v>
      </c>
      <c r="C1715" s="16">
        <v>45663</v>
      </c>
      <c r="D1715" s="15" t="s">
        <v>5</v>
      </c>
      <c r="E1715" s="15" t="s">
        <v>6</v>
      </c>
      <c r="G1715" s="15" t="s">
        <v>458</v>
      </c>
      <c r="H1715" s="15" t="s">
        <v>477</v>
      </c>
      <c r="I1715" s="15" t="s">
        <v>478</v>
      </c>
      <c r="J1715" s="8" t="str">
        <f>+LEFT(U1715,4)</f>
        <v>BOX-</v>
      </c>
      <c r="K1715" s="15" t="s">
        <v>10</v>
      </c>
      <c r="L1715" s="46">
        <v>1010</v>
      </c>
      <c r="M1715" s="15" t="s">
        <v>1472</v>
      </c>
      <c r="N1715" s="15" t="s">
        <v>11</v>
      </c>
      <c r="O1715" s="49">
        <v>7.87</v>
      </c>
      <c r="P1715" s="9">
        <f>ROUND(O1715*L1715,2)</f>
        <v>7948.7</v>
      </c>
      <c r="Q1715" s="10">
        <f>IF(N1715="HKD",7.8,IF(N1715="CNY",7.30034,1))</f>
        <v>7.3003400000000003</v>
      </c>
      <c r="R1715" s="10">
        <f>+ROUND(O1715/Q1715,4)</f>
        <v>1.0780000000000001</v>
      </c>
      <c r="S1715" s="11">
        <f>ROUND(R1715*L1715,2)</f>
        <v>1088.78</v>
      </c>
      <c r="T1715" s="10" t="s">
        <v>349</v>
      </c>
      <c r="U1715" s="15" t="s">
        <v>1</v>
      </c>
    </row>
    <row r="1716" spans="1:21">
      <c r="A1716" s="15" t="s">
        <v>464</v>
      </c>
      <c r="B1716" s="16">
        <v>45670</v>
      </c>
      <c r="C1716" s="16">
        <v>45663</v>
      </c>
      <c r="D1716" s="15" t="s">
        <v>5</v>
      </c>
      <c r="E1716" s="15" t="s">
        <v>6</v>
      </c>
      <c r="G1716" s="15" t="s">
        <v>458</v>
      </c>
      <c r="H1716" s="15" t="s">
        <v>462</v>
      </c>
      <c r="I1716" s="15" t="s">
        <v>463</v>
      </c>
      <c r="J1716" s="8" t="str">
        <f>+LEFT(U1716,4)</f>
        <v>BOX-</v>
      </c>
      <c r="K1716" s="15" t="s">
        <v>10</v>
      </c>
      <c r="L1716" s="46">
        <v>1010</v>
      </c>
      <c r="M1716" s="15" t="s">
        <v>1472</v>
      </c>
      <c r="N1716" s="15" t="s">
        <v>11</v>
      </c>
      <c r="O1716" s="49">
        <v>8.59</v>
      </c>
      <c r="P1716" s="9">
        <f>ROUND(O1716*L1716,2)</f>
        <v>8675.9</v>
      </c>
      <c r="Q1716" s="10">
        <f>IF(N1716="HKD",7.8,IF(N1716="CNY",7.30034,1))</f>
        <v>7.3003400000000003</v>
      </c>
      <c r="R1716" s="10">
        <f>+ROUND(O1716/Q1716,4)</f>
        <v>1.1767000000000001</v>
      </c>
      <c r="S1716" s="11">
        <f>ROUND(R1716*L1716,2)</f>
        <v>1188.47</v>
      </c>
      <c r="T1716" s="10" t="s">
        <v>349</v>
      </c>
      <c r="U1716" s="15" t="s">
        <v>1</v>
      </c>
    </row>
    <row r="1717" spans="1:21">
      <c r="A1717" s="15" t="s">
        <v>392</v>
      </c>
      <c r="B1717" s="16">
        <v>45670</v>
      </c>
      <c r="C1717" s="16">
        <v>45664</v>
      </c>
      <c r="D1717" s="15" t="s">
        <v>5</v>
      </c>
      <c r="E1717" s="15" t="s">
        <v>6</v>
      </c>
      <c r="G1717" s="15" t="s">
        <v>393</v>
      </c>
      <c r="H1717" s="15" t="s">
        <v>390</v>
      </c>
      <c r="I1717" s="15" t="s">
        <v>391</v>
      </c>
      <c r="J1717" s="8" t="str">
        <f>+LEFT(U1717,4)</f>
        <v>BOX-</v>
      </c>
      <c r="K1717" s="15" t="s">
        <v>10</v>
      </c>
      <c r="L1717" s="46">
        <v>1000</v>
      </c>
      <c r="M1717" s="15" t="s">
        <v>1472</v>
      </c>
      <c r="N1717" s="15" t="s">
        <v>11</v>
      </c>
      <c r="O1717" s="49">
        <v>9.15</v>
      </c>
      <c r="P1717" s="9">
        <f>ROUND(O1717*L1717,2)</f>
        <v>9150</v>
      </c>
      <c r="Q1717" s="10">
        <f>IF(N1717="HKD",7.8,IF(N1717="CNY",7.30034,1))</f>
        <v>7.3003400000000003</v>
      </c>
      <c r="R1717" s="10">
        <f>+ROUND(O1717/Q1717,4)</f>
        <v>1.2534000000000001</v>
      </c>
      <c r="S1717" s="11">
        <f>ROUND(R1717*L1717,2)</f>
        <v>1253.4000000000001</v>
      </c>
      <c r="T1717" s="10" t="s">
        <v>349</v>
      </c>
      <c r="U1717" s="15" t="s">
        <v>1</v>
      </c>
    </row>
    <row r="1718" spans="1:21">
      <c r="A1718" s="15" t="s">
        <v>454</v>
      </c>
      <c r="B1718" s="16">
        <v>45670</v>
      </c>
      <c r="C1718" s="16">
        <v>45663</v>
      </c>
      <c r="D1718" s="15" t="s">
        <v>5</v>
      </c>
      <c r="E1718" s="15" t="s">
        <v>6</v>
      </c>
      <c r="G1718" s="15" t="s">
        <v>450</v>
      </c>
      <c r="H1718" s="15" t="s">
        <v>452</v>
      </c>
      <c r="I1718" s="15" t="s">
        <v>453</v>
      </c>
      <c r="J1718" s="8" t="str">
        <f>+LEFT(U1718,4)</f>
        <v>BOX-</v>
      </c>
      <c r="K1718" s="15" t="s">
        <v>10</v>
      </c>
      <c r="L1718" s="46">
        <v>505</v>
      </c>
      <c r="M1718" s="15" t="s">
        <v>1472</v>
      </c>
      <c r="N1718" s="15" t="s">
        <v>11</v>
      </c>
      <c r="O1718" s="49">
        <v>9.33</v>
      </c>
      <c r="P1718" s="9">
        <f>ROUND(O1718*L1718,2)</f>
        <v>4711.6499999999996</v>
      </c>
      <c r="Q1718" s="10">
        <f>IF(N1718="HKD",7.8,IF(N1718="CNY",7.30034,1))</f>
        <v>7.3003400000000003</v>
      </c>
      <c r="R1718" s="10">
        <f>+ROUND(O1718/Q1718,4)</f>
        <v>1.278</v>
      </c>
      <c r="S1718" s="11">
        <f>ROUND(R1718*L1718,2)</f>
        <v>645.39</v>
      </c>
      <c r="T1718" s="10" t="s">
        <v>349</v>
      </c>
      <c r="U1718" s="15" t="s">
        <v>1</v>
      </c>
    </row>
    <row r="1719" spans="1:21">
      <c r="A1719" s="15" t="s">
        <v>467</v>
      </c>
      <c r="B1719" s="16">
        <v>45670</v>
      </c>
      <c r="C1719" s="16">
        <v>45663</v>
      </c>
      <c r="D1719" s="15" t="s">
        <v>5</v>
      </c>
      <c r="E1719" s="15" t="s">
        <v>6</v>
      </c>
      <c r="G1719" s="15" t="s">
        <v>458</v>
      </c>
      <c r="H1719" s="15" t="s">
        <v>465</v>
      </c>
      <c r="I1719" s="15" t="s">
        <v>466</v>
      </c>
      <c r="J1719" s="8" t="str">
        <f>+LEFT(U1719,4)</f>
        <v>BOX-</v>
      </c>
      <c r="K1719" s="15" t="s">
        <v>10</v>
      </c>
      <c r="L1719" s="46">
        <v>1010</v>
      </c>
      <c r="M1719" s="15" t="s">
        <v>1472</v>
      </c>
      <c r="N1719" s="15" t="s">
        <v>11</v>
      </c>
      <c r="O1719" s="49">
        <v>10.3</v>
      </c>
      <c r="P1719" s="9">
        <f>ROUND(O1719*L1719,2)</f>
        <v>10403</v>
      </c>
      <c r="Q1719" s="10">
        <f>IF(N1719="HKD",7.8,IF(N1719="CNY",7.30034,1))</f>
        <v>7.3003400000000003</v>
      </c>
      <c r="R1719" s="10">
        <f>+ROUND(O1719/Q1719,4)</f>
        <v>1.4109</v>
      </c>
      <c r="S1719" s="11">
        <f>ROUND(R1719*L1719,2)</f>
        <v>1425.01</v>
      </c>
      <c r="T1719" s="10" t="s">
        <v>349</v>
      </c>
      <c r="U1719" s="15" t="s">
        <v>1</v>
      </c>
    </row>
    <row r="1720" spans="1:21">
      <c r="A1720" s="15" t="s">
        <v>470</v>
      </c>
      <c r="B1720" s="16">
        <v>45670</v>
      </c>
      <c r="C1720" s="16">
        <v>45663</v>
      </c>
      <c r="D1720" s="15" t="s">
        <v>5</v>
      </c>
      <c r="E1720" s="15" t="s">
        <v>6</v>
      </c>
      <c r="G1720" s="15" t="s">
        <v>458</v>
      </c>
      <c r="H1720" s="15" t="s">
        <v>468</v>
      </c>
      <c r="I1720" s="15" t="s">
        <v>469</v>
      </c>
      <c r="J1720" s="8" t="str">
        <f>+LEFT(U1720,4)</f>
        <v>BOX-</v>
      </c>
      <c r="K1720" s="15" t="s">
        <v>10</v>
      </c>
      <c r="L1720" s="46">
        <v>505</v>
      </c>
      <c r="M1720" s="15" t="s">
        <v>1472</v>
      </c>
      <c r="N1720" s="15" t="s">
        <v>11</v>
      </c>
      <c r="O1720" s="49">
        <v>12.45</v>
      </c>
      <c r="P1720" s="9">
        <f>ROUND(O1720*L1720,2)</f>
        <v>6287.25</v>
      </c>
      <c r="Q1720" s="10">
        <f>IF(N1720="HKD",7.8,IF(N1720="CNY",7.30034,1))</f>
        <v>7.3003400000000003</v>
      </c>
      <c r="R1720" s="10">
        <f>+ROUND(O1720/Q1720,4)</f>
        <v>1.7054</v>
      </c>
      <c r="S1720" s="11">
        <f>ROUND(R1720*L1720,2)</f>
        <v>861.23</v>
      </c>
      <c r="T1720" s="10" t="s">
        <v>349</v>
      </c>
      <c r="U1720" s="15" t="s">
        <v>1</v>
      </c>
    </row>
    <row r="1721" spans="1:21">
      <c r="A1721" s="15" t="s">
        <v>449</v>
      </c>
      <c r="B1721" s="16">
        <v>45670</v>
      </c>
      <c r="C1721" s="16">
        <v>45663</v>
      </c>
      <c r="D1721" s="15" t="s">
        <v>5</v>
      </c>
      <c r="E1721" s="15" t="s">
        <v>6</v>
      </c>
      <c r="G1721" s="15" t="s">
        <v>450</v>
      </c>
      <c r="H1721" s="15" t="s">
        <v>447</v>
      </c>
      <c r="I1721" s="15" t="s">
        <v>448</v>
      </c>
      <c r="J1721" s="8" t="str">
        <f>+LEFT(U1721,4)</f>
        <v>BOX-</v>
      </c>
      <c r="K1721" s="15" t="s">
        <v>10</v>
      </c>
      <c r="L1721" s="46">
        <v>1010</v>
      </c>
      <c r="M1721" s="15" t="s">
        <v>1472</v>
      </c>
      <c r="N1721" s="15" t="s">
        <v>11</v>
      </c>
      <c r="O1721" s="49">
        <v>15.95</v>
      </c>
      <c r="P1721" s="9">
        <f>ROUND(O1721*L1721,2)</f>
        <v>16109.5</v>
      </c>
      <c r="Q1721" s="10">
        <f>IF(N1721="HKD",7.8,IF(N1721="CNY",7.30034,1))</f>
        <v>7.3003400000000003</v>
      </c>
      <c r="R1721" s="10">
        <f>+ROUND(O1721/Q1721,4)</f>
        <v>2.1848000000000001</v>
      </c>
      <c r="S1721" s="11">
        <f>ROUND(R1721*L1721,2)</f>
        <v>2206.65</v>
      </c>
      <c r="T1721" s="10" t="s">
        <v>349</v>
      </c>
      <c r="U1721" s="15" t="s">
        <v>1</v>
      </c>
    </row>
    <row r="1722" spans="1:21">
      <c r="A1722" s="15" t="s">
        <v>441</v>
      </c>
      <c r="B1722" s="16">
        <v>45670</v>
      </c>
      <c r="C1722" s="16">
        <v>45660</v>
      </c>
      <c r="D1722" s="15" t="s">
        <v>128</v>
      </c>
      <c r="E1722" s="15" t="s">
        <v>129</v>
      </c>
      <c r="G1722" s="15" t="s">
        <v>437</v>
      </c>
      <c r="H1722" s="15" t="s">
        <v>439</v>
      </c>
      <c r="I1722" s="15" t="s">
        <v>440</v>
      </c>
      <c r="J1722" s="8" t="str">
        <f>+LEFT(U1722,4)</f>
        <v>BRKT</v>
      </c>
      <c r="K1722" s="15" t="s">
        <v>10</v>
      </c>
      <c r="L1722" s="46">
        <v>520</v>
      </c>
      <c r="M1722" s="15" t="s">
        <v>1472</v>
      </c>
      <c r="N1722" s="15" t="s">
        <v>11</v>
      </c>
      <c r="O1722" s="49">
        <v>0.53990000000000005</v>
      </c>
      <c r="P1722" s="9">
        <f>ROUND(O1722*L1722,2)</f>
        <v>280.75</v>
      </c>
      <c r="Q1722" s="10">
        <f>IF(N1722="HKD",7.8,IF(N1722="CNY",7.30034,1))</f>
        <v>7.3003400000000003</v>
      </c>
      <c r="R1722" s="10">
        <f>+ROUND(O1722/Q1722,4)</f>
        <v>7.3999999999999996E-2</v>
      </c>
      <c r="S1722" s="11">
        <f>ROUND(R1722*L1722,2)</f>
        <v>38.479999999999997</v>
      </c>
      <c r="T1722" s="10" t="s">
        <v>349</v>
      </c>
      <c r="U1722" s="15" t="s">
        <v>442</v>
      </c>
    </row>
    <row r="1723" spans="1:21">
      <c r="A1723" s="15" t="s">
        <v>445</v>
      </c>
      <c r="B1723" s="16">
        <v>45670</v>
      </c>
      <c r="C1723" s="16">
        <v>45646</v>
      </c>
      <c r="D1723" s="15" t="s">
        <v>128</v>
      </c>
      <c r="E1723" s="15" t="s">
        <v>129</v>
      </c>
      <c r="G1723" s="15" t="s">
        <v>437</v>
      </c>
      <c r="H1723" s="15" t="s">
        <v>443</v>
      </c>
      <c r="I1723" s="15" t="s">
        <v>444</v>
      </c>
      <c r="J1723" s="8" t="str">
        <f>+LEFT(U1723,4)</f>
        <v>FG--</v>
      </c>
      <c r="K1723" s="15" t="s">
        <v>10</v>
      </c>
      <c r="L1723" s="46">
        <v>7100</v>
      </c>
      <c r="M1723" s="15" t="s">
        <v>1472</v>
      </c>
      <c r="N1723" s="15" t="s">
        <v>11</v>
      </c>
      <c r="O1723" s="49">
        <v>1.0021</v>
      </c>
      <c r="P1723" s="9">
        <f>ROUND(O1723*L1723,2)</f>
        <v>7114.91</v>
      </c>
      <c r="Q1723" s="10">
        <f>IF(N1723="HKD",7.8,IF(N1723="CNY",7.30034,1))</f>
        <v>7.3003400000000003</v>
      </c>
      <c r="R1723" s="10">
        <f>+ROUND(O1723/Q1723,4)</f>
        <v>0.13730000000000001</v>
      </c>
      <c r="S1723" s="11">
        <f>ROUND(R1723*L1723,2)</f>
        <v>974.83</v>
      </c>
      <c r="T1723" s="10" t="s">
        <v>349</v>
      </c>
      <c r="U1723" s="15" t="s">
        <v>64</v>
      </c>
    </row>
    <row r="1724" spans="1:21">
      <c r="A1724" s="15" t="s">
        <v>571</v>
      </c>
      <c r="B1724" s="16">
        <v>45670</v>
      </c>
      <c r="C1724" s="16">
        <v>45667</v>
      </c>
      <c r="D1724" s="15" t="s">
        <v>569</v>
      </c>
      <c r="E1724" s="15" t="s">
        <v>570</v>
      </c>
      <c r="G1724" s="15" t="s">
        <v>572</v>
      </c>
      <c r="H1724" s="15" t="s">
        <v>567</v>
      </c>
      <c r="I1724" s="15" t="s">
        <v>568</v>
      </c>
      <c r="J1724" s="8" t="s">
        <v>1505</v>
      </c>
      <c r="K1724" s="15" t="s">
        <v>10</v>
      </c>
      <c r="L1724" s="46">
        <v>100</v>
      </c>
      <c r="M1724" s="15" t="s">
        <v>1472</v>
      </c>
      <c r="N1724" s="15" t="s">
        <v>11</v>
      </c>
      <c r="O1724" s="49">
        <v>3.85</v>
      </c>
      <c r="P1724" s="9">
        <f>ROUND(O1724*L1724,2)</f>
        <v>385</v>
      </c>
      <c r="Q1724" s="10">
        <f>IF(N1724="HKD",7.8,IF(N1724="CNY",7.30034,1))</f>
        <v>7.3003400000000003</v>
      </c>
      <c r="R1724" s="10">
        <f>+ROUND(O1724/Q1724,4)</f>
        <v>0.52739999999999998</v>
      </c>
      <c r="S1724" s="11">
        <f>ROUND(R1724*L1724,2)</f>
        <v>52.74</v>
      </c>
      <c r="T1724" s="10" t="s">
        <v>349</v>
      </c>
      <c r="U1724" s="15" t="s">
        <v>36</v>
      </c>
    </row>
    <row r="1725" spans="1:21">
      <c r="A1725" s="15" t="s">
        <v>653</v>
      </c>
      <c r="B1725" s="16">
        <v>45670</v>
      </c>
      <c r="C1725" s="16">
        <v>45650</v>
      </c>
      <c r="D1725" s="15" t="s">
        <v>651</v>
      </c>
      <c r="E1725" s="15" t="s">
        <v>652</v>
      </c>
      <c r="G1725" s="15" t="s">
        <v>654</v>
      </c>
      <c r="H1725" s="15" t="s">
        <v>649</v>
      </c>
      <c r="I1725" s="15" t="s">
        <v>650</v>
      </c>
      <c r="J1725" s="8" t="str">
        <f>+LEFT(U1725,4)</f>
        <v>HDL-</v>
      </c>
      <c r="K1725" s="15" t="s">
        <v>10</v>
      </c>
      <c r="L1725" s="46">
        <v>520</v>
      </c>
      <c r="M1725" s="15" t="s">
        <v>1472</v>
      </c>
      <c r="N1725" s="15" t="s">
        <v>11</v>
      </c>
      <c r="O1725" s="49">
        <v>1.5</v>
      </c>
      <c r="P1725" s="9">
        <f>ROUND(O1725*L1725,2)</f>
        <v>780</v>
      </c>
      <c r="Q1725" s="10">
        <f>IF(N1725="HKD",7.8,IF(N1725="CNY",7.30034,1))</f>
        <v>7.3003400000000003</v>
      </c>
      <c r="R1725" s="10">
        <f>+ROUND(O1725/Q1725,4)</f>
        <v>0.20549999999999999</v>
      </c>
      <c r="S1725" s="11">
        <f>ROUND(R1725*L1725,2)</f>
        <v>106.86</v>
      </c>
      <c r="T1725" s="10" t="s">
        <v>349</v>
      </c>
      <c r="U1725" s="15" t="s">
        <v>228</v>
      </c>
    </row>
    <row r="1726" spans="1:21">
      <c r="A1726" s="15" t="s">
        <v>436</v>
      </c>
      <c r="B1726" s="16">
        <v>45670</v>
      </c>
      <c r="C1726" s="16">
        <v>45639</v>
      </c>
      <c r="D1726" s="15" t="s">
        <v>128</v>
      </c>
      <c r="E1726" s="15" t="s">
        <v>129</v>
      </c>
      <c r="G1726" s="15" t="s">
        <v>437</v>
      </c>
      <c r="H1726" s="15" t="s">
        <v>434</v>
      </c>
      <c r="I1726" s="15" t="s">
        <v>435</v>
      </c>
      <c r="J1726" s="8" t="str">
        <f>+LEFT(U1726,4)</f>
        <v>HDL-</v>
      </c>
      <c r="K1726" s="15" t="s">
        <v>10</v>
      </c>
      <c r="L1726" s="46">
        <v>1000</v>
      </c>
      <c r="M1726" s="15" t="s">
        <v>1472</v>
      </c>
      <c r="N1726" s="15" t="s">
        <v>11</v>
      </c>
      <c r="O1726" s="49">
        <v>4.9203000000000001</v>
      </c>
      <c r="P1726" s="9">
        <f>ROUND(O1726*L1726,2)</f>
        <v>4920.3</v>
      </c>
      <c r="Q1726" s="10">
        <f>IF(N1726="HKD",7.8,IF(N1726="CNY",7.30034,1))</f>
        <v>7.3003400000000003</v>
      </c>
      <c r="R1726" s="10">
        <f>+ROUND(O1726/Q1726,4)</f>
        <v>0.67400000000000004</v>
      </c>
      <c r="S1726" s="11">
        <f>ROUND(R1726*L1726,2)</f>
        <v>674</v>
      </c>
      <c r="T1726" s="10" t="s">
        <v>349</v>
      </c>
      <c r="U1726" s="15" t="s">
        <v>228</v>
      </c>
    </row>
    <row r="1727" spans="1:21">
      <c r="A1727" s="15" t="s">
        <v>436</v>
      </c>
      <c r="B1727" s="16">
        <v>45670</v>
      </c>
      <c r="C1727" s="16">
        <v>45639</v>
      </c>
      <c r="D1727" s="15" t="s">
        <v>128</v>
      </c>
      <c r="E1727" s="15" t="s">
        <v>129</v>
      </c>
      <c r="G1727" s="15" t="s">
        <v>438</v>
      </c>
      <c r="H1727" s="15" t="s">
        <v>434</v>
      </c>
      <c r="I1727" s="15" t="s">
        <v>435</v>
      </c>
      <c r="J1727" s="8" t="str">
        <f>+LEFT(U1727,4)</f>
        <v>HDL-</v>
      </c>
      <c r="K1727" s="15" t="s">
        <v>10</v>
      </c>
      <c r="L1727" s="46">
        <v>-1000</v>
      </c>
      <c r="M1727" s="15" t="s">
        <v>1472</v>
      </c>
      <c r="N1727" s="15" t="s">
        <v>11</v>
      </c>
      <c r="O1727" s="49">
        <v>4.9203000000000001</v>
      </c>
      <c r="P1727" s="9">
        <f>ROUND(O1727*L1727,2)</f>
        <v>-4920.3</v>
      </c>
      <c r="Q1727" s="10">
        <f>IF(N1727="HKD",7.8,IF(N1727="CNY",7.30034,1))</f>
        <v>7.3003400000000003</v>
      </c>
      <c r="R1727" s="10">
        <f>+ROUND(O1727/Q1727,4)</f>
        <v>0.67400000000000004</v>
      </c>
      <c r="S1727" s="11">
        <f>ROUND(R1727*L1727,2)</f>
        <v>-674</v>
      </c>
      <c r="T1727" s="10" t="s">
        <v>349</v>
      </c>
      <c r="U1727" s="15" t="s">
        <v>228</v>
      </c>
    </row>
    <row r="1728" spans="1:21">
      <c r="A1728" s="15" t="s">
        <v>436</v>
      </c>
      <c r="B1728" s="16">
        <v>45670</v>
      </c>
      <c r="C1728" s="16">
        <v>45639</v>
      </c>
      <c r="D1728" s="15" t="s">
        <v>128</v>
      </c>
      <c r="E1728" s="15" t="s">
        <v>129</v>
      </c>
      <c r="G1728" s="15" t="s">
        <v>451</v>
      </c>
      <c r="H1728" s="15" t="s">
        <v>434</v>
      </c>
      <c r="I1728" s="15" t="s">
        <v>435</v>
      </c>
      <c r="J1728" s="8" t="str">
        <f>+LEFT(U1728,4)</f>
        <v>HDL-</v>
      </c>
      <c r="K1728" s="15" t="s">
        <v>10</v>
      </c>
      <c r="L1728" s="46">
        <v>1000</v>
      </c>
      <c r="M1728" s="15" t="s">
        <v>1472</v>
      </c>
      <c r="N1728" s="15" t="s">
        <v>11</v>
      </c>
      <c r="O1728" s="49">
        <v>4.9203000000000001</v>
      </c>
      <c r="P1728" s="9">
        <f>ROUND(O1728*L1728,2)</f>
        <v>4920.3</v>
      </c>
      <c r="Q1728" s="10">
        <f>IF(N1728="HKD",7.8,IF(N1728="CNY",7.30034,1))</f>
        <v>7.3003400000000003</v>
      </c>
      <c r="R1728" s="10">
        <f>+ROUND(O1728/Q1728,4)</f>
        <v>0.67400000000000004</v>
      </c>
      <c r="S1728" s="11">
        <f>ROUND(R1728*L1728,2)</f>
        <v>674</v>
      </c>
      <c r="T1728" s="10" t="s">
        <v>349</v>
      </c>
      <c r="U1728" s="15" t="s">
        <v>228</v>
      </c>
    </row>
    <row r="1729" spans="1:21">
      <c r="A1729" s="15" t="s">
        <v>446</v>
      </c>
      <c r="B1729" s="16">
        <v>45670</v>
      </c>
      <c r="C1729" s="16">
        <v>45639</v>
      </c>
      <c r="D1729" s="15" t="s">
        <v>128</v>
      </c>
      <c r="E1729" s="15" t="s">
        <v>129</v>
      </c>
      <c r="G1729" s="15" t="s">
        <v>437</v>
      </c>
      <c r="H1729" s="15" t="s">
        <v>26</v>
      </c>
      <c r="I1729" s="15" t="s">
        <v>27</v>
      </c>
      <c r="J1729" s="8" t="str">
        <f>+LEFT(U1729,4)</f>
        <v>KNOB</v>
      </c>
      <c r="K1729" s="15" t="s">
        <v>10</v>
      </c>
      <c r="L1729" s="46">
        <v>2040</v>
      </c>
      <c r="M1729" s="15" t="s">
        <v>1472</v>
      </c>
      <c r="N1729" s="15" t="s">
        <v>11</v>
      </c>
      <c r="O1729" s="49">
        <v>2.3193999999999999</v>
      </c>
      <c r="P1729" s="9">
        <f>ROUND(O1729*L1729,2)</f>
        <v>4731.58</v>
      </c>
      <c r="Q1729" s="10">
        <f>IF(N1729="HKD",7.8,IF(N1729="CNY",7.30034,1))</f>
        <v>7.3003400000000003</v>
      </c>
      <c r="R1729" s="10">
        <f>+ROUND(O1729/Q1729,4)</f>
        <v>0.31769999999999998</v>
      </c>
      <c r="S1729" s="11">
        <f>ROUND(R1729*L1729,2)</f>
        <v>648.11</v>
      </c>
      <c r="T1729" s="10" t="s">
        <v>349</v>
      </c>
      <c r="U1729" s="15" t="s">
        <v>32</v>
      </c>
    </row>
    <row r="1730" spans="1:21">
      <c r="A1730" s="15" t="s">
        <v>628</v>
      </c>
      <c r="B1730" s="16">
        <v>45670</v>
      </c>
      <c r="C1730" s="16">
        <v>45638</v>
      </c>
      <c r="D1730" s="15" t="s">
        <v>169</v>
      </c>
      <c r="E1730" s="15" t="s">
        <v>170</v>
      </c>
      <c r="G1730" s="15" t="s">
        <v>629</v>
      </c>
      <c r="H1730" s="15" t="s">
        <v>626</v>
      </c>
      <c r="I1730" s="15" t="s">
        <v>627</v>
      </c>
      <c r="J1730" s="8" t="str">
        <f>+LEFT(U1730,4)</f>
        <v>LABL</v>
      </c>
      <c r="K1730" s="15" t="s">
        <v>10</v>
      </c>
      <c r="L1730" s="46">
        <v>1010</v>
      </c>
      <c r="M1730" s="15" t="s">
        <v>1472</v>
      </c>
      <c r="N1730" s="15" t="s">
        <v>11</v>
      </c>
      <c r="O1730" s="49">
        <v>0.68</v>
      </c>
      <c r="P1730" s="9">
        <f>ROUND(O1730*L1730,2)</f>
        <v>686.8</v>
      </c>
      <c r="Q1730" s="10">
        <f>IF(N1730="HKD",7.8,IF(N1730="CNY",7.30034,1))</f>
        <v>7.3003400000000003</v>
      </c>
      <c r="R1730" s="10">
        <f>+ROUND(O1730/Q1730,4)</f>
        <v>9.3100000000000002E-2</v>
      </c>
      <c r="S1730" s="11">
        <f>ROUND(R1730*L1730,2)</f>
        <v>94.03</v>
      </c>
      <c r="T1730" s="10" t="s">
        <v>349</v>
      </c>
      <c r="U1730" s="15" t="s">
        <v>630</v>
      </c>
    </row>
    <row r="1731" spans="1:21">
      <c r="A1731" s="15" t="s">
        <v>551</v>
      </c>
      <c r="B1731" s="16">
        <v>45670</v>
      </c>
      <c r="C1731" s="16">
        <v>45639</v>
      </c>
      <c r="D1731" s="15" t="s">
        <v>545</v>
      </c>
      <c r="E1731" s="15" t="s">
        <v>546</v>
      </c>
      <c r="G1731" s="15" t="s">
        <v>548</v>
      </c>
      <c r="H1731" s="15" t="s">
        <v>549</v>
      </c>
      <c r="I1731" s="15" t="s">
        <v>550</v>
      </c>
      <c r="J1731" s="8" t="str">
        <f>+LEFT(U1731,4)</f>
        <v>MISC</v>
      </c>
      <c r="K1731" s="15" t="s">
        <v>10</v>
      </c>
      <c r="L1731" s="46">
        <v>13000</v>
      </c>
      <c r="M1731" s="15" t="s">
        <v>1472</v>
      </c>
      <c r="N1731" s="15" t="s">
        <v>11</v>
      </c>
      <c r="O1731" s="49">
        <v>0.115</v>
      </c>
      <c r="P1731" s="9">
        <f>ROUND(O1731*L1731,2)</f>
        <v>1495</v>
      </c>
      <c r="Q1731" s="10">
        <f>IF(N1731="HKD",7.8,IF(N1731="CNY",7.30034,1))</f>
        <v>7.3003400000000003</v>
      </c>
      <c r="R1731" s="10">
        <f>+ROUND(O1731/Q1731,4)</f>
        <v>1.5800000000000002E-2</v>
      </c>
      <c r="S1731" s="11">
        <f>ROUND(R1731*L1731,2)</f>
        <v>205.4</v>
      </c>
      <c r="T1731" s="10" t="s">
        <v>349</v>
      </c>
      <c r="U1731" s="15" t="s">
        <v>25</v>
      </c>
    </row>
    <row r="1732" spans="1:21">
      <c r="A1732" s="15" t="s">
        <v>551</v>
      </c>
      <c r="B1732" s="16">
        <v>45670</v>
      </c>
      <c r="C1732" s="16">
        <v>45639</v>
      </c>
      <c r="D1732" s="15" t="s">
        <v>545</v>
      </c>
      <c r="E1732" s="15" t="s">
        <v>546</v>
      </c>
      <c r="G1732" s="15" t="s">
        <v>562</v>
      </c>
      <c r="H1732" s="15" t="s">
        <v>549</v>
      </c>
      <c r="I1732" s="15" t="s">
        <v>550</v>
      </c>
      <c r="J1732" s="8" t="str">
        <f>+LEFT(U1732,4)</f>
        <v>MISC</v>
      </c>
      <c r="K1732" s="15" t="s">
        <v>10</v>
      </c>
      <c r="L1732" s="46">
        <v>500</v>
      </c>
      <c r="M1732" s="15" t="s">
        <v>1472</v>
      </c>
      <c r="N1732" s="15" t="s">
        <v>11</v>
      </c>
      <c r="O1732" s="49">
        <v>0.115</v>
      </c>
      <c r="P1732" s="9">
        <f>ROUND(O1732*L1732,2)</f>
        <v>57.5</v>
      </c>
      <c r="Q1732" s="10">
        <f>IF(N1732="HKD",7.8,IF(N1732="CNY",7.30034,1))</f>
        <v>7.3003400000000003</v>
      </c>
      <c r="R1732" s="10">
        <f>+ROUND(O1732/Q1732,4)</f>
        <v>1.5800000000000002E-2</v>
      </c>
      <c r="S1732" s="11">
        <f>ROUND(R1732*L1732,2)</f>
        <v>7.9</v>
      </c>
      <c r="T1732" s="10" t="s">
        <v>349</v>
      </c>
      <c r="U1732" s="15" t="s">
        <v>25</v>
      </c>
    </row>
    <row r="1733" spans="1:21">
      <c r="A1733" s="15" t="s">
        <v>552</v>
      </c>
      <c r="B1733" s="16">
        <v>45670</v>
      </c>
      <c r="C1733" s="16">
        <v>45644</v>
      </c>
      <c r="D1733" s="15" t="s">
        <v>545</v>
      </c>
      <c r="E1733" s="15" t="s">
        <v>546</v>
      </c>
      <c r="G1733" s="15" t="s">
        <v>548</v>
      </c>
      <c r="H1733" s="15" t="s">
        <v>549</v>
      </c>
      <c r="I1733" s="15" t="s">
        <v>550</v>
      </c>
      <c r="J1733" s="8" t="str">
        <f>+LEFT(U1733,4)</f>
        <v>MISC</v>
      </c>
      <c r="K1733" s="15" t="s">
        <v>10</v>
      </c>
      <c r="L1733" s="46">
        <v>9800</v>
      </c>
      <c r="M1733" s="15" t="s">
        <v>1472</v>
      </c>
      <c r="N1733" s="15" t="s">
        <v>11</v>
      </c>
      <c r="O1733" s="49">
        <v>0.115</v>
      </c>
      <c r="P1733" s="9">
        <f>ROUND(O1733*L1733,2)</f>
        <v>1127</v>
      </c>
      <c r="Q1733" s="10">
        <f>IF(N1733="HKD",7.8,IF(N1733="CNY",7.30034,1))</f>
        <v>7.3003400000000003</v>
      </c>
      <c r="R1733" s="10">
        <f>+ROUND(O1733/Q1733,4)</f>
        <v>1.5800000000000002E-2</v>
      </c>
      <c r="S1733" s="11">
        <f>ROUND(R1733*L1733,2)</f>
        <v>154.84</v>
      </c>
      <c r="T1733" s="10" t="s">
        <v>349</v>
      </c>
      <c r="U1733" s="15" t="s">
        <v>25</v>
      </c>
    </row>
    <row r="1734" spans="1:21">
      <c r="A1734" s="15" t="s">
        <v>542</v>
      </c>
      <c r="B1734" s="16">
        <v>45670</v>
      </c>
      <c r="C1734" s="16">
        <v>45657</v>
      </c>
      <c r="D1734" s="15" t="s">
        <v>530</v>
      </c>
      <c r="E1734" s="15" t="s">
        <v>531</v>
      </c>
      <c r="G1734" s="15" t="s">
        <v>533</v>
      </c>
      <c r="H1734" s="15" t="s">
        <v>540</v>
      </c>
      <c r="I1734" s="15" t="s">
        <v>541</v>
      </c>
      <c r="J1734" s="8" t="str">
        <f>+LEFT(U1734,4)</f>
        <v>MISC</v>
      </c>
      <c r="K1734" s="15" t="s">
        <v>10</v>
      </c>
      <c r="L1734" s="46">
        <v>20000</v>
      </c>
      <c r="M1734" s="15" t="s">
        <v>1472</v>
      </c>
      <c r="N1734" s="15" t="s">
        <v>11</v>
      </c>
      <c r="O1734" s="49">
        <v>0.24829999999999999</v>
      </c>
      <c r="P1734" s="9">
        <f>ROUND(O1734*L1734,2)</f>
        <v>4966</v>
      </c>
      <c r="Q1734" s="10">
        <f>IF(N1734="HKD",7.8,IF(N1734="CNY",7.30034,1))</f>
        <v>7.3003400000000003</v>
      </c>
      <c r="R1734" s="10">
        <f>+ROUND(O1734/Q1734,4)</f>
        <v>3.4000000000000002E-2</v>
      </c>
      <c r="S1734" s="11">
        <f>ROUND(R1734*L1734,2)</f>
        <v>680</v>
      </c>
      <c r="T1734" s="10" t="s">
        <v>349</v>
      </c>
      <c r="U1734" s="15" t="s">
        <v>25</v>
      </c>
    </row>
    <row r="1735" spans="1:21">
      <c r="A1735" s="15" t="s">
        <v>539</v>
      </c>
      <c r="B1735" s="16">
        <v>45670</v>
      </c>
      <c r="C1735" s="16">
        <v>45657</v>
      </c>
      <c r="D1735" s="15" t="s">
        <v>530</v>
      </c>
      <c r="E1735" s="15" t="s">
        <v>531</v>
      </c>
      <c r="G1735" s="15" t="s">
        <v>533</v>
      </c>
      <c r="H1735" s="15" t="s">
        <v>537</v>
      </c>
      <c r="I1735" s="15" t="s">
        <v>538</v>
      </c>
      <c r="J1735" s="8" t="str">
        <f>+LEFT(U1735,4)</f>
        <v>MISC</v>
      </c>
      <c r="K1735" s="15" t="s">
        <v>10</v>
      </c>
      <c r="L1735" s="46">
        <v>10000</v>
      </c>
      <c r="M1735" s="15" t="s">
        <v>1472</v>
      </c>
      <c r="N1735" s="15" t="s">
        <v>11</v>
      </c>
      <c r="O1735" s="49">
        <v>0.3085</v>
      </c>
      <c r="P1735" s="9">
        <f>ROUND(O1735*L1735,2)</f>
        <v>3085</v>
      </c>
      <c r="Q1735" s="10">
        <f>IF(N1735="HKD",7.8,IF(N1735="CNY",7.30034,1))</f>
        <v>7.3003400000000003</v>
      </c>
      <c r="R1735" s="10">
        <f>+ROUND(O1735/Q1735,4)</f>
        <v>4.2299999999999997E-2</v>
      </c>
      <c r="S1735" s="11">
        <f>ROUND(R1735*L1735,2)</f>
        <v>423</v>
      </c>
      <c r="T1735" s="10" t="s">
        <v>349</v>
      </c>
      <c r="U1735" s="15" t="s">
        <v>25</v>
      </c>
    </row>
    <row r="1736" spans="1:21">
      <c r="A1736" s="15" t="s">
        <v>532</v>
      </c>
      <c r="B1736" s="16">
        <v>45670</v>
      </c>
      <c r="C1736" s="16">
        <v>45657</v>
      </c>
      <c r="D1736" s="15" t="s">
        <v>530</v>
      </c>
      <c r="E1736" s="15" t="s">
        <v>531</v>
      </c>
      <c r="G1736" s="15" t="s">
        <v>533</v>
      </c>
      <c r="H1736" s="15" t="s">
        <v>528</v>
      </c>
      <c r="I1736" s="15" t="s">
        <v>529</v>
      </c>
      <c r="J1736" s="8" t="str">
        <f>+LEFT(U1736,4)</f>
        <v>MISC</v>
      </c>
      <c r="K1736" s="15" t="s">
        <v>10</v>
      </c>
      <c r="L1736" s="46">
        <v>2000</v>
      </c>
      <c r="M1736" s="15" t="s">
        <v>1472</v>
      </c>
      <c r="N1736" s="15" t="s">
        <v>11</v>
      </c>
      <c r="O1736" s="49">
        <v>0.39500000000000002</v>
      </c>
      <c r="P1736" s="9">
        <f>ROUND(O1736*L1736,2)</f>
        <v>790</v>
      </c>
      <c r="Q1736" s="10">
        <f>IF(N1736="HKD",7.8,IF(N1736="CNY",7.30034,1))</f>
        <v>7.3003400000000003</v>
      </c>
      <c r="R1736" s="10">
        <f>+ROUND(O1736/Q1736,4)</f>
        <v>5.4100000000000002E-2</v>
      </c>
      <c r="S1736" s="11">
        <f>ROUND(R1736*L1736,2)</f>
        <v>108.2</v>
      </c>
      <c r="T1736" s="10" t="s">
        <v>349</v>
      </c>
      <c r="U1736" s="15" t="s">
        <v>25</v>
      </c>
    </row>
    <row r="1737" spans="1:21">
      <c r="A1737" s="15" t="s">
        <v>536</v>
      </c>
      <c r="B1737" s="16">
        <v>45670</v>
      </c>
      <c r="C1737" s="16">
        <v>45657</v>
      </c>
      <c r="D1737" s="15" t="s">
        <v>530</v>
      </c>
      <c r="E1737" s="15" t="s">
        <v>531</v>
      </c>
      <c r="G1737" s="15" t="s">
        <v>533</v>
      </c>
      <c r="H1737" s="15" t="s">
        <v>534</v>
      </c>
      <c r="I1737" s="15" t="s">
        <v>535</v>
      </c>
      <c r="J1737" s="8" t="str">
        <f>+LEFT(U1737,4)</f>
        <v>MISC</v>
      </c>
      <c r="K1737" s="15" t="s">
        <v>10</v>
      </c>
      <c r="L1737" s="46">
        <v>10000</v>
      </c>
      <c r="M1737" s="15" t="s">
        <v>1472</v>
      </c>
      <c r="N1737" s="15" t="s">
        <v>11</v>
      </c>
      <c r="O1737" s="49">
        <v>0.53669999999999995</v>
      </c>
      <c r="P1737" s="9">
        <f>ROUND(O1737*L1737,2)</f>
        <v>5367</v>
      </c>
      <c r="Q1737" s="10">
        <f>IF(N1737="HKD",7.8,IF(N1737="CNY",7.30034,1))</f>
        <v>7.3003400000000003</v>
      </c>
      <c r="R1737" s="10">
        <f>+ROUND(O1737/Q1737,4)</f>
        <v>7.3499999999999996E-2</v>
      </c>
      <c r="S1737" s="11">
        <f>ROUND(R1737*L1737,2)</f>
        <v>735</v>
      </c>
      <c r="T1737" s="10" t="s">
        <v>349</v>
      </c>
      <c r="U1737" s="15" t="s">
        <v>25</v>
      </c>
    </row>
    <row r="1738" spans="1:21">
      <c r="A1738" s="15" t="s">
        <v>648</v>
      </c>
      <c r="B1738" s="16">
        <v>45670</v>
      </c>
      <c r="C1738" s="16">
        <v>45643</v>
      </c>
      <c r="D1738" s="15" t="s">
        <v>169</v>
      </c>
      <c r="E1738" s="15" t="s">
        <v>170</v>
      </c>
      <c r="G1738" s="15" t="s">
        <v>645</v>
      </c>
      <c r="H1738" s="15" t="s">
        <v>646</v>
      </c>
      <c r="I1738" s="15" t="s">
        <v>647</v>
      </c>
      <c r="J1738" s="8" t="str">
        <f>+LEFT(U1738,4)</f>
        <v>PRIM</v>
      </c>
      <c r="K1738" s="15" t="s">
        <v>10</v>
      </c>
      <c r="L1738" s="46">
        <v>14000</v>
      </c>
      <c r="M1738" s="15" t="s">
        <v>1472</v>
      </c>
      <c r="N1738" s="15" t="s">
        <v>11</v>
      </c>
      <c r="O1738" s="49">
        <v>0.82</v>
      </c>
      <c r="P1738" s="9">
        <f>ROUND(O1738*L1738,2)</f>
        <v>11480</v>
      </c>
      <c r="Q1738" s="10">
        <f>IF(N1738="HKD",7.8,IF(N1738="CNY",7.30034,1))</f>
        <v>7.3003400000000003</v>
      </c>
      <c r="R1738" s="10">
        <f>+ROUND(O1738/Q1738,4)</f>
        <v>0.1123</v>
      </c>
      <c r="S1738" s="11">
        <f>ROUND(R1738*L1738,2)</f>
        <v>1572.2</v>
      </c>
      <c r="T1738" s="10" t="s">
        <v>349</v>
      </c>
      <c r="U1738" s="15" t="s">
        <v>181</v>
      </c>
    </row>
    <row r="1739" spans="1:21">
      <c r="A1739" s="15" t="s">
        <v>604</v>
      </c>
      <c r="B1739" s="16">
        <v>45670</v>
      </c>
      <c r="C1739" s="16">
        <v>45622</v>
      </c>
      <c r="D1739" s="15" t="s">
        <v>162</v>
      </c>
      <c r="E1739" s="15" t="s">
        <v>163</v>
      </c>
      <c r="G1739" s="15" t="s">
        <v>602</v>
      </c>
      <c r="H1739" s="15" t="s">
        <v>599</v>
      </c>
      <c r="I1739" s="15" t="s">
        <v>600</v>
      </c>
      <c r="J1739" s="8" t="str">
        <f>+LEFT(U1739,4)</f>
        <v>SCR-</v>
      </c>
      <c r="K1739" s="15" t="s">
        <v>10</v>
      </c>
      <c r="L1739" s="46">
        <v>15000</v>
      </c>
      <c r="M1739" s="15" t="s">
        <v>1472</v>
      </c>
      <c r="N1739" s="15" t="s">
        <v>11</v>
      </c>
      <c r="O1739" s="49">
        <v>4.2000000000000003E-2</v>
      </c>
      <c r="P1739" s="9">
        <f>ROUND(O1739*L1739,2)</f>
        <v>630</v>
      </c>
      <c r="Q1739" s="10">
        <f>IF(N1739="HKD",7.8,IF(N1739="CNY",7.30034,1))</f>
        <v>7.3003400000000003</v>
      </c>
      <c r="R1739" s="10">
        <f>+ROUND(O1739/Q1739,4)</f>
        <v>5.7999999999999996E-3</v>
      </c>
      <c r="S1739" s="11">
        <f>ROUND(R1739*L1739,2)</f>
        <v>87</v>
      </c>
      <c r="T1739" s="10" t="s">
        <v>349</v>
      </c>
      <c r="U1739" s="15" t="s">
        <v>166</v>
      </c>
    </row>
    <row r="1740" spans="1:21">
      <c r="A1740" s="15" t="s">
        <v>603</v>
      </c>
      <c r="B1740" s="16">
        <v>45670</v>
      </c>
      <c r="C1740" s="16">
        <v>45643</v>
      </c>
      <c r="D1740" s="15" t="s">
        <v>162</v>
      </c>
      <c r="E1740" s="15" t="s">
        <v>163</v>
      </c>
      <c r="G1740" s="15" t="s">
        <v>602</v>
      </c>
      <c r="H1740" s="15" t="s">
        <v>599</v>
      </c>
      <c r="I1740" s="15" t="s">
        <v>600</v>
      </c>
      <c r="J1740" s="8" t="str">
        <f>+LEFT(U1740,4)</f>
        <v>SCR-</v>
      </c>
      <c r="K1740" s="15" t="s">
        <v>10</v>
      </c>
      <c r="L1740" s="46">
        <v>7300</v>
      </c>
      <c r="M1740" s="15" t="s">
        <v>1472</v>
      </c>
      <c r="N1740" s="15" t="s">
        <v>11</v>
      </c>
      <c r="O1740" s="49">
        <v>4.2000000000000003E-2</v>
      </c>
      <c r="P1740" s="9">
        <f>ROUND(O1740*L1740,2)</f>
        <v>306.60000000000002</v>
      </c>
      <c r="Q1740" s="10">
        <f>IF(N1740="HKD",7.8,IF(N1740="CNY",7.30034,1))</f>
        <v>7.3003400000000003</v>
      </c>
      <c r="R1740" s="10">
        <f>+ROUND(O1740/Q1740,4)</f>
        <v>5.7999999999999996E-3</v>
      </c>
      <c r="S1740" s="11">
        <f>ROUND(R1740*L1740,2)</f>
        <v>42.34</v>
      </c>
      <c r="T1740" s="10" t="s">
        <v>349</v>
      </c>
      <c r="U1740" s="15" t="s">
        <v>166</v>
      </c>
    </row>
    <row r="1741" spans="1:21">
      <c r="A1741" s="15" t="s">
        <v>601</v>
      </c>
      <c r="B1741" s="16">
        <v>45670</v>
      </c>
      <c r="C1741" s="16">
        <v>45646</v>
      </c>
      <c r="D1741" s="15" t="s">
        <v>162</v>
      </c>
      <c r="E1741" s="15" t="s">
        <v>163</v>
      </c>
      <c r="G1741" s="15" t="s">
        <v>602</v>
      </c>
      <c r="H1741" s="15" t="s">
        <v>599</v>
      </c>
      <c r="I1741" s="15" t="s">
        <v>600</v>
      </c>
      <c r="J1741" s="8" t="str">
        <f>+LEFT(U1741,4)</f>
        <v>SCR-</v>
      </c>
      <c r="K1741" s="15" t="s">
        <v>10</v>
      </c>
      <c r="L1741" s="46">
        <v>2200</v>
      </c>
      <c r="M1741" s="15" t="s">
        <v>1472</v>
      </c>
      <c r="N1741" s="15" t="s">
        <v>11</v>
      </c>
      <c r="O1741" s="49">
        <v>4.2000000000000003E-2</v>
      </c>
      <c r="P1741" s="9">
        <f>ROUND(O1741*L1741,2)</f>
        <v>92.4</v>
      </c>
      <c r="Q1741" s="10">
        <f>IF(N1741="HKD",7.8,IF(N1741="CNY",7.30034,1))</f>
        <v>7.3003400000000003</v>
      </c>
      <c r="R1741" s="10">
        <f>+ROUND(O1741/Q1741,4)</f>
        <v>5.7999999999999996E-3</v>
      </c>
      <c r="S1741" s="11">
        <f>ROUND(R1741*L1741,2)</f>
        <v>12.76</v>
      </c>
      <c r="T1741" s="10" t="s">
        <v>349</v>
      </c>
      <c r="U1741" s="15" t="s">
        <v>166</v>
      </c>
    </row>
    <row r="1742" spans="1:21">
      <c r="A1742" s="15" t="s">
        <v>595</v>
      </c>
      <c r="B1742" s="16">
        <v>45670</v>
      </c>
      <c r="C1742" s="16">
        <v>45630</v>
      </c>
      <c r="D1742" s="15" t="s">
        <v>162</v>
      </c>
      <c r="E1742" s="15" t="s">
        <v>163</v>
      </c>
      <c r="G1742" s="15" t="s">
        <v>590</v>
      </c>
      <c r="H1742" s="15" t="s">
        <v>592</v>
      </c>
      <c r="I1742" s="15" t="s">
        <v>593</v>
      </c>
      <c r="J1742" s="8" t="str">
        <f>+LEFT(U1742,4)</f>
        <v>SCR-</v>
      </c>
      <c r="K1742" s="15" t="s">
        <v>10</v>
      </c>
      <c r="L1742" s="46">
        <v>21000</v>
      </c>
      <c r="M1742" s="15" t="s">
        <v>1472</v>
      </c>
      <c r="N1742" s="15" t="s">
        <v>11</v>
      </c>
      <c r="O1742" s="49">
        <v>6.8599999999999994E-2</v>
      </c>
      <c r="P1742" s="9">
        <f>ROUND(O1742*L1742,2)</f>
        <v>1440.6</v>
      </c>
      <c r="Q1742" s="10">
        <f>IF(N1742="HKD",7.8,IF(N1742="CNY",7.30034,1))</f>
        <v>7.3003400000000003</v>
      </c>
      <c r="R1742" s="10">
        <f>+ROUND(O1742/Q1742,4)</f>
        <v>9.4000000000000004E-3</v>
      </c>
      <c r="S1742" s="11">
        <f>ROUND(R1742*L1742,2)</f>
        <v>197.4</v>
      </c>
      <c r="T1742" s="10" t="s">
        <v>349</v>
      </c>
      <c r="U1742" s="15" t="s">
        <v>166</v>
      </c>
    </row>
    <row r="1743" spans="1:21">
      <c r="A1743" s="15" t="s">
        <v>609</v>
      </c>
      <c r="B1743" s="16">
        <v>45670</v>
      </c>
      <c r="C1743" s="16">
        <v>45636</v>
      </c>
      <c r="D1743" s="15" t="s">
        <v>162</v>
      </c>
      <c r="E1743" s="15" t="s">
        <v>163</v>
      </c>
      <c r="G1743" s="15" t="s">
        <v>602</v>
      </c>
      <c r="H1743" s="15" t="s">
        <v>606</v>
      </c>
      <c r="I1743" s="15" t="s">
        <v>607</v>
      </c>
      <c r="J1743" s="8" t="str">
        <f>+LEFT(U1743,4)</f>
        <v>SCR-</v>
      </c>
      <c r="K1743" s="15" t="s">
        <v>10</v>
      </c>
      <c r="L1743" s="46">
        <v>1100</v>
      </c>
      <c r="M1743" s="15" t="s">
        <v>1472</v>
      </c>
      <c r="N1743" s="15" t="s">
        <v>11</v>
      </c>
      <c r="O1743" s="49">
        <v>6.9000000000000006E-2</v>
      </c>
      <c r="P1743" s="9">
        <f>ROUND(O1743*L1743,2)</f>
        <v>75.900000000000006</v>
      </c>
      <c r="Q1743" s="10">
        <f>IF(N1743="HKD",7.8,IF(N1743="CNY",7.30034,1))</f>
        <v>7.3003400000000003</v>
      </c>
      <c r="R1743" s="10">
        <f>+ROUND(O1743/Q1743,4)</f>
        <v>9.4999999999999998E-3</v>
      </c>
      <c r="S1743" s="11">
        <f>ROUND(R1743*L1743,2)</f>
        <v>10.45</v>
      </c>
      <c r="T1743" s="10" t="s">
        <v>349</v>
      </c>
      <c r="U1743" s="15" t="s">
        <v>166</v>
      </c>
    </row>
    <row r="1744" spans="1:21">
      <c r="A1744" s="15" t="s">
        <v>608</v>
      </c>
      <c r="B1744" s="16">
        <v>45670</v>
      </c>
      <c r="C1744" s="16">
        <v>45653</v>
      </c>
      <c r="D1744" s="15" t="s">
        <v>162</v>
      </c>
      <c r="E1744" s="15" t="s">
        <v>163</v>
      </c>
      <c r="G1744" s="15" t="s">
        <v>602</v>
      </c>
      <c r="H1744" s="15" t="s">
        <v>606</v>
      </c>
      <c r="I1744" s="15" t="s">
        <v>607</v>
      </c>
      <c r="J1744" s="8" t="str">
        <f>+LEFT(U1744,4)</f>
        <v>SCR-</v>
      </c>
      <c r="K1744" s="15" t="s">
        <v>10</v>
      </c>
      <c r="L1744" s="46">
        <v>1000</v>
      </c>
      <c r="M1744" s="15" t="s">
        <v>1472</v>
      </c>
      <c r="N1744" s="15" t="s">
        <v>11</v>
      </c>
      <c r="O1744" s="49">
        <v>6.9000000000000006E-2</v>
      </c>
      <c r="P1744" s="9">
        <f>ROUND(O1744*L1744,2)</f>
        <v>69</v>
      </c>
      <c r="Q1744" s="10">
        <f>IF(N1744="HKD",7.8,IF(N1744="CNY",7.30034,1))</f>
        <v>7.3003400000000003</v>
      </c>
      <c r="R1744" s="10">
        <f>+ROUND(O1744/Q1744,4)</f>
        <v>9.4999999999999998E-3</v>
      </c>
      <c r="S1744" s="11">
        <f>ROUND(R1744*L1744,2)</f>
        <v>9.5</v>
      </c>
      <c r="T1744" s="10" t="s">
        <v>349</v>
      </c>
      <c r="U1744" s="15" t="s">
        <v>166</v>
      </c>
    </row>
    <row r="1745" spans="1:21">
      <c r="A1745" s="15" t="s">
        <v>598</v>
      </c>
      <c r="B1745" s="16">
        <v>45670</v>
      </c>
      <c r="C1745" s="16">
        <v>45636</v>
      </c>
      <c r="D1745" s="15" t="s">
        <v>162</v>
      </c>
      <c r="E1745" s="15" t="s">
        <v>163</v>
      </c>
      <c r="G1745" s="15" t="s">
        <v>590</v>
      </c>
      <c r="H1745" s="15" t="s">
        <v>592</v>
      </c>
      <c r="I1745" s="15" t="s">
        <v>593</v>
      </c>
      <c r="J1745" s="8" t="str">
        <f>+LEFT(U1745,4)</f>
        <v>SCR-</v>
      </c>
      <c r="K1745" s="15" t="s">
        <v>10</v>
      </c>
      <c r="L1745" s="46">
        <v>2100</v>
      </c>
      <c r="M1745" s="15" t="s">
        <v>1472</v>
      </c>
      <c r="N1745" s="15" t="s">
        <v>11</v>
      </c>
      <c r="O1745" s="49">
        <v>7.0000000000000007E-2</v>
      </c>
      <c r="P1745" s="9">
        <f>ROUND(O1745*L1745,2)</f>
        <v>147</v>
      </c>
      <c r="Q1745" s="10">
        <f>IF(N1745="HKD",7.8,IF(N1745="CNY",7.30034,1))</f>
        <v>7.3003400000000003</v>
      </c>
      <c r="R1745" s="10">
        <f>+ROUND(O1745/Q1745,4)</f>
        <v>9.5999999999999992E-3</v>
      </c>
      <c r="S1745" s="11">
        <f>ROUND(R1745*L1745,2)</f>
        <v>20.16</v>
      </c>
      <c r="T1745" s="10" t="s">
        <v>349</v>
      </c>
      <c r="U1745" s="15" t="s">
        <v>166</v>
      </c>
    </row>
    <row r="1746" spans="1:21">
      <c r="A1746" s="15" t="s">
        <v>597</v>
      </c>
      <c r="B1746" s="16">
        <v>45670</v>
      </c>
      <c r="C1746" s="16">
        <v>45639</v>
      </c>
      <c r="D1746" s="15" t="s">
        <v>162</v>
      </c>
      <c r="E1746" s="15" t="s">
        <v>163</v>
      </c>
      <c r="G1746" s="15" t="s">
        <v>590</v>
      </c>
      <c r="H1746" s="15" t="s">
        <v>592</v>
      </c>
      <c r="I1746" s="15" t="s">
        <v>593</v>
      </c>
      <c r="J1746" s="8" t="str">
        <f>+LEFT(U1746,4)</f>
        <v>SCR-</v>
      </c>
      <c r="K1746" s="15" t="s">
        <v>10</v>
      </c>
      <c r="L1746" s="46">
        <v>3100</v>
      </c>
      <c r="M1746" s="15" t="s">
        <v>1472</v>
      </c>
      <c r="N1746" s="15" t="s">
        <v>11</v>
      </c>
      <c r="O1746" s="49">
        <v>7.0000000000000007E-2</v>
      </c>
      <c r="P1746" s="9">
        <f>ROUND(O1746*L1746,2)</f>
        <v>217</v>
      </c>
      <c r="Q1746" s="10">
        <f>IF(N1746="HKD",7.8,IF(N1746="CNY",7.30034,1))</f>
        <v>7.3003400000000003</v>
      </c>
      <c r="R1746" s="10">
        <f>+ROUND(O1746/Q1746,4)</f>
        <v>9.5999999999999992E-3</v>
      </c>
      <c r="S1746" s="11">
        <f>ROUND(R1746*L1746,2)</f>
        <v>29.76</v>
      </c>
      <c r="T1746" s="10" t="s">
        <v>349</v>
      </c>
      <c r="U1746" s="15" t="s">
        <v>166</v>
      </c>
    </row>
    <row r="1747" spans="1:21">
      <c r="A1747" s="15" t="s">
        <v>596</v>
      </c>
      <c r="B1747" s="16">
        <v>45670</v>
      </c>
      <c r="C1747" s="16">
        <v>45643</v>
      </c>
      <c r="D1747" s="15" t="s">
        <v>162</v>
      </c>
      <c r="E1747" s="15" t="s">
        <v>163</v>
      </c>
      <c r="G1747" s="15" t="s">
        <v>590</v>
      </c>
      <c r="H1747" s="15" t="s">
        <v>592</v>
      </c>
      <c r="I1747" s="15" t="s">
        <v>593</v>
      </c>
      <c r="J1747" s="8" t="str">
        <f>+LEFT(U1747,4)</f>
        <v>SCR-</v>
      </c>
      <c r="K1747" s="15" t="s">
        <v>10</v>
      </c>
      <c r="L1747" s="46">
        <v>3100</v>
      </c>
      <c r="M1747" s="15" t="s">
        <v>1472</v>
      </c>
      <c r="N1747" s="15" t="s">
        <v>11</v>
      </c>
      <c r="O1747" s="49">
        <v>7.0000000000000007E-2</v>
      </c>
      <c r="P1747" s="9">
        <f>ROUND(O1747*L1747,2)</f>
        <v>217</v>
      </c>
      <c r="Q1747" s="10">
        <f>IF(N1747="HKD",7.8,IF(N1747="CNY",7.30034,1))</f>
        <v>7.3003400000000003</v>
      </c>
      <c r="R1747" s="10">
        <f>+ROUND(O1747/Q1747,4)</f>
        <v>9.5999999999999992E-3</v>
      </c>
      <c r="S1747" s="11">
        <f>ROUND(R1747*L1747,2)</f>
        <v>29.76</v>
      </c>
      <c r="T1747" s="10" t="s">
        <v>349</v>
      </c>
      <c r="U1747" s="15" t="s">
        <v>166</v>
      </c>
    </row>
    <row r="1748" spans="1:21">
      <c r="A1748" s="15" t="s">
        <v>594</v>
      </c>
      <c r="B1748" s="16">
        <v>45670</v>
      </c>
      <c r="C1748" s="16">
        <v>45646</v>
      </c>
      <c r="D1748" s="15" t="s">
        <v>162</v>
      </c>
      <c r="E1748" s="15" t="s">
        <v>163</v>
      </c>
      <c r="G1748" s="15" t="s">
        <v>590</v>
      </c>
      <c r="H1748" s="15" t="s">
        <v>592</v>
      </c>
      <c r="I1748" s="15" t="s">
        <v>593</v>
      </c>
      <c r="J1748" s="8" t="str">
        <f>+LEFT(U1748,4)</f>
        <v>SCR-</v>
      </c>
      <c r="K1748" s="15" t="s">
        <v>10</v>
      </c>
      <c r="L1748" s="46">
        <v>13500</v>
      </c>
      <c r="M1748" s="15" t="s">
        <v>1472</v>
      </c>
      <c r="N1748" s="15" t="s">
        <v>11</v>
      </c>
      <c r="O1748" s="49">
        <v>7.0000000000000007E-2</v>
      </c>
      <c r="P1748" s="9">
        <f>ROUND(O1748*L1748,2)</f>
        <v>945</v>
      </c>
      <c r="Q1748" s="10">
        <f>IF(N1748="HKD",7.8,IF(N1748="CNY",7.30034,1))</f>
        <v>7.3003400000000003</v>
      </c>
      <c r="R1748" s="10">
        <f>+ROUND(O1748/Q1748,4)</f>
        <v>9.5999999999999992E-3</v>
      </c>
      <c r="S1748" s="11">
        <f>ROUND(R1748*L1748,2)</f>
        <v>129.6</v>
      </c>
      <c r="T1748" s="10" t="s">
        <v>349</v>
      </c>
      <c r="U1748" s="15" t="s">
        <v>166</v>
      </c>
    </row>
    <row r="1749" spans="1:21">
      <c r="A1749" s="15" t="s">
        <v>586</v>
      </c>
      <c r="B1749" s="16">
        <v>45670</v>
      </c>
      <c r="C1749" s="16">
        <v>45643</v>
      </c>
      <c r="D1749" s="15" t="s">
        <v>162</v>
      </c>
      <c r="E1749" s="15" t="s">
        <v>163</v>
      </c>
      <c r="G1749" s="15" t="s">
        <v>576</v>
      </c>
      <c r="H1749" s="15" t="s">
        <v>583</v>
      </c>
      <c r="I1749" s="15" t="s">
        <v>584</v>
      </c>
      <c r="J1749" s="8" t="str">
        <f>+LEFT(U1749,4)</f>
        <v>SCR-</v>
      </c>
      <c r="K1749" s="15" t="s">
        <v>10</v>
      </c>
      <c r="L1749" s="46">
        <v>2000</v>
      </c>
      <c r="M1749" s="15" t="s">
        <v>1472</v>
      </c>
      <c r="N1749" s="15" t="s">
        <v>11</v>
      </c>
      <c r="O1749" s="49">
        <v>9.2999999999999999E-2</v>
      </c>
      <c r="P1749" s="9">
        <f>ROUND(O1749*L1749,2)</f>
        <v>186</v>
      </c>
      <c r="Q1749" s="10">
        <f>IF(N1749="HKD",7.8,IF(N1749="CNY",7.30034,1))</f>
        <v>7.3003400000000003</v>
      </c>
      <c r="R1749" s="10">
        <f>+ROUND(O1749/Q1749,4)</f>
        <v>1.2699999999999999E-2</v>
      </c>
      <c r="S1749" s="11">
        <f>ROUND(R1749*L1749,2)</f>
        <v>25.4</v>
      </c>
      <c r="T1749" s="10" t="s">
        <v>349</v>
      </c>
      <c r="U1749" s="15" t="s">
        <v>166</v>
      </c>
    </row>
    <row r="1750" spans="1:21">
      <c r="A1750" s="15" t="s">
        <v>585</v>
      </c>
      <c r="B1750" s="16">
        <v>45670</v>
      </c>
      <c r="C1750" s="16">
        <v>45646</v>
      </c>
      <c r="D1750" s="15" t="s">
        <v>162</v>
      </c>
      <c r="E1750" s="15" t="s">
        <v>163</v>
      </c>
      <c r="G1750" s="15" t="s">
        <v>576</v>
      </c>
      <c r="H1750" s="15" t="s">
        <v>583</v>
      </c>
      <c r="I1750" s="15" t="s">
        <v>584</v>
      </c>
      <c r="J1750" s="8" t="str">
        <f>+LEFT(U1750,4)</f>
        <v>SCR-</v>
      </c>
      <c r="K1750" s="15" t="s">
        <v>10</v>
      </c>
      <c r="L1750" s="46">
        <v>9250</v>
      </c>
      <c r="M1750" s="15" t="s">
        <v>1472</v>
      </c>
      <c r="N1750" s="15" t="s">
        <v>11</v>
      </c>
      <c r="O1750" s="49">
        <v>9.2999999999999999E-2</v>
      </c>
      <c r="P1750" s="9">
        <f>ROUND(O1750*L1750,2)</f>
        <v>860.25</v>
      </c>
      <c r="Q1750" s="10">
        <f>IF(N1750="HKD",7.8,IF(N1750="CNY",7.30034,1))</f>
        <v>7.3003400000000003</v>
      </c>
      <c r="R1750" s="10">
        <f>+ROUND(O1750/Q1750,4)</f>
        <v>1.2699999999999999E-2</v>
      </c>
      <c r="S1750" s="11">
        <f>ROUND(R1750*L1750,2)</f>
        <v>117.48</v>
      </c>
      <c r="T1750" s="10" t="s">
        <v>349</v>
      </c>
      <c r="U1750" s="15" t="s">
        <v>166</v>
      </c>
    </row>
    <row r="1751" spans="1:21">
      <c r="A1751" s="15" t="s">
        <v>582</v>
      </c>
      <c r="B1751" s="16">
        <v>45670</v>
      </c>
      <c r="C1751" s="16">
        <v>45629</v>
      </c>
      <c r="D1751" s="15" t="s">
        <v>162</v>
      </c>
      <c r="E1751" s="15" t="s">
        <v>163</v>
      </c>
      <c r="G1751" s="15" t="s">
        <v>576</v>
      </c>
      <c r="H1751" s="15" t="s">
        <v>578</v>
      </c>
      <c r="I1751" s="15" t="s">
        <v>579</v>
      </c>
      <c r="J1751" s="8" t="str">
        <f>+LEFT(U1751,4)</f>
        <v>SCR-</v>
      </c>
      <c r="K1751" s="15" t="s">
        <v>10</v>
      </c>
      <c r="L1751" s="46">
        <v>6000</v>
      </c>
      <c r="M1751" s="15" t="s">
        <v>1472</v>
      </c>
      <c r="N1751" s="15" t="s">
        <v>11</v>
      </c>
      <c r="O1751" s="49">
        <v>9.8000000000000004E-2</v>
      </c>
      <c r="P1751" s="9">
        <f>ROUND(O1751*L1751,2)</f>
        <v>588</v>
      </c>
      <c r="Q1751" s="10">
        <f>IF(N1751="HKD",7.8,IF(N1751="CNY",7.30034,1))</f>
        <v>7.3003400000000003</v>
      </c>
      <c r="R1751" s="10">
        <f>+ROUND(O1751/Q1751,4)</f>
        <v>1.34E-2</v>
      </c>
      <c r="S1751" s="11">
        <f>ROUND(R1751*L1751,2)</f>
        <v>80.400000000000006</v>
      </c>
      <c r="T1751" s="10" t="s">
        <v>349</v>
      </c>
      <c r="U1751" s="15" t="s">
        <v>166</v>
      </c>
    </row>
    <row r="1752" spans="1:21">
      <c r="A1752" s="15" t="s">
        <v>581</v>
      </c>
      <c r="B1752" s="16">
        <v>45670</v>
      </c>
      <c r="C1752" s="16">
        <v>45643</v>
      </c>
      <c r="D1752" s="15" t="s">
        <v>162</v>
      </c>
      <c r="E1752" s="15" t="s">
        <v>163</v>
      </c>
      <c r="G1752" s="15" t="s">
        <v>576</v>
      </c>
      <c r="H1752" s="15" t="s">
        <v>578</v>
      </c>
      <c r="I1752" s="15" t="s">
        <v>579</v>
      </c>
      <c r="J1752" s="8" t="str">
        <f>+LEFT(U1752,4)</f>
        <v>SCR-</v>
      </c>
      <c r="K1752" s="15" t="s">
        <v>10</v>
      </c>
      <c r="L1752" s="46">
        <v>4200</v>
      </c>
      <c r="M1752" s="15" t="s">
        <v>1472</v>
      </c>
      <c r="N1752" s="15" t="s">
        <v>11</v>
      </c>
      <c r="O1752" s="49">
        <v>9.8000000000000004E-2</v>
      </c>
      <c r="P1752" s="9">
        <f>ROUND(O1752*L1752,2)</f>
        <v>411.6</v>
      </c>
      <c r="Q1752" s="10">
        <f>IF(N1752="HKD",7.8,IF(N1752="CNY",7.30034,1))</f>
        <v>7.3003400000000003</v>
      </c>
      <c r="R1752" s="10">
        <f>+ROUND(O1752/Q1752,4)</f>
        <v>1.34E-2</v>
      </c>
      <c r="S1752" s="11">
        <f>ROUND(R1752*L1752,2)</f>
        <v>56.28</v>
      </c>
      <c r="T1752" s="10" t="s">
        <v>349</v>
      </c>
      <c r="U1752" s="15" t="s">
        <v>166</v>
      </c>
    </row>
    <row r="1753" spans="1:21">
      <c r="A1753" s="15" t="s">
        <v>580</v>
      </c>
      <c r="B1753" s="16">
        <v>45670</v>
      </c>
      <c r="C1753" s="16">
        <v>45653</v>
      </c>
      <c r="D1753" s="15" t="s">
        <v>162</v>
      </c>
      <c r="E1753" s="15" t="s">
        <v>163</v>
      </c>
      <c r="G1753" s="15" t="s">
        <v>576</v>
      </c>
      <c r="H1753" s="15" t="s">
        <v>578</v>
      </c>
      <c r="I1753" s="15" t="s">
        <v>579</v>
      </c>
      <c r="J1753" s="8" t="str">
        <f>+LEFT(U1753,4)</f>
        <v>SCR-</v>
      </c>
      <c r="K1753" s="15" t="s">
        <v>10</v>
      </c>
      <c r="L1753" s="46">
        <v>1000</v>
      </c>
      <c r="M1753" s="15" t="s">
        <v>1472</v>
      </c>
      <c r="N1753" s="15" t="s">
        <v>11</v>
      </c>
      <c r="O1753" s="49">
        <v>9.8000000000000004E-2</v>
      </c>
      <c r="P1753" s="9">
        <f>ROUND(O1753*L1753,2)</f>
        <v>98</v>
      </c>
      <c r="Q1753" s="10">
        <f>IF(N1753="HKD",7.8,IF(N1753="CNY",7.30034,1))</f>
        <v>7.3003400000000003</v>
      </c>
      <c r="R1753" s="10">
        <f>+ROUND(O1753/Q1753,4)</f>
        <v>1.34E-2</v>
      </c>
      <c r="S1753" s="11">
        <f>ROUND(R1753*L1753,2)</f>
        <v>13.4</v>
      </c>
      <c r="T1753" s="10" t="s">
        <v>349</v>
      </c>
      <c r="U1753" s="15" t="s">
        <v>166</v>
      </c>
    </row>
    <row r="1754" spans="1:21">
      <c r="A1754" s="15" t="s">
        <v>577</v>
      </c>
      <c r="B1754" s="16">
        <v>45670</v>
      </c>
      <c r="C1754" s="16">
        <v>45646</v>
      </c>
      <c r="D1754" s="15" t="s">
        <v>162</v>
      </c>
      <c r="E1754" s="15" t="s">
        <v>163</v>
      </c>
      <c r="G1754" s="15" t="s">
        <v>576</v>
      </c>
      <c r="H1754" s="15" t="s">
        <v>573</v>
      </c>
      <c r="I1754" s="15" t="s">
        <v>574</v>
      </c>
      <c r="J1754" s="8" t="str">
        <f>+LEFT(U1754,4)</f>
        <v>SCR-</v>
      </c>
      <c r="K1754" s="15" t="s">
        <v>10</v>
      </c>
      <c r="L1754" s="46">
        <v>400</v>
      </c>
      <c r="M1754" s="15" t="s">
        <v>1472</v>
      </c>
      <c r="N1754" s="15" t="s">
        <v>11</v>
      </c>
      <c r="O1754" s="49">
        <v>0.11700000000000001</v>
      </c>
      <c r="P1754" s="9">
        <f>ROUND(O1754*L1754,2)</f>
        <v>46.8</v>
      </c>
      <c r="Q1754" s="10">
        <f>IF(N1754="HKD",7.8,IF(N1754="CNY",7.30034,1))</f>
        <v>7.3003400000000003</v>
      </c>
      <c r="R1754" s="10">
        <f>+ROUND(O1754/Q1754,4)</f>
        <v>1.6E-2</v>
      </c>
      <c r="S1754" s="11">
        <f>ROUND(R1754*L1754,2)</f>
        <v>6.4</v>
      </c>
      <c r="T1754" s="10" t="s">
        <v>349</v>
      </c>
      <c r="U1754" s="15" t="s">
        <v>166</v>
      </c>
    </row>
    <row r="1755" spans="1:21">
      <c r="A1755" s="15" t="s">
        <v>575</v>
      </c>
      <c r="B1755" s="16">
        <v>45670</v>
      </c>
      <c r="C1755" s="16">
        <v>45664</v>
      </c>
      <c r="D1755" s="15" t="s">
        <v>162</v>
      </c>
      <c r="E1755" s="15" t="s">
        <v>163</v>
      </c>
      <c r="G1755" s="15" t="s">
        <v>576</v>
      </c>
      <c r="H1755" s="15" t="s">
        <v>573</v>
      </c>
      <c r="I1755" s="15" t="s">
        <v>574</v>
      </c>
      <c r="J1755" s="8" t="str">
        <f>+LEFT(U1755,4)</f>
        <v>SCR-</v>
      </c>
      <c r="K1755" s="15" t="s">
        <v>10</v>
      </c>
      <c r="L1755" s="46">
        <v>1500</v>
      </c>
      <c r="M1755" s="15" t="s">
        <v>1472</v>
      </c>
      <c r="N1755" s="15" t="s">
        <v>11</v>
      </c>
      <c r="O1755" s="49">
        <v>0.11700000000000001</v>
      </c>
      <c r="P1755" s="9">
        <f>ROUND(O1755*L1755,2)</f>
        <v>175.5</v>
      </c>
      <c r="Q1755" s="10">
        <f>IF(N1755="HKD",7.8,IF(N1755="CNY",7.30034,1))</f>
        <v>7.3003400000000003</v>
      </c>
      <c r="R1755" s="10">
        <f>+ROUND(O1755/Q1755,4)</f>
        <v>1.6E-2</v>
      </c>
      <c r="S1755" s="11">
        <f>ROUND(R1755*L1755,2)</f>
        <v>24</v>
      </c>
      <c r="T1755" s="10" t="s">
        <v>349</v>
      </c>
      <c r="U1755" s="15" t="s">
        <v>166</v>
      </c>
    </row>
    <row r="1756" spans="1:21">
      <c r="A1756" s="15" t="s">
        <v>605</v>
      </c>
      <c r="B1756" s="16">
        <v>45670</v>
      </c>
      <c r="C1756" s="16">
        <v>45643</v>
      </c>
      <c r="D1756" s="15" t="s">
        <v>162</v>
      </c>
      <c r="E1756" s="15" t="s">
        <v>163</v>
      </c>
      <c r="G1756" s="15" t="s">
        <v>602</v>
      </c>
      <c r="H1756" s="15" t="s">
        <v>160</v>
      </c>
      <c r="I1756" s="15" t="s">
        <v>161</v>
      </c>
      <c r="J1756" s="8" t="str">
        <f>+LEFT(U1756,4)</f>
        <v>SCR-</v>
      </c>
      <c r="K1756" s="15" t="s">
        <v>10</v>
      </c>
      <c r="L1756" s="46">
        <v>7200</v>
      </c>
      <c r="M1756" s="15" t="s">
        <v>1472</v>
      </c>
      <c r="N1756" s="15" t="s">
        <v>11</v>
      </c>
      <c r="O1756" s="49">
        <v>0.14199999999999999</v>
      </c>
      <c r="P1756" s="9">
        <f>ROUND(O1756*L1756,2)</f>
        <v>1022.4</v>
      </c>
      <c r="Q1756" s="10">
        <f>IF(N1756="HKD",7.8,IF(N1756="CNY",7.30034,1))</f>
        <v>7.3003400000000003</v>
      </c>
      <c r="R1756" s="10">
        <f>+ROUND(O1756/Q1756,4)</f>
        <v>1.95E-2</v>
      </c>
      <c r="S1756" s="11">
        <f>ROUND(R1756*L1756,2)</f>
        <v>140.4</v>
      </c>
      <c r="T1756" s="10" t="s">
        <v>349</v>
      </c>
      <c r="U1756" s="15" t="s">
        <v>166</v>
      </c>
    </row>
    <row r="1757" spans="1:21">
      <c r="A1757" s="15" t="s">
        <v>589</v>
      </c>
      <c r="B1757" s="16">
        <v>45670</v>
      </c>
      <c r="C1757" s="16">
        <v>45639</v>
      </c>
      <c r="D1757" s="15" t="s">
        <v>162</v>
      </c>
      <c r="E1757" s="15" t="s">
        <v>163</v>
      </c>
      <c r="G1757" s="15" t="s">
        <v>590</v>
      </c>
      <c r="H1757" s="15" t="s">
        <v>587</v>
      </c>
      <c r="I1757" s="15" t="s">
        <v>588</v>
      </c>
      <c r="J1757" s="8" t="str">
        <f>+LEFT(U1757,4)</f>
        <v>SCR-</v>
      </c>
      <c r="K1757" s="15" t="s">
        <v>10</v>
      </c>
      <c r="L1757" s="46">
        <v>13000</v>
      </c>
      <c r="M1757" s="15" t="s">
        <v>1472</v>
      </c>
      <c r="N1757" s="15" t="s">
        <v>11</v>
      </c>
      <c r="O1757" s="49">
        <v>0.153</v>
      </c>
      <c r="P1757" s="9">
        <f>ROUND(O1757*L1757,2)</f>
        <v>1989</v>
      </c>
      <c r="Q1757" s="10">
        <f>IF(N1757="HKD",7.8,IF(N1757="CNY",7.30034,1))</f>
        <v>7.3003400000000003</v>
      </c>
      <c r="R1757" s="10">
        <f>+ROUND(O1757/Q1757,4)</f>
        <v>2.1000000000000001E-2</v>
      </c>
      <c r="S1757" s="11">
        <f>ROUND(R1757*L1757,2)</f>
        <v>273</v>
      </c>
      <c r="T1757" s="10" t="s">
        <v>349</v>
      </c>
      <c r="U1757" s="15" t="s">
        <v>166</v>
      </c>
    </row>
    <row r="1758" spans="1:21">
      <c r="A1758" s="15" t="s">
        <v>591</v>
      </c>
      <c r="B1758" s="16">
        <v>45670</v>
      </c>
      <c r="C1758" s="16">
        <v>45644</v>
      </c>
      <c r="D1758" s="15" t="s">
        <v>162</v>
      </c>
      <c r="E1758" s="15" t="s">
        <v>163</v>
      </c>
      <c r="G1758" s="15" t="s">
        <v>590</v>
      </c>
      <c r="H1758" s="15" t="s">
        <v>587</v>
      </c>
      <c r="I1758" s="15" t="s">
        <v>588</v>
      </c>
      <c r="J1758" s="8" t="str">
        <f>+LEFT(U1758,4)</f>
        <v>SCR-</v>
      </c>
      <c r="K1758" s="15" t="s">
        <v>10</v>
      </c>
      <c r="L1758" s="46">
        <v>9800</v>
      </c>
      <c r="M1758" s="15" t="s">
        <v>1472</v>
      </c>
      <c r="N1758" s="15" t="s">
        <v>11</v>
      </c>
      <c r="O1758" s="49">
        <v>0.153</v>
      </c>
      <c r="P1758" s="9">
        <f>ROUND(O1758*L1758,2)</f>
        <v>1499.4</v>
      </c>
      <c r="Q1758" s="10">
        <f>IF(N1758="HKD",7.8,IF(N1758="CNY",7.30034,1))</f>
        <v>7.3003400000000003</v>
      </c>
      <c r="R1758" s="10">
        <f>+ROUND(O1758/Q1758,4)</f>
        <v>2.1000000000000001E-2</v>
      </c>
      <c r="S1758" s="11">
        <f>ROUND(R1758*L1758,2)</f>
        <v>205.8</v>
      </c>
      <c r="T1758" s="10" t="s">
        <v>349</v>
      </c>
      <c r="U1758" s="15" t="s">
        <v>166</v>
      </c>
    </row>
    <row r="1759" spans="1:21">
      <c r="A1759" s="15" t="s">
        <v>498</v>
      </c>
      <c r="B1759" s="16">
        <v>45670</v>
      </c>
      <c r="C1759" s="16">
        <v>45653</v>
      </c>
      <c r="D1759" s="15" t="s">
        <v>5</v>
      </c>
      <c r="E1759" s="15" t="s">
        <v>6</v>
      </c>
      <c r="G1759" s="15" t="s">
        <v>492</v>
      </c>
      <c r="H1759" s="15" t="s">
        <v>496</v>
      </c>
      <c r="I1759" s="15" t="s">
        <v>497</v>
      </c>
      <c r="J1759" s="8" t="str">
        <f>+LEFT(U1759,4)</f>
        <v>SHTS</v>
      </c>
      <c r="K1759" s="15" t="s">
        <v>10</v>
      </c>
      <c r="L1759" s="46">
        <v>1010</v>
      </c>
      <c r="M1759" s="15" t="s">
        <v>1472</v>
      </c>
      <c r="N1759" s="15" t="s">
        <v>11</v>
      </c>
      <c r="O1759" s="49">
        <v>1.3</v>
      </c>
      <c r="P1759" s="9">
        <f>ROUND(O1759*L1759,2)</f>
        <v>1313</v>
      </c>
      <c r="Q1759" s="10">
        <f>IF(N1759="HKD",7.8,IF(N1759="CNY",7.30034,1))</f>
        <v>7.3003400000000003</v>
      </c>
      <c r="R1759" s="10">
        <f>+ROUND(O1759/Q1759,4)</f>
        <v>0.17810000000000001</v>
      </c>
      <c r="S1759" s="11">
        <f>ROUND(R1759*L1759,2)</f>
        <v>179.88</v>
      </c>
      <c r="T1759" s="10" t="s">
        <v>349</v>
      </c>
      <c r="U1759" s="15" t="s">
        <v>9</v>
      </c>
    </row>
    <row r="1760" spans="1:21">
      <c r="A1760" s="15" t="s">
        <v>491</v>
      </c>
      <c r="B1760" s="16">
        <v>45670</v>
      </c>
      <c r="C1760" s="16">
        <v>45653</v>
      </c>
      <c r="D1760" s="15" t="s">
        <v>5</v>
      </c>
      <c r="E1760" s="15" t="s">
        <v>6</v>
      </c>
      <c r="G1760" s="15" t="s">
        <v>492</v>
      </c>
      <c r="H1760" s="15" t="s">
        <v>489</v>
      </c>
      <c r="I1760" s="15" t="s">
        <v>490</v>
      </c>
      <c r="J1760" s="8" t="str">
        <f>+LEFT(U1760,4)</f>
        <v>SHTS</v>
      </c>
      <c r="K1760" s="15" t="s">
        <v>10</v>
      </c>
      <c r="L1760" s="46">
        <v>1010</v>
      </c>
      <c r="M1760" s="15" t="s">
        <v>1472</v>
      </c>
      <c r="N1760" s="15" t="s">
        <v>11</v>
      </c>
      <c r="O1760" s="49">
        <v>1.66</v>
      </c>
      <c r="P1760" s="9">
        <f>ROUND(O1760*L1760,2)</f>
        <v>1676.6</v>
      </c>
      <c r="Q1760" s="10">
        <f>IF(N1760="HKD",7.8,IF(N1760="CNY",7.30034,1))</f>
        <v>7.3003400000000003</v>
      </c>
      <c r="R1760" s="10">
        <f>+ROUND(O1760/Q1760,4)</f>
        <v>0.22739999999999999</v>
      </c>
      <c r="S1760" s="11">
        <f>ROUND(R1760*L1760,2)</f>
        <v>229.67</v>
      </c>
      <c r="T1760" s="10" t="s">
        <v>349</v>
      </c>
      <c r="U1760" s="15" t="s">
        <v>9</v>
      </c>
    </row>
    <row r="1761" spans="1:21">
      <c r="A1761" s="15" t="s">
        <v>495</v>
      </c>
      <c r="B1761" s="16">
        <v>45670</v>
      </c>
      <c r="C1761" s="16">
        <v>45653</v>
      </c>
      <c r="D1761" s="15" t="s">
        <v>5</v>
      </c>
      <c r="E1761" s="15" t="s">
        <v>6</v>
      </c>
      <c r="G1761" s="15" t="s">
        <v>492</v>
      </c>
      <c r="H1761" s="15" t="s">
        <v>493</v>
      </c>
      <c r="I1761" s="15" t="s">
        <v>494</v>
      </c>
      <c r="J1761" s="8" t="str">
        <f>+LEFT(U1761,4)</f>
        <v>SHTS</v>
      </c>
      <c r="K1761" s="15" t="s">
        <v>10</v>
      </c>
      <c r="L1761" s="46">
        <v>1010</v>
      </c>
      <c r="M1761" s="15" t="s">
        <v>1472</v>
      </c>
      <c r="N1761" s="15" t="s">
        <v>11</v>
      </c>
      <c r="O1761" s="49">
        <v>1.75</v>
      </c>
      <c r="P1761" s="9">
        <f>ROUND(O1761*L1761,2)</f>
        <v>1767.5</v>
      </c>
      <c r="Q1761" s="10">
        <f>IF(N1761="HKD",7.8,IF(N1761="CNY",7.30034,1))</f>
        <v>7.3003400000000003</v>
      </c>
      <c r="R1761" s="10">
        <f>+ROUND(O1761/Q1761,4)</f>
        <v>0.2397</v>
      </c>
      <c r="S1761" s="11">
        <f>ROUND(R1761*L1761,2)</f>
        <v>242.1</v>
      </c>
      <c r="T1761" s="10" t="s">
        <v>349</v>
      </c>
      <c r="U1761" s="15" t="s">
        <v>9</v>
      </c>
    </row>
    <row r="1762" spans="1:21">
      <c r="A1762" s="15" t="s">
        <v>517</v>
      </c>
      <c r="B1762" s="16">
        <v>45670</v>
      </c>
      <c r="C1762" s="16">
        <v>45663</v>
      </c>
      <c r="D1762" s="15" t="s">
        <v>5</v>
      </c>
      <c r="E1762" s="15" t="s">
        <v>6</v>
      </c>
      <c r="G1762" s="15" t="s">
        <v>492</v>
      </c>
      <c r="H1762" s="15" t="s">
        <v>515</v>
      </c>
      <c r="I1762" s="15" t="s">
        <v>516</v>
      </c>
      <c r="J1762" s="8" t="str">
        <f>+LEFT(U1762,4)</f>
        <v>SHTS</v>
      </c>
      <c r="K1762" s="15" t="s">
        <v>10</v>
      </c>
      <c r="L1762" s="46">
        <v>1010</v>
      </c>
      <c r="M1762" s="15" t="s">
        <v>1472</v>
      </c>
      <c r="N1762" s="15" t="s">
        <v>11</v>
      </c>
      <c r="O1762" s="49">
        <v>2.09</v>
      </c>
      <c r="P1762" s="9">
        <f>ROUND(O1762*L1762,2)</f>
        <v>2110.9</v>
      </c>
      <c r="Q1762" s="10">
        <f>IF(N1762="HKD",7.8,IF(N1762="CNY",7.30034,1))</f>
        <v>7.3003400000000003</v>
      </c>
      <c r="R1762" s="10">
        <f>+ROUND(O1762/Q1762,4)</f>
        <v>0.2863</v>
      </c>
      <c r="S1762" s="11">
        <f>ROUND(R1762*L1762,2)</f>
        <v>289.16000000000003</v>
      </c>
      <c r="T1762" s="10" t="s">
        <v>349</v>
      </c>
      <c r="U1762" s="15" t="s">
        <v>9</v>
      </c>
    </row>
    <row r="1763" spans="1:21">
      <c r="A1763" s="15" t="s">
        <v>502</v>
      </c>
      <c r="B1763" s="16">
        <v>45670</v>
      </c>
      <c r="C1763" s="16">
        <v>45663</v>
      </c>
      <c r="D1763" s="15" t="s">
        <v>5</v>
      </c>
      <c r="E1763" s="15" t="s">
        <v>6</v>
      </c>
      <c r="G1763" s="15" t="s">
        <v>492</v>
      </c>
      <c r="H1763" s="15" t="s">
        <v>499</v>
      </c>
      <c r="I1763" s="15" t="s">
        <v>500</v>
      </c>
      <c r="J1763" s="8" t="str">
        <f>+LEFT(U1763,4)</f>
        <v>SHTS</v>
      </c>
      <c r="K1763" s="15" t="s">
        <v>10</v>
      </c>
      <c r="L1763" s="46">
        <v>510</v>
      </c>
      <c r="M1763" s="15" t="s">
        <v>1472</v>
      </c>
      <c r="N1763" s="15" t="s">
        <v>11</v>
      </c>
      <c r="O1763" s="49">
        <v>2.2999999999999998</v>
      </c>
      <c r="P1763" s="9">
        <f>ROUND(O1763*L1763,2)</f>
        <v>1173</v>
      </c>
      <c r="Q1763" s="10">
        <f>IF(N1763="HKD",7.8,IF(N1763="CNY",7.30034,1))</f>
        <v>7.3003400000000003</v>
      </c>
      <c r="R1763" s="10">
        <f>+ROUND(O1763/Q1763,4)</f>
        <v>0.31509999999999999</v>
      </c>
      <c r="S1763" s="11">
        <f>ROUND(R1763*L1763,2)</f>
        <v>160.69999999999999</v>
      </c>
      <c r="T1763" s="10" t="s">
        <v>349</v>
      </c>
      <c r="U1763" s="15" t="s">
        <v>9</v>
      </c>
    </row>
    <row r="1764" spans="1:21">
      <c r="A1764" s="15" t="s">
        <v>501</v>
      </c>
      <c r="B1764" s="16">
        <v>45670</v>
      </c>
      <c r="C1764" s="16">
        <v>45663</v>
      </c>
      <c r="D1764" s="15" t="s">
        <v>5</v>
      </c>
      <c r="E1764" s="15" t="s">
        <v>6</v>
      </c>
      <c r="G1764" s="15" t="s">
        <v>492</v>
      </c>
      <c r="H1764" s="15" t="s">
        <v>499</v>
      </c>
      <c r="I1764" s="15" t="s">
        <v>500</v>
      </c>
      <c r="J1764" s="8" t="str">
        <f>+LEFT(U1764,4)</f>
        <v>SHTS</v>
      </c>
      <c r="K1764" s="15" t="s">
        <v>10</v>
      </c>
      <c r="L1764" s="46">
        <v>1010</v>
      </c>
      <c r="M1764" s="15" t="s">
        <v>1472</v>
      </c>
      <c r="N1764" s="15" t="s">
        <v>11</v>
      </c>
      <c r="O1764" s="49">
        <v>2.2999999999999998</v>
      </c>
      <c r="P1764" s="9">
        <f>ROUND(O1764*L1764,2)</f>
        <v>2323</v>
      </c>
      <c r="Q1764" s="10">
        <f>IF(N1764="HKD",7.8,IF(N1764="CNY",7.30034,1))</f>
        <v>7.3003400000000003</v>
      </c>
      <c r="R1764" s="10">
        <f>+ROUND(O1764/Q1764,4)</f>
        <v>0.31509999999999999</v>
      </c>
      <c r="S1764" s="11">
        <f>ROUND(R1764*L1764,2)</f>
        <v>318.25</v>
      </c>
      <c r="T1764" s="10" t="s">
        <v>349</v>
      </c>
      <c r="U1764" s="15" t="s">
        <v>9</v>
      </c>
    </row>
    <row r="1765" spans="1:21">
      <c r="A1765" s="15" t="s">
        <v>511</v>
      </c>
      <c r="B1765" s="16">
        <v>45670</v>
      </c>
      <c r="C1765" s="16">
        <v>45663</v>
      </c>
      <c r="D1765" s="15" t="s">
        <v>5</v>
      </c>
      <c r="E1765" s="15" t="s">
        <v>6</v>
      </c>
      <c r="G1765" s="15" t="s">
        <v>492</v>
      </c>
      <c r="H1765" s="15" t="s">
        <v>509</v>
      </c>
      <c r="I1765" s="15" t="s">
        <v>510</v>
      </c>
      <c r="J1765" s="8" t="str">
        <f>+LEFT(U1765,4)</f>
        <v>SHTS</v>
      </c>
      <c r="K1765" s="15" t="s">
        <v>10</v>
      </c>
      <c r="L1765" s="46">
        <v>1010</v>
      </c>
      <c r="M1765" s="15" t="s">
        <v>1472</v>
      </c>
      <c r="N1765" s="15" t="s">
        <v>11</v>
      </c>
      <c r="O1765" s="49">
        <v>2.46</v>
      </c>
      <c r="P1765" s="9">
        <f>ROUND(O1765*L1765,2)</f>
        <v>2484.6</v>
      </c>
      <c r="Q1765" s="10">
        <f>IF(N1765="HKD",7.8,IF(N1765="CNY",7.30034,1))</f>
        <v>7.3003400000000003</v>
      </c>
      <c r="R1765" s="10">
        <f>+ROUND(O1765/Q1765,4)</f>
        <v>0.33700000000000002</v>
      </c>
      <c r="S1765" s="11">
        <f>ROUND(R1765*L1765,2)</f>
        <v>340.37</v>
      </c>
      <c r="T1765" s="10" t="s">
        <v>349</v>
      </c>
      <c r="U1765" s="15" t="s">
        <v>9</v>
      </c>
    </row>
    <row r="1766" spans="1:21">
      <c r="A1766" s="15" t="s">
        <v>514</v>
      </c>
      <c r="B1766" s="16">
        <v>45670</v>
      </c>
      <c r="C1766" s="16">
        <v>45663</v>
      </c>
      <c r="D1766" s="15" t="s">
        <v>5</v>
      </c>
      <c r="E1766" s="15" t="s">
        <v>6</v>
      </c>
      <c r="G1766" s="15" t="s">
        <v>492</v>
      </c>
      <c r="H1766" s="15" t="s">
        <v>512</v>
      </c>
      <c r="I1766" s="15" t="s">
        <v>513</v>
      </c>
      <c r="J1766" s="8" t="str">
        <f>+LEFT(U1766,4)</f>
        <v>SHTS</v>
      </c>
      <c r="K1766" s="15" t="s">
        <v>10</v>
      </c>
      <c r="L1766" s="46">
        <v>1010</v>
      </c>
      <c r="M1766" s="15" t="s">
        <v>1472</v>
      </c>
      <c r="N1766" s="15" t="s">
        <v>11</v>
      </c>
      <c r="O1766" s="49">
        <v>2.56</v>
      </c>
      <c r="P1766" s="9">
        <f>ROUND(O1766*L1766,2)</f>
        <v>2585.6</v>
      </c>
      <c r="Q1766" s="10">
        <f>IF(N1766="HKD",7.8,IF(N1766="CNY",7.30034,1))</f>
        <v>7.3003400000000003</v>
      </c>
      <c r="R1766" s="10">
        <f>+ROUND(O1766/Q1766,4)</f>
        <v>0.35070000000000001</v>
      </c>
      <c r="S1766" s="11">
        <f>ROUND(R1766*L1766,2)</f>
        <v>354.21</v>
      </c>
      <c r="T1766" s="10" t="s">
        <v>349</v>
      </c>
      <c r="U1766" s="15" t="s">
        <v>9</v>
      </c>
    </row>
    <row r="1767" spans="1:21">
      <c r="A1767" s="15" t="s">
        <v>505</v>
      </c>
      <c r="B1767" s="16">
        <v>45670</v>
      </c>
      <c r="C1767" s="16">
        <v>45663</v>
      </c>
      <c r="D1767" s="15" t="s">
        <v>5</v>
      </c>
      <c r="E1767" s="15" t="s">
        <v>6</v>
      </c>
      <c r="G1767" s="15" t="s">
        <v>492</v>
      </c>
      <c r="H1767" s="15" t="s">
        <v>503</v>
      </c>
      <c r="I1767" s="15" t="s">
        <v>504</v>
      </c>
      <c r="J1767" s="8" t="str">
        <f>+LEFT(U1767,4)</f>
        <v>SHTS</v>
      </c>
      <c r="K1767" s="15" t="s">
        <v>10</v>
      </c>
      <c r="L1767" s="46">
        <v>1010</v>
      </c>
      <c r="M1767" s="15" t="s">
        <v>1472</v>
      </c>
      <c r="N1767" s="15" t="s">
        <v>11</v>
      </c>
      <c r="O1767" s="49">
        <v>2.84</v>
      </c>
      <c r="P1767" s="9">
        <f>ROUND(O1767*L1767,2)</f>
        <v>2868.4</v>
      </c>
      <c r="Q1767" s="10">
        <f>IF(N1767="HKD",7.8,IF(N1767="CNY",7.30034,1))</f>
        <v>7.3003400000000003</v>
      </c>
      <c r="R1767" s="10">
        <f>+ROUND(O1767/Q1767,4)</f>
        <v>0.38900000000000001</v>
      </c>
      <c r="S1767" s="11">
        <f>ROUND(R1767*L1767,2)</f>
        <v>392.89</v>
      </c>
      <c r="T1767" s="10" t="s">
        <v>349</v>
      </c>
      <c r="U1767" s="15" t="s">
        <v>9</v>
      </c>
    </row>
    <row r="1768" spans="1:21">
      <c r="A1768" s="15" t="s">
        <v>508</v>
      </c>
      <c r="B1768" s="16">
        <v>45670</v>
      </c>
      <c r="C1768" s="16">
        <v>45663</v>
      </c>
      <c r="D1768" s="15" t="s">
        <v>5</v>
      </c>
      <c r="E1768" s="15" t="s">
        <v>6</v>
      </c>
      <c r="G1768" s="15" t="s">
        <v>492</v>
      </c>
      <c r="H1768" s="15" t="s">
        <v>506</v>
      </c>
      <c r="I1768" s="15" t="s">
        <v>507</v>
      </c>
      <c r="J1768" s="8" t="str">
        <f>+LEFT(U1768,4)</f>
        <v>SHTS</v>
      </c>
      <c r="K1768" s="15" t="s">
        <v>10</v>
      </c>
      <c r="L1768" s="46">
        <v>1010</v>
      </c>
      <c r="M1768" s="15" t="s">
        <v>1472</v>
      </c>
      <c r="N1768" s="15" t="s">
        <v>11</v>
      </c>
      <c r="O1768" s="49">
        <v>2.86</v>
      </c>
      <c r="P1768" s="9">
        <f>ROUND(O1768*L1768,2)</f>
        <v>2888.6</v>
      </c>
      <c r="Q1768" s="10">
        <f>IF(N1768="HKD",7.8,IF(N1768="CNY",7.30034,1))</f>
        <v>7.3003400000000003</v>
      </c>
      <c r="R1768" s="10">
        <f>+ROUND(O1768/Q1768,4)</f>
        <v>0.39179999999999998</v>
      </c>
      <c r="S1768" s="11">
        <f>ROUND(R1768*L1768,2)</f>
        <v>395.72</v>
      </c>
      <c r="T1768" s="10" t="s">
        <v>349</v>
      </c>
      <c r="U1768" s="15" t="s">
        <v>9</v>
      </c>
    </row>
    <row r="1769" spans="1:21">
      <c r="A1769" s="15" t="s">
        <v>432</v>
      </c>
      <c r="B1769" s="16">
        <v>45670</v>
      </c>
      <c r="C1769" s="16">
        <v>45663</v>
      </c>
      <c r="D1769" s="15" t="s">
        <v>5</v>
      </c>
      <c r="E1769" s="15" t="s">
        <v>6</v>
      </c>
      <c r="G1769" s="15" t="s">
        <v>433</v>
      </c>
      <c r="H1769" s="15" t="s">
        <v>430</v>
      </c>
      <c r="I1769" s="15" t="s">
        <v>431</v>
      </c>
      <c r="J1769" s="8" t="str">
        <f>+LEFT(U1769,4)</f>
        <v>SHTS</v>
      </c>
      <c r="K1769" s="15" t="s">
        <v>10</v>
      </c>
      <c r="L1769" s="46">
        <v>1010</v>
      </c>
      <c r="M1769" s="15" t="s">
        <v>1472</v>
      </c>
      <c r="N1769" s="15" t="s">
        <v>11</v>
      </c>
      <c r="O1769" s="49">
        <v>3.33</v>
      </c>
      <c r="P1769" s="9">
        <f>ROUND(O1769*L1769,2)</f>
        <v>3363.3</v>
      </c>
      <c r="Q1769" s="10">
        <f>IF(N1769="HKD",7.8,IF(N1769="CNY",7.30034,1))</f>
        <v>7.3003400000000003</v>
      </c>
      <c r="R1769" s="10">
        <f>+ROUND(O1769/Q1769,4)</f>
        <v>0.45610000000000001</v>
      </c>
      <c r="S1769" s="11">
        <f>ROUND(R1769*L1769,2)</f>
        <v>460.66</v>
      </c>
      <c r="T1769" s="10" t="s">
        <v>349</v>
      </c>
      <c r="U1769" s="15" t="s">
        <v>9</v>
      </c>
    </row>
    <row r="1770" spans="1:21">
      <c r="A1770" s="15" t="s">
        <v>523</v>
      </c>
      <c r="B1770" s="16">
        <v>45670</v>
      </c>
      <c r="C1770" s="16">
        <v>45663</v>
      </c>
      <c r="D1770" s="15" t="s">
        <v>5</v>
      </c>
      <c r="E1770" s="15" t="s">
        <v>6</v>
      </c>
      <c r="G1770" s="15" t="s">
        <v>492</v>
      </c>
      <c r="H1770" s="15" t="s">
        <v>521</v>
      </c>
      <c r="I1770" s="15" t="s">
        <v>522</v>
      </c>
      <c r="J1770" s="8" t="str">
        <f>+LEFT(U1770,4)</f>
        <v>SHTS</v>
      </c>
      <c r="K1770" s="15" t="s">
        <v>10</v>
      </c>
      <c r="L1770" s="46">
        <v>1010</v>
      </c>
      <c r="M1770" s="15" t="s">
        <v>1472</v>
      </c>
      <c r="N1770" s="15" t="s">
        <v>11</v>
      </c>
      <c r="O1770" s="49">
        <v>3.45</v>
      </c>
      <c r="P1770" s="9">
        <f>ROUND(O1770*L1770,2)</f>
        <v>3484.5</v>
      </c>
      <c r="Q1770" s="10">
        <f>IF(N1770="HKD",7.8,IF(N1770="CNY",7.30034,1))</f>
        <v>7.3003400000000003</v>
      </c>
      <c r="R1770" s="10">
        <f>+ROUND(O1770/Q1770,4)</f>
        <v>0.47260000000000002</v>
      </c>
      <c r="S1770" s="11">
        <f>ROUND(R1770*L1770,2)</f>
        <v>477.33</v>
      </c>
      <c r="T1770" s="10" t="s">
        <v>349</v>
      </c>
      <c r="U1770" s="15" t="s">
        <v>9</v>
      </c>
    </row>
    <row r="1771" spans="1:21">
      <c r="A1771" s="15" t="s">
        <v>457</v>
      </c>
      <c r="B1771" s="16">
        <v>45670</v>
      </c>
      <c r="C1771" s="16">
        <v>45663</v>
      </c>
      <c r="D1771" s="15" t="s">
        <v>5</v>
      </c>
      <c r="E1771" s="15" t="s">
        <v>6</v>
      </c>
      <c r="G1771" s="15" t="s">
        <v>458</v>
      </c>
      <c r="H1771" s="15" t="s">
        <v>455</v>
      </c>
      <c r="I1771" s="15" t="s">
        <v>456</v>
      </c>
      <c r="J1771" s="8" t="str">
        <f>+LEFT(U1771,4)</f>
        <v>SHTS</v>
      </c>
      <c r="K1771" s="15" t="s">
        <v>10</v>
      </c>
      <c r="L1771" s="46">
        <v>1010</v>
      </c>
      <c r="M1771" s="15" t="s">
        <v>1472</v>
      </c>
      <c r="N1771" s="15" t="s">
        <v>11</v>
      </c>
      <c r="O1771" s="49">
        <v>4.63</v>
      </c>
      <c r="P1771" s="9">
        <f>ROUND(O1771*L1771,2)</f>
        <v>4676.3</v>
      </c>
      <c r="Q1771" s="10">
        <f>IF(N1771="HKD",7.8,IF(N1771="CNY",7.30034,1))</f>
        <v>7.3003400000000003</v>
      </c>
      <c r="R1771" s="10">
        <f>+ROUND(O1771/Q1771,4)</f>
        <v>0.63419999999999999</v>
      </c>
      <c r="S1771" s="11">
        <f>ROUND(R1771*L1771,2)</f>
        <v>640.54</v>
      </c>
      <c r="T1771" s="10" t="s">
        <v>349</v>
      </c>
      <c r="U1771" s="15" t="s">
        <v>9</v>
      </c>
    </row>
    <row r="1772" spans="1:21">
      <c r="A1772" s="15" t="s">
        <v>520</v>
      </c>
      <c r="B1772" s="16">
        <v>45670</v>
      </c>
      <c r="C1772" s="16">
        <v>45663</v>
      </c>
      <c r="D1772" s="15" t="s">
        <v>5</v>
      </c>
      <c r="E1772" s="15" t="s">
        <v>6</v>
      </c>
      <c r="G1772" s="15" t="s">
        <v>492</v>
      </c>
      <c r="H1772" s="15" t="s">
        <v>518</v>
      </c>
      <c r="I1772" s="15" t="s">
        <v>519</v>
      </c>
      <c r="J1772" s="8" t="str">
        <f>+LEFT(U1772,4)</f>
        <v>SHTS</v>
      </c>
      <c r="K1772" s="15" t="s">
        <v>10</v>
      </c>
      <c r="L1772" s="46">
        <v>505</v>
      </c>
      <c r="M1772" s="15" t="s">
        <v>1472</v>
      </c>
      <c r="N1772" s="15" t="s">
        <v>11</v>
      </c>
      <c r="O1772" s="49">
        <v>4.95</v>
      </c>
      <c r="P1772" s="9">
        <f>ROUND(O1772*L1772,2)</f>
        <v>2499.75</v>
      </c>
      <c r="Q1772" s="10">
        <f>IF(N1772="HKD",7.8,IF(N1772="CNY",7.30034,1))</f>
        <v>7.3003400000000003</v>
      </c>
      <c r="R1772" s="10">
        <f>+ROUND(O1772/Q1772,4)</f>
        <v>0.67810000000000004</v>
      </c>
      <c r="S1772" s="11">
        <f>ROUND(R1772*L1772,2)</f>
        <v>342.44</v>
      </c>
      <c r="T1772" s="10" t="s">
        <v>349</v>
      </c>
      <c r="U1772" s="15" t="s">
        <v>9</v>
      </c>
    </row>
    <row r="1773" spans="1:21">
      <c r="A1773" s="15" t="s">
        <v>362</v>
      </c>
      <c r="B1773" s="16">
        <v>45670</v>
      </c>
      <c r="C1773" s="16">
        <v>45615</v>
      </c>
      <c r="D1773" s="15" t="s">
        <v>94</v>
      </c>
      <c r="E1773" s="15" t="s">
        <v>95</v>
      </c>
      <c r="G1773" s="15" t="s">
        <v>610</v>
      </c>
      <c r="H1773" s="15" t="s">
        <v>360</v>
      </c>
      <c r="I1773" s="15" t="s">
        <v>361</v>
      </c>
      <c r="J1773" s="8" t="str">
        <f>+LEFT(U1773,4)</f>
        <v>SKU-</v>
      </c>
      <c r="K1773" s="15" t="s">
        <v>98</v>
      </c>
      <c r="L1773" s="46">
        <v>2640</v>
      </c>
      <c r="M1773" s="15" t="s">
        <v>1472</v>
      </c>
      <c r="N1773" s="15" t="s">
        <v>11</v>
      </c>
      <c r="O1773" s="49">
        <v>5.8230000000000004</v>
      </c>
      <c r="P1773" s="9">
        <f>ROUND(O1773*L1773,2)</f>
        <v>15372.72</v>
      </c>
      <c r="Q1773" s="10">
        <f>IF(N1773="HKD",7.8,IF(N1773="CNY",7.30034,1))</f>
        <v>7.3003400000000003</v>
      </c>
      <c r="R1773" s="10">
        <f>+ROUND(O1773/Q1773,4)</f>
        <v>0.79759999999999998</v>
      </c>
      <c r="S1773" s="11">
        <f>ROUND(R1773*L1773,2)</f>
        <v>2105.66</v>
      </c>
      <c r="T1773" s="10" t="s">
        <v>349</v>
      </c>
      <c r="U1773" s="15" t="s">
        <v>2</v>
      </c>
    </row>
    <row r="1774" spans="1:21">
      <c r="A1774" s="15" t="s">
        <v>621</v>
      </c>
      <c r="B1774" s="16">
        <v>45670</v>
      </c>
      <c r="C1774" s="16">
        <v>45643</v>
      </c>
      <c r="D1774" s="15" t="s">
        <v>169</v>
      </c>
      <c r="E1774" s="15" t="s">
        <v>170</v>
      </c>
      <c r="G1774" s="15" t="s">
        <v>618</v>
      </c>
      <c r="H1774" s="15" t="s">
        <v>619</v>
      </c>
      <c r="I1774" s="15" t="s">
        <v>620</v>
      </c>
      <c r="J1774" s="8" t="str">
        <f>+LEFT(U1774,4)</f>
        <v>STKR</v>
      </c>
      <c r="K1774" s="15" t="s">
        <v>10</v>
      </c>
      <c r="L1774" s="46">
        <v>3020</v>
      </c>
      <c r="M1774" s="15" t="s">
        <v>1472</v>
      </c>
      <c r="N1774" s="15" t="s">
        <v>11</v>
      </c>
      <c r="O1774" s="49">
        <v>0.03</v>
      </c>
      <c r="P1774" s="9">
        <f>ROUND(O1774*L1774,2)</f>
        <v>90.6</v>
      </c>
      <c r="Q1774" s="10">
        <f>IF(N1774="HKD",7.8,IF(N1774="CNY",7.30034,1))</f>
        <v>7.3003400000000003</v>
      </c>
      <c r="R1774" s="10">
        <f>+ROUND(O1774/Q1774,4)</f>
        <v>4.1000000000000003E-3</v>
      </c>
      <c r="S1774" s="11">
        <f>ROUND(R1774*L1774,2)</f>
        <v>12.38</v>
      </c>
      <c r="T1774" s="10" t="s">
        <v>349</v>
      </c>
      <c r="U1774" s="15" t="s">
        <v>18</v>
      </c>
    </row>
    <row r="1775" spans="1:21">
      <c r="A1775" s="15" t="s">
        <v>613</v>
      </c>
      <c r="B1775" s="16">
        <v>45670</v>
      </c>
      <c r="C1775" s="16">
        <v>45643</v>
      </c>
      <c r="D1775" s="15" t="s">
        <v>101</v>
      </c>
      <c r="E1775" s="15" t="s">
        <v>102</v>
      </c>
      <c r="G1775" s="15" t="s">
        <v>614</v>
      </c>
      <c r="H1775" s="15" t="s">
        <v>611</v>
      </c>
      <c r="I1775" s="15" t="s">
        <v>612</v>
      </c>
      <c r="J1775" s="8" t="str">
        <f>+LEFT(U1775,4)</f>
        <v>STKR</v>
      </c>
      <c r="K1775" s="15" t="s">
        <v>10</v>
      </c>
      <c r="L1775" s="46">
        <v>1010</v>
      </c>
      <c r="M1775" s="15" t="s">
        <v>1472</v>
      </c>
      <c r="N1775" s="15" t="s">
        <v>11</v>
      </c>
      <c r="O1775" s="49">
        <v>0.03</v>
      </c>
      <c r="P1775" s="9">
        <f>ROUND(O1775*L1775,2)</f>
        <v>30.3</v>
      </c>
      <c r="Q1775" s="10">
        <f>IF(N1775="HKD",7.8,IF(N1775="CNY",7.30034,1))</f>
        <v>7.3003400000000003</v>
      </c>
      <c r="R1775" s="10">
        <f>+ROUND(O1775/Q1775,4)</f>
        <v>4.1000000000000003E-3</v>
      </c>
      <c r="S1775" s="11">
        <f>ROUND(R1775*L1775,2)</f>
        <v>4.1399999999999997</v>
      </c>
      <c r="T1775" s="10" t="s">
        <v>349</v>
      </c>
      <c r="U1775" s="15" t="s">
        <v>18</v>
      </c>
    </row>
    <row r="1776" spans="1:21">
      <c r="A1776" s="15" t="s">
        <v>625</v>
      </c>
      <c r="B1776" s="16">
        <v>45670</v>
      </c>
      <c r="C1776" s="16">
        <v>45643</v>
      </c>
      <c r="D1776" s="15" t="s">
        <v>169</v>
      </c>
      <c r="E1776" s="15" t="s">
        <v>170</v>
      </c>
      <c r="G1776" s="15" t="s">
        <v>618</v>
      </c>
      <c r="H1776" s="15" t="s">
        <v>622</v>
      </c>
      <c r="I1776" s="15" t="s">
        <v>623</v>
      </c>
      <c r="J1776" s="8" t="str">
        <f>+LEFT(U1776,4)</f>
        <v>STKR</v>
      </c>
      <c r="K1776" s="15" t="s">
        <v>10</v>
      </c>
      <c r="L1776" s="46">
        <v>2020</v>
      </c>
      <c r="M1776" s="15" t="s">
        <v>1472</v>
      </c>
      <c r="N1776" s="15" t="s">
        <v>11</v>
      </c>
      <c r="O1776" s="49">
        <v>4.2000000000000003E-2</v>
      </c>
      <c r="P1776" s="9">
        <f>ROUND(O1776*L1776,2)</f>
        <v>84.84</v>
      </c>
      <c r="Q1776" s="10">
        <f>IF(N1776="HKD",7.8,IF(N1776="CNY",7.30034,1))</f>
        <v>7.3003400000000003</v>
      </c>
      <c r="R1776" s="10">
        <f>+ROUND(O1776/Q1776,4)</f>
        <v>5.7999999999999996E-3</v>
      </c>
      <c r="S1776" s="11">
        <f>ROUND(R1776*L1776,2)</f>
        <v>11.72</v>
      </c>
      <c r="T1776" s="10" t="s">
        <v>349</v>
      </c>
      <c r="U1776" s="15" t="s">
        <v>18</v>
      </c>
    </row>
    <row r="1777" spans="1:21">
      <c r="A1777" s="15" t="s">
        <v>624</v>
      </c>
      <c r="B1777" s="16">
        <v>45670</v>
      </c>
      <c r="C1777" s="16">
        <v>45643</v>
      </c>
      <c r="D1777" s="15" t="s">
        <v>169</v>
      </c>
      <c r="E1777" s="15" t="s">
        <v>170</v>
      </c>
      <c r="G1777" s="15" t="s">
        <v>618</v>
      </c>
      <c r="H1777" s="15" t="s">
        <v>622</v>
      </c>
      <c r="I1777" s="15" t="s">
        <v>623</v>
      </c>
      <c r="J1777" s="8" t="str">
        <f>+LEFT(U1777,4)</f>
        <v>STKR</v>
      </c>
      <c r="K1777" s="15" t="s">
        <v>10</v>
      </c>
      <c r="L1777" s="46">
        <v>50</v>
      </c>
      <c r="M1777" s="15" t="s">
        <v>1472</v>
      </c>
      <c r="N1777" s="15" t="s">
        <v>11</v>
      </c>
      <c r="O1777" s="49">
        <v>4.2000000000000003E-2</v>
      </c>
      <c r="P1777" s="9">
        <f>ROUND(O1777*L1777,2)</f>
        <v>2.1</v>
      </c>
      <c r="Q1777" s="10">
        <f>IF(N1777="HKD",7.8,IF(N1777="CNY",7.30034,1))</f>
        <v>7.3003400000000003</v>
      </c>
      <c r="R1777" s="10">
        <f>+ROUND(O1777/Q1777,4)</f>
        <v>5.7999999999999996E-3</v>
      </c>
      <c r="S1777" s="11">
        <f>ROUND(R1777*L1777,2)</f>
        <v>0.28999999999999998</v>
      </c>
      <c r="T1777" s="10" t="s">
        <v>349</v>
      </c>
      <c r="U1777" s="15" t="s">
        <v>18</v>
      </c>
    </row>
    <row r="1778" spans="1:21">
      <c r="A1778" s="15" t="s">
        <v>617</v>
      </c>
      <c r="B1778" s="16">
        <v>45670</v>
      </c>
      <c r="C1778" s="16">
        <v>45643</v>
      </c>
      <c r="D1778" s="15" t="s">
        <v>169</v>
      </c>
      <c r="E1778" s="15" t="s">
        <v>170</v>
      </c>
      <c r="G1778" s="15" t="s">
        <v>618</v>
      </c>
      <c r="H1778" s="15" t="s">
        <v>615</v>
      </c>
      <c r="I1778" s="15" t="s">
        <v>616</v>
      </c>
      <c r="J1778" s="8" t="str">
        <f>+LEFT(U1778,4)</f>
        <v>STKR</v>
      </c>
      <c r="K1778" s="15" t="s">
        <v>10</v>
      </c>
      <c r="L1778" s="46">
        <v>2520</v>
      </c>
      <c r="M1778" s="15" t="s">
        <v>1472</v>
      </c>
      <c r="N1778" s="15" t="s">
        <v>11</v>
      </c>
      <c r="O1778" s="49">
        <v>4.2000000000000003E-2</v>
      </c>
      <c r="P1778" s="9">
        <f>ROUND(O1778*L1778,2)</f>
        <v>105.84</v>
      </c>
      <c r="Q1778" s="10">
        <f>IF(N1778="HKD",7.8,IF(N1778="CNY",7.30034,1))</f>
        <v>7.3003400000000003</v>
      </c>
      <c r="R1778" s="10">
        <f>+ROUND(O1778/Q1778,4)</f>
        <v>5.7999999999999996E-3</v>
      </c>
      <c r="S1778" s="11">
        <f>ROUND(R1778*L1778,2)</f>
        <v>14.62</v>
      </c>
      <c r="T1778" s="10" t="s">
        <v>349</v>
      </c>
      <c r="U1778" s="15" t="s">
        <v>18</v>
      </c>
    </row>
    <row r="1779" spans="1:21">
      <c r="A1779" s="15" t="s">
        <v>641</v>
      </c>
      <c r="B1779" s="16">
        <v>45670</v>
      </c>
      <c r="C1779" s="16">
        <v>45643</v>
      </c>
      <c r="D1779" s="15" t="s">
        <v>169</v>
      </c>
      <c r="E1779" s="15" t="s">
        <v>170</v>
      </c>
      <c r="G1779" s="15" t="s">
        <v>634</v>
      </c>
      <c r="H1779" s="15" t="s">
        <v>639</v>
      </c>
      <c r="I1779" s="15" t="s">
        <v>640</v>
      </c>
      <c r="J1779" s="8" t="str">
        <f>+LEFT(U1779,4)</f>
        <v>U&amp;C-</v>
      </c>
      <c r="K1779" s="15" t="s">
        <v>10</v>
      </c>
      <c r="L1779" s="46">
        <v>2020</v>
      </c>
      <c r="M1779" s="15" t="s">
        <v>1472</v>
      </c>
      <c r="N1779" s="15" t="s">
        <v>11</v>
      </c>
      <c r="O1779" s="49">
        <v>0.1244</v>
      </c>
      <c r="P1779" s="9">
        <f>ROUND(O1779*L1779,2)</f>
        <v>251.29</v>
      </c>
      <c r="Q1779" s="10">
        <f>IF(N1779="HKD",7.8,IF(N1779="CNY",7.30034,1))</f>
        <v>7.3003400000000003</v>
      </c>
      <c r="R1779" s="10">
        <f>+ROUND(O1779/Q1779,4)</f>
        <v>1.7000000000000001E-2</v>
      </c>
      <c r="S1779" s="11">
        <f>ROUND(R1779*L1779,2)</f>
        <v>34.340000000000003</v>
      </c>
      <c r="T1779" s="10" t="s">
        <v>349</v>
      </c>
      <c r="U1779" s="15" t="s">
        <v>177</v>
      </c>
    </row>
    <row r="1780" spans="1:21">
      <c r="A1780" s="15" t="s">
        <v>176</v>
      </c>
      <c r="B1780" s="16">
        <v>45670</v>
      </c>
      <c r="C1780" s="16">
        <v>45660</v>
      </c>
      <c r="D1780" s="15" t="s">
        <v>169</v>
      </c>
      <c r="E1780" s="15" t="s">
        <v>170</v>
      </c>
      <c r="G1780" s="15" t="s">
        <v>634</v>
      </c>
      <c r="H1780" s="15" t="s">
        <v>174</v>
      </c>
      <c r="I1780" s="15" t="s">
        <v>175</v>
      </c>
      <c r="J1780" s="8" t="str">
        <f>+LEFT(U1780,4)</f>
        <v>U&amp;C-</v>
      </c>
      <c r="K1780" s="15" t="s">
        <v>10</v>
      </c>
      <c r="L1780" s="46">
        <v>1000</v>
      </c>
      <c r="M1780" s="15" t="s">
        <v>1472</v>
      </c>
      <c r="N1780" s="15" t="s">
        <v>11</v>
      </c>
      <c r="O1780" s="49">
        <v>0.28000000000000003</v>
      </c>
      <c r="P1780" s="9">
        <f>ROUND(O1780*L1780,2)</f>
        <v>280</v>
      </c>
      <c r="Q1780" s="10">
        <f>IF(N1780="HKD",7.8,IF(N1780="CNY",7.30034,1))</f>
        <v>7.3003400000000003</v>
      </c>
      <c r="R1780" s="10">
        <f>+ROUND(O1780/Q1780,4)</f>
        <v>3.8399999999999997E-2</v>
      </c>
      <c r="S1780" s="11">
        <f>ROUND(R1780*L1780,2)</f>
        <v>38.4</v>
      </c>
      <c r="T1780" s="10" t="s">
        <v>349</v>
      </c>
      <c r="U1780" s="15" t="s">
        <v>177</v>
      </c>
    </row>
    <row r="1781" spans="1:21">
      <c r="A1781" s="15" t="s">
        <v>644</v>
      </c>
      <c r="B1781" s="16">
        <v>45670</v>
      </c>
      <c r="C1781" s="16">
        <v>45638</v>
      </c>
      <c r="D1781" s="15" t="s">
        <v>169</v>
      </c>
      <c r="E1781" s="15" t="s">
        <v>170</v>
      </c>
      <c r="G1781" s="15" t="s">
        <v>645</v>
      </c>
      <c r="H1781" s="15" t="s">
        <v>642</v>
      </c>
      <c r="I1781" s="15" t="s">
        <v>643</v>
      </c>
      <c r="J1781" s="8" t="str">
        <f>+LEFT(U1781,4)</f>
        <v>U&amp;C-</v>
      </c>
      <c r="K1781" s="15" t="s">
        <v>10</v>
      </c>
      <c r="L1781" s="46">
        <v>1000</v>
      </c>
      <c r="M1781" s="15" t="s">
        <v>1472</v>
      </c>
      <c r="N1781" s="15" t="s">
        <v>11</v>
      </c>
      <c r="O1781" s="49">
        <v>1.29</v>
      </c>
      <c r="P1781" s="9">
        <f>ROUND(O1781*L1781,2)</f>
        <v>1290</v>
      </c>
      <c r="Q1781" s="10">
        <f>IF(N1781="HKD",7.8,IF(N1781="CNY",7.30034,1))</f>
        <v>7.3003400000000003</v>
      </c>
      <c r="R1781" s="10">
        <f>+ROUND(O1781/Q1781,4)</f>
        <v>0.1767</v>
      </c>
      <c r="S1781" s="11">
        <f>ROUND(R1781*L1781,2)</f>
        <v>176.7</v>
      </c>
      <c r="T1781" s="10" t="s">
        <v>349</v>
      </c>
      <c r="U1781" s="15" t="s">
        <v>177</v>
      </c>
    </row>
    <row r="1782" spans="1:21">
      <c r="A1782" s="15" t="s">
        <v>633</v>
      </c>
      <c r="B1782" s="16">
        <v>45670</v>
      </c>
      <c r="C1782" s="16">
        <v>45643</v>
      </c>
      <c r="D1782" s="15" t="s">
        <v>169</v>
      </c>
      <c r="E1782" s="15" t="s">
        <v>170</v>
      </c>
      <c r="G1782" s="15" t="s">
        <v>634</v>
      </c>
      <c r="H1782" s="15" t="s">
        <v>631</v>
      </c>
      <c r="I1782" s="15" t="s">
        <v>632</v>
      </c>
      <c r="J1782" s="8" t="str">
        <f>+LEFT(U1782,4)</f>
        <v>WACD</v>
      </c>
      <c r="K1782" s="15" t="s">
        <v>10</v>
      </c>
      <c r="L1782" s="46">
        <v>2010</v>
      </c>
      <c r="M1782" s="15" t="s">
        <v>1472</v>
      </c>
      <c r="N1782" s="15" t="s">
        <v>11</v>
      </c>
      <c r="O1782" s="49">
        <v>6.5000000000000002E-2</v>
      </c>
      <c r="P1782" s="9">
        <f>ROUND(O1782*L1782,2)</f>
        <v>130.65</v>
      </c>
      <c r="Q1782" s="10">
        <f>IF(N1782="HKD",7.8,IF(N1782="CNY",7.30034,1))</f>
        <v>7.3003400000000003</v>
      </c>
      <c r="R1782" s="10">
        <f>+ROUND(O1782/Q1782,4)</f>
        <v>8.8999999999999999E-3</v>
      </c>
      <c r="S1782" s="11">
        <f>ROUND(R1782*L1782,2)</f>
        <v>17.89</v>
      </c>
      <c r="T1782" s="10" t="s">
        <v>349</v>
      </c>
      <c r="U1782" s="15" t="s">
        <v>635</v>
      </c>
    </row>
    <row r="1783" spans="1:21">
      <c r="A1783" s="15" t="s">
        <v>638</v>
      </c>
      <c r="B1783" s="16">
        <v>45670</v>
      </c>
      <c r="C1783" s="16">
        <v>45643</v>
      </c>
      <c r="D1783" s="15" t="s">
        <v>169</v>
      </c>
      <c r="E1783" s="15" t="s">
        <v>170</v>
      </c>
      <c r="G1783" s="15" t="s">
        <v>634</v>
      </c>
      <c r="H1783" s="15" t="s">
        <v>636</v>
      </c>
      <c r="I1783" s="15" t="s">
        <v>637</v>
      </c>
      <c r="J1783" s="8" t="str">
        <f>+LEFT(U1783,4)</f>
        <v>WACD</v>
      </c>
      <c r="K1783" s="15" t="s">
        <v>10</v>
      </c>
      <c r="L1783" s="46">
        <v>710</v>
      </c>
      <c r="M1783" s="15" t="s">
        <v>1472</v>
      </c>
      <c r="N1783" s="15" t="s">
        <v>11</v>
      </c>
      <c r="O1783" s="49">
        <v>0.315</v>
      </c>
      <c r="P1783" s="9">
        <f>ROUND(O1783*L1783,2)</f>
        <v>223.65</v>
      </c>
      <c r="Q1783" s="10">
        <f>IF(N1783="HKD",7.8,IF(N1783="CNY",7.30034,1))</f>
        <v>7.3003400000000003</v>
      </c>
      <c r="R1783" s="10">
        <f>+ROUND(O1783/Q1783,4)</f>
        <v>4.3099999999999999E-2</v>
      </c>
      <c r="S1783" s="11">
        <f>ROUND(R1783*L1783,2)</f>
        <v>30.6</v>
      </c>
      <c r="T1783" s="10" t="s">
        <v>349</v>
      </c>
      <c r="U1783" s="15" t="s">
        <v>635</v>
      </c>
    </row>
    <row r="1784" spans="1:21">
      <c r="A1784" s="15" t="s">
        <v>561</v>
      </c>
      <c r="B1784" s="16">
        <v>45670</v>
      </c>
      <c r="C1784" s="16">
        <v>45629</v>
      </c>
      <c r="D1784" s="15" t="s">
        <v>545</v>
      </c>
      <c r="E1784" s="15" t="s">
        <v>546</v>
      </c>
      <c r="G1784" s="15" t="s">
        <v>548</v>
      </c>
      <c r="H1784" s="15" t="s">
        <v>557</v>
      </c>
      <c r="I1784" s="15" t="s">
        <v>558</v>
      </c>
      <c r="J1784" s="8" t="str">
        <f>+LEFT(U1784,4)</f>
        <v>WHR-</v>
      </c>
      <c r="K1784" s="15" t="s">
        <v>10</v>
      </c>
      <c r="L1784" s="46">
        <v>5000</v>
      </c>
      <c r="M1784" s="15" t="s">
        <v>1472</v>
      </c>
      <c r="N1784" s="15" t="s">
        <v>11</v>
      </c>
      <c r="O1784" s="49">
        <v>3.9800000000000002E-2</v>
      </c>
      <c r="P1784" s="9">
        <f>ROUND(O1784*L1784,2)</f>
        <v>199</v>
      </c>
      <c r="Q1784" s="10">
        <f>IF(N1784="HKD",7.8,IF(N1784="CNY",7.30034,1))</f>
        <v>7.3003400000000003</v>
      </c>
      <c r="R1784" s="10">
        <f>+ROUND(O1784/Q1784,4)</f>
        <v>5.4999999999999997E-3</v>
      </c>
      <c r="S1784" s="11">
        <f>ROUND(R1784*L1784,2)</f>
        <v>27.5</v>
      </c>
      <c r="T1784" s="10" t="s">
        <v>349</v>
      </c>
      <c r="U1784" s="15" t="s">
        <v>248</v>
      </c>
    </row>
    <row r="1785" spans="1:21">
      <c r="A1785" s="15" t="s">
        <v>560</v>
      </c>
      <c r="B1785" s="16">
        <v>45670</v>
      </c>
      <c r="C1785" s="16">
        <v>45636</v>
      </c>
      <c r="D1785" s="15" t="s">
        <v>545</v>
      </c>
      <c r="E1785" s="15" t="s">
        <v>546</v>
      </c>
      <c r="G1785" s="15" t="s">
        <v>548</v>
      </c>
      <c r="H1785" s="15" t="s">
        <v>557</v>
      </c>
      <c r="I1785" s="15" t="s">
        <v>558</v>
      </c>
      <c r="J1785" s="8" t="str">
        <f>+LEFT(U1785,4)</f>
        <v>WHR-</v>
      </c>
      <c r="K1785" s="15" t="s">
        <v>10</v>
      </c>
      <c r="L1785" s="46">
        <v>1400</v>
      </c>
      <c r="M1785" s="15" t="s">
        <v>1472</v>
      </c>
      <c r="N1785" s="15" t="s">
        <v>11</v>
      </c>
      <c r="O1785" s="49">
        <v>3.9800000000000002E-2</v>
      </c>
      <c r="P1785" s="9">
        <f>ROUND(O1785*L1785,2)</f>
        <v>55.72</v>
      </c>
      <c r="Q1785" s="10">
        <f>IF(N1785="HKD",7.8,IF(N1785="CNY",7.30034,1))</f>
        <v>7.3003400000000003</v>
      </c>
      <c r="R1785" s="10">
        <f>+ROUND(O1785/Q1785,4)</f>
        <v>5.4999999999999997E-3</v>
      </c>
      <c r="S1785" s="11">
        <f>ROUND(R1785*L1785,2)</f>
        <v>7.7</v>
      </c>
      <c r="T1785" s="10" t="s">
        <v>349</v>
      </c>
      <c r="U1785" s="15" t="s">
        <v>248</v>
      </c>
    </row>
    <row r="1786" spans="1:21">
      <c r="A1786" s="15" t="s">
        <v>559</v>
      </c>
      <c r="B1786" s="16">
        <v>45670</v>
      </c>
      <c r="C1786" s="16">
        <v>45653</v>
      </c>
      <c r="D1786" s="15" t="s">
        <v>545</v>
      </c>
      <c r="E1786" s="15" t="s">
        <v>546</v>
      </c>
      <c r="G1786" s="15" t="s">
        <v>548</v>
      </c>
      <c r="H1786" s="15" t="s">
        <v>557</v>
      </c>
      <c r="I1786" s="15" t="s">
        <v>558</v>
      </c>
      <c r="J1786" s="8" t="str">
        <f>+LEFT(U1786,4)</f>
        <v>WHR-</v>
      </c>
      <c r="K1786" s="15" t="s">
        <v>10</v>
      </c>
      <c r="L1786" s="46">
        <v>1000</v>
      </c>
      <c r="M1786" s="15" t="s">
        <v>1472</v>
      </c>
      <c r="N1786" s="15" t="s">
        <v>11</v>
      </c>
      <c r="O1786" s="49">
        <v>3.9800000000000002E-2</v>
      </c>
      <c r="P1786" s="9">
        <f>ROUND(O1786*L1786,2)</f>
        <v>39.799999999999997</v>
      </c>
      <c r="Q1786" s="10">
        <f>IF(N1786="HKD",7.8,IF(N1786="CNY",7.30034,1))</f>
        <v>7.3003400000000003</v>
      </c>
      <c r="R1786" s="10">
        <f>+ROUND(O1786/Q1786,4)</f>
        <v>5.4999999999999997E-3</v>
      </c>
      <c r="S1786" s="11">
        <f>ROUND(R1786*L1786,2)</f>
        <v>5.5</v>
      </c>
      <c r="T1786" s="10" t="s">
        <v>349</v>
      </c>
      <c r="U1786" s="15" t="s">
        <v>248</v>
      </c>
    </row>
    <row r="1787" spans="1:21">
      <c r="A1787" s="15" t="s">
        <v>566</v>
      </c>
      <c r="B1787" s="16">
        <v>45670</v>
      </c>
      <c r="C1787" s="16">
        <v>45644</v>
      </c>
      <c r="D1787" s="15" t="s">
        <v>545</v>
      </c>
      <c r="E1787" s="15" t="s">
        <v>546</v>
      </c>
      <c r="G1787" s="15" t="s">
        <v>562</v>
      </c>
      <c r="H1787" s="15" t="s">
        <v>563</v>
      </c>
      <c r="I1787" s="15" t="s">
        <v>564</v>
      </c>
      <c r="J1787" s="8" t="str">
        <f>+LEFT(U1787,4)</f>
        <v>WHR-</v>
      </c>
      <c r="K1787" s="15" t="s">
        <v>10</v>
      </c>
      <c r="L1787" s="46">
        <v>9800</v>
      </c>
      <c r="M1787" s="15" t="s">
        <v>1472</v>
      </c>
      <c r="N1787" s="15" t="s">
        <v>11</v>
      </c>
      <c r="O1787" s="49">
        <v>4.1000000000000002E-2</v>
      </c>
      <c r="P1787" s="9">
        <f>ROUND(O1787*L1787,2)</f>
        <v>401.8</v>
      </c>
      <c r="Q1787" s="10">
        <f>IF(N1787="HKD",7.8,IF(N1787="CNY",7.30034,1))</f>
        <v>7.3003400000000003</v>
      </c>
      <c r="R1787" s="10">
        <f>+ROUND(O1787/Q1787,4)</f>
        <v>5.5999999999999999E-3</v>
      </c>
      <c r="S1787" s="11">
        <f>ROUND(R1787*L1787,2)</f>
        <v>54.88</v>
      </c>
      <c r="T1787" s="10" t="s">
        <v>349</v>
      </c>
      <c r="U1787" s="15" t="s">
        <v>248</v>
      </c>
    </row>
    <row r="1788" spans="1:21">
      <c r="A1788" s="15" t="s">
        <v>565</v>
      </c>
      <c r="B1788" s="16">
        <v>45670</v>
      </c>
      <c r="C1788" s="16">
        <v>45646</v>
      </c>
      <c r="D1788" s="15" t="s">
        <v>545</v>
      </c>
      <c r="E1788" s="15" t="s">
        <v>546</v>
      </c>
      <c r="G1788" s="15" t="s">
        <v>562</v>
      </c>
      <c r="H1788" s="15" t="s">
        <v>563</v>
      </c>
      <c r="I1788" s="15" t="s">
        <v>564</v>
      </c>
      <c r="J1788" s="8" t="str">
        <f>+LEFT(U1788,4)</f>
        <v>WHR-</v>
      </c>
      <c r="K1788" s="15" t="s">
        <v>10</v>
      </c>
      <c r="L1788" s="46">
        <v>3900</v>
      </c>
      <c r="M1788" s="15" t="s">
        <v>1472</v>
      </c>
      <c r="N1788" s="15" t="s">
        <v>11</v>
      </c>
      <c r="O1788" s="49">
        <v>4.1000000000000002E-2</v>
      </c>
      <c r="P1788" s="9">
        <f>ROUND(O1788*L1788,2)</f>
        <v>159.9</v>
      </c>
      <c r="Q1788" s="10">
        <f>IF(N1788="HKD",7.8,IF(N1788="CNY",7.30034,1))</f>
        <v>7.3003400000000003</v>
      </c>
      <c r="R1788" s="10">
        <f>+ROUND(O1788/Q1788,4)</f>
        <v>5.5999999999999999E-3</v>
      </c>
      <c r="S1788" s="11">
        <f>ROUND(R1788*L1788,2)</f>
        <v>21.84</v>
      </c>
      <c r="T1788" s="10" t="s">
        <v>349</v>
      </c>
      <c r="U1788" s="15" t="s">
        <v>248</v>
      </c>
    </row>
    <row r="1789" spans="1:21">
      <c r="A1789" s="15" t="s">
        <v>547</v>
      </c>
      <c r="B1789" s="16">
        <v>45670</v>
      </c>
      <c r="C1789" s="16">
        <v>45660</v>
      </c>
      <c r="D1789" s="15" t="s">
        <v>545</v>
      </c>
      <c r="E1789" s="15" t="s">
        <v>546</v>
      </c>
      <c r="G1789" s="15" t="s">
        <v>548</v>
      </c>
      <c r="H1789" s="15" t="s">
        <v>543</v>
      </c>
      <c r="I1789" s="15" t="s">
        <v>544</v>
      </c>
      <c r="J1789" s="8" t="str">
        <f>+LEFT(U1789,4)</f>
        <v>WHR-</v>
      </c>
      <c r="K1789" s="15" t="s">
        <v>10</v>
      </c>
      <c r="L1789" s="46">
        <v>1000</v>
      </c>
      <c r="M1789" s="15" t="s">
        <v>1472</v>
      </c>
      <c r="N1789" s="15" t="s">
        <v>11</v>
      </c>
      <c r="O1789" s="49">
        <v>4.2999999999999997E-2</v>
      </c>
      <c r="P1789" s="9">
        <f>ROUND(O1789*L1789,2)</f>
        <v>43</v>
      </c>
      <c r="Q1789" s="10">
        <f>IF(N1789="HKD",7.8,IF(N1789="CNY",7.30034,1))</f>
        <v>7.3003400000000003</v>
      </c>
      <c r="R1789" s="10">
        <f>+ROUND(O1789/Q1789,4)</f>
        <v>5.8999999999999999E-3</v>
      </c>
      <c r="S1789" s="11">
        <f>ROUND(R1789*L1789,2)</f>
        <v>5.9</v>
      </c>
      <c r="T1789" s="10" t="s">
        <v>349</v>
      </c>
      <c r="U1789" s="15" t="s">
        <v>248</v>
      </c>
    </row>
    <row r="1790" spans="1:21">
      <c r="A1790" s="15" t="s">
        <v>556</v>
      </c>
      <c r="B1790" s="16">
        <v>45670</v>
      </c>
      <c r="C1790" s="16">
        <v>45639</v>
      </c>
      <c r="D1790" s="15" t="s">
        <v>545</v>
      </c>
      <c r="E1790" s="15" t="s">
        <v>546</v>
      </c>
      <c r="G1790" s="15" t="s">
        <v>548</v>
      </c>
      <c r="H1790" s="15" t="s">
        <v>553</v>
      </c>
      <c r="I1790" s="15" t="s">
        <v>554</v>
      </c>
      <c r="J1790" s="8" t="str">
        <f>+LEFT(U1790,4)</f>
        <v>WHR-</v>
      </c>
      <c r="K1790" s="15" t="s">
        <v>10</v>
      </c>
      <c r="L1790" s="46">
        <v>2300</v>
      </c>
      <c r="M1790" s="15" t="s">
        <v>1472</v>
      </c>
      <c r="N1790" s="15" t="s">
        <v>11</v>
      </c>
      <c r="O1790" s="49">
        <v>8.5000000000000006E-2</v>
      </c>
      <c r="P1790" s="9">
        <f>ROUND(O1790*L1790,2)</f>
        <v>195.5</v>
      </c>
      <c r="Q1790" s="10">
        <f>IF(N1790="HKD",7.8,IF(N1790="CNY",7.30034,1))</f>
        <v>7.3003400000000003</v>
      </c>
      <c r="R1790" s="10">
        <f>+ROUND(O1790/Q1790,4)</f>
        <v>1.1599999999999999E-2</v>
      </c>
      <c r="S1790" s="11">
        <f>ROUND(R1790*L1790,2)</f>
        <v>26.68</v>
      </c>
      <c r="T1790" s="10" t="s">
        <v>349</v>
      </c>
      <c r="U1790" s="15" t="s">
        <v>248</v>
      </c>
    </row>
    <row r="1791" spans="1:21">
      <c r="A1791" s="15" t="s">
        <v>555</v>
      </c>
      <c r="B1791" s="16">
        <v>45670</v>
      </c>
      <c r="C1791" s="16">
        <v>45643</v>
      </c>
      <c r="D1791" s="15" t="s">
        <v>545</v>
      </c>
      <c r="E1791" s="15" t="s">
        <v>546</v>
      </c>
      <c r="G1791" s="15" t="s">
        <v>548</v>
      </c>
      <c r="H1791" s="15" t="s">
        <v>553</v>
      </c>
      <c r="I1791" s="15" t="s">
        <v>554</v>
      </c>
      <c r="J1791" s="8" t="str">
        <f>+LEFT(U1791,4)</f>
        <v>WHR-</v>
      </c>
      <c r="K1791" s="15" t="s">
        <v>10</v>
      </c>
      <c r="L1791" s="46">
        <v>4100</v>
      </c>
      <c r="M1791" s="15" t="s">
        <v>1472</v>
      </c>
      <c r="N1791" s="15" t="s">
        <v>11</v>
      </c>
      <c r="O1791" s="49">
        <v>8.5000000000000006E-2</v>
      </c>
      <c r="P1791" s="9">
        <f>ROUND(O1791*L1791,2)</f>
        <v>348.5</v>
      </c>
      <c r="Q1791" s="10">
        <f>IF(N1791="HKD",7.8,IF(N1791="CNY",7.30034,1))</f>
        <v>7.3003400000000003</v>
      </c>
      <c r="R1791" s="10">
        <f>+ROUND(O1791/Q1791,4)</f>
        <v>1.1599999999999999E-2</v>
      </c>
      <c r="S1791" s="11">
        <f>ROUND(R1791*L1791,2)</f>
        <v>47.56</v>
      </c>
      <c r="T1791" s="10" t="s">
        <v>349</v>
      </c>
      <c r="U1791" s="15" t="s">
        <v>248</v>
      </c>
    </row>
    <row r="1792" spans="1:21">
      <c r="A1792" s="15" t="s">
        <v>289</v>
      </c>
      <c r="B1792" s="16">
        <v>45667</v>
      </c>
      <c r="C1792" s="16">
        <v>45604</v>
      </c>
      <c r="D1792" s="15" t="s">
        <v>287</v>
      </c>
      <c r="E1792" s="15" t="s">
        <v>288</v>
      </c>
      <c r="G1792" s="15" t="s">
        <v>692</v>
      </c>
      <c r="H1792" s="15" t="s">
        <v>81</v>
      </c>
      <c r="I1792" s="15" t="s">
        <v>82</v>
      </c>
      <c r="J1792" s="8" t="s">
        <v>1478</v>
      </c>
      <c r="K1792" s="15" t="s">
        <v>10</v>
      </c>
      <c r="L1792" s="46">
        <v>-540</v>
      </c>
      <c r="M1792" s="15" t="s">
        <v>1472</v>
      </c>
      <c r="N1792" s="15" t="s">
        <v>11</v>
      </c>
      <c r="O1792" s="49">
        <v>6.4610000000000003</v>
      </c>
      <c r="P1792" s="9">
        <f>ROUND(O1792*L1792,2)</f>
        <v>-3488.94</v>
      </c>
      <c r="Q1792" s="10">
        <f>IF(N1792="HKD",7.8,IF(N1792="CNY",7.30034,1))</f>
        <v>7.3003400000000003</v>
      </c>
      <c r="R1792" s="10">
        <f>+ROUND(O1792/Q1792,4)</f>
        <v>0.88500000000000001</v>
      </c>
      <c r="S1792" s="11">
        <f>ROUND(R1792*L1792,2)</f>
        <v>-477.9</v>
      </c>
      <c r="T1792" s="10" t="s">
        <v>349</v>
      </c>
      <c r="U1792" s="15" t="s">
        <v>36</v>
      </c>
    </row>
    <row r="1793" spans="1:21">
      <c r="A1793" s="15" t="s">
        <v>705</v>
      </c>
      <c r="B1793" s="16">
        <v>45667</v>
      </c>
      <c r="C1793" s="16">
        <v>45639</v>
      </c>
      <c r="D1793" s="15" t="s">
        <v>287</v>
      </c>
      <c r="E1793" s="15" t="s">
        <v>288</v>
      </c>
      <c r="G1793" s="15" t="s">
        <v>706</v>
      </c>
      <c r="H1793" s="15" t="s">
        <v>703</v>
      </c>
      <c r="I1793" s="15" t="s">
        <v>704</v>
      </c>
      <c r="J1793" s="8" t="s">
        <v>1478</v>
      </c>
      <c r="K1793" s="15" t="s">
        <v>10</v>
      </c>
      <c r="L1793" s="46">
        <v>86</v>
      </c>
      <c r="M1793" s="15" t="s">
        <v>1472</v>
      </c>
      <c r="N1793" s="15" t="s">
        <v>11</v>
      </c>
      <c r="O1793" s="49">
        <v>7.4237000000000002</v>
      </c>
      <c r="P1793" s="9">
        <f>ROUND(O1793*L1793,2)</f>
        <v>638.44000000000005</v>
      </c>
      <c r="Q1793" s="10">
        <f>IF(N1793="HKD",7.8,IF(N1793="CNY",7.30034,1))</f>
        <v>7.3003400000000003</v>
      </c>
      <c r="R1793" s="10">
        <f>+ROUND(O1793/Q1793,4)</f>
        <v>1.0168999999999999</v>
      </c>
      <c r="S1793" s="11">
        <f>ROUND(R1793*L1793,2)</f>
        <v>87.45</v>
      </c>
      <c r="T1793" s="10" t="s">
        <v>349</v>
      </c>
      <c r="U1793" s="15" t="s">
        <v>36</v>
      </c>
    </row>
    <row r="1794" spans="1:21">
      <c r="A1794" s="15" t="s">
        <v>731</v>
      </c>
      <c r="B1794" s="16">
        <v>45667</v>
      </c>
      <c r="C1794" s="16">
        <v>45646</v>
      </c>
      <c r="D1794" s="15" t="s">
        <v>709</v>
      </c>
      <c r="E1794" s="15" t="s">
        <v>710</v>
      </c>
      <c r="G1794" s="15" t="s">
        <v>712</v>
      </c>
      <c r="H1794" s="15" t="s">
        <v>729</v>
      </c>
      <c r="I1794" s="15" t="s">
        <v>730</v>
      </c>
      <c r="J1794" s="8" t="str">
        <f>+LEFT(U1794,4)</f>
        <v>HDL-</v>
      </c>
      <c r="K1794" s="15" t="s">
        <v>10</v>
      </c>
      <c r="L1794" s="46">
        <v>2000</v>
      </c>
      <c r="M1794" s="15" t="s">
        <v>1472</v>
      </c>
      <c r="N1794" s="15" t="s">
        <v>11</v>
      </c>
      <c r="O1794" s="49">
        <v>1.5313000000000001</v>
      </c>
      <c r="P1794" s="9">
        <f>ROUND(O1794*L1794,2)</f>
        <v>3062.6</v>
      </c>
      <c r="Q1794" s="10">
        <f>IF(N1794="HKD",7.8,IF(N1794="CNY",7.30034,1))</f>
        <v>7.3003400000000003</v>
      </c>
      <c r="R1794" s="10">
        <f>+ROUND(O1794/Q1794,4)</f>
        <v>0.20979999999999999</v>
      </c>
      <c r="S1794" s="11">
        <f>ROUND(R1794*L1794,2)</f>
        <v>419.6</v>
      </c>
      <c r="T1794" s="10" t="s">
        <v>349</v>
      </c>
      <c r="U1794" s="15" t="s">
        <v>228</v>
      </c>
    </row>
    <row r="1795" spans="1:21">
      <c r="A1795" s="15" t="s">
        <v>734</v>
      </c>
      <c r="B1795" s="16">
        <v>45667</v>
      </c>
      <c r="C1795" s="16">
        <v>45646</v>
      </c>
      <c r="D1795" s="15" t="s">
        <v>709</v>
      </c>
      <c r="E1795" s="15" t="s">
        <v>710</v>
      </c>
      <c r="G1795" s="15" t="s">
        <v>712</v>
      </c>
      <c r="H1795" s="15" t="s">
        <v>732</v>
      </c>
      <c r="I1795" s="15" t="s">
        <v>733</v>
      </c>
      <c r="J1795" s="8" t="str">
        <f>+LEFT(U1795,4)</f>
        <v>HDL-</v>
      </c>
      <c r="K1795" s="15" t="s">
        <v>10</v>
      </c>
      <c r="L1795" s="46">
        <v>5000</v>
      </c>
      <c r="M1795" s="15" t="s">
        <v>1472</v>
      </c>
      <c r="N1795" s="15" t="s">
        <v>11</v>
      </c>
      <c r="O1795" s="49">
        <v>1.849</v>
      </c>
      <c r="P1795" s="9">
        <f>ROUND(O1795*L1795,2)</f>
        <v>9245</v>
      </c>
      <c r="Q1795" s="10">
        <f>IF(N1795="HKD",7.8,IF(N1795="CNY",7.30034,1))</f>
        <v>7.3003400000000003</v>
      </c>
      <c r="R1795" s="10">
        <f>+ROUND(O1795/Q1795,4)</f>
        <v>0.25330000000000003</v>
      </c>
      <c r="S1795" s="11">
        <f>ROUND(R1795*L1795,2)</f>
        <v>1266.5</v>
      </c>
      <c r="T1795" s="10" t="s">
        <v>349</v>
      </c>
      <c r="U1795" s="15" t="s">
        <v>228</v>
      </c>
    </row>
    <row r="1796" spans="1:21">
      <c r="A1796" s="15" t="s">
        <v>711</v>
      </c>
      <c r="B1796" s="16">
        <v>45667</v>
      </c>
      <c r="C1796" s="16">
        <v>45659</v>
      </c>
      <c r="D1796" s="15" t="s">
        <v>709</v>
      </c>
      <c r="E1796" s="15" t="s">
        <v>710</v>
      </c>
      <c r="G1796" s="15" t="s">
        <v>712</v>
      </c>
      <c r="H1796" s="15" t="s">
        <v>707</v>
      </c>
      <c r="I1796" s="15" t="s">
        <v>708</v>
      </c>
      <c r="J1796" s="8" t="str">
        <f>+LEFT(U1796,4)</f>
        <v>HDL-</v>
      </c>
      <c r="K1796" s="15" t="s">
        <v>10</v>
      </c>
      <c r="L1796" s="46">
        <v>520</v>
      </c>
      <c r="M1796" s="15" t="s">
        <v>1472</v>
      </c>
      <c r="N1796" s="15" t="s">
        <v>11</v>
      </c>
      <c r="O1796" s="49">
        <v>2.6798000000000002</v>
      </c>
      <c r="P1796" s="9">
        <f>ROUND(O1796*L1796,2)</f>
        <v>1393.5</v>
      </c>
      <c r="Q1796" s="10">
        <f>IF(N1796="HKD",7.8,IF(N1796="CNY",7.30034,1))</f>
        <v>7.3003400000000003</v>
      </c>
      <c r="R1796" s="10">
        <f>+ROUND(O1796/Q1796,4)</f>
        <v>0.36709999999999998</v>
      </c>
      <c r="S1796" s="11">
        <f>ROUND(R1796*L1796,2)</f>
        <v>190.89</v>
      </c>
      <c r="T1796" s="10" t="s">
        <v>349</v>
      </c>
      <c r="U1796" s="15" t="s">
        <v>228</v>
      </c>
    </row>
    <row r="1797" spans="1:21">
      <c r="A1797" s="15" t="s">
        <v>359</v>
      </c>
      <c r="B1797" s="16">
        <v>45667</v>
      </c>
      <c r="C1797" s="16">
        <v>45639</v>
      </c>
      <c r="D1797" s="15" t="s">
        <v>121</v>
      </c>
      <c r="E1797" s="15" t="s">
        <v>122</v>
      </c>
      <c r="G1797" s="15" t="s">
        <v>693</v>
      </c>
      <c r="H1797" s="15" t="s">
        <v>357</v>
      </c>
      <c r="I1797" s="15" t="s">
        <v>358</v>
      </c>
      <c r="J1797" s="8" t="str">
        <f>+LEFT(U1797,4)</f>
        <v>HDL-</v>
      </c>
      <c r="K1797" s="15" t="s">
        <v>10</v>
      </c>
      <c r="L1797" s="46">
        <v>1738</v>
      </c>
      <c r="M1797" s="15" t="s">
        <v>1472</v>
      </c>
      <c r="N1797" s="15" t="s">
        <v>11</v>
      </c>
      <c r="O1797" s="49">
        <v>3.5398000000000001</v>
      </c>
      <c r="P1797" s="9">
        <f>ROUND(O1797*L1797,2)</f>
        <v>6152.17</v>
      </c>
      <c r="Q1797" s="10">
        <f>IF(N1797="HKD",7.8,IF(N1797="CNY",7.30034,1))</f>
        <v>7.3003400000000003</v>
      </c>
      <c r="R1797" s="10">
        <f>+ROUND(O1797/Q1797,4)</f>
        <v>0.4849</v>
      </c>
      <c r="S1797" s="11">
        <f>ROUND(R1797*L1797,2)</f>
        <v>842.76</v>
      </c>
      <c r="T1797" s="10" t="s">
        <v>349</v>
      </c>
      <c r="U1797" s="15" t="s">
        <v>228</v>
      </c>
    </row>
    <row r="1798" spans="1:21">
      <c r="A1798" s="15" t="s">
        <v>676</v>
      </c>
      <c r="B1798" s="16">
        <v>45667</v>
      </c>
      <c r="C1798" s="16">
        <v>45638</v>
      </c>
      <c r="D1798" s="15" t="s">
        <v>311</v>
      </c>
      <c r="E1798" s="15" t="s">
        <v>312</v>
      </c>
      <c r="G1798" s="15" t="s">
        <v>675</v>
      </c>
      <c r="H1798" s="15" t="s">
        <v>341</v>
      </c>
      <c r="I1798" s="15" t="s">
        <v>342</v>
      </c>
      <c r="J1798" s="8" t="str">
        <f>+LEFT(U1798,4)</f>
        <v>INM-</v>
      </c>
      <c r="K1798" s="15" t="s">
        <v>10</v>
      </c>
      <c r="L1798" s="46">
        <v>25</v>
      </c>
      <c r="M1798" s="15" t="s">
        <v>186</v>
      </c>
      <c r="N1798" s="15" t="s">
        <v>11</v>
      </c>
      <c r="O1798" s="49">
        <v>63.008800000000001</v>
      </c>
      <c r="P1798" s="9">
        <f>ROUND(O1798*L1798,2)</f>
        <v>1575.22</v>
      </c>
      <c r="Q1798" s="10">
        <f>IF(N1798="HKD",7.8,IF(N1798="CNY",7.30034,1))</f>
        <v>7.3003400000000003</v>
      </c>
      <c r="R1798" s="10">
        <f>+ROUND(O1798/Q1798,4)</f>
        <v>8.6309000000000005</v>
      </c>
      <c r="S1798" s="11">
        <f>ROUND(R1798*L1798,2)</f>
        <v>215.77</v>
      </c>
      <c r="T1798" s="10" t="s">
        <v>349</v>
      </c>
      <c r="U1798" s="15" t="s">
        <v>327</v>
      </c>
    </row>
    <row r="1799" spans="1:21">
      <c r="A1799" s="15" t="s">
        <v>677</v>
      </c>
      <c r="B1799" s="16">
        <v>45667</v>
      </c>
      <c r="C1799" s="16">
        <v>45638</v>
      </c>
      <c r="D1799" s="15" t="s">
        <v>311</v>
      </c>
      <c r="E1799" s="15" t="s">
        <v>312</v>
      </c>
      <c r="G1799" s="15" t="s">
        <v>675</v>
      </c>
      <c r="H1799" s="15" t="s">
        <v>328</v>
      </c>
      <c r="I1799" s="15" t="s">
        <v>329</v>
      </c>
      <c r="J1799" s="8" t="str">
        <f>+LEFT(U1799,4)</f>
        <v>INM-</v>
      </c>
      <c r="K1799" s="15" t="s">
        <v>10</v>
      </c>
      <c r="L1799" s="46">
        <v>25</v>
      </c>
      <c r="M1799" s="15" t="s">
        <v>186</v>
      </c>
      <c r="N1799" s="15" t="s">
        <v>11</v>
      </c>
      <c r="O1799" s="49">
        <v>69.026499999999999</v>
      </c>
      <c r="P1799" s="9">
        <f>ROUND(O1799*L1799,2)</f>
        <v>1725.66</v>
      </c>
      <c r="Q1799" s="10">
        <f>IF(N1799="HKD",7.8,IF(N1799="CNY",7.30034,1))</f>
        <v>7.3003400000000003</v>
      </c>
      <c r="R1799" s="10">
        <f>+ROUND(O1799/Q1799,4)</f>
        <v>9.4551999999999996</v>
      </c>
      <c r="S1799" s="11">
        <f>ROUND(R1799*L1799,2)</f>
        <v>236.38</v>
      </c>
      <c r="T1799" s="10" t="s">
        <v>349</v>
      </c>
      <c r="U1799" s="15" t="s">
        <v>327</v>
      </c>
    </row>
    <row r="1800" spans="1:21">
      <c r="A1800" s="15" t="s">
        <v>674</v>
      </c>
      <c r="B1800" s="16">
        <v>45667</v>
      </c>
      <c r="C1800" s="16">
        <v>45638</v>
      </c>
      <c r="D1800" s="15" t="s">
        <v>311</v>
      </c>
      <c r="E1800" s="15" t="s">
        <v>312</v>
      </c>
      <c r="G1800" s="15" t="s">
        <v>675</v>
      </c>
      <c r="H1800" s="15" t="s">
        <v>323</v>
      </c>
      <c r="I1800" s="15" t="s">
        <v>324</v>
      </c>
      <c r="J1800" s="8" t="str">
        <f>+LEFT(U1800,4)</f>
        <v>INM-</v>
      </c>
      <c r="K1800" s="15" t="s">
        <v>10</v>
      </c>
      <c r="L1800" s="46">
        <v>50</v>
      </c>
      <c r="M1800" s="15" t="s">
        <v>186</v>
      </c>
      <c r="N1800" s="15" t="s">
        <v>11</v>
      </c>
      <c r="O1800" s="49">
        <v>69.026499999999999</v>
      </c>
      <c r="P1800" s="9">
        <f>ROUND(O1800*L1800,2)</f>
        <v>3451.33</v>
      </c>
      <c r="Q1800" s="10">
        <f>IF(N1800="HKD",7.8,IF(N1800="CNY",7.30034,1))</f>
        <v>7.3003400000000003</v>
      </c>
      <c r="R1800" s="10">
        <f>+ROUND(O1800/Q1800,4)</f>
        <v>9.4551999999999996</v>
      </c>
      <c r="S1800" s="11">
        <f>ROUND(R1800*L1800,2)</f>
        <v>472.76</v>
      </c>
      <c r="T1800" s="10" t="s">
        <v>349</v>
      </c>
      <c r="U1800" s="15" t="s">
        <v>327</v>
      </c>
    </row>
    <row r="1801" spans="1:21">
      <c r="A1801" s="15" t="s">
        <v>672</v>
      </c>
      <c r="B1801" s="16">
        <v>45667</v>
      </c>
      <c r="C1801" s="16">
        <v>45643</v>
      </c>
      <c r="D1801" s="15" t="s">
        <v>311</v>
      </c>
      <c r="E1801" s="15" t="s">
        <v>312</v>
      </c>
      <c r="G1801" s="15" t="s">
        <v>665</v>
      </c>
      <c r="H1801" s="15" t="s">
        <v>662</v>
      </c>
      <c r="I1801" s="15" t="s">
        <v>663</v>
      </c>
      <c r="J1801" s="8" t="str">
        <f>+LEFT(U1801,4)</f>
        <v>INM-</v>
      </c>
      <c r="K1801" s="15" t="s">
        <v>10</v>
      </c>
      <c r="L1801" s="46">
        <v>50</v>
      </c>
      <c r="M1801" s="15" t="s">
        <v>186</v>
      </c>
      <c r="N1801" s="15" t="s">
        <v>11</v>
      </c>
      <c r="O1801" s="49">
        <v>92.743399999999994</v>
      </c>
      <c r="P1801" s="9">
        <f>ROUND(O1801*L1801,2)</f>
        <v>4637.17</v>
      </c>
      <c r="Q1801" s="10">
        <f>IF(N1801="HKD",7.8,IF(N1801="CNY",7.30034,1))</f>
        <v>7.3003400000000003</v>
      </c>
      <c r="R1801" s="10">
        <f>+ROUND(O1801/Q1801,4)</f>
        <v>12.704000000000001</v>
      </c>
      <c r="S1801" s="11">
        <f>ROUND(R1801*L1801,2)</f>
        <v>635.20000000000005</v>
      </c>
      <c r="T1801" s="10" t="s">
        <v>349</v>
      </c>
      <c r="U1801" s="15" t="s">
        <v>327</v>
      </c>
    </row>
    <row r="1802" spans="1:21">
      <c r="A1802" s="15" t="s">
        <v>664</v>
      </c>
      <c r="B1802" s="16">
        <v>45667</v>
      </c>
      <c r="C1802" s="16">
        <v>45643</v>
      </c>
      <c r="D1802" s="15" t="s">
        <v>311</v>
      </c>
      <c r="E1802" s="15" t="s">
        <v>312</v>
      </c>
      <c r="G1802" s="15" t="s">
        <v>665</v>
      </c>
      <c r="H1802" s="15" t="s">
        <v>662</v>
      </c>
      <c r="I1802" s="15" t="s">
        <v>663</v>
      </c>
      <c r="J1802" s="8" t="str">
        <f>+LEFT(U1802,4)</f>
        <v>INM-</v>
      </c>
      <c r="K1802" s="15" t="s">
        <v>10</v>
      </c>
      <c r="L1802" s="46">
        <v>100</v>
      </c>
      <c r="M1802" s="15" t="s">
        <v>186</v>
      </c>
      <c r="N1802" s="15" t="s">
        <v>11</v>
      </c>
      <c r="O1802" s="49">
        <v>92.743399999999994</v>
      </c>
      <c r="P1802" s="9">
        <f>ROUND(O1802*L1802,2)</f>
        <v>9274.34</v>
      </c>
      <c r="Q1802" s="10">
        <f>IF(N1802="HKD",7.8,IF(N1802="CNY",7.30034,1))</f>
        <v>7.3003400000000003</v>
      </c>
      <c r="R1802" s="10">
        <f>+ROUND(O1802/Q1802,4)</f>
        <v>12.704000000000001</v>
      </c>
      <c r="S1802" s="11">
        <f>ROUND(R1802*L1802,2)</f>
        <v>1270.4000000000001</v>
      </c>
      <c r="T1802" s="10" t="s">
        <v>349</v>
      </c>
      <c r="U1802" s="15" t="s">
        <v>327</v>
      </c>
    </row>
    <row r="1803" spans="1:21">
      <c r="A1803" s="15" t="s">
        <v>668</v>
      </c>
      <c r="B1803" s="16">
        <v>45667</v>
      </c>
      <c r="C1803" s="16">
        <v>45643</v>
      </c>
      <c r="D1803" s="15" t="s">
        <v>311</v>
      </c>
      <c r="E1803" s="15" t="s">
        <v>312</v>
      </c>
      <c r="G1803" s="15" t="s">
        <v>665</v>
      </c>
      <c r="H1803" s="15" t="s">
        <v>666</v>
      </c>
      <c r="I1803" s="15" t="s">
        <v>667</v>
      </c>
      <c r="J1803" s="8" t="str">
        <f>+LEFT(U1803,4)</f>
        <v>INM-</v>
      </c>
      <c r="K1803" s="15" t="s">
        <v>10</v>
      </c>
      <c r="L1803" s="46">
        <v>50</v>
      </c>
      <c r="M1803" s="15" t="s">
        <v>186</v>
      </c>
      <c r="N1803" s="15" t="s">
        <v>11</v>
      </c>
      <c r="O1803" s="49">
        <v>105.0442</v>
      </c>
      <c r="P1803" s="9">
        <f>ROUND(O1803*L1803,2)</f>
        <v>5252.21</v>
      </c>
      <c r="Q1803" s="10">
        <f>IF(N1803="HKD",7.8,IF(N1803="CNY",7.30034,1))</f>
        <v>7.3003400000000003</v>
      </c>
      <c r="R1803" s="10">
        <f>+ROUND(O1803/Q1803,4)</f>
        <v>14.3889</v>
      </c>
      <c r="S1803" s="11">
        <f>ROUND(R1803*L1803,2)</f>
        <v>719.45</v>
      </c>
      <c r="T1803" s="10" t="s">
        <v>349</v>
      </c>
      <c r="U1803" s="15" t="s">
        <v>327</v>
      </c>
    </row>
    <row r="1804" spans="1:21">
      <c r="A1804" s="15" t="s">
        <v>673</v>
      </c>
      <c r="B1804" s="16">
        <v>45667</v>
      </c>
      <c r="C1804" s="16">
        <v>45643</v>
      </c>
      <c r="D1804" s="15" t="s">
        <v>311</v>
      </c>
      <c r="E1804" s="15" t="s">
        <v>312</v>
      </c>
      <c r="G1804" s="15" t="s">
        <v>665</v>
      </c>
      <c r="H1804" s="15" t="s">
        <v>669</v>
      </c>
      <c r="I1804" s="15" t="s">
        <v>670</v>
      </c>
      <c r="J1804" s="8" t="str">
        <f>+LEFT(U1804,4)</f>
        <v>INM-</v>
      </c>
      <c r="K1804" s="15" t="s">
        <v>10</v>
      </c>
      <c r="L1804" s="46">
        <v>25</v>
      </c>
      <c r="M1804" s="15" t="s">
        <v>186</v>
      </c>
      <c r="N1804" s="15" t="s">
        <v>11</v>
      </c>
      <c r="O1804" s="49">
        <v>110.17700000000001</v>
      </c>
      <c r="P1804" s="9">
        <f>ROUND(O1804*L1804,2)</f>
        <v>2754.43</v>
      </c>
      <c r="Q1804" s="10">
        <f>IF(N1804="HKD",7.8,IF(N1804="CNY",7.30034,1))</f>
        <v>7.3003400000000003</v>
      </c>
      <c r="R1804" s="10">
        <f>+ROUND(O1804/Q1804,4)</f>
        <v>15.092000000000001</v>
      </c>
      <c r="S1804" s="11">
        <f>ROUND(R1804*L1804,2)</f>
        <v>377.3</v>
      </c>
      <c r="T1804" s="10" t="s">
        <v>349</v>
      </c>
      <c r="U1804" s="15" t="s">
        <v>327</v>
      </c>
    </row>
    <row r="1805" spans="1:21">
      <c r="A1805" s="15" t="s">
        <v>671</v>
      </c>
      <c r="B1805" s="16">
        <v>45667</v>
      </c>
      <c r="C1805" s="16">
        <v>45643</v>
      </c>
      <c r="D1805" s="15" t="s">
        <v>311</v>
      </c>
      <c r="E1805" s="15" t="s">
        <v>312</v>
      </c>
      <c r="G1805" s="15" t="s">
        <v>665</v>
      </c>
      <c r="H1805" s="15" t="s">
        <v>669</v>
      </c>
      <c r="I1805" s="15" t="s">
        <v>670</v>
      </c>
      <c r="J1805" s="8" t="str">
        <f>+LEFT(U1805,4)</f>
        <v>INM-</v>
      </c>
      <c r="K1805" s="15" t="s">
        <v>10</v>
      </c>
      <c r="L1805" s="46">
        <v>75</v>
      </c>
      <c r="M1805" s="15" t="s">
        <v>186</v>
      </c>
      <c r="N1805" s="15" t="s">
        <v>11</v>
      </c>
      <c r="O1805" s="49">
        <v>110.17700000000001</v>
      </c>
      <c r="P1805" s="9">
        <f>ROUND(O1805*L1805,2)</f>
        <v>8263.2800000000007</v>
      </c>
      <c r="Q1805" s="10">
        <f>IF(N1805="HKD",7.8,IF(N1805="CNY",7.30034,1))</f>
        <v>7.3003400000000003</v>
      </c>
      <c r="R1805" s="10">
        <f>+ROUND(O1805/Q1805,4)</f>
        <v>15.092000000000001</v>
      </c>
      <c r="S1805" s="11">
        <f>ROUND(R1805*L1805,2)</f>
        <v>1131.9000000000001</v>
      </c>
      <c r="T1805" s="10" t="s">
        <v>349</v>
      </c>
      <c r="U1805" s="15" t="s">
        <v>327</v>
      </c>
    </row>
    <row r="1806" spans="1:21">
      <c r="A1806" s="15" t="s">
        <v>661</v>
      </c>
      <c r="B1806" s="16">
        <v>45667</v>
      </c>
      <c r="C1806" s="16">
        <v>45651</v>
      </c>
      <c r="D1806" s="15" t="s">
        <v>311</v>
      </c>
      <c r="E1806" s="15" t="s">
        <v>312</v>
      </c>
      <c r="G1806" s="15" t="s">
        <v>658</v>
      </c>
      <c r="H1806" s="15" t="s">
        <v>659</v>
      </c>
      <c r="I1806" s="15" t="s">
        <v>660</v>
      </c>
      <c r="J1806" s="8" t="str">
        <f>+LEFT(U1806,4)</f>
        <v>INM-</v>
      </c>
      <c r="K1806" s="15" t="s">
        <v>10</v>
      </c>
      <c r="L1806" s="46">
        <v>25</v>
      </c>
      <c r="M1806" s="15" t="s">
        <v>186</v>
      </c>
      <c r="N1806" s="15" t="s">
        <v>11</v>
      </c>
      <c r="O1806" s="49">
        <v>197.3451</v>
      </c>
      <c r="P1806" s="9">
        <f>ROUND(O1806*L1806,2)</f>
        <v>4933.63</v>
      </c>
      <c r="Q1806" s="10">
        <f>IF(N1806="HKD",7.8,IF(N1806="CNY",7.30034,1))</f>
        <v>7.3003400000000003</v>
      </c>
      <c r="R1806" s="10">
        <f>+ROUND(O1806/Q1806,4)</f>
        <v>27.032299999999999</v>
      </c>
      <c r="S1806" s="11">
        <f>ROUND(R1806*L1806,2)</f>
        <v>675.81</v>
      </c>
      <c r="T1806" s="10" t="s">
        <v>349</v>
      </c>
      <c r="U1806" s="15" t="s">
        <v>327</v>
      </c>
    </row>
    <row r="1807" spans="1:21">
      <c r="A1807" s="15" t="s">
        <v>657</v>
      </c>
      <c r="B1807" s="16">
        <v>45667</v>
      </c>
      <c r="C1807" s="16">
        <v>45651</v>
      </c>
      <c r="D1807" s="15" t="s">
        <v>311</v>
      </c>
      <c r="E1807" s="15" t="s">
        <v>312</v>
      </c>
      <c r="G1807" s="15" t="s">
        <v>658</v>
      </c>
      <c r="H1807" s="15" t="s">
        <v>655</v>
      </c>
      <c r="I1807" s="15" t="s">
        <v>656</v>
      </c>
      <c r="J1807" s="8" t="str">
        <f>+LEFT(U1807,4)</f>
        <v>INM-</v>
      </c>
      <c r="K1807" s="15" t="s">
        <v>10</v>
      </c>
      <c r="L1807" s="46">
        <v>25</v>
      </c>
      <c r="M1807" s="15" t="s">
        <v>186</v>
      </c>
      <c r="N1807" s="15" t="s">
        <v>11</v>
      </c>
      <c r="O1807" s="49">
        <v>197.3451</v>
      </c>
      <c r="P1807" s="9">
        <f>ROUND(O1807*L1807,2)</f>
        <v>4933.63</v>
      </c>
      <c r="Q1807" s="10">
        <f>IF(N1807="HKD",7.8,IF(N1807="CNY",7.30034,1))</f>
        <v>7.3003400000000003</v>
      </c>
      <c r="R1807" s="10">
        <f>+ROUND(O1807/Q1807,4)</f>
        <v>27.032299999999999</v>
      </c>
      <c r="S1807" s="11">
        <f>ROUND(R1807*L1807,2)</f>
        <v>675.81</v>
      </c>
      <c r="T1807" s="10" t="s">
        <v>349</v>
      </c>
      <c r="U1807" s="15" t="s">
        <v>327</v>
      </c>
    </row>
    <row r="1808" spans="1:21">
      <c r="A1808" s="15" t="s">
        <v>687</v>
      </c>
      <c r="B1808" s="16">
        <v>45667</v>
      </c>
      <c r="C1808" s="16">
        <v>45653</v>
      </c>
      <c r="D1808" s="15" t="s">
        <v>252</v>
      </c>
      <c r="E1808" s="15" t="s">
        <v>253</v>
      </c>
      <c r="G1808" s="15" t="s">
        <v>681</v>
      </c>
      <c r="H1808" s="15" t="s">
        <v>685</v>
      </c>
      <c r="I1808" s="15" t="s">
        <v>686</v>
      </c>
      <c r="J1808" s="8" t="s">
        <v>1527</v>
      </c>
      <c r="K1808" s="15" t="s">
        <v>10</v>
      </c>
      <c r="L1808" s="46">
        <v>1000</v>
      </c>
      <c r="M1808" s="15" t="s">
        <v>1472</v>
      </c>
      <c r="N1808" s="15" t="s">
        <v>11</v>
      </c>
      <c r="O1808" s="49">
        <v>1.31</v>
      </c>
      <c r="P1808" s="9">
        <f>ROUND(O1808*L1808,2)</f>
        <v>1310</v>
      </c>
      <c r="Q1808" s="10">
        <f>IF(N1808="HKD",7.8,IF(N1808="CNY",7.30034,1))</f>
        <v>7.3003400000000003</v>
      </c>
      <c r="R1808" s="10">
        <f>+ROUND(O1808/Q1808,4)</f>
        <v>0.1794</v>
      </c>
      <c r="S1808" s="11">
        <f>ROUND(R1808*L1808,2)</f>
        <v>179.4</v>
      </c>
      <c r="T1808" s="10" t="s">
        <v>349</v>
      </c>
      <c r="U1808" s="15" t="s">
        <v>36</v>
      </c>
    </row>
    <row r="1809" spans="1:21">
      <c r="A1809" s="15" t="s">
        <v>684</v>
      </c>
      <c r="B1809" s="16">
        <v>45667</v>
      </c>
      <c r="C1809" s="16">
        <v>45653</v>
      </c>
      <c r="D1809" s="15" t="s">
        <v>252</v>
      </c>
      <c r="E1809" s="15" t="s">
        <v>253</v>
      </c>
      <c r="G1809" s="15" t="s">
        <v>681</v>
      </c>
      <c r="H1809" s="15" t="s">
        <v>682</v>
      </c>
      <c r="I1809" s="15" t="s">
        <v>683</v>
      </c>
      <c r="J1809" s="8" t="s">
        <v>1527</v>
      </c>
      <c r="K1809" s="15" t="s">
        <v>10</v>
      </c>
      <c r="L1809" s="46">
        <v>1000</v>
      </c>
      <c r="M1809" s="15" t="s">
        <v>1472</v>
      </c>
      <c r="N1809" s="15" t="s">
        <v>11</v>
      </c>
      <c r="O1809" s="49">
        <v>1.38</v>
      </c>
      <c r="P1809" s="9">
        <f>ROUND(O1809*L1809,2)</f>
        <v>1380</v>
      </c>
      <c r="Q1809" s="10">
        <f>IF(N1809="HKD",7.8,IF(N1809="CNY",7.30034,1))</f>
        <v>7.3003400000000003</v>
      </c>
      <c r="R1809" s="10">
        <f>+ROUND(O1809/Q1809,4)</f>
        <v>0.189</v>
      </c>
      <c r="S1809" s="11">
        <f>ROUND(R1809*L1809,2)</f>
        <v>189</v>
      </c>
      <c r="T1809" s="10" t="s">
        <v>349</v>
      </c>
      <c r="U1809" s="15" t="s">
        <v>36</v>
      </c>
    </row>
    <row r="1810" spans="1:21">
      <c r="A1810" s="15" t="s">
        <v>680</v>
      </c>
      <c r="B1810" s="16">
        <v>45667</v>
      </c>
      <c r="C1810" s="16">
        <v>45653</v>
      </c>
      <c r="D1810" s="15" t="s">
        <v>252</v>
      </c>
      <c r="E1810" s="15" t="s">
        <v>253</v>
      </c>
      <c r="G1810" s="15" t="s">
        <v>681</v>
      </c>
      <c r="H1810" s="15" t="s">
        <v>678</v>
      </c>
      <c r="I1810" s="15" t="s">
        <v>679</v>
      </c>
      <c r="J1810" s="8" t="s">
        <v>1527</v>
      </c>
      <c r="K1810" s="15" t="s">
        <v>10</v>
      </c>
      <c r="L1810" s="46">
        <v>1000</v>
      </c>
      <c r="M1810" s="15" t="s">
        <v>1472</v>
      </c>
      <c r="N1810" s="15" t="s">
        <v>11</v>
      </c>
      <c r="O1810" s="49">
        <v>1.38</v>
      </c>
      <c r="P1810" s="9">
        <f>ROUND(O1810*L1810,2)</f>
        <v>1380</v>
      </c>
      <c r="Q1810" s="10">
        <f>IF(N1810="HKD",7.8,IF(N1810="CNY",7.30034,1))</f>
        <v>7.3003400000000003</v>
      </c>
      <c r="R1810" s="10">
        <f>+ROUND(O1810/Q1810,4)</f>
        <v>0.189</v>
      </c>
      <c r="S1810" s="11">
        <f>ROUND(R1810*L1810,2)</f>
        <v>189</v>
      </c>
      <c r="T1810" s="10" t="s">
        <v>349</v>
      </c>
      <c r="U1810" s="15" t="s">
        <v>36</v>
      </c>
    </row>
    <row r="1811" spans="1:21">
      <c r="A1811" s="15" t="s">
        <v>690</v>
      </c>
      <c r="B1811" s="16">
        <v>45667</v>
      </c>
      <c r="C1811" s="16">
        <v>45638</v>
      </c>
      <c r="D1811" s="15" t="s">
        <v>252</v>
      </c>
      <c r="E1811" s="15" t="s">
        <v>253</v>
      </c>
      <c r="G1811" s="15" t="s">
        <v>681</v>
      </c>
      <c r="H1811" s="15" t="s">
        <v>688</v>
      </c>
      <c r="I1811" s="15" t="s">
        <v>689</v>
      </c>
      <c r="J1811" s="8" t="s">
        <v>1527</v>
      </c>
      <c r="K1811" s="15" t="s">
        <v>10</v>
      </c>
      <c r="L1811" s="46">
        <v>5400</v>
      </c>
      <c r="M1811" s="15" t="s">
        <v>1472</v>
      </c>
      <c r="N1811" s="15" t="s">
        <v>11</v>
      </c>
      <c r="O1811" s="49">
        <v>0.873</v>
      </c>
      <c r="P1811" s="9">
        <f>ROUND(O1811*L1811,2)</f>
        <v>4714.2</v>
      </c>
      <c r="Q1811" s="10">
        <f>IF(N1811="HKD",7.8,IF(N1811="CNY",7.30034,1))</f>
        <v>7.3003400000000003</v>
      </c>
      <c r="R1811" s="10">
        <f>+ROUND(O1811/Q1811,4)</f>
        <v>0.1196</v>
      </c>
      <c r="S1811" s="11">
        <f>ROUND(R1811*L1811,2)</f>
        <v>645.84</v>
      </c>
      <c r="T1811" s="10" t="s">
        <v>349</v>
      </c>
      <c r="U1811" s="15" t="s">
        <v>36</v>
      </c>
    </row>
    <row r="1812" spans="1:21">
      <c r="A1812" s="15" t="s">
        <v>737</v>
      </c>
      <c r="B1812" s="16">
        <v>45667</v>
      </c>
      <c r="C1812" s="16">
        <v>45653</v>
      </c>
      <c r="D1812" s="15" t="s">
        <v>709</v>
      </c>
      <c r="E1812" s="15" t="s">
        <v>710</v>
      </c>
      <c r="G1812" s="15" t="s">
        <v>712</v>
      </c>
      <c r="H1812" s="15" t="s">
        <v>735</v>
      </c>
      <c r="I1812" s="15" t="s">
        <v>736</v>
      </c>
      <c r="J1812" s="8" t="str">
        <f>+LEFT(U1812,4)</f>
        <v>KNOB</v>
      </c>
      <c r="K1812" s="15" t="s">
        <v>10</v>
      </c>
      <c r="L1812" s="46">
        <v>750</v>
      </c>
      <c r="M1812" s="15" t="s">
        <v>1472</v>
      </c>
      <c r="N1812" s="15" t="s">
        <v>11</v>
      </c>
      <c r="O1812" s="49">
        <v>0.39329999999999998</v>
      </c>
      <c r="P1812" s="9">
        <f>ROUND(O1812*L1812,2)</f>
        <v>294.98</v>
      </c>
      <c r="Q1812" s="10">
        <f>IF(N1812="HKD",7.8,IF(N1812="CNY",7.30034,1))</f>
        <v>7.3003400000000003</v>
      </c>
      <c r="R1812" s="10">
        <f>+ROUND(O1812/Q1812,4)</f>
        <v>5.3900000000000003E-2</v>
      </c>
      <c r="S1812" s="11">
        <f>ROUND(R1812*L1812,2)</f>
        <v>40.43</v>
      </c>
      <c r="T1812" s="10" t="s">
        <v>349</v>
      </c>
      <c r="U1812" s="15" t="s">
        <v>32</v>
      </c>
    </row>
    <row r="1813" spans="1:21">
      <c r="A1813" s="15" t="s">
        <v>728</v>
      </c>
      <c r="B1813" s="16">
        <v>45667</v>
      </c>
      <c r="C1813" s="16">
        <v>45646</v>
      </c>
      <c r="D1813" s="15" t="s">
        <v>709</v>
      </c>
      <c r="E1813" s="15" t="s">
        <v>710</v>
      </c>
      <c r="G1813" s="15" t="s">
        <v>712</v>
      </c>
      <c r="H1813" s="15" t="s">
        <v>726</v>
      </c>
      <c r="I1813" s="15" t="s">
        <v>727</v>
      </c>
      <c r="J1813" s="8" t="str">
        <f>+LEFT(U1813,4)</f>
        <v>KNOB</v>
      </c>
      <c r="K1813" s="15" t="s">
        <v>10</v>
      </c>
      <c r="L1813" s="46">
        <v>6750</v>
      </c>
      <c r="M1813" s="15" t="s">
        <v>1472</v>
      </c>
      <c r="N1813" s="15" t="s">
        <v>11</v>
      </c>
      <c r="O1813" s="49">
        <v>0.54969999999999997</v>
      </c>
      <c r="P1813" s="9">
        <f>ROUND(O1813*L1813,2)</f>
        <v>3710.48</v>
      </c>
      <c r="Q1813" s="10">
        <f>IF(N1813="HKD",7.8,IF(N1813="CNY",7.30034,1))</f>
        <v>7.3003400000000003</v>
      </c>
      <c r="R1813" s="10">
        <f>+ROUND(O1813/Q1813,4)</f>
        <v>7.5300000000000006E-2</v>
      </c>
      <c r="S1813" s="11">
        <f>ROUND(R1813*L1813,2)</f>
        <v>508.28</v>
      </c>
      <c r="T1813" s="10" t="s">
        <v>349</v>
      </c>
      <c r="U1813" s="15" t="s">
        <v>32</v>
      </c>
    </row>
    <row r="1814" spans="1:21">
      <c r="A1814" s="15" t="s">
        <v>715</v>
      </c>
      <c r="B1814" s="16">
        <v>45667</v>
      </c>
      <c r="C1814" s="16">
        <v>45659</v>
      </c>
      <c r="D1814" s="15" t="s">
        <v>709</v>
      </c>
      <c r="E1814" s="15" t="s">
        <v>710</v>
      </c>
      <c r="G1814" s="15" t="s">
        <v>712</v>
      </c>
      <c r="H1814" s="15" t="s">
        <v>713</v>
      </c>
      <c r="I1814" s="15" t="s">
        <v>714</v>
      </c>
      <c r="J1814" s="8" t="str">
        <f>+LEFT(U1814,4)</f>
        <v>KNOB</v>
      </c>
      <c r="K1814" s="15" t="s">
        <v>10</v>
      </c>
      <c r="L1814" s="46">
        <v>500</v>
      </c>
      <c r="M1814" s="15" t="s">
        <v>1472</v>
      </c>
      <c r="N1814" s="15" t="s">
        <v>11</v>
      </c>
      <c r="O1814" s="49">
        <v>0.63100000000000001</v>
      </c>
      <c r="P1814" s="9">
        <f>ROUND(O1814*L1814,2)</f>
        <v>315.5</v>
      </c>
      <c r="Q1814" s="10">
        <f>IF(N1814="HKD",7.8,IF(N1814="CNY",7.30034,1))</f>
        <v>7.3003400000000003</v>
      </c>
      <c r="R1814" s="10">
        <f>+ROUND(O1814/Q1814,4)</f>
        <v>8.6400000000000005E-2</v>
      </c>
      <c r="S1814" s="11">
        <f>ROUND(R1814*L1814,2)</f>
        <v>43.2</v>
      </c>
      <c r="T1814" s="10" t="s">
        <v>349</v>
      </c>
      <c r="U1814" s="15" t="s">
        <v>32</v>
      </c>
    </row>
    <row r="1815" spans="1:21">
      <c r="A1815" s="15" t="s">
        <v>718</v>
      </c>
      <c r="B1815" s="16">
        <v>45667</v>
      </c>
      <c r="C1815" s="16">
        <v>45659</v>
      </c>
      <c r="D1815" s="15" t="s">
        <v>709</v>
      </c>
      <c r="E1815" s="15" t="s">
        <v>710</v>
      </c>
      <c r="G1815" s="15" t="s">
        <v>712</v>
      </c>
      <c r="H1815" s="15" t="s">
        <v>716</v>
      </c>
      <c r="I1815" s="15" t="s">
        <v>717</v>
      </c>
      <c r="J1815" s="8" t="str">
        <f>+LEFT(U1815,4)</f>
        <v>KNOB</v>
      </c>
      <c r="K1815" s="15" t="s">
        <v>10</v>
      </c>
      <c r="L1815" s="46">
        <v>500</v>
      </c>
      <c r="M1815" s="15" t="s">
        <v>1472</v>
      </c>
      <c r="N1815" s="15" t="s">
        <v>11</v>
      </c>
      <c r="O1815" s="49">
        <v>0.86950000000000005</v>
      </c>
      <c r="P1815" s="9">
        <f>ROUND(O1815*L1815,2)</f>
        <v>434.75</v>
      </c>
      <c r="Q1815" s="10">
        <f>IF(N1815="HKD",7.8,IF(N1815="CNY",7.30034,1))</f>
        <v>7.3003400000000003</v>
      </c>
      <c r="R1815" s="10">
        <f>+ROUND(O1815/Q1815,4)</f>
        <v>0.1191</v>
      </c>
      <c r="S1815" s="11">
        <f>ROUND(R1815*L1815,2)</f>
        <v>59.55</v>
      </c>
      <c r="T1815" s="10" t="s">
        <v>349</v>
      </c>
      <c r="U1815" s="15" t="s">
        <v>32</v>
      </c>
    </row>
    <row r="1816" spans="1:21">
      <c r="A1816" s="15" t="s">
        <v>740</v>
      </c>
      <c r="B1816" s="16">
        <v>45667</v>
      </c>
      <c r="C1816" s="16">
        <v>45650</v>
      </c>
      <c r="D1816" s="15" t="s">
        <v>709</v>
      </c>
      <c r="E1816" s="15" t="s">
        <v>710</v>
      </c>
      <c r="G1816" s="15" t="s">
        <v>712</v>
      </c>
      <c r="H1816" s="15" t="s">
        <v>738</v>
      </c>
      <c r="I1816" s="15" t="s">
        <v>739</v>
      </c>
      <c r="J1816" s="8" t="str">
        <f>+LEFT(U1816,4)</f>
        <v>KNOB</v>
      </c>
      <c r="K1816" s="15" t="s">
        <v>10</v>
      </c>
      <c r="L1816" s="46">
        <v>510</v>
      </c>
      <c r="M1816" s="15" t="s">
        <v>1472</v>
      </c>
      <c r="N1816" s="15" t="s">
        <v>11</v>
      </c>
      <c r="O1816" s="49">
        <v>1.0463</v>
      </c>
      <c r="P1816" s="9">
        <f>ROUND(O1816*L1816,2)</f>
        <v>533.61</v>
      </c>
      <c r="Q1816" s="10">
        <f>IF(N1816="HKD",7.8,IF(N1816="CNY",7.30034,1))</f>
        <v>7.3003400000000003</v>
      </c>
      <c r="R1816" s="10">
        <f>+ROUND(O1816/Q1816,4)</f>
        <v>0.14330000000000001</v>
      </c>
      <c r="S1816" s="11">
        <f>ROUND(R1816*L1816,2)</f>
        <v>73.08</v>
      </c>
      <c r="T1816" s="10" t="s">
        <v>349</v>
      </c>
      <c r="U1816" s="15" t="s">
        <v>32</v>
      </c>
    </row>
    <row r="1817" spans="1:21">
      <c r="A1817" s="15" t="s">
        <v>249</v>
      </c>
      <c r="B1817" s="16">
        <v>45667</v>
      </c>
      <c r="C1817" s="16">
        <v>45639</v>
      </c>
      <c r="D1817" s="15" t="s">
        <v>143</v>
      </c>
      <c r="E1817" s="15" t="s">
        <v>144</v>
      </c>
      <c r="G1817" s="15" t="s">
        <v>691</v>
      </c>
      <c r="H1817" s="15" t="s">
        <v>141</v>
      </c>
      <c r="I1817" s="15" t="s">
        <v>142</v>
      </c>
      <c r="J1817" s="8" t="str">
        <f>+LEFT(U1817,4)</f>
        <v>KNOB</v>
      </c>
      <c r="K1817" s="15" t="s">
        <v>10</v>
      </c>
      <c r="L1817" s="46">
        <v>7840</v>
      </c>
      <c r="M1817" s="15" t="s">
        <v>1472</v>
      </c>
      <c r="N1817" s="15" t="s">
        <v>11</v>
      </c>
      <c r="O1817" s="49">
        <v>5.0999999999999996</v>
      </c>
      <c r="P1817" s="9">
        <f>ROUND(O1817*L1817,2)</f>
        <v>39984</v>
      </c>
      <c r="Q1817" s="10">
        <f>IF(N1817="HKD",7.8,IF(N1817="CNY",7.30034,1))</f>
        <v>7.3003400000000003</v>
      </c>
      <c r="R1817" s="10">
        <f>+ROUND(O1817/Q1817,4)</f>
        <v>0.6986</v>
      </c>
      <c r="S1817" s="11">
        <f>ROUND(R1817*L1817,2)</f>
        <v>5477.02</v>
      </c>
      <c r="T1817" s="10" t="s">
        <v>349</v>
      </c>
      <c r="U1817" s="15" t="s">
        <v>32</v>
      </c>
    </row>
    <row r="1818" spans="1:21">
      <c r="A1818" s="15" t="s">
        <v>698</v>
      </c>
      <c r="B1818" s="16">
        <v>45667</v>
      </c>
      <c r="C1818" s="16">
        <v>45595</v>
      </c>
      <c r="D1818" s="15" t="s">
        <v>696</v>
      </c>
      <c r="E1818" s="15" t="s">
        <v>697</v>
      </c>
      <c r="G1818" s="15" t="s">
        <v>699</v>
      </c>
      <c r="H1818" s="15" t="s">
        <v>694</v>
      </c>
      <c r="I1818" s="15" t="s">
        <v>695</v>
      </c>
      <c r="J1818" s="8" t="s">
        <v>1536</v>
      </c>
      <c r="K1818" s="15" t="s">
        <v>10</v>
      </c>
      <c r="L1818" s="46">
        <v>200</v>
      </c>
      <c r="M1818" s="15" t="s">
        <v>1472</v>
      </c>
      <c r="N1818" s="15" t="s">
        <v>11</v>
      </c>
      <c r="O1818" s="49">
        <v>5.49</v>
      </c>
      <c r="P1818" s="9">
        <f>ROUND(O1818*L1818,2)</f>
        <v>1098</v>
      </c>
      <c r="Q1818" s="10">
        <f>IF(N1818="HKD",7.8,IF(N1818="CNY",7.30034,1))</f>
        <v>7.3003400000000003</v>
      </c>
      <c r="R1818" s="10">
        <f>+ROUND(O1818/Q1818,4)</f>
        <v>0.752</v>
      </c>
      <c r="S1818" s="11">
        <f>ROUND(R1818*L1818,2)</f>
        <v>150.4</v>
      </c>
      <c r="T1818" s="10" t="s">
        <v>349</v>
      </c>
      <c r="U1818" s="15" t="s">
        <v>36</v>
      </c>
    </row>
    <row r="1819" spans="1:21">
      <c r="A1819" s="15" t="s">
        <v>702</v>
      </c>
      <c r="B1819" s="16">
        <v>45667</v>
      </c>
      <c r="C1819" s="16">
        <v>45610</v>
      </c>
      <c r="D1819" s="15" t="s">
        <v>696</v>
      </c>
      <c r="E1819" s="15" t="s">
        <v>697</v>
      </c>
      <c r="G1819" s="15" t="s">
        <v>699</v>
      </c>
      <c r="H1819" s="15" t="s">
        <v>700</v>
      </c>
      <c r="I1819" s="15" t="s">
        <v>701</v>
      </c>
      <c r="J1819" s="8" t="s">
        <v>1536</v>
      </c>
      <c r="K1819" s="15" t="s">
        <v>10</v>
      </c>
      <c r="L1819" s="46">
        <v>470</v>
      </c>
      <c r="M1819" s="15" t="s">
        <v>1472</v>
      </c>
      <c r="N1819" s="15" t="s">
        <v>11</v>
      </c>
      <c r="O1819" s="49">
        <v>6.01</v>
      </c>
      <c r="P1819" s="9">
        <f>ROUND(O1819*L1819,2)</f>
        <v>2824.7</v>
      </c>
      <c r="Q1819" s="10">
        <f>IF(N1819="HKD",7.8,IF(N1819="CNY",7.30034,1))</f>
        <v>7.3003400000000003</v>
      </c>
      <c r="R1819" s="10">
        <f>+ROUND(O1819/Q1819,4)</f>
        <v>0.82320000000000004</v>
      </c>
      <c r="S1819" s="11">
        <f>ROUND(R1819*L1819,2)</f>
        <v>386.9</v>
      </c>
      <c r="T1819" s="10" t="s">
        <v>349</v>
      </c>
      <c r="U1819" s="15" t="s">
        <v>36</v>
      </c>
    </row>
    <row r="1820" spans="1:21">
      <c r="A1820" s="15" t="s">
        <v>725</v>
      </c>
      <c r="B1820" s="16">
        <v>45667</v>
      </c>
      <c r="C1820" s="16">
        <v>45646</v>
      </c>
      <c r="D1820" s="15" t="s">
        <v>709</v>
      </c>
      <c r="E1820" s="15" t="s">
        <v>710</v>
      </c>
      <c r="G1820" s="15" t="s">
        <v>712</v>
      </c>
      <c r="H1820" s="15" t="s">
        <v>723</v>
      </c>
      <c r="I1820" s="15" t="s">
        <v>724</v>
      </c>
      <c r="J1820" s="8" t="str">
        <f>+LEFT(U1820,4)</f>
        <v>SHDL</v>
      </c>
      <c r="K1820" s="15" t="s">
        <v>10</v>
      </c>
      <c r="L1820" s="46">
        <v>2000</v>
      </c>
      <c r="M1820" s="15" t="s">
        <v>1472</v>
      </c>
      <c r="N1820" s="15" t="s">
        <v>11</v>
      </c>
      <c r="O1820" s="49">
        <v>1.6517999999999999</v>
      </c>
      <c r="P1820" s="9">
        <f>ROUND(O1820*L1820,2)</f>
        <v>3303.6</v>
      </c>
      <c r="Q1820" s="10">
        <f>IF(N1820="HKD",7.8,IF(N1820="CNY",7.30034,1))</f>
        <v>7.3003400000000003</v>
      </c>
      <c r="R1820" s="10">
        <f>+ROUND(O1820/Q1820,4)</f>
        <v>0.2263</v>
      </c>
      <c r="S1820" s="11">
        <f>ROUND(R1820*L1820,2)</f>
        <v>452.6</v>
      </c>
      <c r="T1820" s="10" t="s">
        <v>349</v>
      </c>
      <c r="U1820" s="15" t="s">
        <v>722</v>
      </c>
    </row>
    <row r="1821" spans="1:21">
      <c r="A1821" s="15" t="s">
        <v>721</v>
      </c>
      <c r="B1821" s="16">
        <v>45667</v>
      </c>
      <c r="C1821" s="16">
        <v>45646</v>
      </c>
      <c r="D1821" s="15" t="s">
        <v>709</v>
      </c>
      <c r="E1821" s="15" t="s">
        <v>710</v>
      </c>
      <c r="G1821" s="15" t="s">
        <v>712</v>
      </c>
      <c r="H1821" s="15" t="s">
        <v>719</v>
      </c>
      <c r="I1821" s="15" t="s">
        <v>720</v>
      </c>
      <c r="J1821" s="8" t="str">
        <f>+LEFT(U1821,4)</f>
        <v>SHDL</v>
      </c>
      <c r="K1821" s="15" t="s">
        <v>10</v>
      </c>
      <c r="L1821" s="46">
        <v>2050</v>
      </c>
      <c r="M1821" s="15" t="s">
        <v>1472</v>
      </c>
      <c r="N1821" s="15" t="s">
        <v>11</v>
      </c>
      <c r="O1821" s="49">
        <v>1.8811</v>
      </c>
      <c r="P1821" s="9">
        <f>ROUND(O1821*L1821,2)</f>
        <v>3856.26</v>
      </c>
      <c r="Q1821" s="10">
        <f>IF(N1821="HKD",7.8,IF(N1821="CNY",7.30034,1))</f>
        <v>7.3003400000000003</v>
      </c>
      <c r="R1821" s="10">
        <f>+ROUND(O1821/Q1821,4)</f>
        <v>0.25769999999999998</v>
      </c>
      <c r="S1821" s="11">
        <f>ROUND(R1821*L1821,2)</f>
        <v>528.29</v>
      </c>
      <c r="T1821" s="10" t="s">
        <v>349</v>
      </c>
      <c r="U1821" s="15" t="s">
        <v>722</v>
      </c>
    </row>
    <row r="1822" spans="1:21">
      <c r="A1822" s="15" t="s">
        <v>743</v>
      </c>
      <c r="B1822" s="16">
        <v>45667</v>
      </c>
      <c r="C1822" s="16">
        <v>45615</v>
      </c>
      <c r="D1822" s="15" t="s">
        <v>709</v>
      </c>
      <c r="E1822" s="15" t="s">
        <v>710</v>
      </c>
      <c r="G1822" s="15" t="s">
        <v>712</v>
      </c>
      <c r="H1822" s="15" t="s">
        <v>741</v>
      </c>
      <c r="I1822" s="15" t="s">
        <v>742</v>
      </c>
      <c r="J1822" s="8" t="str">
        <f>+LEFT(U1822,4)</f>
        <v>SHDL</v>
      </c>
      <c r="K1822" s="15" t="s">
        <v>10</v>
      </c>
      <c r="L1822" s="46">
        <v>3030</v>
      </c>
      <c r="M1822" s="15" t="s">
        <v>1472</v>
      </c>
      <c r="N1822" s="15" t="s">
        <v>11</v>
      </c>
      <c r="O1822" s="49">
        <v>3.5945999999999998</v>
      </c>
      <c r="P1822" s="9">
        <f>ROUND(O1822*L1822,2)</f>
        <v>10891.64</v>
      </c>
      <c r="Q1822" s="10">
        <f>IF(N1822="HKD",7.8,IF(N1822="CNY",7.30034,1))</f>
        <v>7.3003400000000003</v>
      </c>
      <c r="R1822" s="10">
        <f>+ROUND(O1822/Q1822,4)</f>
        <v>0.4924</v>
      </c>
      <c r="S1822" s="11">
        <f>ROUND(R1822*L1822,2)</f>
        <v>1491.97</v>
      </c>
      <c r="T1822" s="10" t="s">
        <v>349</v>
      </c>
      <c r="U1822" s="15" t="s">
        <v>722</v>
      </c>
    </row>
    <row r="1823" spans="1:21">
      <c r="A1823" s="15" t="s">
        <v>823</v>
      </c>
      <c r="B1823" s="16">
        <v>45666</v>
      </c>
      <c r="C1823" s="16">
        <v>45650</v>
      </c>
      <c r="D1823" s="15" t="s">
        <v>806</v>
      </c>
      <c r="E1823" s="15" t="s">
        <v>807</v>
      </c>
      <c r="G1823" s="15" t="s">
        <v>809</v>
      </c>
      <c r="H1823" s="15" t="s">
        <v>821</v>
      </c>
      <c r="I1823" s="15" t="s">
        <v>822</v>
      </c>
      <c r="J1823" s="8" t="str">
        <f>+LEFT(U1823,4)</f>
        <v>BAG-</v>
      </c>
      <c r="K1823" s="15" t="s">
        <v>10</v>
      </c>
      <c r="L1823" s="46">
        <v>5000</v>
      </c>
      <c r="M1823" s="15" t="s">
        <v>1472</v>
      </c>
      <c r="N1823" s="15" t="s">
        <v>11</v>
      </c>
      <c r="O1823" s="49">
        <v>0.08</v>
      </c>
      <c r="P1823" s="9">
        <f>ROUND(O1823*L1823,2)</f>
        <v>400</v>
      </c>
      <c r="Q1823" s="10">
        <f>IF(N1823="HKD",7.8,IF(N1823="CNY",7.30034,1))</f>
        <v>7.3003400000000003</v>
      </c>
      <c r="R1823" s="10">
        <f>+ROUND(O1823/Q1823,4)</f>
        <v>1.0999999999999999E-2</v>
      </c>
      <c r="S1823" s="11">
        <f>ROUND(R1823*L1823,2)</f>
        <v>55</v>
      </c>
      <c r="T1823" s="10" t="s">
        <v>349</v>
      </c>
      <c r="U1823" s="15" t="s">
        <v>810</v>
      </c>
    </row>
    <row r="1824" spans="1:21">
      <c r="A1824" s="15" t="s">
        <v>819</v>
      </c>
      <c r="B1824" s="16">
        <v>45666</v>
      </c>
      <c r="C1824" s="16">
        <v>45650</v>
      </c>
      <c r="D1824" s="15" t="s">
        <v>806</v>
      </c>
      <c r="E1824" s="15" t="s">
        <v>807</v>
      </c>
      <c r="G1824" s="15" t="s">
        <v>809</v>
      </c>
      <c r="H1824" s="15" t="s">
        <v>817</v>
      </c>
      <c r="I1824" s="15" t="s">
        <v>818</v>
      </c>
      <c r="J1824" s="8" t="str">
        <f>+LEFT(U1824,4)</f>
        <v>BAG-</v>
      </c>
      <c r="K1824" s="15" t="s">
        <v>10</v>
      </c>
      <c r="L1824" s="46">
        <v>5000</v>
      </c>
      <c r="M1824" s="15" t="s">
        <v>1472</v>
      </c>
      <c r="N1824" s="15" t="s">
        <v>11</v>
      </c>
      <c r="O1824" s="49">
        <v>8.5000000000000006E-2</v>
      </c>
      <c r="P1824" s="9">
        <f>ROUND(O1824*L1824,2)</f>
        <v>425</v>
      </c>
      <c r="Q1824" s="10">
        <f>IF(N1824="HKD",7.8,IF(N1824="CNY",7.30034,1))</f>
        <v>7.3003400000000003</v>
      </c>
      <c r="R1824" s="10">
        <f>+ROUND(O1824/Q1824,4)</f>
        <v>1.1599999999999999E-2</v>
      </c>
      <c r="S1824" s="11">
        <f>ROUND(R1824*L1824,2)</f>
        <v>58</v>
      </c>
      <c r="T1824" s="10" t="s">
        <v>349</v>
      </c>
      <c r="U1824" s="15" t="s">
        <v>810</v>
      </c>
    </row>
    <row r="1825" spans="1:21">
      <c r="A1825" s="15" t="s">
        <v>808</v>
      </c>
      <c r="B1825" s="16">
        <v>45666</v>
      </c>
      <c r="C1825" s="16">
        <v>45650</v>
      </c>
      <c r="D1825" s="15" t="s">
        <v>806</v>
      </c>
      <c r="E1825" s="15" t="s">
        <v>807</v>
      </c>
      <c r="G1825" s="15" t="s">
        <v>809</v>
      </c>
      <c r="H1825" s="15" t="s">
        <v>804</v>
      </c>
      <c r="I1825" s="15" t="s">
        <v>805</v>
      </c>
      <c r="J1825" s="8" t="str">
        <f>+LEFT(U1825,4)</f>
        <v>BAG-</v>
      </c>
      <c r="K1825" s="15" t="s">
        <v>10</v>
      </c>
      <c r="L1825" s="46">
        <v>7000</v>
      </c>
      <c r="M1825" s="15" t="s">
        <v>1472</v>
      </c>
      <c r="N1825" s="15" t="s">
        <v>11</v>
      </c>
      <c r="O1825" s="49">
        <v>0.152</v>
      </c>
      <c r="P1825" s="9">
        <f>ROUND(O1825*L1825,2)</f>
        <v>1064</v>
      </c>
      <c r="Q1825" s="10">
        <f>IF(N1825="HKD",7.8,IF(N1825="CNY",7.30034,1))</f>
        <v>7.3003400000000003</v>
      </c>
      <c r="R1825" s="10">
        <f>+ROUND(O1825/Q1825,4)</f>
        <v>2.0799999999999999E-2</v>
      </c>
      <c r="S1825" s="11">
        <f>ROUND(R1825*L1825,2)</f>
        <v>145.6</v>
      </c>
      <c r="T1825" s="10" t="s">
        <v>349</v>
      </c>
      <c r="U1825" s="15" t="s">
        <v>810</v>
      </c>
    </row>
    <row r="1826" spans="1:21">
      <c r="A1826" s="15" t="s">
        <v>826</v>
      </c>
      <c r="B1826" s="16">
        <v>45666</v>
      </c>
      <c r="C1826" s="16">
        <v>45660</v>
      </c>
      <c r="D1826" s="15" t="s">
        <v>21</v>
      </c>
      <c r="E1826" s="15" t="s">
        <v>22</v>
      </c>
      <c r="G1826" s="15" t="s">
        <v>827</v>
      </c>
      <c r="H1826" s="15" t="s">
        <v>824</v>
      </c>
      <c r="I1826" s="15" t="s">
        <v>825</v>
      </c>
      <c r="J1826" s="8" t="str">
        <f>+LEFT(U1826,4)</f>
        <v>BRKT</v>
      </c>
      <c r="K1826" s="15" t="s">
        <v>10</v>
      </c>
      <c r="L1826" s="46">
        <v>1500</v>
      </c>
      <c r="M1826" s="15" t="s">
        <v>1472</v>
      </c>
      <c r="N1826" s="15" t="s">
        <v>11</v>
      </c>
      <c r="O1826" s="49">
        <v>0.17269999999999999</v>
      </c>
      <c r="P1826" s="9">
        <f>ROUND(O1826*L1826,2)</f>
        <v>259.05</v>
      </c>
      <c r="Q1826" s="10">
        <f>IF(N1826="HKD",7.8,IF(N1826="CNY",7.30034,1))</f>
        <v>7.3003400000000003</v>
      </c>
      <c r="R1826" s="10">
        <f>+ROUND(O1826/Q1826,4)</f>
        <v>2.3699999999999999E-2</v>
      </c>
      <c r="S1826" s="11">
        <f>ROUND(R1826*L1826,2)</f>
        <v>35.549999999999997</v>
      </c>
      <c r="T1826" s="10" t="s">
        <v>349</v>
      </c>
      <c r="U1826" s="15" t="s">
        <v>442</v>
      </c>
    </row>
    <row r="1827" spans="1:21">
      <c r="A1827" s="15" t="s">
        <v>803</v>
      </c>
      <c r="B1827" s="16">
        <v>45666</v>
      </c>
      <c r="C1827" s="16">
        <v>45653</v>
      </c>
      <c r="D1827" s="15" t="s">
        <v>21</v>
      </c>
      <c r="E1827" s="15" t="s">
        <v>22</v>
      </c>
      <c r="G1827" s="15" t="s">
        <v>796</v>
      </c>
      <c r="H1827" s="15" t="s">
        <v>801</v>
      </c>
      <c r="I1827" s="15" t="s">
        <v>802</v>
      </c>
      <c r="J1827" s="8" t="str">
        <f>+LEFT(U1827,4)</f>
        <v>BRKT</v>
      </c>
      <c r="K1827" s="15" t="s">
        <v>10</v>
      </c>
      <c r="L1827" s="46">
        <v>970</v>
      </c>
      <c r="M1827" s="15" t="s">
        <v>1472</v>
      </c>
      <c r="N1827" s="15" t="s">
        <v>11</v>
      </c>
      <c r="O1827" s="49">
        <v>0.57579999999999998</v>
      </c>
      <c r="P1827" s="9">
        <f>ROUND(O1827*L1827,2)</f>
        <v>558.53</v>
      </c>
      <c r="Q1827" s="10">
        <f>IF(N1827="HKD",7.8,IF(N1827="CNY",7.30034,1))</f>
        <v>7.3003400000000003</v>
      </c>
      <c r="R1827" s="10">
        <f>+ROUND(O1827/Q1827,4)</f>
        <v>7.8899999999999998E-2</v>
      </c>
      <c r="S1827" s="11">
        <f>ROUND(R1827*L1827,2)</f>
        <v>76.53</v>
      </c>
      <c r="T1827" s="10" t="s">
        <v>349</v>
      </c>
      <c r="U1827" s="15" t="s">
        <v>442</v>
      </c>
    </row>
    <row r="1828" spans="1:21">
      <c r="A1828" s="15" t="s">
        <v>820</v>
      </c>
      <c r="B1828" s="16">
        <v>45666</v>
      </c>
      <c r="C1828" s="16">
        <v>45609</v>
      </c>
      <c r="D1828" s="15" t="s">
        <v>21</v>
      </c>
      <c r="E1828" s="15" t="s">
        <v>22</v>
      </c>
      <c r="G1828" s="15" t="s">
        <v>796</v>
      </c>
      <c r="H1828" s="15" t="s">
        <v>814</v>
      </c>
      <c r="I1828" s="15" t="s">
        <v>815</v>
      </c>
      <c r="J1828" s="8" t="str">
        <f>+LEFT(U1828,4)</f>
        <v>BRKT</v>
      </c>
      <c r="K1828" s="15" t="s">
        <v>10</v>
      </c>
      <c r="L1828" s="46">
        <v>520</v>
      </c>
      <c r="M1828" s="15" t="s">
        <v>1472</v>
      </c>
      <c r="N1828" s="15" t="s">
        <v>11</v>
      </c>
      <c r="O1828" s="49">
        <v>0.60570000000000002</v>
      </c>
      <c r="P1828" s="9">
        <f>ROUND(O1828*L1828,2)</f>
        <v>314.95999999999998</v>
      </c>
      <c r="Q1828" s="10">
        <f>IF(N1828="HKD",7.8,IF(N1828="CNY",7.30034,1))</f>
        <v>7.3003400000000003</v>
      </c>
      <c r="R1828" s="10">
        <f>+ROUND(O1828/Q1828,4)</f>
        <v>8.3000000000000004E-2</v>
      </c>
      <c r="S1828" s="11">
        <f>ROUND(R1828*L1828,2)</f>
        <v>43.16</v>
      </c>
      <c r="T1828" s="10" t="s">
        <v>349</v>
      </c>
      <c r="U1828" s="15" t="s">
        <v>442</v>
      </c>
    </row>
    <row r="1829" spans="1:21">
      <c r="A1829" s="15" t="s">
        <v>816</v>
      </c>
      <c r="B1829" s="16">
        <v>45666</v>
      </c>
      <c r="C1829" s="16">
        <v>45650</v>
      </c>
      <c r="D1829" s="15" t="s">
        <v>21</v>
      </c>
      <c r="E1829" s="15" t="s">
        <v>22</v>
      </c>
      <c r="G1829" s="15" t="s">
        <v>796</v>
      </c>
      <c r="H1829" s="15" t="s">
        <v>814</v>
      </c>
      <c r="I1829" s="15" t="s">
        <v>815</v>
      </c>
      <c r="J1829" s="8" t="str">
        <f>+LEFT(U1829,4)</f>
        <v>BRKT</v>
      </c>
      <c r="K1829" s="15" t="s">
        <v>10</v>
      </c>
      <c r="L1829" s="46">
        <v>510</v>
      </c>
      <c r="M1829" s="15" t="s">
        <v>1472</v>
      </c>
      <c r="N1829" s="15" t="s">
        <v>11</v>
      </c>
      <c r="O1829" s="49">
        <v>0.60570000000000002</v>
      </c>
      <c r="P1829" s="9">
        <f>ROUND(O1829*L1829,2)</f>
        <v>308.91000000000003</v>
      </c>
      <c r="Q1829" s="10">
        <f>IF(N1829="HKD",7.8,IF(N1829="CNY",7.30034,1))</f>
        <v>7.3003400000000003</v>
      </c>
      <c r="R1829" s="10">
        <f>+ROUND(O1829/Q1829,4)</f>
        <v>8.3000000000000004E-2</v>
      </c>
      <c r="S1829" s="11">
        <f>ROUND(R1829*L1829,2)</f>
        <v>42.33</v>
      </c>
      <c r="T1829" s="10" t="s">
        <v>349</v>
      </c>
      <c r="U1829" s="15" t="s">
        <v>442</v>
      </c>
    </row>
    <row r="1830" spans="1:21">
      <c r="A1830" s="15" t="s">
        <v>813</v>
      </c>
      <c r="B1830" s="16">
        <v>45666</v>
      </c>
      <c r="C1830" s="16">
        <v>45609</v>
      </c>
      <c r="D1830" s="15" t="s">
        <v>21</v>
      </c>
      <c r="E1830" s="15" t="s">
        <v>22</v>
      </c>
      <c r="G1830" s="15" t="s">
        <v>796</v>
      </c>
      <c r="H1830" s="15" t="s">
        <v>811</v>
      </c>
      <c r="I1830" s="15" t="s">
        <v>812</v>
      </c>
      <c r="J1830" s="8" t="str">
        <f>+LEFT(U1830,4)</f>
        <v>BRKT</v>
      </c>
      <c r="K1830" s="15" t="s">
        <v>10</v>
      </c>
      <c r="L1830" s="46">
        <v>1030</v>
      </c>
      <c r="M1830" s="15" t="s">
        <v>1472</v>
      </c>
      <c r="N1830" s="15" t="s">
        <v>11</v>
      </c>
      <c r="O1830" s="49">
        <v>0.66110000000000002</v>
      </c>
      <c r="P1830" s="9">
        <f>ROUND(O1830*L1830,2)</f>
        <v>680.93</v>
      </c>
      <c r="Q1830" s="10">
        <f>IF(N1830="HKD",7.8,IF(N1830="CNY",7.30034,1))</f>
        <v>7.3003400000000003</v>
      </c>
      <c r="R1830" s="10">
        <f>+ROUND(O1830/Q1830,4)</f>
        <v>9.06E-2</v>
      </c>
      <c r="S1830" s="11">
        <f>ROUND(R1830*L1830,2)</f>
        <v>93.32</v>
      </c>
      <c r="T1830" s="10" t="s">
        <v>349</v>
      </c>
      <c r="U1830" s="15" t="s">
        <v>442</v>
      </c>
    </row>
    <row r="1831" spans="1:21">
      <c r="A1831" s="15" t="s">
        <v>797</v>
      </c>
      <c r="B1831" s="16">
        <v>45666</v>
      </c>
      <c r="C1831" s="16">
        <v>45609</v>
      </c>
      <c r="D1831" s="15" t="s">
        <v>21</v>
      </c>
      <c r="E1831" s="15" t="s">
        <v>22</v>
      </c>
      <c r="G1831" s="15" t="s">
        <v>796</v>
      </c>
      <c r="H1831" s="15" t="s">
        <v>793</v>
      </c>
      <c r="I1831" s="15" t="s">
        <v>794</v>
      </c>
      <c r="J1831" s="8" t="str">
        <f>+LEFT(U1831,4)</f>
        <v>FG--</v>
      </c>
      <c r="K1831" s="15" t="s">
        <v>10</v>
      </c>
      <c r="L1831" s="46">
        <v>500</v>
      </c>
      <c r="M1831" s="15" t="s">
        <v>1472</v>
      </c>
      <c r="N1831" s="15" t="s">
        <v>11</v>
      </c>
      <c r="O1831" s="49">
        <v>0.62919999999999998</v>
      </c>
      <c r="P1831" s="9">
        <f>ROUND(O1831*L1831,2)</f>
        <v>314.60000000000002</v>
      </c>
      <c r="Q1831" s="10">
        <f>IF(N1831="HKD",7.8,IF(N1831="CNY",7.30034,1))</f>
        <v>7.3003400000000003</v>
      </c>
      <c r="R1831" s="10">
        <f>+ROUND(O1831/Q1831,4)</f>
        <v>8.6199999999999999E-2</v>
      </c>
      <c r="S1831" s="11">
        <f>ROUND(R1831*L1831,2)</f>
        <v>43.1</v>
      </c>
      <c r="T1831" s="10" t="s">
        <v>349</v>
      </c>
      <c r="U1831" s="15" t="s">
        <v>64</v>
      </c>
    </row>
    <row r="1832" spans="1:21">
      <c r="A1832" s="15" t="s">
        <v>795</v>
      </c>
      <c r="B1832" s="16">
        <v>45666</v>
      </c>
      <c r="C1832" s="16">
        <v>45650</v>
      </c>
      <c r="D1832" s="15" t="s">
        <v>21</v>
      </c>
      <c r="E1832" s="15" t="s">
        <v>22</v>
      </c>
      <c r="G1832" s="15" t="s">
        <v>796</v>
      </c>
      <c r="H1832" s="15" t="s">
        <v>793</v>
      </c>
      <c r="I1832" s="15" t="s">
        <v>794</v>
      </c>
      <c r="J1832" s="8" t="str">
        <f>+LEFT(U1832,4)</f>
        <v>FG--</v>
      </c>
      <c r="K1832" s="15" t="s">
        <v>10</v>
      </c>
      <c r="L1832" s="46">
        <v>520</v>
      </c>
      <c r="M1832" s="15" t="s">
        <v>1472</v>
      </c>
      <c r="N1832" s="15" t="s">
        <v>11</v>
      </c>
      <c r="O1832" s="49">
        <v>0.62919999999999998</v>
      </c>
      <c r="P1832" s="9">
        <f>ROUND(O1832*L1832,2)</f>
        <v>327.18</v>
      </c>
      <c r="Q1832" s="10">
        <f>IF(N1832="HKD",7.8,IF(N1832="CNY",7.30034,1))</f>
        <v>7.3003400000000003</v>
      </c>
      <c r="R1832" s="10">
        <f>+ROUND(O1832/Q1832,4)</f>
        <v>8.6199999999999999E-2</v>
      </c>
      <c r="S1832" s="11">
        <f>ROUND(R1832*L1832,2)</f>
        <v>44.82</v>
      </c>
      <c r="T1832" s="10" t="s">
        <v>349</v>
      </c>
      <c r="U1832" s="15" t="s">
        <v>64</v>
      </c>
    </row>
    <row r="1833" spans="1:21">
      <c r="A1833" s="15" t="s">
        <v>800</v>
      </c>
      <c r="B1833" s="16">
        <v>45666</v>
      </c>
      <c r="C1833" s="16">
        <v>45609</v>
      </c>
      <c r="D1833" s="15" t="s">
        <v>21</v>
      </c>
      <c r="E1833" s="15" t="s">
        <v>22</v>
      </c>
      <c r="G1833" s="15" t="s">
        <v>796</v>
      </c>
      <c r="H1833" s="15" t="s">
        <v>798</v>
      </c>
      <c r="I1833" s="15" t="s">
        <v>799</v>
      </c>
      <c r="J1833" s="8" t="str">
        <f>+LEFT(U1833,4)</f>
        <v>FG--</v>
      </c>
      <c r="K1833" s="15" t="s">
        <v>10</v>
      </c>
      <c r="L1833" s="46">
        <v>1040</v>
      </c>
      <c r="M1833" s="15" t="s">
        <v>1472</v>
      </c>
      <c r="N1833" s="15" t="s">
        <v>11</v>
      </c>
      <c r="O1833" s="49">
        <v>0.65839999999999999</v>
      </c>
      <c r="P1833" s="9">
        <f>ROUND(O1833*L1833,2)</f>
        <v>684.74</v>
      </c>
      <c r="Q1833" s="10">
        <f>IF(N1833="HKD",7.8,IF(N1833="CNY",7.30034,1))</f>
        <v>7.3003400000000003</v>
      </c>
      <c r="R1833" s="10">
        <f>+ROUND(O1833/Q1833,4)</f>
        <v>9.0200000000000002E-2</v>
      </c>
      <c r="S1833" s="11">
        <f>ROUND(R1833*L1833,2)</f>
        <v>93.81</v>
      </c>
      <c r="T1833" s="10" t="s">
        <v>349</v>
      </c>
      <c r="U1833" s="15" t="s">
        <v>64</v>
      </c>
    </row>
    <row r="1834" spans="1:21">
      <c r="A1834" s="15" t="s">
        <v>863</v>
      </c>
      <c r="B1834" s="16">
        <v>45666</v>
      </c>
      <c r="C1834" s="16">
        <v>45638</v>
      </c>
      <c r="D1834" s="15" t="s">
        <v>287</v>
      </c>
      <c r="E1834" s="15" t="s">
        <v>288</v>
      </c>
      <c r="G1834" s="15" t="s">
        <v>841</v>
      </c>
      <c r="H1834" s="15" t="s">
        <v>79</v>
      </c>
      <c r="I1834" s="15" t="s">
        <v>80</v>
      </c>
      <c r="J1834" s="8" t="s">
        <v>1478</v>
      </c>
      <c r="K1834" s="15" t="s">
        <v>10</v>
      </c>
      <c r="L1834" s="46">
        <v>518</v>
      </c>
      <c r="M1834" s="15" t="s">
        <v>1472</v>
      </c>
      <c r="N1834" s="15" t="s">
        <v>11</v>
      </c>
      <c r="O1834" s="49">
        <v>6.4610000000000003</v>
      </c>
      <c r="P1834" s="9">
        <f>ROUND(O1834*L1834,2)</f>
        <v>3346.8</v>
      </c>
      <c r="Q1834" s="10">
        <f>IF(N1834="HKD",7.8,IF(N1834="CNY",7.30034,1))</f>
        <v>7.3003400000000003</v>
      </c>
      <c r="R1834" s="10">
        <f>+ROUND(O1834/Q1834,4)</f>
        <v>0.88500000000000001</v>
      </c>
      <c r="S1834" s="11">
        <f>ROUND(R1834*L1834,2)</f>
        <v>458.43</v>
      </c>
      <c r="T1834" s="10" t="s">
        <v>349</v>
      </c>
      <c r="U1834" s="15" t="s">
        <v>36</v>
      </c>
    </row>
    <row r="1835" spans="1:21">
      <c r="A1835" s="15" t="s">
        <v>705</v>
      </c>
      <c r="B1835" s="16">
        <v>45666</v>
      </c>
      <c r="C1835" s="16">
        <v>45639</v>
      </c>
      <c r="D1835" s="15" t="s">
        <v>287</v>
      </c>
      <c r="E1835" s="15" t="s">
        <v>288</v>
      </c>
      <c r="G1835" s="15" t="s">
        <v>837</v>
      </c>
      <c r="H1835" s="15" t="s">
        <v>703</v>
      </c>
      <c r="I1835" s="15" t="s">
        <v>704</v>
      </c>
      <c r="J1835" s="8" t="s">
        <v>1478</v>
      </c>
      <c r="K1835" s="15" t="s">
        <v>10</v>
      </c>
      <c r="L1835" s="46">
        <v>314</v>
      </c>
      <c r="M1835" s="15" t="s">
        <v>1472</v>
      </c>
      <c r="N1835" s="15" t="s">
        <v>11</v>
      </c>
      <c r="O1835" s="49">
        <v>7.4237000000000002</v>
      </c>
      <c r="P1835" s="9">
        <f>ROUND(O1835*L1835,2)</f>
        <v>2331.04</v>
      </c>
      <c r="Q1835" s="10">
        <f>IF(N1835="HKD",7.8,IF(N1835="CNY",7.30034,1))</f>
        <v>7.3003400000000003</v>
      </c>
      <c r="R1835" s="10">
        <f>+ROUND(O1835/Q1835,4)</f>
        <v>1.0168999999999999</v>
      </c>
      <c r="S1835" s="11">
        <f>ROUND(R1835*L1835,2)</f>
        <v>319.31</v>
      </c>
      <c r="T1835" s="10" t="s">
        <v>349</v>
      </c>
      <c r="U1835" s="15" t="s">
        <v>36</v>
      </c>
    </row>
    <row r="1836" spans="1:21">
      <c r="A1836" s="15" t="s">
        <v>789</v>
      </c>
      <c r="B1836" s="16">
        <v>45666</v>
      </c>
      <c r="C1836" s="16">
        <v>45643</v>
      </c>
      <c r="D1836" s="15" t="s">
        <v>149</v>
      </c>
      <c r="E1836" s="15" t="s">
        <v>150</v>
      </c>
      <c r="G1836" s="15" t="s">
        <v>784</v>
      </c>
      <c r="H1836" s="15" t="s">
        <v>786</v>
      </c>
      <c r="I1836" s="15" t="s">
        <v>787</v>
      </c>
      <c r="J1836" s="8" t="str">
        <f>+LEFT(U1836,4)</f>
        <v>GLID</v>
      </c>
      <c r="K1836" s="15" t="s">
        <v>10</v>
      </c>
      <c r="L1836" s="46">
        <v>1200</v>
      </c>
      <c r="M1836" s="15" t="s">
        <v>1472</v>
      </c>
      <c r="N1836" s="15" t="s">
        <v>11</v>
      </c>
      <c r="O1836" s="49">
        <v>2.7494000000000001</v>
      </c>
      <c r="P1836" s="9">
        <f>ROUND(O1836*L1836,2)</f>
        <v>3299.28</v>
      </c>
      <c r="Q1836" s="10">
        <f>IF(N1836="HKD",7.8,IF(N1836="CNY",7.30034,1))</f>
        <v>7.3003400000000003</v>
      </c>
      <c r="R1836" s="10">
        <f>+ROUND(O1836/Q1836,4)</f>
        <v>0.37659999999999999</v>
      </c>
      <c r="S1836" s="11">
        <f>ROUND(R1836*L1836,2)</f>
        <v>451.92</v>
      </c>
      <c r="T1836" s="10" t="s">
        <v>349</v>
      </c>
      <c r="U1836" s="15" t="s">
        <v>78</v>
      </c>
    </row>
    <row r="1837" spans="1:21">
      <c r="A1837" s="15" t="s">
        <v>788</v>
      </c>
      <c r="B1837" s="16">
        <v>45666</v>
      </c>
      <c r="C1837" s="16">
        <v>45646</v>
      </c>
      <c r="D1837" s="15" t="s">
        <v>149</v>
      </c>
      <c r="E1837" s="15" t="s">
        <v>150</v>
      </c>
      <c r="G1837" s="15" t="s">
        <v>784</v>
      </c>
      <c r="H1837" s="15" t="s">
        <v>786</v>
      </c>
      <c r="I1837" s="15" t="s">
        <v>787</v>
      </c>
      <c r="J1837" s="8" t="str">
        <f>+LEFT(U1837,4)</f>
        <v>GLID</v>
      </c>
      <c r="K1837" s="15" t="s">
        <v>10</v>
      </c>
      <c r="L1837" s="46">
        <v>510</v>
      </c>
      <c r="M1837" s="15" t="s">
        <v>1472</v>
      </c>
      <c r="N1837" s="15" t="s">
        <v>11</v>
      </c>
      <c r="O1837" s="49">
        <v>2.7494000000000001</v>
      </c>
      <c r="P1837" s="9">
        <f>ROUND(O1837*L1837,2)</f>
        <v>1402.19</v>
      </c>
      <c r="Q1837" s="10">
        <f>IF(N1837="HKD",7.8,IF(N1837="CNY",7.30034,1))</f>
        <v>7.3003400000000003</v>
      </c>
      <c r="R1837" s="10">
        <f>+ROUND(O1837/Q1837,4)</f>
        <v>0.37659999999999999</v>
      </c>
      <c r="S1837" s="11">
        <f>ROUND(R1837*L1837,2)</f>
        <v>192.07</v>
      </c>
      <c r="T1837" s="10" t="s">
        <v>349</v>
      </c>
      <c r="U1837" s="15" t="s">
        <v>78</v>
      </c>
    </row>
    <row r="1838" spans="1:21">
      <c r="A1838" s="15" t="s">
        <v>785</v>
      </c>
      <c r="B1838" s="16">
        <v>45666</v>
      </c>
      <c r="C1838" s="16">
        <v>45609</v>
      </c>
      <c r="D1838" s="15" t="s">
        <v>149</v>
      </c>
      <c r="E1838" s="15" t="s">
        <v>150</v>
      </c>
      <c r="G1838" s="15" t="s">
        <v>784</v>
      </c>
      <c r="H1838" s="15" t="s">
        <v>781</v>
      </c>
      <c r="I1838" s="15" t="s">
        <v>782</v>
      </c>
      <c r="J1838" s="8" t="str">
        <f>+LEFT(U1838,4)</f>
        <v>GLID</v>
      </c>
      <c r="K1838" s="15" t="s">
        <v>10</v>
      </c>
      <c r="L1838" s="46">
        <v>530</v>
      </c>
      <c r="M1838" s="15" t="s">
        <v>1472</v>
      </c>
      <c r="N1838" s="15" t="s">
        <v>11</v>
      </c>
      <c r="O1838" s="49">
        <v>3.1166</v>
      </c>
      <c r="P1838" s="9">
        <f>ROUND(O1838*L1838,2)</f>
        <v>1651.8</v>
      </c>
      <c r="Q1838" s="10">
        <f>IF(N1838="HKD",7.8,IF(N1838="CNY",7.30034,1))</f>
        <v>7.3003400000000003</v>
      </c>
      <c r="R1838" s="10">
        <f>+ROUND(O1838/Q1838,4)</f>
        <v>0.4269</v>
      </c>
      <c r="S1838" s="11">
        <f>ROUND(R1838*L1838,2)</f>
        <v>226.26</v>
      </c>
      <c r="T1838" s="10" t="s">
        <v>349</v>
      </c>
      <c r="U1838" s="15" t="s">
        <v>78</v>
      </c>
    </row>
    <row r="1839" spans="1:21">
      <c r="A1839" s="15" t="s">
        <v>783</v>
      </c>
      <c r="B1839" s="16">
        <v>45666</v>
      </c>
      <c r="C1839" s="16">
        <v>45650</v>
      </c>
      <c r="D1839" s="15" t="s">
        <v>149</v>
      </c>
      <c r="E1839" s="15" t="s">
        <v>150</v>
      </c>
      <c r="G1839" s="15" t="s">
        <v>784</v>
      </c>
      <c r="H1839" s="15" t="s">
        <v>781</v>
      </c>
      <c r="I1839" s="15" t="s">
        <v>782</v>
      </c>
      <c r="J1839" s="8" t="str">
        <f>+LEFT(U1839,4)</f>
        <v>GLID</v>
      </c>
      <c r="K1839" s="15" t="s">
        <v>10</v>
      </c>
      <c r="L1839" s="46">
        <v>500</v>
      </c>
      <c r="M1839" s="15" t="s">
        <v>1472</v>
      </c>
      <c r="N1839" s="15" t="s">
        <v>11</v>
      </c>
      <c r="O1839" s="49">
        <v>3.1166</v>
      </c>
      <c r="P1839" s="9">
        <f>ROUND(O1839*L1839,2)</f>
        <v>1558.3</v>
      </c>
      <c r="Q1839" s="10">
        <f>IF(N1839="HKD",7.8,IF(N1839="CNY",7.30034,1))</f>
        <v>7.3003400000000003</v>
      </c>
      <c r="R1839" s="10">
        <f>+ROUND(O1839/Q1839,4)</f>
        <v>0.4269</v>
      </c>
      <c r="S1839" s="11">
        <f>ROUND(R1839*L1839,2)</f>
        <v>213.45</v>
      </c>
      <c r="T1839" s="10" t="s">
        <v>349</v>
      </c>
      <c r="U1839" s="15" t="s">
        <v>78</v>
      </c>
    </row>
    <row r="1840" spans="1:21">
      <c r="A1840" s="15" t="s">
        <v>907</v>
      </c>
      <c r="B1840" s="16">
        <v>45666</v>
      </c>
      <c r="C1840" s="16">
        <v>45614</v>
      </c>
      <c r="D1840" s="15" t="s">
        <v>898</v>
      </c>
      <c r="E1840" s="15" t="s">
        <v>899</v>
      </c>
      <c r="G1840" s="15" t="s">
        <v>901</v>
      </c>
      <c r="H1840" s="15" t="s">
        <v>905</v>
      </c>
      <c r="I1840" s="15" t="s">
        <v>906</v>
      </c>
      <c r="J1840" s="8" t="str">
        <f>+LEFT(U1840,4)</f>
        <v>GLID</v>
      </c>
      <c r="K1840" s="15" t="s">
        <v>10</v>
      </c>
      <c r="L1840" s="46">
        <v>1020</v>
      </c>
      <c r="M1840" s="15" t="s">
        <v>1472</v>
      </c>
      <c r="N1840" s="15" t="s">
        <v>11</v>
      </c>
      <c r="O1840" s="49">
        <v>3.5017</v>
      </c>
      <c r="P1840" s="9">
        <f>ROUND(O1840*L1840,2)</f>
        <v>3571.73</v>
      </c>
      <c r="Q1840" s="10">
        <f>IF(N1840="HKD",7.8,IF(N1840="CNY",7.30034,1))</f>
        <v>7.3003400000000003</v>
      </c>
      <c r="R1840" s="10">
        <f>+ROUND(O1840/Q1840,4)</f>
        <v>0.47970000000000002</v>
      </c>
      <c r="S1840" s="11">
        <f>ROUND(R1840*L1840,2)</f>
        <v>489.29</v>
      </c>
      <c r="T1840" s="10" t="s">
        <v>349</v>
      </c>
      <c r="U1840" s="15" t="s">
        <v>78</v>
      </c>
    </row>
    <row r="1841" spans="1:21">
      <c r="A1841" s="15" t="s">
        <v>792</v>
      </c>
      <c r="B1841" s="16">
        <v>45666</v>
      </c>
      <c r="C1841" s="16">
        <v>45629</v>
      </c>
      <c r="D1841" s="15" t="s">
        <v>149</v>
      </c>
      <c r="E1841" s="15" t="s">
        <v>150</v>
      </c>
      <c r="G1841" s="15" t="s">
        <v>784</v>
      </c>
      <c r="H1841" s="15" t="s">
        <v>790</v>
      </c>
      <c r="I1841" s="15" t="s">
        <v>791</v>
      </c>
      <c r="J1841" s="8" t="str">
        <f>+LEFT(U1841,4)</f>
        <v>GLID</v>
      </c>
      <c r="K1841" s="15" t="s">
        <v>10</v>
      </c>
      <c r="L1841" s="46">
        <v>20</v>
      </c>
      <c r="M1841" s="15" t="s">
        <v>1472</v>
      </c>
      <c r="N1841" s="15" t="s">
        <v>11</v>
      </c>
      <c r="O1841" s="49">
        <v>5.1580000000000004</v>
      </c>
      <c r="P1841" s="9">
        <f>ROUND(O1841*L1841,2)</f>
        <v>103.16</v>
      </c>
      <c r="Q1841" s="10">
        <f>IF(N1841="HKD",7.8,IF(N1841="CNY",7.30034,1))</f>
        <v>7.3003400000000003</v>
      </c>
      <c r="R1841" s="10">
        <f>+ROUND(O1841/Q1841,4)</f>
        <v>0.70650000000000002</v>
      </c>
      <c r="S1841" s="11">
        <f>ROUND(R1841*L1841,2)</f>
        <v>14.13</v>
      </c>
      <c r="T1841" s="10" t="s">
        <v>349</v>
      </c>
      <c r="U1841" s="15" t="s">
        <v>78</v>
      </c>
    </row>
    <row r="1842" spans="1:21">
      <c r="A1842" s="15" t="s">
        <v>862</v>
      </c>
      <c r="B1842" s="16">
        <v>45666</v>
      </c>
      <c r="C1842" s="16">
        <v>45638</v>
      </c>
      <c r="D1842" s="15" t="s">
        <v>287</v>
      </c>
      <c r="E1842" s="15" t="s">
        <v>288</v>
      </c>
      <c r="G1842" s="15" t="s">
        <v>841</v>
      </c>
      <c r="H1842" s="15" t="s">
        <v>860</v>
      </c>
      <c r="I1842" s="15" t="s">
        <v>861</v>
      </c>
      <c r="J1842" s="8" t="str">
        <f>+LEFT(U1842,4)</f>
        <v>GLID</v>
      </c>
      <c r="K1842" s="15" t="s">
        <v>10</v>
      </c>
      <c r="L1842" s="46">
        <v>175</v>
      </c>
      <c r="M1842" s="15" t="s">
        <v>1472</v>
      </c>
      <c r="N1842" s="15" t="s">
        <v>11</v>
      </c>
      <c r="O1842" s="49">
        <v>7.2716000000000003</v>
      </c>
      <c r="P1842" s="9">
        <f>ROUND(O1842*L1842,2)</f>
        <v>1272.53</v>
      </c>
      <c r="Q1842" s="10">
        <f>IF(N1842="HKD",7.8,IF(N1842="CNY",7.30034,1))</f>
        <v>7.3003400000000003</v>
      </c>
      <c r="R1842" s="10">
        <f>+ROUND(O1842/Q1842,4)</f>
        <v>0.99609999999999999</v>
      </c>
      <c r="S1842" s="11">
        <f>ROUND(R1842*L1842,2)</f>
        <v>174.32</v>
      </c>
      <c r="T1842" s="10" t="s">
        <v>349</v>
      </c>
      <c r="U1842" s="15" t="s">
        <v>78</v>
      </c>
    </row>
    <row r="1843" spans="1:21">
      <c r="A1843" s="15" t="s">
        <v>859</v>
      </c>
      <c r="B1843" s="16">
        <v>45666</v>
      </c>
      <c r="C1843" s="16">
        <v>45638</v>
      </c>
      <c r="D1843" s="15" t="s">
        <v>287</v>
      </c>
      <c r="E1843" s="15" t="s">
        <v>288</v>
      </c>
      <c r="G1843" s="15" t="s">
        <v>841</v>
      </c>
      <c r="H1843" s="15" t="s">
        <v>857</v>
      </c>
      <c r="I1843" s="15" t="s">
        <v>858</v>
      </c>
      <c r="J1843" s="8" t="str">
        <f>+LEFT(U1843,4)</f>
        <v>GLID</v>
      </c>
      <c r="K1843" s="15" t="s">
        <v>10</v>
      </c>
      <c r="L1843" s="46">
        <v>1040</v>
      </c>
      <c r="M1843" s="15" t="s">
        <v>1472</v>
      </c>
      <c r="N1843" s="15" t="s">
        <v>11</v>
      </c>
      <c r="O1843" s="49">
        <v>7.2716000000000003</v>
      </c>
      <c r="P1843" s="9">
        <f>ROUND(O1843*L1843,2)</f>
        <v>7562.46</v>
      </c>
      <c r="Q1843" s="10">
        <f>IF(N1843="HKD",7.8,IF(N1843="CNY",7.30034,1))</f>
        <v>7.3003400000000003</v>
      </c>
      <c r="R1843" s="10">
        <f>+ROUND(O1843/Q1843,4)</f>
        <v>0.99609999999999999</v>
      </c>
      <c r="S1843" s="11">
        <f>ROUND(R1843*L1843,2)</f>
        <v>1035.94</v>
      </c>
      <c r="T1843" s="10" t="s">
        <v>349</v>
      </c>
      <c r="U1843" s="15" t="s">
        <v>78</v>
      </c>
    </row>
    <row r="1844" spans="1:21">
      <c r="A1844" s="15" t="s">
        <v>856</v>
      </c>
      <c r="B1844" s="16">
        <v>45666</v>
      </c>
      <c r="C1844" s="16">
        <v>45638</v>
      </c>
      <c r="D1844" s="15" t="s">
        <v>287</v>
      </c>
      <c r="E1844" s="15" t="s">
        <v>288</v>
      </c>
      <c r="G1844" s="15" t="s">
        <v>841</v>
      </c>
      <c r="H1844" s="15" t="s">
        <v>854</v>
      </c>
      <c r="I1844" s="15" t="s">
        <v>855</v>
      </c>
      <c r="J1844" s="8" t="str">
        <f>+LEFT(U1844,4)</f>
        <v>GLID</v>
      </c>
      <c r="K1844" s="15" t="s">
        <v>10</v>
      </c>
      <c r="L1844" s="46">
        <v>340</v>
      </c>
      <c r="M1844" s="15" t="s">
        <v>1472</v>
      </c>
      <c r="N1844" s="15" t="s">
        <v>11</v>
      </c>
      <c r="O1844" s="49">
        <v>7.9870000000000001</v>
      </c>
      <c r="P1844" s="9">
        <f>ROUND(O1844*L1844,2)</f>
        <v>2715.58</v>
      </c>
      <c r="Q1844" s="10">
        <f>IF(N1844="HKD",7.8,IF(N1844="CNY",7.30034,1))</f>
        <v>7.3003400000000003</v>
      </c>
      <c r="R1844" s="10">
        <f>+ROUND(O1844/Q1844,4)</f>
        <v>1.0941000000000001</v>
      </c>
      <c r="S1844" s="11">
        <f>ROUND(R1844*L1844,2)</f>
        <v>371.99</v>
      </c>
      <c r="T1844" s="10" t="s">
        <v>349</v>
      </c>
      <c r="U1844" s="15" t="s">
        <v>78</v>
      </c>
    </row>
    <row r="1845" spans="1:21">
      <c r="A1845" s="15" t="s">
        <v>853</v>
      </c>
      <c r="B1845" s="16">
        <v>45666</v>
      </c>
      <c r="C1845" s="16">
        <v>45638</v>
      </c>
      <c r="D1845" s="15" t="s">
        <v>287</v>
      </c>
      <c r="E1845" s="15" t="s">
        <v>288</v>
      </c>
      <c r="G1845" s="15" t="s">
        <v>841</v>
      </c>
      <c r="H1845" s="15" t="s">
        <v>851</v>
      </c>
      <c r="I1845" s="15" t="s">
        <v>852</v>
      </c>
      <c r="J1845" s="8" t="str">
        <f>+LEFT(U1845,4)</f>
        <v>GLID</v>
      </c>
      <c r="K1845" s="15" t="s">
        <v>10</v>
      </c>
      <c r="L1845" s="46">
        <v>480</v>
      </c>
      <c r="M1845" s="15" t="s">
        <v>1472</v>
      </c>
      <c r="N1845" s="15" t="s">
        <v>11</v>
      </c>
      <c r="O1845" s="49">
        <v>7.9870000000000001</v>
      </c>
      <c r="P1845" s="9">
        <f>ROUND(O1845*L1845,2)</f>
        <v>3833.76</v>
      </c>
      <c r="Q1845" s="10">
        <f>IF(N1845="HKD",7.8,IF(N1845="CNY",7.30034,1))</f>
        <v>7.3003400000000003</v>
      </c>
      <c r="R1845" s="10">
        <f>+ROUND(O1845/Q1845,4)</f>
        <v>1.0941000000000001</v>
      </c>
      <c r="S1845" s="11">
        <f>ROUND(R1845*L1845,2)</f>
        <v>525.16999999999996</v>
      </c>
      <c r="T1845" s="10" t="s">
        <v>349</v>
      </c>
      <c r="U1845" s="15" t="s">
        <v>78</v>
      </c>
    </row>
    <row r="1846" spans="1:21">
      <c r="A1846" s="15" t="s">
        <v>850</v>
      </c>
      <c r="B1846" s="16">
        <v>45666</v>
      </c>
      <c r="C1846" s="16">
        <v>45638</v>
      </c>
      <c r="D1846" s="15" t="s">
        <v>287</v>
      </c>
      <c r="E1846" s="15" t="s">
        <v>288</v>
      </c>
      <c r="G1846" s="15" t="s">
        <v>841</v>
      </c>
      <c r="H1846" s="15" t="s">
        <v>848</v>
      </c>
      <c r="I1846" s="15" t="s">
        <v>849</v>
      </c>
      <c r="J1846" s="8" t="str">
        <f>+LEFT(U1846,4)</f>
        <v>GLID</v>
      </c>
      <c r="K1846" s="15" t="s">
        <v>10</v>
      </c>
      <c r="L1846" s="46">
        <v>409</v>
      </c>
      <c r="M1846" s="15" t="s">
        <v>1472</v>
      </c>
      <c r="N1846" s="15" t="s">
        <v>11</v>
      </c>
      <c r="O1846" s="49">
        <v>8.6631999999999998</v>
      </c>
      <c r="P1846" s="9">
        <f>ROUND(O1846*L1846,2)</f>
        <v>3543.25</v>
      </c>
      <c r="Q1846" s="10">
        <f>IF(N1846="HKD",7.8,IF(N1846="CNY",7.30034,1))</f>
        <v>7.3003400000000003</v>
      </c>
      <c r="R1846" s="10">
        <f>+ROUND(O1846/Q1846,4)</f>
        <v>1.1867000000000001</v>
      </c>
      <c r="S1846" s="11">
        <f>ROUND(R1846*L1846,2)</f>
        <v>485.36</v>
      </c>
      <c r="T1846" s="10" t="s">
        <v>349</v>
      </c>
      <c r="U1846" s="15" t="s">
        <v>78</v>
      </c>
    </row>
    <row r="1847" spans="1:21">
      <c r="A1847" s="15" t="s">
        <v>847</v>
      </c>
      <c r="B1847" s="16">
        <v>45666</v>
      </c>
      <c r="C1847" s="16">
        <v>45638</v>
      </c>
      <c r="D1847" s="15" t="s">
        <v>287</v>
      </c>
      <c r="E1847" s="15" t="s">
        <v>288</v>
      </c>
      <c r="G1847" s="15" t="s">
        <v>841</v>
      </c>
      <c r="H1847" s="15" t="s">
        <v>845</v>
      </c>
      <c r="I1847" s="15" t="s">
        <v>846</v>
      </c>
      <c r="J1847" s="8" t="str">
        <f>+LEFT(U1847,4)</f>
        <v>GLID</v>
      </c>
      <c r="K1847" s="15" t="s">
        <v>10</v>
      </c>
      <c r="L1847" s="46">
        <v>165</v>
      </c>
      <c r="M1847" s="15" t="s">
        <v>1472</v>
      </c>
      <c r="N1847" s="15" t="s">
        <v>11</v>
      </c>
      <c r="O1847" s="49">
        <v>8.6631999999999998</v>
      </c>
      <c r="P1847" s="9">
        <f>ROUND(O1847*L1847,2)</f>
        <v>1429.43</v>
      </c>
      <c r="Q1847" s="10">
        <f>IF(N1847="HKD",7.8,IF(N1847="CNY",7.30034,1))</f>
        <v>7.3003400000000003</v>
      </c>
      <c r="R1847" s="10">
        <f>+ROUND(O1847/Q1847,4)</f>
        <v>1.1867000000000001</v>
      </c>
      <c r="S1847" s="11">
        <f>ROUND(R1847*L1847,2)</f>
        <v>195.81</v>
      </c>
      <c r="T1847" s="10" t="s">
        <v>349</v>
      </c>
      <c r="U1847" s="15" t="s">
        <v>78</v>
      </c>
    </row>
    <row r="1848" spans="1:21">
      <c r="A1848" s="15" t="s">
        <v>844</v>
      </c>
      <c r="B1848" s="16">
        <v>45666</v>
      </c>
      <c r="C1848" s="16">
        <v>45638</v>
      </c>
      <c r="D1848" s="15" t="s">
        <v>287</v>
      </c>
      <c r="E1848" s="15" t="s">
        <v>288</v>
      </c>
      <c r="G1848" s="15" t="s">
        <v>841</v>
      </c>
      <c r="H1848" s="15" t="s">
        <v>842</v>
      </c>
      <c r="I1848" s="15" t="s">
        <v>843</v>
      </c>
      <c r="J1848" s="8" t="str">
        <f>+LEFT(U1848,4)</f>
        <v>GLID</v>
      </c>
      <c r="K1848" s="15" t="s">
        <v>10</v>
      </c>
      <c r="L1848" s="46">
        <v>400</v>
      </c>
      <c r="M1848" s="15" t="s">
        <v>1472</v>
      </c>
      <c r="N1848" s="15" t="s">
        <v>11</v>
      </c>
      <c r="O1848" s="49">
        <v>9.31</v>
      </c>
      <c r="P1848" s="9">
        <f>ROUND(O1848*L1848,2)</f>
        <v>3724</v>
      </c>
      <c r="Q1848" s="10">
        <f>IF(N1848="HKD",7.8,IF(N1848="CNY",7.30034,1))</f>
        <v>7.3003400000000003</v>
      </c>
      <c r="R1848" s="10">
        <f>+ROUND(O1848/Q1848,4)</f>
        <v>1.2753000000000001</v>
      </c>
      <c r="S1848" s="11">
        <f>ROUND(R1848*L1848,2)</f>
        <v>510.12</v>
      </c>
      <c r="T1848" s="10" t="s">
        <v>349</v>
      </c>
      <c r="U1848" s="15" t="s">
        <v>78</v>
      </c>
    </row>
    <row r="1849" spans="1:21">
      <c r="A1849" s="15" t="s">
        <v>840</v>
      </c>
      <c r="B1849" s="16">
        <v>45666</v>
      </c>
      <c r="C1849" s="16">
        <v>45638</v>
      </c>
      <c r="D1849" s="15" t="s">
        <v>287</v>
      </c>
      <c r="E1849" s="15" t="s">
        <v>288</v>
      </c>
      <c r="G1849" s="15" t="s">
        <v>841</v>
      </c>
      <c r="H1849" s="15" t="s">
        <v>838</v>
      </c>
      <c r="I1849" s="15" t="s">
        <v>839</v>
      </c>
      <c r="J1849" s="8" t="str">
        <f>+LEFT(U1849,4)</f>
        <v>GLID</v>
      </c>
      <c r="K1849" s="15" t="s">
        <v>10</v>
      </c>
      <c r="L1849" s="46">
        <v>200</v>
      </c>
      <c r="M1849" s="15" t="s">
        <v>1472</v>
      </c>
      <c r="N1849" s="15" t="s">
        <v>11</v>
      </c>
      <c r="O1849" s="49">
        <v>9.31</v>
      </c>
      <c r="P1849" s="9">
        <f>ROUND(O1849*L1849,2)</f>
        <v>1862</v>
      </c>
      <c r="Q1849" s="10">
        <f>IF(N1849="HKD",7.8,IF(N1849="CNY",7.30034,1))</f>
        <v>7.3003400000000003</v>
      </c>
      <c r="R1849" s="10">
        <f>+ROUND(O1849/Q1849,4)</f>
        <v>1.2753000000000001</v>
      </c>
      <c r="S1849" s="11">
        <f>ROUND(R1849*L1849,2)</f>
        <v>255.06</v>
      </c>
      <c r="T1849" s="10" t="s">
        <v>349</v>
      </c>
      <c r="U1849" s="15" t="s">
        <v>78</v>
      </c>
    </row>
    <row r="1850" spans="1:21">
      <c r="A1850" s="15" t="s">
        <v>904</v>
      </c>
      <c r="B1850" s="16">
        <v>45666</v>
      </c>
      <c r="C1850" s="16">
        <v>45609</v>
      </c>
      <c r="D1850" s="15" t="s">
        <v>898</v>
      </c>
      <c r="E1850" s="15" t="s">
        <v>899</v>
      </c>
      <c r="G1850" s="15" t="s">
        <v>901</v>
      </c>
      <c r="H1850" s="15" t="s">
        <v>902</v>
      </c>
      <c r="I1850" s="15" t="s">
        <v>903</v>
      </c>
      <c r="J1850" s="8" t="str">
        <f>+LEFT(U1850,4)</f>
        <v>GLID</v>
      </c>
      <c r="K1850" s="15" t="s">
        <v>10</v>
      </c>
      <c r="L1850" s="46">
        <v>4000</v>
      </c>
      <c r="M1850" s="15" t="s">
        <v>1472</v>
      </c>
      <c r="N1850" s="15" t="s">
        <v>11</v>
      </c>
      <c r="O1850" s="49">
        <v>10.7965</v>
      </c>
      <c r="P1850" s="9">
        <f>ROUND(O1850*L1850,2)</f>
        <v>43186</v>
      </c>
      <c r="Q1850" s="10">
        <f>IF(N1850="HKD",7.8,IF(N1850="CNY",7.30034,1))</f>
        <v>7.3003400000000003</v>
      </c>
      <c r="R1850" s="10">
        <f>+ROUND(O1850/Q1850,4)</f>
        <v>1.4789000000000001</v>
      </c>
      <c r="S1850" s="11">
        <f>ROUND(R1850*L1850,2)</f>
        <v>5915.6</v>
      </c>
      <c r="T1850" s="10" t="s">
        <v>349</v>
      </c>
      <c r="U1850" s="15" t="s">
        <v>78</v>
      </c>
    </row>
    <row r="1851" spans="1:21">
      <c r="A1851" s="15" t="s">
        <v>777</v>
      </c>
      <c r="B1851" s="16">
        <v>45666</v>
      </c>
      <c r="C1851" s="16">
        <v>45644</v>
      </c>
      <c r="D1851" s="15" t="s">
        <v>569</v>
      </c>
      <c r="E1851" s="15" t="s">
        <v>570</v>
      </c>
      <c r="G1851" s="15" t="s">
        <v>762</v>
      </c>
      <c r="H1851" s="15" t="s">
        <v>775</v>
      </c>
      <c r="I1851" s="15" t="s">
        <v>776</v>
      </c>
      <c r="J1851" s="8" t="str">
        <f>+LEFT(U1851,4)</f>
        <v>GLID</v>
      </c>
      <c r="K1851" s="15" t="s">
        <v>10</v>
      </c>
      <c r="L1851" s="46">
        <v>1560</v>
      </c>
      <c r="M1851" s="15" t="s">
        <v>1472</v>
      </c>
      <c r="N1851" s="15" t="s">
        <v>11</v>
      </c>
      <c r="O1851" s="49">
        <v>13.818</v>
      </c>
      <c r="P1851" s="9">
        <f>ROUND(O1851*L1851,2)</f>
        <v>21556.080000000002</v>
      </c>
      <c r="Q1851" s="10">
        <f>IF(N1851="HKD",7.8,IF(N1851="CNY",7.30034,1))</f>
        <v>7.3003400000000003</v>
      </c>
      <c r="R1851" s="10">
        <f>+ROUND(O1851/Q1851,4)</f>
        <v>1.8928</v>
      </c>
      <c r="S1851" s="11">
        <f>ROUND(R1851*L1851,2)</f>
        <v>2952.77</v>
      </c>
      <c r="T1851" s="10" t="s">
        <v>349</v>
      </c>
      <c r="U1851" s="15" t="s">
        <v>78</v>
      </c>
    </row>
    <row r="1852" spans="1:21">
      <c r="A1852" s="15" t="s">
        <v>778</v>
      </c>
      <c r="B1852" s="16">
        <v>45666</v>
      </c>
      <c r="C1852" s="16">
        <v>45639</v>
      </c>
      <c r="D1852" s="15" t="s">
        <v>569</v>
      </c>
      <c r="E1852" s="15" t="s">
        <v>570</v>
      </c>
      <c r="G1852" s="15" t="s">
        <v>762</v>
      </c>
      <c r="H1852" s="15" t="s">
        <v>775</v>
      </c>
      <c r="I1852" s="15" t="s">
        <v>776</v>
      </c>
      <c r="J1852" s="8" t="str">
        <f>+LEFT(U1852,4)</f>
        <v>GLID</v>
      </c>
      <c r="K1852" s="15" t="s">
        <v>10</v>
      </c>
      <c r="L1852" s="46">
        <v>1010</v>
      </c>
      <c r="M1852" s="15" t="s">
        <v>1472</v>
      </c>
      <c r="N1852" s="15" t="s">
        <v>11</v>
      </c>
      <c r="O1852" s="49">
        <v>14.1</v>
      </c>
      <c r="P1852" s="9">
        <f>ROUND(O1852*L1852,2)</f>
        <v>14241</v>
      </c>
      <c r="Q1852" s="10">
        <f>IF(N1852="HKD",7.8,IF(N1852="CNY",7.30034,1))</f>
        <v>7.3003400000000003</v>
      </c>
      <c r="R1852" s="10">
        <f>+ROUND(O1852/Q1852,4)</f>
        <v>1.9314</v>
      </c>
      <c r="S1852" s="11">
        <f>ROUND(R1852*L1852,2)</f>
        <v>1950.71</v>
      </c>
      <c r="T1852" s="10" t="s">
        <v>349</v>
      </c>
      <c r="U1852" s="15" t="s">
        <v>78</v>
      </c>
    </row>
    <row r="1853" spans="1:21">
      <c r="A1853" s="15" t="s">
        <v>900</v>
      </c>
      <c r="B1853" s="16">
        <v>45666</v>
      </c>
      <c r="C1853" s="16">
        <v>45639</v>
      </c>
      <c r="D1853" s="15" t="s">
        <v>898</v>
      </c>
      <c r="E1853" s="15" t="s">
        <v>899</v>
      </c>
      <c r="G1853" s="15" t="s">
        <v>901</v>
      </c>
      <c r="H1853" s="15" t="s">
        <v>896</v>
      </c>
      <c r="I1853" s="15" t="s">
        <v>897</v>
      </c>
      <c r="J1853" s="8" t="str">
        <f>+LEFT(U1853,4)</f>
        <v>GLID</v>
      </c>
      <c r="K1853" s="15" t="s">
        <v>10</v>
      </c>
      <c r="L1853" s="46">
        <v>1900</v>
      </c>
      <c r="M1853" s="15" t="s">
        <v>1472</v>
      </c>
      <c r="N1853" s="15" t="s">
        <v>11</v>
      </c>
      <c r="O1853" s="49">
        <v>16.5</v>
      </c>
      <c r="P1853" s="9">
        <f>ROUND(O1853*L1853,2)</f>
        <v>31350</v>
      </c>
      <c r="Q1853" s="10">
        <f>IF(N1853="HKD",7.8,IF(N1853="CNY",7.30034,1))</f>
        <v>7.3003400000000003</v>
      </c>
      <c r="R1853" s="10">
        <f>+ROUND(O1853/Q1853,4)</f>
        <v>2.2602000000000002</v>
      </c>
      <c r="S1853" s="11">
        <f>ROUND(R1853*L1853,2)</f>
        <v>4294.38</v>
      </c>
      <c r="T1853" s="10" t="s">
        <v>349</v>
      </c>
      <c r="U1853" s="15" t="s">
        <v>78</v>
      </c>
    </row>
    <row r="1854" spans="1:21">
      <c r="A1854" s="15" t="s">
        <v>868</v>
      </c>
      <c r="B1854" s="16">
        <v>45666</v>
      </c>
      <c r="C1854" s="16">
        <v>45309</v>
      </c>
      <c r="D1854" s="15" t="s">
        <v>866</v>
      </c>
      <c r="E1854" s="15" t="s">
        <v>867</v>
      </c>
      <c r="G1854" s="15" t="s">
        <v>869</v>
      </c>
      <c r="H1854" s="15" t="s">
        <v>864</v>
      </c>
      <c r="I1854" s="15" t="s">
        <v>865</v>
      </c>
      <c r="J1854" s="8" t="s">
        <v>1484</v>
      </c>
      <c r="K1854" s="15" t="s">
        <v>10</v>
      </c>
      <c r="L1854" s="46">
        <v>3120</v>
      </c>
      <c r="M1854" s="15" t="s">
        <v>1472</v>
      </c>
      <c r="N1854" s="15" t="s">
        <v>11</v>
      </c>
      <c r="O1854" s="49">
        <v>6.0212000000000003</v>
      </c>
      <c r="P1854" s="9">
        <f>ROUND(O1854*L1854,2)</f>
        <v>18786.14</v>
      </c>
      <c r="Q1854" s="10">
        <f>IF(N1854="HKD",7.8,IF(N1854="CNY",7.30034,1))</f>
        <v>7.3003400000000003</v>
      </c>
      <c r="R1854" s="10">
        <f>+ROUND(O1854/Q1854,4)</f>
        <v>0.82479999999999998</v>
      </c>
      <c r="S1854" s="11">
        <f>ROUND(R1854*L1854,2)</f>
        <v>2573.38</v>
      </c>
      <c r="T1854" s="10" t="s">
        <v>349</v>
      </c>
      <c r="U1854" s="15" t="s">
        <v>36</v>
      </c>
    </row>
    <row r="1855" spans="1:21">
      <c r="A1855" s="15" t="s">
        <v>876</v>
      </c>
      <c r="B1855" s="16">
        <v>45666</v>
      </c>
      <c r="C1855" s="16">
        <v>45287</v>
      </c>
      <c r="D1855" s="15" t="s">
        <v>866</v>
      </c>
      <c r="E1855" s="15" t="s">
        <v>867</v>
      </c>
      <c r="G1855" s="15" t="s">
        <v>873</v>
      </c>
      <c r="H1855" s="15" t="s">
        <v>874</v>
      </c>
      <c r="I1855" s="15" t="s">
        <v>875</v>
      </c>
      <c r="J1855" s="8" t="s">
        <v>1484</v>
      </c>
      <c r="K1855" s="15" t="s">
        <v>10</v>
      </c>
      <c r="L1855" s="46">
        <v>2000</v>
      </c>
      <c r="M1855" s="15" t="s">
        <v>1472</v>
      </c>
      <c r="N1855" s="15" t="s">
        <v>11</v>
      </c>
      <c r="O1855" s="49">
        <v>6.6637000000000004</v>
      </c>
      <c r="P1855" s="9">
        <f>ROUND(O1855*L1855,2)</f>
        <v>13327.4</v>
      </c>
      <c r="Q1855" s="10">
        <f>IF(N1855="HKD",7.8,IF(N1855="CNY",7.30034,1))</f>
        <v>7.3003400000000003</v>
      </c>
      <c r="R1855" s="10">
        <f>+ROUND(O1855/Q1855,4)</f>
        <v>0.91279999999999994</v>
      </c>
      <c r="S1855" s="11">
        <f>ROUND(R1855*L1855,2)</f>
        <v>1825.6</v>
      </c>
      <c r="T1855" s="10" t="s">
        <v>349</v>
      </c>
      <c r="U1855" s="15" t="s">
        <v>36</v>
      </c>
    </row>
    <row r="1856" spans="1:21">
      <c r="A1856" s="15" t="s">
        <v>882</v>
      </c>
      <c r="B1856" s="16">
        <v>45666</v>
      </c>
      <c r="C1856" s="16">
        <v>45287</v>
      </c>
      <c r="D1856" s="15" t="s">
        <v>866</v>
      </c>
      <c r="E1856" s="15" t="s">
        <v>867</v>
      </c>
      <c r="G1856" s="15" t="s">
        <v>873</v>
      </c>
      <c r="H1856" s="15" t="s">
        <v>880</v>
      </c>
      <c r="I1856" s="15" t="s">
        <v>881</v>
      </c>
      <c r="J1856" s="8" t="s">
        <v>1484</v>
      </c>
      <c r="K1856" s="15" t="s">
        <v>10</v>
      </c>
      <c r="L1856" s="46">
        <v>2000</v>
      </c>
      <c r="M1856" s="15" t="s">
        <v>1472</v>
      </c>
      <c r="N1856" s="15" t="s">
        <v>11</v>
      </c>
      <c r="O1856" s="49">
        <v>8.1858000000000004</v>
      </c>
      <c r="P1856" s="9">
        <f>ROUND(O1856*L1856,2)</f>
        <v>16371.6</v>
      </c>
      <c r="Q1856" s="10">
        <f>IF(N1856="HKD",7.8,IF(N1856="CNY",7.30034,1))</f>
        <v>7.3003400000000003</v>
      </c>
      <c r="R1856" s="10">
        <f>+ROUND(O1856/Q1856,4)</f>
        <v>1.1213</v>
      </c>
      <c r="S1856" s="11">
        <f>ROUND(R1856*L1856,2)</f>
        <v>2242.6</v>
      </c>
      <c r="T1856" s="10" t="s">
        <v>349</v>
      </c>
      <c r="U1856" s="15" t="s">
        <v>36</v>
      </c>
    </row>
    <row r="1857" spans="1:21">
      <c r="A1857" s="15" t="s">
        <v>872</v>
      </c>
      <c r="B1857" s="16">
        <v>45666</v>
      </c>
      <c r="C1857" s="16">
        <v>45287</v>
      </c>
      <c r="D1857" s="15" t="s">
        <v>866</v>
      </c>
      <c r="E1857" s="15" t="s">
        <v>867</v>
      </c>
      <c r="G1857" s="15" t="s">
        <v>873</v>
      </c>
      <c r="H1857" s="15" t="s">
        <v>870</v>
      </c>
      <c r="I1857" s="15" t="s">
        <v>871</v>
      </c>
      <c r="J1857" s="8" t="s">
        <v>1484</v>
      </c>
      <c r="K1857" s="15" t="s">
        <v>10</v>
      </c>
      <c r="L1857" s="46">
        <v>1760</v>
      </c>
      <c r="M1857" s="15" t="s">
        <v>1472</v>
      </c>
      <c r="N1857" s="15" t="s">
        <v>11</v>
      </c>
      <c r="O1857" s="49">
        <v>8.8053000000000008</v>
      </c>
      <c r="P1857" s="9">
        <f>ROUND(O1857*L1857,2)</f>
        <v>15497.33</v>
      </c>
      <c r="Q1857" s="10">
        <f>IF(N1857="HKD",7.8,IF(N1857="CNY",7.30034,1))</f>
        <v>7.3003400000000003</v>
      </c>
      <c r="R1857" s="10">
        <f>+ROUND(O1857/Q1857,4)</f>
        <v>1.2060999999999999</v>
      </c>
      <c r="S1857" s="11">
        <f>ROUND(R1857*L1857,2)</f>
        <v>2122.7399999999998</v>
      </c>
      <c r="T1857" s="10" t="s">
        <v>349</v>
      </c>
      <c r="U1857" s="15" t="s">
        <v>36</v>
      </c>
    </row>
    <row r="1858" spans="1:21">
      <c r="A1858" s="15" t="s">
        <v>879</v>
      </c>
      <c r="B1858" s="16">
        <v>45666</v>
      </c>
      <c r="C1858" s="16">
        <v>45287</v>
      </c>
      <c r="D1858" s="15" t="s">
        <v>866</v>
      </c>
      <c r="E1858" s="15" t="s">
        <v>867</v>
      </c>
      <c r="G1858" s="15" t="s">
        <v>873</v>
      </c>
      <c r="H1858" s="15" t="s">
        <v>877</v>
      </c>
      <c r="I1858" s="15" t="s">
        <v>878</v>
      </c>
      <c r="J1858" s="8" t="s">
        <v>1484</v>
      </c>
      <c r="K1858" s="15" t="s">
        <v>10</v>
      </c>
      <c r="L1858" s="46">
        <v>2004</v>
      </c>
      <c r="M1858" s="15" t="s">
        <v>1472</v>
      </c>
      <c r="N1858" s="15" t="s">
        <v>11</v>
      </c>
      <c r="O1858" s="49">
        <v>11.672599999999999</v>
      </c>
      <c r="P1858" s="9">
        <f>ROUND(O1858*L1858,2)</f>
        <v>23391.89</v>
      </c>
      <c r="Q1858" s="10">
        <f>IF(N1858="HKD",7.8,IF(N1858="CNY",7.30034,1))</f>
        <v>7.3003400000000003</v>
      </c>
      <c r="R1858" s="10">
        <f>+ROUND(O1858/Q1858,4)</f>
        <v>1.5989</v>
      </c>
      <c r="S1858" s="11">
        <f>ROUND(R1858*L1858,2)</f>
        <v>3204.2</v>
      </c>
      <c r="T1858" s="10" t="s">
        <v>349</v>
      </c>
      <c r="U1858" s="15" t="s">
        <v>36</v>
      </c>
    </row>
    <row r="1859" spans="1:21">
      <c r="A1859" s="15" t="s">
        <v>889</v>
      </c>
      <c r="B1859" s="16">
        <v>45666</v>
      </c>
      <c r="C1859" s="16">
        <v>45526</v>
      </c>
      <c r="D1859" s="15" t="s">
        <v>866</v>
      </c>
      <c r="E1859" s="15" t="s">
        <v>867</v>
      </c>
      <c r="G1859" s="15" t="s">
        <v>886</v>
      </c>
      <c r="H1859" s="15" t="s">
        <v>887</v>
      </c>
      <c r="I1859" s="15" t="s">
        <v>888</v>
      </c>
      <c r="J1859" s="8" t="s">
        <v>1484</v>
      </c>
      <c r="K1859" s="15" t="s">
        <v>10</v>
      </c>
      <c r="L1859" s="46">
        <v>10000</v>
      </c>
      <c r="M1859" s="15" t="s">
        <v>1472</v>
      </c>
      <c r="N1859" s="15" t="s">
        <v>11</v>
      </c>
      <c r="O1859" s="49">
        <v>9.2124000000000006</v>
      </c>
      <c r="P1859" s="9">
        <f>ROUND(O1859*L1859,2)</f>
        <v>92124</v>
      </c>
      <c r="Q1859" s="10">
        <f>IF(N1859="HKD",7.8,IF(N1859="CNY",7.30034,1))</f>
        <v>7.3003400000000003</v>
      </c>
      <c r="R1859" s="10">
        <f>+ROUND(O1859/Q1859,4)</f>
        <v>1.2619</v>
      </c>
      <c r="S1859" s="11">
        <f>ROUND(R1859*L1859,2)</f>
        <v>12619</v>
      </c>
      <c r="T1859" s="10" t="s">
        <v>349</v>
      </c>
      <c r="U1859" s="15" t="s">
        <v>36</v>
      </c>
    </row>
    <row r="1860" spans="1:21">
      <c r="A1860" s="15" t="s">
        <v>885</v>
      </c>
      <c r="B1860" s="16">
        <v>45666</v>
      </c>
      <c r="C1860" s="16">
        <v>45526</v>
      </c>
      <c r="D1860" s="15" t="s">
        <v>866</v>
      </c>
      <c r="E1860" s="15" t="s">
        <v>867</v>
      </c>
      <c r="G1860" s="15" t="s">
        <v>886</v>
      </c>
      <c r="H1860" s="15" t="s">
        <v>883</v>
      </c>
      <c r="I1860" s="15" t="s">
        <v>884</v>
      </c>
      <c r="J1860" s="8" t="s">
        <v>1484</v>
      </c>
      <c r="K1860" s="15" t="s">
        <v>10</v>
      </c>
      <c r="L1860" s="46">
        <v>9996</v>
      </c>
      <c r="M1860" s="15" t="s">
        <v>1472</v>
      </c>
      <c r="N1860" s="15" t="s">
        <v>11</v>
      </c>
      <c r="O1860" s="49">
        <v>9.7788000000000004</v>
      </c>
      <c r="P1860" s="9">
        <f>ROUND(O1860*L1860,2)</f>
        <v>97748.88</v>
      </c>
      <c r="Q1860" s="10">
        <f>IF(N1860="HKD",7.8,IF(N1860="CNY",7.30034,1))</f>
        <v>7.3003400000000003</v>
      </c>
      <c r="R1860" s="10">
        <f>+ROUND(O1860/Q1860,4)</f>
        <v>1.3394999999999999</v>
      </c>
      <c r="S1860" s="11">
        <f>ROUND(R1860*L1860,2)</f>
        <v>13389.64</v>
      </c>
      <c r="T1860" s="10" t="s">
        <v>349</v>
      </c>
      <c r="U1860" s="15" t="s">
        <v>36</v>
      </c>
    </row>
    <row r="1861" spans="1:21">
      <c r="A1861" s="15" t="s">
        <v>761</v>
      </c>
      <c r="B1861" s="16">
        <v>45666</v>
      </c>
      <c r="C1861" s="16">
        <v>45664</v>
      </c>
      <c r="D1861" s="15" t="s">
        <v>569</v>
      </c>
      <c r="E1861" s="15" t="s">
        <v>570</v>
      </c>
      <c r="G1861" s="15" t="s">
        <v>762</v>
      </c>
      <c r="H1861" s="15" t="s">
        <v>759</v>
      </c>
      <c r="I1861" s="15" t="s">
        <v>760</v>
      </c>
      <c r="J1861" s="8" t="s">
        <v>1505</v>
      </c>
      <c r="K1861" s="15" t="s">
        <v>10</v>
      </c>
      <c r="L1861" s="46">
        <v>300</v>
      </c>
      <c r="M1861" s="15" t="s">
        <v>1472</v>
      </c>
      <c r="N1861" s="15" t="s">
        <v>11</v>
      </c>
      <c r="O1861" s="49">
        <v>3.5</v>
      </c>
      <c r="P1861" s="9">
        <f>ROUND(O1861*L1861,2)</f>
        <v>1050</v>
      </c>
      <c r="Q1861" s="10">
        <f>IF(N1861="HKD",7.8,IF(N1861="CNY",7.30034,1))</f>
        <v>7.3003400000000003</v>
      </c>
      <c r="R1861" s="10">
        <f>+ROUND(O1861/Q1861,4)</f>
        <v>0.47939999999999999</v>
      </c>
      <c r="S1861" s="11">
        <f>ROUND(R1861*L1861,2)</f>
        <v>143.82</v>
      </c>
      <c r="T1861" s="10" t="s">
        <v>349</v>
      </c>
      <c r="U1861" s="15" t="s">
        <v>36</v>
      </c>
    </row>
    <row r="1862" spans="1:21">
      <c r="A1862" s="15" t="s">
        <v>771</v>
      </c>
      <c r="B1862" s="16">
        <v>45666</v>
      </c>
      <c r="C1862" s="16">
        <v>45650</v>
      </c>
      <c r="D1862" s="15" t="s">
        <v>569</v>
      </c>
      <c r="E1862" s="15" t="s">
        <v>570</v>
      </c>
      <c r="G1862" s="15" t="s">
        <v>762</v>
      </c>
      <c r="H1862" s="15" t="s">
        <v>769</v>
      </c>
      <c r="I1862" s="15" t="s">
        <v>770</v>
      </c>
      <c r="J1862" s="8" t="s">
        <v>1505</v>
      </c>
      <c r="K1862" s="15" t="s">
        <v>10</v>
      </c>
      <c r="L1862" s="46">
        <v>100</v>
      </c>
      <c r="M1862" s="15" t="s">
        <v>1472</v>
      </c>
      <c r="N1862" s="15" t="s">
        <v>11</v>
      </c>
      <c r="O1862" s="49">
        <v>4.9000000000000004</v>
      </c>
      <c r="P1862" s="9">
        <f>ROUND(O1862*L1862,2)</f>
        <v>490</v>
      </c>
      <c r="Q1862" s="10">
        <f>IF(N1862="HKD",7.8,IF(N1862="CNY",7.30034,1))</f>
        <v>7.3003400000000003</v>
      </c>
      <c r="R1862" s="10">
        <f>+ROUND(O1862/Q1862,4)</f>
        <v>0.67120000000000002</v>
      </c>
      <c r="S1862" s="11">
        <f>ROUND(R1862*L1862,2)</f>
        <v>67.12</v>
      </c>
      <c r="T1862" s="10" t="s">
        <v>349</v>
      </c>
      <c r="U1862" s="15" t="s">
        <v>36</v>
      </c>
    </row>
    <row r="1863" spans="1:21">
      <c r="A1863" s="15" t="s">
        <v>765</v>
      </c>
      <c r="B1863" s="16">
        <v>45666</v>
      </c>
      <c r="C1863" s="16">
        <v>45664</v>
      </c>
      <c r="D1863" s="15" t="s">
        <v>569</v>
      </c>
      <c r="E1863" s="15" t="s">
        <v>570</v>
      </c>
      <c r="G1863" s="15" t="s">
        <v>762</v>
      </c>
      <c r="H1863" s="15" t="s">
        <v>763</v>
      </c>
      <c r="I1863" s="15" t="s">
        <v>764</v>
      </c>
      <c r="J1863" s="8" t="s">
        <v>1505</v>
      </c>
      <c r="K1863" s="15" t="s">
        <v>10</v>
      </c>
      <c r="L1863" s="46">
        <v>300</v>
      </c>
      <c r="M1863" s="15" t="s">
        <v>1472</v>
      </c>
      <c r="N1863" s="15" t="s">
        <v>11</v>
      </c>
      <c r="O1863" s="49">
        <v>4.9000000000000004</v>
      </c>
      <c r="P1863" s="9">
        <f>ROUND(O1863*L1863,2)</f>
        <v>1470</v>
      </c>
      <c r="Q1863" s="10">
        <f>IF(N1863="HKD",7.8,IF(N1863="CNY",7.30034,1))</f>
        <v>7.3003400000000003</v>
      </c>
      <c r="R1863" s="10">
        <f>+ROUND(O1863/Q1863,4)</f>
        <v>0.67120000000000002</v>
      </c>
      <c r="S1863" s="11">
        <f>ROUND(R1863*L1863,2)</f>
        <v>201.36</v>
      </c>
      <c r="T1863" s="10" t="s">
        <v>349</v>
      </c>
      <c r="U1863" s="15" t="s">
        <v>36</v>
      </c>
    </row>
    <row r="1864" spans="1:21">
      <c r="A1864" s="15" t="s">
        <v>768</v>
      </c>
      <c r="B1864" s="16">
        <v>45666</v>
      </c>
      <c r="C1864" s="16">
        <v>45650</v>
      </c>
      <c r="D1864" s="15" t="s">
        <v>569</v>
      </c>
      <c r="E1864" s="15" t="s">
        <v>570</v>
      </c>
      <c r="G1864" s="15" t="s">
        <v>762</v>
      </c>
      <c r="H1864" s="15" t="s">
        <v>766</v>
      </c>
      <c r="I1864" s="15" t="s">
        <v>767</v>
      </c>
      <c r="J1864" s="8" t="s">
        <v>1505</v>
      </c>
      <c r="K1864" s="15" t="s">
        <v>10</v>
      </c>
      <c r="L1864" s="46">
        <v>700</v>
      </c>
      <c r="M1864" s="15" t="s">
        <v>1472</v>
      </c>
      <c r="N1864" s="15" t="s">
        <v>11</v>
      </c>
      <c r="O1864" s="49">
        <v>5.7</v>
      </c>
      <c r="P1864" s="9">
        <f>ROUND(O1864*L1864,2)</f>
        <v>3990</v>
      </c>
      <c r="Q1864" s="10">
        <f>IF(N1864="HKD",7.8,IF(N1864="CNY",7.30034,1))</f>
        <v>7.3003400000000003</v>
      </c>
      <c r="R1864" s="10">
        <f>+ROUND(O1864/Q1864,4)</f>
        <v>0.78080000000000005</v>
      </c>
      <c r="S1864" s="11">
        <f>ROUND(R1864*L1864,2)</f>
        <v>546.55999999999995</v>
      </c>
      <c r="T1864" s="10" t="s">
        <v>349</v>
      </c>
      <c r="U1864" s="15" t="s">
        <v>36</v>
      </c>
    </row>
    <row r="1865" spans="1:21">
      <c r="A1865" s="15" t="s">
        <v>892</v>
      </c>
      <c r="B1865" s="16">
        <v>45666</v>
      </c>
      <c r="C1865" s="16">
        <v>45650</v>
      </c>
      <c r="D1865" s="15" t="s">
        <v>696</v>
      </c>
      <c r="E1865" s="15" t="s">
        <v>697</v>
      </c>
      <c r="G1865" s="15" t="s">
        <v>893</v>
      </c>
      <c r="H1865" s="15" t="s">
        <v>890</v>
      </c>
      <c r="I1865" s="15" t="s">
        <v>891</v>
      </c>
      <c r="J1865" s="8" t="s">
        <v>1536</v>
      </c>
      <c r="K1865" s="15" t="s">
        <v>10</v>
      </c>
      <c r="L1865" s="46">
        <v>1000</v>
      </c>
      <c r="M1865" s="15" t="s">
        <v>1472</v>
      </c>
      <c r="N1865" s="15" t="s">
        <v>11</v>
      </c>
      <c r="O1865" s="49">
        <v>5</v>
      </c>
      <c r="P1865" s="9">
        <f>ROUND(O1865*L1865,2)</f>
        <v>5000</v>
      </c>
      <c r="Q1865" s="10">
        <f>IF(N1865="HKD",7.8,IF(N1865="CNY",7.30034,1))</f>
        <v>7.3003400000000003</v>
      </c>
      <c r="R1865" s="10">
        <f>+ROUND(O1865/Q1865,4)</f>
        <v>0.68489999999999995</v>
      </c>
      <c r="S1865" s="11">
        <f>ROUND(R1865*L1865,2)</f>
        <v>684.9</v>
      </c>
      <c r="T1865" s="10" t="s">
        <v>349</v>
      </c>
      <c r="U1865" s="15" t="s">
        <v>36</v>
      </c>
    </row>
    <row r="1866" spans="1:21">
      <c r="A1866" s="15" t="s">
        <v>698</v>
      </c>
      <c r="B1866" s="16">
        <v>45666</v>
      </c>
      <c r="C1866" s="16">
        <v>45595</v>
      </c>
      <c r="D1866" s="15" t="s">
        <v>696</v>
      </c>
      <c r="E1866" s="15" t="s">
        <v>697</v>
      </c>
      <c r="G1866" s="15" t="s">
        <v>758</v>
      </c>
      <c r="H1866" s="15" t="s">
        <v>694</v>
      </c>
      <c r="I1866" s="15" t="s">
        <v>695</v>
      </c>
      <c r="J1866" s="8" t="s">
        <v>1536</v>
      </c>
      <c r="K1866" s="15" t="s">
        <v>10</v>
      </c>
      <c r="L1866" s="46">
        <v>-200</v>
      </c>
      <c r="M1866" s="15" t="s">
        <v>1472</v>
      </c>
      <c r="N1866" s="15" t="s">
        <v>11</v>
      </c>
      <c r="O1866" s="49">
        <v>5.49</v>
      </c>
      <c r="P1866" s="9">
        <f>ROUND(O1866*L1866,2)</f>
        <v>-1098</v>
      </c>
      <c r="Q1866" s="10">
        <f>IF(N1866="HKD",7.8,IF(N1866="CNY",7.30034,1))</f>
        <v>7.3003400000000003</v>
      </c>
      <c r="R1866" s="10">
        <f>+ROUND(O1866/Q1866,4)</f>
        <v>0.752</v>
      </c>
      <c r="S1866" s="11">
        <f>ROUND(R1866*L1866,2)</f>
        <v>-150.4</v>
      </c>
      <c r="T1866" s="10" t="s">
        <v>349</v>
      </c>
      <c r="U1866" s="15" t="s">
        <v>36</v>
      </c>
    </row>
    <row r="1867" spans="1:21">
      <c r="A1867" s="15" t="s">
        <v>895</v>
      </c>
      <c r="B1867" s="16">
        <v>45666</v>
      </c>
      <c r="C1867" s="16">
        <v>45650</v>
      </c>
      <c r="D1867" s="15" t="s">
        <v>696</v>
      </c>
      <c r="E1867" s="15" t="s">
        <v>697</v>
      </c>
      <c r="G1867" s="15" t="s">
        <v>699</v>
      </c>
      <c r="H1867" s="15" t="s">
        <v>694</v>
      </c>
      <c r="I1867" s="15" t="s">
        <v>695</v>
      </c>
      <c r="J1867" s="8" t="s">
        <v>1536</v>
      </c>
      <c r="K1867" s="15" t="s">
        <v>10</v>
      </c>
      <c r="L1867" s="46">
        <v>1000</v>
      </c>
      <c r="M1867" s="15" t="s">
        <v>1472</v>
      </c>
      <c r="N1867" s="15" t="s">
        <v>11</v>
      </c>
      <c r="O1867" s="49">
        <v>5.49</v>
      </c>
      <c r="P1867" s="9">
        <f>ROUND(O1867*L1867,2)</f>
        <v>5490</v>
      </c>
      <c r="Q1867" s="10">
        <f>IF(N1867="HKD",7.8,IF(N1867="CNY",7.30034,1))</f>
        <v>7.3003400000000003</v>
      </c>
      <c r="R1867" s="10">
        <f>+ROUND(O1867/Q1867,4)</f>
        <v>0.752</v>
      </c>
      <c r="S1867" s="11">
        <f>ROUND(R1867*L1867,2)</f>
        <v>752</v>
      </c>
      <c r="T1867" s="10" t="s">
        <v>349</v>
      </c>
      <c r="U1867" s="15" t="s">
        <v>36</v>
      </c>
    </row>
    <row r="1868" spans="1:21">
      <c r="A1868" s="15" t="s">
        <v>702</v>
      </c>
      <c r="B1868" s="16">
        <v>45666</v>
      </c>
      <c r="C1868" s="16">
        <v>45610</v>
      </c>
      <c r="D1868" s="15" t="s">
        <v>696</v>
      </c>
      <c r="E1868" s="15" t="s">
        <v>697</v>
      </c>
      <c r="G1868" s="15" t="s">
        <v>758</v>
      </c>
      <c r="H1868" s="15" t="s">
        <v>700</v>
      </c>
      <c r="I1868" s="15" t="s">
        <v>701</v>
      </c>
      <c r="J1868" s="8" t="s">
        <v>1536</v>
      </c>
      <c r="K1868" s="15" t="s">
        <v>10</v>
      </c>
      <c r="L1868" s="46">
        <v>-470</v>
      </c>
      <c r="M1868" s="15" t="s">
        <v>1472</v>
      </c>
      <c r="N1868" s="15" t="s">
        <v>11</v>
      </c>
      <c r="O1868" s="49">
        <v>6.01</v>
      </c>
      <c r="P1868" s="9">
        <f>ROUND(O1868*L1868,2)</f>
        <v>-2824.7</v>
      </c>
      <c r="Q1868" s="10">
        <f>IF(N1868="HKD",7.8,IF(N1868="CNY",7.30034,1))</f>
        <v>7.3003400000000003</v>
      </c>
      <c r="R1868" s="10">
        <f>+ROUND(O1868/Q1868,4)</f>
        <v>0.82320000000000004</v>
      </c>
      <c r="S1868" s="11">
        <f>ROUND(R1868*L1868,2)</f>
        <v>-386.9</v>
      </c>
      <c r="T1868" s="10" t="s">
        <v>349</v>
      </c>
      <c r="U1868" s="15" t="s">
        <v>36</v>
      </c>
    </row>
    <row r="1869" spans="1:21">
      <c r="A1869" s="15" t="s">
        <v>894</v>
      </c>
      <c r="B1869" s="16">
        <v>45666</v>
      </c>
      <c r="C1869" s="16">
        <v>45653</v>
      </c>
      <c r="D1869" s="15" t="s">
        <v>696</v>
      </c>
      <c r="E1869" s="15" t="s">
        <v>697</v>
      </c>
      <c r="G1869" s="15" t="s">
        <v>699</v>
      </c>
      <c r="H1869" s="15" t="s">
        <v>700</v>
      </c>
      <c r="I1869" s="15" t="s">
        <v>701</v>
      </c>
      <c r="J1869" s="8" t="s">
        <v>1536</v>
      </c>
      <c r="K1869" s="15" t="s">
        <v>10</v>
      </c>
      <c r="L1869" s="46">
        <v>1000</v>
      </c>
      <c r="M1869" s="15" t="s">
        <v>1472</v>
      </c>
      <c r="N1869" s="15" t="s">
        <v>11</v>
      </c>
      <c r="O1869" s="49">
        <v>6.01</v>
      </c>
      <c r="P1869" s="9">
        <f>ROUND(O1869*L1869,2)</f>
        <v>6010</v>
      </c>
      <c r="Q1869" s="10">
        <f>IF(N1869="HKD",7.8,IF(N1869="CNY",7.30034,1))</f>
        <v>7.3003400000000003</v>
      </c>
      <c r="R1869" s="10">
        <f>+ROUND(O1869/Q1869,4)</f>
        <v>0.82320000000000004</v>
      </c>
      <c r="S1869" s="11">
        <f>ROUND(R1869*L1869,2)</f>
        <v>823.2</v>
      </c>
      <c r="T1869" s="10" t="s">
        <v>349</v>
      </c>
      <c r="U1869" s="15" t="s">
        <v>36</v>
      </c>
    </row>
    <row r="1870" spans="1:21">
      <c r="A1870" s="15" t="s">
        <v>836</v>
      </c>
      <c r="B1870" s="16">
        <v>45666</v>
      </c>
      <c r="C1870" s="16">
        <v>45615</v>
      </c>
      <c r="D1870" s="15" t="s">
        <v>830</v>
      </c>
      <c r="E1870" s="15" t="s">
        <v>831</v>
      </c>
      <c r="G1870" s="15" t="s">
        <v>833</v>
      </c>
      <c r="H1870" s="15" t="s">
        <v>834</v>
      </c>
      <c r="I1870" s="15" t="s">
        <v>835</v>
      </c>
      <c r="J1870" s="8" t="str">
        <f>+LEFT(U1870,4)</f>
        <v>SKU-</v>
      </c>
      <c r="K1870" s="15" t="s">
        <v>98</v>
      </c>
      <c r="L1870" s="46">
        <v>1000</v>
      </c>
      <c r="M1870" s="15" t="s">
        <v>1472</v>
      </c>
      <c r="N1870" s="15" t="s">
        <v>11</v>
      </c>
      <c r="O1870" s="49">
        <v>4.9154</v>
      </c>
      <c r="P1870" s="9">
        <f>ROUND(O1870*L1870,2)</f>
        <v>4915.3999999999996</v>
      </c>
      <c r="Q1870" s="10">
        <f>IF(N1870="HKD",7.8,IF(N1870="CNY",7.30034,1))</f>
        <v>7.3003400000000003</v>
      </c>
      <c r="R1870" s="10">
        <f>+ROUND(O1870/Q1870,4)</f>
        <v>0.67330000000000001</v>
      </c>
      <c r="S1870" s="11">
        <f>ROUND(R1870*L1870,2)</f>
        <v>673.3</v>
      </c>
      <c r="T1870" s="10" t="s">
        <v>349</v>
      </c>
      <c r="U1870" s="15" t="s">
        <v>2</v>
      </c>
    </row>
    <row r="1871" spans="1:21">
      <c r="A1871" s="15" t="s">
        <v>832</v>
      </c>
      <c r="B1871" s="16">
        <v>45666</v>
      </c>
      <c r="C1871" s="16">
        <v>45615</v>
      </c>
      <c r="D1871" s="15" t="s">
        <v>830</v>
      </c>
      <c r="E1871" s="15" t="s">
        <v>831</v>
      </c>
      <c r="G1871" s="15" t="s">
        <v>833</v>
      </c>
      <c r="H1871" s="15" t="s">
        <v>828</v>
      </c>
      <c r="I1871" s="15" t="s">
        <v>829</v>
      </c>
      <c r="J1871" s="8" t="str">
        <f>+LEFT(U1871,4)</f>
        <v>SKU-</v>
      </c>
      <c r="K1871" s="15" t="s">
        <v>98</v>
      </c>
      <c r="L1871" s="46">
        <v>1000</v>
      </c>
      <c r="M1871" s="15" t="s">
        <v>1472</v>
      </c>
      <c r="N1871" s="15" t="s">
        <v>11</v>
      </c>
      <c r="O1871" s="49">
        <v>5.0862999999999996</v>
      </c>
      <c r="P1871" s="9">
        <f>ROUND(O1871*L1871,2)</f>
        <v>5086.3</v>
      </c>
      <c r="Q1871" s="10">
        <f>IF(N1871="HKD",7.8,IF(N1871="CNY",7.30034,1))</f>
        <v>7.3003400000000003</v>
      </c>
      <c r="R1871" s="10">
        <f>+ROUND(O1871/Q1871,4)</f>
        <v>0.69669999999999999</v>
      </c>
      <c r="S1871" s="11">
        <f>ROUND(R1871*L1871,2)</f>
        <v>696.7</v>
      </c>
      <c r="T1871" s="10" t="s">
        <v>349</v>
      </c>
      <c r="U1871" s="15" t="s">
        <v>2</v>
      </c>
    </row>
    <row r="1872" spans="1:21">
      <c r="A1872" s="15" t="s">
        <v>780</v>
      </c>
      <c r="B1872" s="16">
        <v>45666</v>
      </c>
      <c r="C1872" s="16">
        <v>45615</v>
      </c>
      <c r="D1872" s="15" t="s">
        <v>149</v>
      </c>
      <c r="E1872" s="15" t="s">
        <v>150</v>
      </c>
      <c r="G1872" s="15" t="s">
        <v>779</v>
      </c>
      <c r="H1872" s="15" t="s">
        <v>345</v>
      </c>
      <c r="I1872" s="15" t="s">
        <v>346</v>
      </c>
      <c r="J1872" s="8" t="str">
        <f>+LEFT(U1872,4)</f>
        <v>SKU-</v>
      </c>
      <c r="K1872" s="15" t="s">
        <v>98</v>
      </c>
      <c r="L1872" s="46">
        <v>4520</v>
      </c>
      <c r="M1872" s="15" t="s">
        <v>1472</v>
      </c>
      <c r="N1872" s="15" t="s">
        <v>11</v>
      </c>
      <c r="O1872" s="49">
        <v>7.4157999999999999</v>
      </c>
      <c r="P1872" s="9">
        <f>ROUND(O1872*L1872,2)</f>
        <v>33519.42</v>
      </c>
      <c r="Q1872" s="10">
        <f>IF(N1872="HKD",7.8,IF(N1872="CNY",7.30034,1))</f>
        <v>7.3003400000000003</v>
      </c>
      <c r="R1872" s="10">
        <f>+ROUND(O1872/Q1872,4)</f>
        <v>1.0158</v>
      </c>
      <c r="S1872" s="11">
        <f>ROUND(R1872*L1872,2)</f>
        <v>4591.42</v>
      </c>
      <c r="T1872" s="10" t="s">
        <v>349</v>
      </c>
      <c r="U1872" s="15" t="s">
        <v>2</v>
      </c>
    </row>
    <row r="1873" spans="1:21">
      <c r="A1873" s="15" t="s">
        <v>347</v>
      </c>
      <c r="B1873" s="16">
        <v>45666</v>
      </c>
      <c r="C1873" s="16">
        <v>45639</v>
      </c>
      <c r="D1873" s="15" t="s">
        <v>149</v>
      </c>
      <c r="E1873" s="15" t="s">
        <v>150</v>
      </c>
      <c r="G1873" s="15" t="s">
        <v>757</v>
      </c>
      <c r="H1873" s="15" t="s">
        <v>345</v>
      </c>
      <c r="I1873" s="15" t="s">
        <v>346</v>
      </c>
      <c r="J1873" s="8" t="str">
        <f>+LEFT(U1873,4)</f>
        <v>SKU-</v>
      </c>
      <c r="K1873" s="15" t="s">
        <v>98</v>
      </c>
      <c r="L1873" s="46">
        <v>1920</v>
      </c>
      <c r="M1873" s="15" t="s">
        <v>1472</v>
      </c>
      <c r="N1873" s="15" t="s">
        <v>11</v>
      </c>
      <c r="O1873" s="49">
        <v>7.4157999999999999</v>
      </c>
      <c r="P1873" s="9">
        <f>ROUND(O1873*L1873,2)</f>
        <v>14238.34</v>
      </c>
      <c r="Q1873" s="10">
        <f>IF(N1873="HKD",7.8,IF(N1873="CNY",7.30034,1))</f>
        <v>7.3003400000000003</v>
      </c>
      <c r="R1873" s="10">
        <f>+ROUND(O1873/Q1873,4)</f>
        <v>1.0158</v>
      </c>
      <c r="S1873" s="11">
        <f>ROUND(R1873*L1873,2)</f>
        <v>1950.34</v>
      </c>
      <c r="T1873" s="10" t="s">
        <v>349</v>
      </c>
      <c r="U1873" s="15" t="s">
        <v>2</v>
      </c>
    </row>
    <row r="1874" spans="1:21">
      <c r="A1874" s="15" t="s">
        <v>347</v>
      </c>
      <c r="B1874" s="16">
        <v>45666</v>
      </c>
      <c r="C1874" s="16">
        <v>45639</v>
      </c>
      <c r="D1874" s="15" t="s">
        <v>149</v>
      </c>
      <c r="E1874" s="15" t="s">
        <v>150</v>
      </c>
      <c r="G1874" s="15" t="s">
        <v>779</v>
      </c>
      <c r="H1874" s="15" t="s">
        <v>345</v>
      </c>
      <c r="I1874" s="15" t="s">
        <v>346</v>
      </c>
      <c r="J1874" s="8" t="str">
        <f>+LEFT(U1874,4)</f>
        <v>SKU-</v>
      </c>
      <c r="K1874" s="15" t="s">
        <v>98</v>
      </c>
      <c r="L1874" s="46">
        <v>680</v>
      </c>
      <c r="M1874" s="15" t="s">
        <v>1472</v>
      </c>
      <c r="N1874" s="15" t="s">
        <v>11</v>
      </c>
      <c r="O1874" s="49">
        <v>7.4157999999999999</v>
      </c>
      <c r="P1874" s="9">
        <f>ROUND(O1874*L1874,2)</f>
        <v>5042.74</v>
      </c>
      <c r="Q1874" s="10">
        <f>IF(N1874="HKD",7.8,IF(N1874="CNY",7.30034,1))</f>
        <v>7.3003400000000003</v>
      </c>
      <c r="R1874" s="10">
        <f>+ROUND(O1874/Q1874,4)</f>
        <v>1.0158</v>
      </c>
      <c r="S1874" s="11">
        <f>ROUND(R1874*L1874,2)</f>
        <v>690.74</v>
      </c>
      <c r="T1874" s="10" t="s">
        <v>349</v>
      </c>
      <c r="U1874" s="15" t="s">
        <v>2</v>
      </c>
    </row>
    <row r="1875" spans="1:21">
      <c r="A1875" s="15" t="s">
        <v>755</v>
      </c>
      <c r="B1875" s="16">
        <v>45666</v>
      </c>
      <c r="C1875" s="16">
        <v>45651</v>
      </c>
      <c r="D1875" s="15" t="s">
        <v>746</v>
      </c>
      <c r="E1875" s="15" t="s">
        <v>747</v>
      </c>
      <c r="G1875" s="15" t="s">
        <v>756</v>
      </c>
      <c r="H1875" s="15" t="s">
        <v>753</v>
      </c>
      <c r="I1875" s="15" t="s">
        <v>754</v>
      </c>
      <c r="J1875" s="8" t="str">
        <f>+LEFT(U1875,4)</f>
        <v>SSM-</v>
      </c>
      <c r="K1875" s="15" t="s">
        <v>10</v>
      </c>
      <c r="L1875" s="46">
        <v>1500</v>
      </c>
      <c r="M1875" s="15" t="s">
        <v>1472</v>
      </c>
      <c r="N1875" s="15" t="s">
        <v>11</v>
      </c>
      <c r="O1875" s="49">
        <v>0.94689999999999996</v>
      </c>
      <c r="P1875" s="9">
        <f>ROUND(O1875*L1875,2)</f>
        <v>1420.35</v>
      </c>
      <c r="Q1875" s="10">
        <f>IF(N1875="HKD",7.8,IF(N1875="CNY",7.30034,1))</f>
        <v>7.3003400000000003</v>
      </c>
      <c r="R1875" s="10">
        <f>+ROUND(O1875/Q1875,4)</f>
        <v>0.12970000000000001</v>
      </c>
      <c r="S1875" s="11">
        <f>ROUND(R1875*L1875,2)</f>
        <v>194.55</v>
      </c>
      <c r="T1875" s="10" t="s">
        <v>349</v>
      </c>
      <c r="U1875" s="15" t="s">
        <v>33</v>
      </c>
    </row>
    <row r="1876" spans="1:21">
      <c r="A1876" s="15" t="s">
        <v>752</v>
      </c>
      <c r="B1876" s="16">
        <v>45666</v>
      </c>
      <c r="C1876" s="16">
        <v>45664</v>
      </c>
      <c r="D1876" s="15" t="s">
        <v>746</v>
      </c>
      <c r="E1876" s="15" t="s">
        <v>747</v>
      </c>
      <c r="G1876" s="15" t="s">
        <v>749</v>
      </c>
      <c r="H1876" s="15" t="s">
        <v>750</v>
      </c>
      <c r="I1876" s="15" t="s">
        <v>751</v>
      </c>
      <c r="J1876" s="8" t="str">
        <f>+LEFT(U1876,4)</f>
        <v>SSM-</v>
      </c>
      <c r="K1876" s="15" t="s">
        <v>10</v>
      </c>
      <c r="L1876" s="46">
        <v>2500</v>
      </c>
      <c r="M1876" s="15" t="s">
        <v>1472</v>
      </c>
      <c r="N1876" s="15" t="s">
        <v>11</v>
      </c>
      <c r="O1876" s="49">
        <v>1.0530999999999999</v>
      </c>
      <c r="P1876" s="9">
        <f>ROUND(O1876*L1876,2)</f>
        <v>2632.75</v>
      </c>
      <c r="Q1876" s="10">
        <f>IF(N1876="HKD",7.8,IF(N1876="CNY",7.30034,1))</f>
        <v>7.3003400000000003</v>
      </c>
      <c r="R1876" s="10">
        <f>+ROUND(O1876/Q1876,4)</f>
        <v>0.14430000000000001</v>
      </c>
      <c r="S1876" s="11">
        <f>ROUND(R1876*L1876,2)</f>
        <v>360.75</v>
      </c>
      <c r="T1876" s="10" t="s">
        <v>349</v>
      </c>
      <c r="U1876" s="15" t="s">
        <v>33</v>
      </c>
    </row>
    <row r="1877" spans="1:21">
      <c r="A1877" s="15" t="s">
        <v>748</v>
      </c>
      <c r="B1877" s="16">
        <v>45666</v>
      </c>
      <c r="C1877" s="16">
        <v>45664</v>
      </c>
      <c r="D1877" s="15" t="s">
        <v>746</v>
      </c>
      <c r="E1877" s="15" t="s">
        <v>747</v>
      </c>
      <c r="G1877" s="15" t="s">
        <v>749</v>
      </c>
      <c r="H1877" s="15" t="s">
        <v>744</v>
      </c>
      <c r="I1877" s="15" t="s">
        <v>745</v>
      </c>
      <c r="J1877" s="8" t="str">
        <f>+LEFT(U1877,4)</f>
        <v>SSM-</v>
      </c>
      <c r="K1877" s="15" t="s">
        <v>10</v>
      </c>
      <c r="L1877" s="46">
        <v>600</v>
      </c>
      <c r="M1877" s="15" t="s">
        <v>1472</v>
      </c>
      <c r="N1877" s="15" t="s">
        <v>11</v>
      </c>
      <c r="O1877" s="49">
        <v>1.0972999999999999</v>
      </c>
      <c r="P1877" s="9">
        <f>ROUND(O1877*L1877,2)</f>
        <v>658.38</v>
      </c>
      <c r="Q1877" s="10">
        <f>IF(N1877="HKD",7.8,IF(N1877="CNY",7.30034,1))</f>
        <v>7.3003400000000003</v>
      </c>
      <c r="R1877" s="10">
        <f>+ROUND(O1877/Q1877,4)</f>
        <v>0.15029999999999999</v>
      </c>
      <c r="S1877" s="11">
        <f>ROUND(R1877*L1877,2)</f>
        <v>90.18</v>
      </c>
      <c r="T1877" s="10" t="s">
        <v>349</v>
      </c>
      <c r="U1877" s="15" t="s">
        <v>33</v>
      </c>
    </row>
    <row r="1878" spans="1:21">
      <c r="A1878" s="15" t="s">
        <v>774</v>
      </c>
      <c r="B1878" s="16">
        <v>45666</v>
      </c>
      <c r="C1878" s="16">
        <v>45646</v>
      </c>
      <c r="D1878" s="15" t="s">
        <v>569</v>
      </c>
      <c r="E1878" s="15" t="s">
        <v>570</v>
      </c>
      <c r="G1878" s="15" t="s">
        <v>762</v>
      </c>
      <c r="H1878" s="15" t="s">
        <v>772</v>
      </c>
      <c r="I1878" s="15" t="s">
        <v>773</v>
      </c>
      <c r="J1878" s="8" t="str">
        <f>+LEFT(U1878,4)</f>
        <v>WHR-</v>
      </c>
      <c r="K1878" s="15" t="s">
        <v>10</v>
      </c>
      <c r="L1878" s="46">
        <v>9200</v>
      </c>
      <c r="M1878" s="15" t="s">
        <v>1472</v>
      </c>
      <c r="N1878" s="15" t="s">
        <v>11</v>
      </c>
      <c r="O1878" s="49">
        <v>0.4365</v>
      </c>
      <c r="P1878" s="9">
        <f>ROUND(O1878*L1878,2)</f>
        <v>4015.8</v>
      </c>
      <c r="Q1878" s="10">
        <f>IF(N1878="HKD",7.8,IF(N1878="CNY",7.30034,1))</f>
        <v>7.3003400000000003</v>
      </c>
      <c r="R1878" s="10">
        <f>+ROUND(O1878/Q1878,4)</f>
        <v>5.9799999999999999E-2</v>
      </c>
      <c r="S1878" s="11">
        <f>ROUND(R1878*L1878,2)</f>
        <v>550.16</v>
      </c>
      <c r="T1878" s="10" t="s">
        <v>349</v>
      </c>
      <c r="U1878" s="15" t="s">
        <v>248</v>
      </c>
    </row>
    <row r="1879" spans="1:21">
      <c r="A1879" s="15" t="s">
        <v>927</v>
      </c>
      <c r="B1879" s="16">
        <v>45665</v>
      </c>
      <c r="C1879" s="16">
        <v>45660</v>
      </c>
      <c r="D1879" s="15" t="s">
        <v>925</v>
      </c>
      <c r="E1879" s="15" t="s">
        <v>926</v>
      </c>
      <c r="G1879" s="15" t="s">
        <v>451</v>
      </c>
      <c r="H1879" s="15" t="s">
        <v>923</v>
      </c>
      <c r="I1879" s="15" t="s">
        <v>924</v>
      </c>
      <c r="J1879" s="8" t="str">
        <f>+LEFT(U1879,4)</f>
        <v>FG--</v>
      </c>
      <c r="K1879" s="15" t="s">
        <v>10</v>
      </c>
      <c r="L1879" s="46">
        <v>530</v>
      </c>
      <c r="M1879" s="15" t="s">
        <v>1472</v>
      </c>
      <c r="N1879" s="15" t="s">
        <v>11</v>
      </c>
      <c r="O1879" s="49">
        <v>0.30170000000000002</v>
      </c>
      <c r="P1879" s="9">
        <f>ROUND(O1879*L1879,2)</f>
        <v>159.9</v>
      </c>
      <c r="Q1879" s="10">
        <f>IF(N1879="HKD",7.8,IF(N1879="CNY",7.30034,1))</f>
        <v>7.3003400000000003</v>
      </c>
      <c r="R1879" s="10">
        <f>+ROUND(O1879/Q1879,4)</f>
        <v>4.1300000000000003E-2</v>
      </c>
      <c r="S1879" s="11">
        <f>ROUND(R1879*L1879,2)</f>
        <v>21.89</v>
      </c>
      <c r="T1879" s="10" t="s">
        <v>349</v>
      </c>
      <c r="U1879" s="15" t="s">
        <v>64</v>
      </c>
    </row>
    <row r="1880" spans="1:21">
      <c r="A1880" s="15" t="s">
        <v>705</v>
      </c>
      <c r="B1880" s="16">
        <v>45665</v>
      </c>
      <c r="C1880" s="16">
        <v>45639</v>
      </c>
      <c r="D1880" s="15" t="s">
        <v>287</v>
      </c>
      <c r="E1880" s="15" t="s">
        <v>288</v>
      </c>
      <c r="G1880" s="15" t="s">
        <v>938</v>
      </c>
      <c r="H1880" s="15" t="s">
        <v>703</v>
      </c>
      <c r="I1880" s="15" t="s">
        <v>704</v>
      </c>
      <c r="J1880" s="8" t="s">
        <v>1478</v>
      </c>
      <c r="K1880" s="15" t="s">
        <v>10</v>
      </c>
      <c r="L1880" s="46">
        <v>2100</v>
      </c>
      <c r="M1880" s="15" t="s">
        <v>1472</v>
      </c>
      <c r="N1880" s="15" t="s">
        <v>11</v>
      </c>
      <c r="O1880" s="49">
        <v>7.4237000000000002</v>
      </c>
      <c r="P1880" s="9">
        <f>ROUND(O1880*L1880,2)</f>
        <v>15589.77</v>
      </c>
      <c r="Q1880" s="10">
        <f>IF(N1880="HKD",7.8,IF(N1880="CNY",7.30034,1))</f>
        <v>7.3003400000000003</v>
      </c>
      <c r="R1880" s="10">
        <f>+ROUND(O1880/Q1880,4)</f>
        <v>1.0168999999999999</v>
      </c>
      <c r="S1880" s="11">
        <f>ROUND(R1880*L1880,2)</f>
        <v>2135.4899999999998</v>
      </c>
      <c r="T1880" s="10" t="s">
        <v>349</v>
      </c>
      <c r="U1880" s="15" t="s">
        <v>36</v>
      </c>
    </row>
    <row r="1881" spans="1:21">
      <c r="A1881" s="15" t="s">
        <v>937</v>
      </c>
      <c r="B1881" s="16">
        <v>45665</v>
      </c>
      <c r="C1881" s="16">
        <v>45639</v>
      </c>
      <c r="D1881" s="15" t="s">
        <v>287</v>
      </c>
      <c r="E1881" s="15" t="s">
        <v>288</v>
      </c>
      <c r="G1881" s="15" t="s">
        <v>938</v>
      </c>
      <c r="H1881" s="15" t="s">
        <v>935</v>
      </c>
      <c r="I1881" s="15" t="s">
        <v>936</v>
      </c>
      <c r="J1881" s="8" t="s">
        <v>1478</v>
      </c>
      <c r="K1881" s="15" t="s">
        <v>10</v>
      </c>
      <c r="L1881" s="46">
        <v>2100</v>
      </c>
      <c r="M1881" s="15" t="s">
        <v>1472</v>
      </c>
      <c r="N1881" s="15" t="s">
        <v>11</v>
      </c>
      <c r="O1881" s="49">
        <v>7.4237000000000002</v>
      </c>
      <c r="P1881" s="9">
        <f>ROUND(O1881*L1881,2)</f>
        <v>15589.77</v>
      </c>
      <c r="Q1881" s="10">
        <f>IF(N1881="HKD",7.8,IF(N1881="CNY",7.30034,1))</f>
        <v>7.3003400000000003</v>
      </c>
      <c r="R1881" s="10">
        <f>+ROUND(O1881/Q1881,4)</f>
        <v>1.0168999999999999</v>
      </c>
      <c r="S1881" s="11">
        <f>ROUND(R1881*L1881,2)</f>
        <v>2135.4899999999998</v>
      </c>
      <c r="T1881" s="10" t="s">
        <v>349</v>
      </c>
      <c r="U1881" s="15" t="s">
        <v>36</v>
      </c>
    </row>
    <row r="1882" spans="1:21">
      <c r="A1882" s="15" t="s">
        <v>844</v>
      </c>
      <c r="B1882" s="16">
        <v>45665</v>
      </c>
      <c r="C1882" s="16">
        <v>45638</v>
      </c>
      <c r="D1882" s="15" t="s">
        <v>287</v>
      </c>
      <c r="E1882" s="15" t="s">
        <v>288</v>
      </c>
      <c r="G1882" s="15" t="s">
        <v>938</v>
      </c>
      <c r="H1882" s="15" t="s">
        <v>842</v>
      </c>
      <c r="I1882" s="15" t="s">
        <v>843</v>
      </c>
      <c r="J1882" s="8" t="str">
        <f>+LEFT(U1882,4)</f>
        <v>GLID</v>
      </c>
      <c r="K1882" s="15" t="s">
        <v>10</v>
      </c>
      <c r="L1882" s="46">
        <v>1200</v>
      </c>
      <c r="M1882" s="15" t="s">
        <v>1472</v>
      </c>
      <c r="N1882" s="15" t="s">
        <v>11</v>
      </c>
      <c r="O1882" s="49">
        <v>9.31</v>
      </c>
      <c r="P1882" s="9">
        <f>ROUND(O1882*L1882,2)</f>
        <v>11172</v>
      </c>
      <c r="Q1882" s="10">
        <f>IF(N1882="HKD",7.8,IF(N1882="CNY",7.30034,1))</f>
        <v>7.3003400000000003</v>
      </c>
      <c r="R1882" s="10">
        <f>+ROUND(O1882/Q1882,4)</f>
        <v>1.2753000000000001</v>
      </c>
      <c r="S1882" s="11">
        <f>ROUND(R1882*L1882,2)</f>
        <v>1530.36</v>
      </c>
      <c r="T1882" s="10" t="s">
        <v>349</v>
      </c>
      <c r="U1882" s="15" t="s">
        <v>78</v>
      </c>
    </row>
    <row r="1883" spans="1:21">
      <c r="A1883" s="15" t="s">
        <v>840</v>
      </c>
      <c r="B1883" s="16">
        <v>45665</v>
      </c>
      <c r="C1883" s="16">
        <v>45638</v>
      </c>
      <c r="D1883" s="15" t="s">
        <v>287</v>
      </c>
      <c r="E1883" s="15" t="s">
        <v>288</v>
      </c>
      <c r="G1883" s="15" t="s">
        <v>938</v>
      </c>
      <c r="H1883" s="15" t="s">
        <v>838</v>
      </c>
      <c r="I1883" s="15" t="s">
        <v>839</v>
      </c>
      <c r="J1883" s="8" t="str">
        <f>+LEFT(U1883,4)</f>
        <v>GLID</v>
      </c>
      <c r="K1883" s="15" t="s">
        <v>10</v>
      </c>
      <c r="L1883" s="46">
        <v>1400</v>
      </c>
      <c r="M1883" s="15" t="s">
        <v>1472</v>
      </c>
      <c r="N1883" s="15" t="s">
        <v>11</v>
      </c>
      <c r="O1883" s="49">
        <v>9.31</v>
      </c>
      <c r="P1883" s="9">
        <f>ROUND(O1883*L1883,2)</f>
        <v>13034</v>
      </c>
      <c r="Q1883" s="10">
        <f>IF(N1883="HKD",7.8,IF(N1883="CNY",7.30034,1))</f>
        <v>7.3003400000000003</v>
      </c>
      <c r="R1883" s="10">
        <f>+ROUND(O1883/Q1883,4)</f>
        <v>1.2753000000000001</v>
      </c>
      <c r="S1883" s="11">
        <f>ROUND(R1883*L1883,2)</f>
        <v>1785.42</v>
      </c>
      <c r="T1883" s="10" t="s">
        <v>349</v>
      </c>
      <c r="U1883" s="15" t="s">
        <v>78</v>
      </c>
    </row>
    <row r="1884" spans="1:21">
      <c r="A1884" s="15" t="s">
        <v>922</v>
      </c>
      <c r="B1884" s="16">
        <v>45665</v>
      </c>
      <c r="C1884" s="16">
        <v>45646</v>
      </c>
      <c r="D1884" s="15" t="s">
        <v>866</v>
      </c>
      <c r="E1884" s="15" t="s">
        <v>867</v>
      </c>
      <c r="G1884" s="15" t="s">
        <v>919</v>
      </c>
      <c r="H1884" s="15" t="s">
        <v>920</v>
      </c>
      <c r="I1884" s="15" t="s">
        <v>921</v>
      </c>
      <c r="J1884" s="8" t="s">
        <v>1484</v>
      </c>
      <c r="K1884" s="15" t="s">
        <v>10</v>
      </c>
      <c r="L1884" s="46">
        <v>15000</v>
      </c>
      <c r="M1884" s="15" t="s">
        <v>1472</v>
      </c>
      <c r="N1884" s="15" t="s">
        <v>11</v>
      </c>
      <c r="O1884" s="49">
        <v>5.2389000000000001</v>
      </c>
      <c r="P1884" s="9">
        <f>ROUND(O1884*L1884,2)</f>
        <v>78583.5</v>
      </c>
      <c r="Q1884" s="10">
        <f>IF(N1884="HKD",7.8,IF(N1884="CNY",7.30034,1))</f>
        <v>7.3003400000000003</v>
      </c>
      <c r="R1884" s="10">
        <f>+ROUND(O1884/Q1884,4)</f>
        <v>0.71760000000000002</v>
      </c>
      <c r="S1884" s="11">
        <f>ROUND(R1884*L1884,2)</f>
        <v>10764</v>
      </c>
      <c r="T1884" s="10" t="s">
        <v>349</v>
      </c>
      <c r="U1884" s="15" t="s">
        <v>36</v>
      </c>
    </row>
    <row r="1885" spans="1:21">
      <c r="A1885" s="15" t="s">
        <v>910</v>
      </c>
      <c r="B1885" s="16">
        <v>45665</v>
      </c>
      <c r="C1885" s="16">
        <v>45287</v>
      </c>
      <c r="D1885" s="15" t="s">
        <v>866</v>
      </c>
      <c r="E1885" s="15" t="s">
        <v>867</v>
      </c>
      <c r="G1885" s="15" t="s">
        <v>911</v>
      </c>
      <c r="H1885" s="15" t="s">
        <v>908</v>
      </c>
      <c r="I1885" s="15" t="s">
        <v>909</v>
      </c>
      <c r="J1885" s="8" t="s">
        <v>1484</v>
      </c>
      <c r="K1885" s="15" t="s">
        <v>10</v>
      </c>
      <c r="L1885" s="46">
        <v>4008</v>
      </c>
      <c r="M1885" s="15" t="s">
        <v>1472</v>
      </c>
      <c r="N1885" s="15" t="s">
        <v>11</v>
      </c>
      <c r="O1885" s="49">
        <v>5.3804999999999996</v>
      </c>
      <c r="P1885" s="9">
        <f>ROUND(O1885*L1885,2)</f>
        <v>21565.040000000001</v>
      </c>
      <c r="Q1885" s="10">
        <f>IF(N1885="HKD",7.8,IF(N1885="CNY",7.30034,1))</f>
        <v>7.3003400000000003</v>
      </c>
      <c r="R1885" s="10">
        <f>+ROUND(O1885/Q1885,4)</f>
        <v>0.73699999999999999</v>
      </c>
      <c r="S1885" s="11">
        <f>ROUND(R1885*L1885,2)</f>
        <v>2953.9</v>
      </c>
      <c r="T1885" s="10" t="s">
        <v>349</v>
      </c>
      <c r="U1885" s="15" t="s">
        <v>36</v>
      </c>
    </row>
    <row r="1886" spans="1:21">
      <c r="A1886" s="15" t="s">
        <v>918</v>
      </c>
      <c r="B1886" s="16">
        <v>45665</v>
      </c>
      <c r="C1886" s="16">
        <v>45646</v>
      </c>
      <c r="D1886" s="15" t="s">
        <v>866</v>
      </c>
      <c r="E1886" s="15" t="s">
        <v>867</v>
      </c>
      <c r="G1886" s="15" t="s">
        <v>919</v>
      </c>
      <c r="H1886" s="15" t="s">
        <v>916</v>
      </c>
      <c r="I1886" s="15" t="s">
        <v>917</v>
      </c>
      <c r="J1886" s="8" t="s">
        <v>1484</v>
      </c>
      <c r="K1886" s="15" t="s">
        <v>10</v>
      </c>
      <c r="L1886" s="46">
        <v>19992</v>
      </c>
      <c r="M1886" s="15" t="s">
        <v>1472</v>
      </c>
      <c r="N1886" s="15" t="s">
        <v>11</v>
      </c>
      <c r="O1886" s="49">
        <v>5.9381000000000004</v>
      </c>
      <c r="P1886" s="9">
        <f>ROUND(O1886*L1886,2)</f>
        <v>118714.5</v>
      </c>
      <c r="Q1886" s="10">
        <f>IF(N1886="HKD",7.8,IF(N1886="CNY",7.30034,1))</f>
        <v>7.3003400000000003</v>
      </c>
      <c r="R1886" s="10">
        <f>+ROUND(O1886/Q1886,4)</f>
        <v>0.81340000000000001</v>
      </c>
      <c r="S1886" s="11">
        <f>ROUND(R1886*L1886,2)</f>
        <v>16261.49</v>
      </c>
      <c r="T1886" s="10" t="s">
        <v>349</v>
      </c>
      <c r="U1886" s="15" t="s">
        <v>36</v>
      </c>
    </row>
    <row r="1887" spans="1:21">
      <c r="A1887" s="15" t="s">
        <v>914</v>
      </c>
      <c r="B1887" s="16">
        <v>45665</v>
      </c>
      <c r="C1887" s="16">
        <v>45526</v>
      </c>
      <c r="D1887" s="15" t="s">
        <v>866</v>
      </c>
      <c r="E1887" s="15" t="s">
        <v>867</v>
      </c>
      <c r="G1887" s="15" t="s">
        <v>915</v>
      </c>
      <c r="H1887" s="15" t="s">
        <v>912</v>
      </c>
      <c r="I1887" s="15" t="s">
        <v>913</v>
      </c>
      <c r="J1887" s="8" t="s">
        <v>1484</v>
      </c>
      <c r="K1887" s="15" t="s">
        <v>10</v>
      </c>
      <c r="L1887" s="46">
        <v>4400</v>
      </c>
      <c r="M1887" s="15" t="s">
        <v>1472</v>
      </c>
      <c r="N1887" s="15" t="s">
        <v>11</v>
      </c>
      <c r="O1887" s="49">
        <v>6.5929000000000002</v>
      </c>
      <c r="P1887" s="9">
        <f>ROUND(O1887*L1887,2)</f>
        <v>29008.76</v>
      </c>
      <c r="Q1887" s="10">
        <f>IF(N1887="HKD",7.8,IF(N1887="CNY",7.30034,1))</f>
        <v>7.3003400000000003</v>
      </c>
      <c r="R1887" s="10">
        <f>+ROUND(O1887/Q1887,4)</f>
        <v>0.90310000000000001</v>
      </c>
      <c r="S1887" s="11">
        <f>ROUND(R1887*L1887,2)</f>
        <v>3973.64</v>
      </c>
      <c r="T1887" s="10" t="s">
        <v>349</v>
      </c>
      <c r="U1887" s="15" t="s">
        <v>36</v>
      </c>
    </row>
    <row r="1888" spans="1:21">
      <c r="A1888" s="15" t="s">
        <v>934</v>
      </c>
      <c r="B1888" s="16">
        <v>45665</v>
      </c>
      <c r="C1888" s="16">
        <v>45609</v>
      </c>
      <c r="D1888" s="15" t="s">
        <v>830</v>
      </c>
      <c r="E1888" s="15" t="s">
        <v>831</v>
      </c>
      <c r="G1888" s="15" t="s">
        <v>931</v>
      </c>
      <c r="H1888" s="15" t="s">
        <v>932</v>
      </c>
      <c r="I1888" s="15" t="s">
        <v>933</v>
      </c>
      <c r="J1888" s="8" t="str">
        <f>+LEFT(U1888,4)</f>
        <v>LID-</v>
      </c>
      <c r="K1888" s="15" t="s">
        <v>369</v>
      </c>
      <c r="L1888" s="46">
        <v>730</v>
      </c>
      <c r="M1888" s="15" t="s">
        <v>1472</v>
      </c>
      <c r="N1888" s="15" t="s">
        <v>11</v>
      </c>
      <c r="O1888" s="49">
        <v>7.8</v>
      </c>
      <c r="P1888" s="9">
        <f>ROUND(O1888*L1888,2)</f>
        <v>5694</v>
      </c>
      <c r="Q1888" s="10">
        <f>IF(N1888="HKD",7.8,IF(N1888="CNY",7.30034,1))</f>
        <v>7.3003400000000003</v>
      </c>
      <c r="R1888" s="10">
        <f>+ROUND(O1888/Q1888,4)</f>
        <v>1.0684</v>
      </c>
      <c r="S1888" s="11">
        <f>ROUND(R1888*L1888,2)</f>
        <v>779.93</v>
      </c>
      <c r="T1888" s="10" t="s">
        <v>349</v>
      </c>
      <c r="U1888" s="15" t="s">
        <v>368</v>
      </c>
    </row>
    <row r="1889" spans="1:21">
      <c r="A1889" s="15" t="s">
        <v>930</v>
      </c>
      <c r="B1889" s="16">
        <v>45665</v>
      </c>
      <c r="C1889" s="16">
        <v>45609</v>
      </c>
      <c r="D1889" s="15" t="s">
        <v>830</v>
      </c>
      <c r="E1889" s="15" t="s">
        <v>831</v>
      </c>
      <c r="G1889" s="15" t="s">
        <v>931</v>
      </c>
      <c r="H1889" s="15" t="s">
        <v>928</v>
      </c>
      <c r="I1889" s="15" t="s">
        <v>929</v>
      </c>
      <c r="J1889" s="8" t="str">
        <f>+LEFT(U1889,4)</f>
        <v>LID-</v>
      </c>
      <c r="K1889" s="15" t="s">
        <v>369</v>
      </c>
      <c r="L1889" s="46">
        <v>1330</v>
      </c>
      <c r="M1889" s="15" t="s">
        <v>1472</v>
      </c>
      <c r="N1889" s="15" t="s">
        <v>11</v>
      </c>
      <c r="O1889" s="49">
        <v>7.8</v>
      </c>
      <c r="P1889" s="9">
        <f>ROUND(O1889*L1889,2)</f>
        <v>10374</v>
      </c>
      <c r="Q1889" s="10">
        <f>IF(N1889="HKD",7.8,IF(N1889="CNY",7.30034,1))</f>
        <v>7.3003400000000003</v>
      </c>
      <c r="R1889" s="10">
        <f>+ROUND(O1889/Q1889,4)</f>
        <v>1.0684</v>
      </c>
      <c r="S1889" s="11">
        <f>ROUND(R1889*L1889,2)</f>
        <v>1420.97</v>
      </c>
      <c r="T1889" s="10" t="s">
        <v>349</v>
      </c>
      <c r="U1889" s="15" t="s">
        <v>368</v>
      </c>
    </row>
    <row r="1890" spans="1:21">
      <c r="A1890" s="15" t="s">
        <v>856</v>
      </c>
      <c r="B1890" s="16">
        <v>45664</v>
      </c>
      <c r="C1890" s="16">
        <v>45638</v>
      </c>
      <c r="D1890" s="15" t="s">
        <v>287</v>
      </c>
      <c r="E1890" s="15" t="s">
        <v>288</v>
      </c>
      <c r="G1890" s="15" t="s">
        <v>988</v>
      </c>
      <c r="H1890" s="15" t="s">
        <v>854</v>
      </c>
      <c r="I1890" s="15" t="s">
        <v>855</v>
      </c>
      <c r="J1890" s="8" t="str">
        <f>+LEFT(U1890,4)</f>
        <v>GLID</v>
      </c>
      <c r="K1890" s="15" t="s">
        <v>10</v>
      </c>
      <c r="L1890" s="46">
        <v>4060</v>
      </c>
      <c r="M1890" s="15" t="s">
        <v>1472</v>
      </c>
      <c r="N1890" s="15" t="s">
        <v>11</v>
      </c>
      <c r="O1890" s="49">
        <v>7.9870000000000001</v>
      </c>
      <c r="P1890" s="9">
        <f>ROUND(O1890*L1890,2)</f>
        <v>32427.22</v>
      </c>
      <c r="Q1890" s="10">
        <f>IF(N1890="HKD",7.8,IF(N1890="CNY",7.30034,1))</f>
        <v>7.3003400000000003</v>
      </c>
      <c r="R1890" s="10">
        <f>+ROUND(O1890/Q1890,4)</f>
        <v>1.0941000000000001</v>
      </c>
      <c r="S1890" s="11">
        <f>ROUND(R1890*L1890,2)</f>
        <v>4442.05</v>
      </c>
      <c r="T1890" s="10" t="s">
        <v>349</v>
      </c>
      <c r="U1890" s="15" t="s">
        <v>78</v>
      </c>
    </row>
    <row r="1891" spans="1:21">
      <c r="A1891" s="15" t="s">
        <v>844</v>
      </c>
      <c r="B1891" s="16">
        <v>45664</v>
      </c>
      <c r="C1891" s="16">
        <v>45638</v>
      </c>
      <c r="D1891" s="15" t="s">
        <v>287</v>
      </c>
      <c r="E1891" s="15" t="s">
        <v>288</v>
      </c>
      <c r="G1891" s="15" t="s">
        <v>988</v>
      </c>
      <c r="H1891" s="15" t="s">
        <v>842</v>
      </c>
      <c r="I1891" s="15" t="s">
        <v>843</v>
      </c>
      <c r="J1891" s="8" t="str">
        <f>+LEFT(U1891,4)</f>
        <v>GLID</v>
      </c>
      <c r="K1891" s="15" t="s">
        <v>10</v>
      </c>
      <c r="L1891" s="46">
        <v>1400</v>
      </c>
      <c r="M1891" s="15" t="s">
        <v>1472</v>
      </c>
      <c r="N1891" s="15" t="s">
        <v>11</v>
      </c>
      <c r="O1891" s="49">
        <v>9.31</v>
      </c>
      <c r="P1891" s="9">
        <f>ROUND(O1891*L1891,2)</f>
        <v>13034</v>
      </c>
      <c r="Q1891" s="10">
        <f>IF(N1891="HKD",7.8,IF(N1891="CNY",7.30034,1))</f>
        <v>7.3003400000000003</v>
      </c>
      <c r="R1891" s="10">
        <f>+ROUND(O1891/Q1891,4)</f>
        <v>1.2753000000000001</v>
      </c>
      <c r="S1891" s="11">
        <f>ROUND(R1891*L1891,2)</f>
        <v>1785.42</v>
      </c>
      <c r="T1891" s="10" t="s">
        <v>349</v>
      </c>
      <c r="U1891" s="15" t="s">
        <v>78</v>
      </c>
    </row>
    <row r="1892" spans="1:21">
      <c r="A1892" s="15" t="s">
        <v>978</v>
      </c>
      <c r="B1892" s="16">
        <v>45664</v>
      </c>
      <c r="C1892" s="16">
        <v>45622</v>
      </c>
      <c r="D1892" s="15" t="s">
        <v>121</v>
      </c>
      <c r="E1892" s="15" t="s">
        <v>122</v>
      </c>
      <c r="G1892" s="15" t="s">
        <v>972</v>
      </c>
      <c r="H1892" s="15" t="s">
        <v>976</v>
      </c>
      <c r="I1892" s="15" t="s">
        <v>977</v>
      </c>
      <c r="J1892" s="8" t="str">
        <f>+LEFT(U1892,4)</f>
        <v>HDL-</v>
      </c>
      <c r="K1892" s="15" t="s">
        <v>10</v>
      </c>
      <c r="L1892" s="46">
        <v>1020</v>
      </c>
      <c r="M1892" s="15" t="s">
        <v>1472</v>
      </c>
      <c r="N1892" s="15" t="s">
        <v>11</v>
      </c>
      <c r="O1892" s="49">
        <v>6.5797999999999996</v>
      </c>
      <c r="P1892" s="9">
        <f>ROUND(O1892*L1892,2)</f>
        <v>6711.4</v>
      </c>
      <c r="Q1892" s="10">
        <f>IF(N1892="HKD",7.8,IF(N1892="CNY",7.30034,1))</f>
        <v>7.3003400000000003</v>
      </c>
      <c r="R1892" s="10">
        <f>+ROUND(O1892/Q1892,4)</f>
        <v>0.90129999999999999</v>
      </c>
      <c r="S1892" s="11">
        <f>ROUND(R1892*L1892,2)</f>
        <v>919.33</v>
      </c>
      <c r="T1892" s="10" t="s">
        <v>349</v>
      </c>
      <c r="U1892" s="15" t="s">
        <v>228</v>
      </c>
    </row>
    <row r="1893" spans="1:21">
      <c r="A1893" s="15" t="s">
        <v>975</v>
      </c>
      <c r="B1893" s="16">
        <v>45664</v>
      </c>
      <c r="C1893" s="16">
        <v>45622</v>
      </c>
      <c r="D1893" s="15" t="s">
        <v>121</v>
      </c>
      <c r="E1893" s="15" t="s">
        <v>122</v>
      </c>
      <c r="G1893" s="15" t="s">
        <v>972</v>
      </c>
      <c r="H1893" s="15" t="s">
        <v>973</v>
      </c>
      <c r="I1893" s="15" t="s">
        <v>974</v>
      </c>
      <c r="J1893" s="8" t="str">
        <f>+LEFT(U1893,4)</f>
        <v>HDL-</v>
      </c>
      <c r="K1893" s="15" t="s">
        <v>10</v>
      </c>
      <c r="L1893" s="46">
        <v>1000</v>
      </c>
      <c r="M1893" s="15" t="s">
        <v>1472</v>
      </c>
      <c r="N1893" s="15" t="s">
        <v>11</v>
      </c>
      <c r="O1893" s="49">
        <v>7.6571999999999996</v>
      </c>
      <c r="P1893" s="9">
        <f>ROUND(O1893*L1893,2)</f>
        <v>7657.2</v>
      </c>
      <c r="Q1893" s="10">
        <f>IF(N1893="HKD",7.8,IF(N1893="CNY",7.30034,1))</f>
        <v>7.3003400000000003</v>
      </c>
      <c r="R1893" s="10">
        <f>+ROUND(O1893/Q1893,4)</f>
        <v>1.0488999999999999</v>
      </c>
      <c r="S1893" s="11">
        <f>ROUND(R1893*L1893,2)</f>
        <v>1048.9000000000001</v>
      </c>
      <c r="T1893" s="10" t="s">
        <v>349</v>
      </c>
      <c r="U1893" s="15" t="s">
        <v>228</v>
      </c>
    </row>
    <row r="1894" spans="1:21">
      <c r="A1894" s="15" t="s">
        <v>983</v>
      </c>
      <c r="B1894" s="16">
        <v>45664</v>
      </c>
      <c r="C1894" s="16">
        <v>45610</v>
      </c>
      <c r="D1894" s="15" t="s">
        <v>981</v>
      </c>
      <c r="E1894" s="15" t="s">
        <v>982</v>
      </c>
      <c r="G1894" s="15" t="s">
        <v>984</v>
      </c>
      <c r="H1894" s="15" t="s">
        <v>979</v>
      </c>
      <c r="I1894" s="15" t="s">
        <v>980</v>
      </c>
      <c r="J1894" s="8" t="str">
        <f>+LEFT(U1894,4)</f>
        <v>HDL-</v>
      </c>
      <c r="K1894" s="15" t="s">
        <v>10</v>
      </c>
      <c r="L1894" s="46">
        <v>2040</v>
      </c>
      <c r="M1894" s="15" t="s">
        <v>1472</v>
      </c>
      <c r="N1894" s="15" t="s">
        <v>11</v>
      </c>
      <c r="O1894" s="49">
        <v>13.042</v>
      </c>
      <c r="P1894" s="9">
        <f>ROUND(O1894*L1894,2)</f>
        <v>26605.68</v>
      </c>
      <c r="Q1894" s="10">
        <f>IF(N1894="HKD",7.8,IF(N1894="CNY",7.30034,1))</f>
        <v>7.3003400000000003</v>
      </c>
      <c r="R1894" s="10">
        <f>+ROUND(O1894/Q1894,4)</f>
        <v>1.7865</v>
      </c>
      <c r="S1894" s="11">
        <f>ROUND(R1894*L1894,2)</f>
        <v>3644.46</v>
      </c>
      <c r="T1894" s="10" t="s">
        <v>349</v>
      </c>
      <c r="U1894" s="15" t="s">
        <v>228</v>
      </c>
    </row>
    <row r="1895" spans="1:21">
      <c r="A1895" s="15" t="s">
        <v>996</v>
      </c>
      <c r="B1895" s="16">
        <v>45664</v>
      </c>
      <c r="C1895" s="16">
        <v>45610</v>
      </c>
      <c r="D1895" s="15" t="s">
        <v>263</v>
      </c>
      <c r="E1895" s="15" t="s">
        <v>0</v>
      </c>
      <c r="G1895" s="15" t="s">
        <v>992</v>
      </c>
      <c r="H1895" s="15" t="s">
        <v>989</v>
      </c>
      <c r="I1895" s="15" t="s">
        <v>990</v>
      </c>
      <c r="J1895" s="8" t="str">
        <f>+LEFT(U1895,4)</f>
        <v>HDL-</v>
      </c>
      <c r="K1895" s="15" t="s">
        <v>10</v>
      </c>
      <c r="L1895" s="46">
        <v>550</v>
      </c>
      <c r="M1895" s="15" t="s">
        <v>1472</v>
      </c>
      <c r="N1895" s="15" t="s">
        <v>11</v>
      </c>
      <c r="O1895" s="49">
        <v>13.303100000000001</v>
      </c>
      <c r="P1895" s="9">
        <f>ROUND(O1895*L1895,2)</f>
        <v>7316.71</v>
      </c>
      <c r="Q1895" s="10">
        <f>IF(N1895="HKD",7.8,IF(N1895="CNY",7.30034,1))</f>
        <v>7.3003400000000003</v>
      </c>
      <c r="R1895" s="10">
        <f>+ROUND(O1895/Q1895,4)</f>
        <v>1.8223</v>
      </c>
      <c r="S1895" s="11">
        <f>ROUND(R1895*L1895,2)</f>
        <v>1002.27</v>
      </c>
      <c r="T1895" s="10" t="s">
        <v>349</v>
      </c>
      <c r="U1895" s="15" t="s">
        <v>228</v>
      </c>
    </row>
    <row r="1896" spans="1:21">
      <c r="A1896" s="15" t="s">
        <v>991</v>
      </c>
      <c r="B1896" s="16">
        <v>45664</v>
      </c>
      <c r="C1896" s="16">
        <v>45622</v>
      </c>
      <c r="D1896" s="15" t="s">
        <v>263</v>
      </c>
      <c r="E1896" s="15" t="s">
        <v>0</v>
      </c>
      <c r="G1896" s="15" t="s">
        <v>992</v>
      </c>
      <c r="H1896" s="15" t="s">
        <v>989</v>
      </c>
      <c r="I1896" s="15" t="s">
        <v>990</v>
      </c>
      <c r="J1896" s="8" t="str">
        <f>+LEFT(U1896,4)</f>
        <v>HDL-</v>
      </c>
      <c r="K1896" s="15" t="s">
        <v>10</v>
      </c>
      <c r="L1896" s="46">
        <v>1020</v>
      </c>
      <c r="M1896" s="15" t="s">
        <v>1472</v>
      </c>
      <c r="N1896" s="15" t="s">
        <v>11</v>
      </c>
      <c r="O1896" s="49">
        <v>13.303100000000001</v>
      </c>
      <c r="P1896" s="9">
        <f>ROUND(O1896*L1896,2)</f>
        <v>13569.16</v>
      </c>
      <c r="Q1896" s="10">
        <f>IF(N1896="HKD",7.8,IF(N1896="CNY",7.30034,1))</f>
        <v>7.3003400000000003</v>
      </c>
      <c r="R1896" s="10">
        <f>+ROUND(O1896/Q1896,4)</f>
        <v>1.8223</v>
      </c>
      <c r="S1896" s="11">
        <f>ROUND(R1896*L1896,2)</f>
        <v>1858.75</v>
      </c>
      <c r="T1896" s="10" t="s">
        <v>349</v>
      </c>
      <c r="U1896" s="15" t="s">
        <v>228</v>
      </c>
    </row>
    <row r="1897" spans="1:21">
      <c r="A1897" s="15" t="s">
        <v>987</v>
      </c>
      <c r="B1897" s="16">
        <v>45664</v>
      </c>
      <c r="C1897" s="16">
        <v>45602</v>
      </c>
      <c r="D1897" s="15" t="s">
        <v>981</v>
      </c>
      <c r="E1897" s="15" t="s">
        <v>982</v>
      </c>
      <c r="G1897" s="15" t="s">
        <v>984</v>
      </c>
      <c r="H1897" s="15" t="s">
        <v>985</v>
      </c>
      <c r="I1897" s="15" t="s">
        <v>986</v>
      </c>
      <c r="J1897" s="8" t="str">
        <f>+LEFT(U1897,4)</f>
        <v>HDL-</v>
      </c>
      <c r="K1897" s="15" t="s">
        <v>10</v>
      </c>
      <c r="L1897" s="46">
        <v>1010</v>
      </c>
      <c r="M1897" s="15" t="s">
        <v>1472</v>
      </c>
      <c r="N1897" s="15" t="s">
        <v>11</v>
      </c>
      <c r="O1897" s="49">
        <v>13.8696</v>
      </c>
      <c r="P1897" s="9">
        <f>ROUND(O1897*L1897,2)</f>
        <v>14008.3</v>
      </c>
      <c r="Q1897" s="10">
        <f>IF(N1897="HKD",7.8,IF(N1897="CNY",7.30034,1))</f>
        <v>7.3003400000000003</v>
      </c>
      <c r="R1897" s="10">
        <f>+ROUND(O1897/Q1897,4)</f>
        <v>1.8998999999999999</v>
      </c>
      <c r="S1897" s="11">
        <f>ROUND(R1897*L1897,2)</f>
        <v>1918.9</v>
      </c>
      <c r="T1897" s="10" t="s">
        <v>349</v>
      </c>
      <c r="U1897" s="15" t="s">
        <v>228</v>
      </c>
    </row>
    <row r="1898" spans="1:21">
      <c r="A1898" s="15" t="s">
        <v>995</v>
      </c>
      <c r="B1898" s="16">
        <v>45664</v>
      </c>
      <c r="C1898" s="16">
        <v>45610</v>
      </c>
      <c r="D1898" s="15" t="s">
        <v>263</v>
      </c>
      <c r="E1898" s="15" t="s">
        <v>0</v>
      </c>
      <c r="G1898" s="15" t="s">
        <v>992</v>
      </c>
      <c r="H1898" s="15" t="s">
        <v>993</v>
      </c>
      <c r="I1898" s="15" t="s">
        <v>994</v>
      </c>
      <c r="J1898" s="8" t="str">
        <f>+LEFT(U1898,4)</f>
        <v>HDL-</v>
      </c>
      <c r="K1898" s="15" t="s">
        <v>10</v>
      </c>
      <c r="L1898" s="46">
        <v>1550</v>
      </c>
      <c r="M1898" s="15" t="s">
        <v>1472</v>
      </c>
      <c r="N1898" s="15" t="s">
        <v>11</v>
      </c>
      <c r="O1898" s="49">
        <v>14.150399999999999</v>
      </c>
      <c r="P1898" s="9">
        <f>ROUND(O1898*L1898,2)</f>
        <v>21933.119999999999</v>
      </c>
      <c r="Q1898" s="10">
        <f>IF(N1898="HKD",7.8,IF(N1898="CNY",7.30034,1))</f>
        <v>7.3003400000000003</v>
      </c>
      <c r="R1898" s="10">
        <f>+ROUND(O1898/Q1898,4)</f>
        <v>1.9382999999999999</v>
      </c>
      <c r="S1898" s="11">
        <f>ROUND(R1898*L1898,2)</f>
        <v>3004.37</v>
      </c>
      <c r="T1898" s="10" t="s">
        <v>349</v>
      </c>
      <c r="U1898" s="15" t="s">
        <v>228</v>
      </c>
    </row>
    <row r="1899" spans="1:21">
      <c r="A1899" s="15" t="s">
        <v>967</v>
      </c>
      <c r="B1899" s="16">
        <v>45664</v>
      </c>
      <c r="C1899" s="16">
        <v>45610</v>
      </c>
      <c r="D1899" s="15" t="s">
        <v>128</v>
      </c>
      <c r="E1899" s="15" t="s">
        <v>129</v>
      </c>
      <c r="G1899" s="15" t="s">
        <v>953</v>
      </c>
      <c r="H1899" s="15" t="s">
        <v>965</v>
      </c>
      <c r="I1899" s="15" t="s">
        <v>966</v>
      </c>
      <c r="J1899" s="8" t="str">
        <f>+LEFT(U1899,4)</f>
        <v>LHDL</v>
      </c>
      <c r="K1899" s="15" t="s">
        <v>10</v>
      </c>
      <c r="L1899" s="46">
        <v>1020</v>
      </c>
      <c r="M1899" s="15" t="s">
        <v>1472</v>
      </c>
      <c r="N1899" s="15" t="s">
        <v>11</v>
      </c>
      <c r="O1899" s="49">
        <v>1.9986999999999999</v>
      </c>
      <c r="P1899" s="9">
        <f>ROUND(O1899*L1899,2)</f>
        <v>2038.67</v>
      </c>
      <c r="Q1899" s="10">
        <f>IF(N1899="HKD",7.8,IF(N1899="CNY",7.30034,1))</f>
        <v>7.3003400000000003</v>
      </c>
      <c r="R1899" s="10">
        <f>+ROUND(O1899/Q1899,4)</f>
        <v>0.27379999999999999</v>
      </c>
      <c r="S1899" s="11">
        <f>ROUND(R1899*L1899,2)</f>
        <v>279.27999999999997</v>
      </c>
      <c r="T1899" s="10" t="s">
        <v>349</v>
      </c>
      <c r="U1899" s="15" t="s">
        <v>125</v>
      </c>
    </row>
    <row r="1900" spans="1:21">
      <c r="A1900" s="15" t="s">
        <v>971</v>
      </c>
      <c r="B1900" s="16">
        <v>45664</v>
      </c>
      <c r="C1900" s="16">
        <v>45622</v>
      </c>
      <c r="D1900" s="15" t="s">
        <v>121</v>
      </c>
      <c r="E1900" s="15" t="s">
        <v>122</v>
      </c>
      <c r="G1900" s="15" t="s">
        <v>972</v>
      </c>
      <c r="H1900" s="15" t="s">
        <v>969</v>
      </c>
      <c r="I1900" s="15" t="s">
        <v>970</v>
      </c>
      <c r="J1900" s="8" t="str">
        <f>+LEFT(U1900,4)</f>
        <v>LHDL</v>
      </c>
      <c r="K1900" s="15" t="s">
        <v>10</v>
      </c>
      <c r="L1900" s="46">
        <v>1020</v>
      </c>
      <c r="M1900" s="15" t="s">
        <v>1472</v>
      </c>
      <c r="N1900" s="15" t="s">
        <v>11</v>
      </c>
      <c r="O1900" s="49">
        <v>3.2938000000000001</v>
      </c>
      <c r="P1900" s="9">
        <f>ROUND(O1900*L1900,2)</f>
        <v>3359.68</v>
      </c>
      <c r="Q1900" s="10">
        <f>IF(N1900="HKD",7.8,IF(N1900="CNY",7.30034,1))</f>
        <v>7.3003400000000003</v>
      </c>
      <c r="R1900" s="10">
        <f>+ROUND(O1900/Q1900,4)</f>
        <v>0.45119999999999999</v>
      </c>
      <c r="S1900" s="11">
        <f>ROUND(R1900*L1900,2)</f>
        <v>460.22</v>
      </c>
      <c r="T1900" s="10" t="s">
        <v>349</v>
      </c>
      <c r="U1900" s="15" t="s">
        <v>125</v>
      </c>
    </row>
    <row r="1901" spans="1:21">
      <c r="A1901" s="15" t="s">
        <v>949</v>
      </c>
      <c r="B1901" s="16">
        <v>45664</v>
      </c>
      <c r="C1901" s="16">
        <v>45609</v>
      </c>
      <c r="D1901" s="15" t="s">
        <v>143</v>
      </c>
      <c r="E1901" s="15" t="s">
        <v>144</v>
      </c>
      <c r="G1901" s="15" t="s">
        <v>942</v>
      </c>
      <c r="H1901" s="15" t="s">
        <v>947</v>
      </c>
      <c r="I1901" s="15" t="s">
        <v>948</v>
      </c>
      <c r="J1901" s="8" t="str">
        <f>+LEFT(U1901,4)</f>
        <v>LHDL</v>
      </c>
      <c r="K1901" s="15" t="s">
        <v>10</v>
      </c>
      <c r="L1901" s="46">
        <v>1030</v>
      </c>
      <c r="M1901" s="15" t="s">
        <v>1472</v>
      </c>
      <c r="N1901" s="15" t="s">
        <v>11</v>
      </c>
      <c r="O1901" s="49">
        <v>10.730700000000001</v>
      </c>
      <c r="P1901" s="9">
        <f>ROUND(O1901*L1901,2)</f>
        <v>11052.62</v>
      </c>
      <c r="Q1901" s="10">
        <f>IF(N1901="HKD",7.8,IF(N1901="CNY",7.30034,1))</f>
        <v>7.3003400000000003</v>
      </c>
      <c r="R1901" s="10">
        <f>+ROUND(O1901/Q1901,4)</f>
        <v>1.4699</v>
      </c>
      <c r="S1901" s="11">
        <f>ROUND(R1901*L1901,2)</f>
        <v>1514</v>
      </c>
      <c r="T1901" s="10" t="s">
        <v>349</v>
      </c>
      <c r="U1901" s="15" t="s">
        <v>125</v>
      </c>
    </row>
    <row r="1902" spans="1:21">
      <c r="A1902" s="15" t="s">
        <v>946</v>
      </c>
      <c r="B1902" s="16">
        <v>45664</v>
      </c>
      <c r="C1902" s="16">
        <v>45609</v>
      </c>
      <c r="D1902" s="15" t="s">
        <v>143</v>
      </c>
      <c r="E1902" s="15" t="s">
        <v>144</v>
      </c>
      <c r="G1902" s="15" t="s">
        <v>942</v>
      </c>
      <c r="H1902" s="15" t="s">
        <v>944</v>
      </c>
      <c r="I1902" s="15" t="s">
        <v>945</v>
      </c>
      <c r="J1902" s="8" t="str">
        <f>+LEFT(U1902,4)</f>
        <v>LHDL</v>
      </c>
      <c r="K1902" s="15" t="s">
        <v>10</v>
      </c>
      <c r="L1902" s="46">
        <v>1030</v>
      </c>
      <c r="M1902" s="15" t="s">
        <v>1472</v>
      </c>
      <c r="N1902" s="15" t="s">
        <v>11</v>
      </c>
      <c r="O1902" s="49">
        <v>10.730700000000001</v>
      </c>
      <c r="P1902" s="9">
        <f>ROUND(O1902*L1902,2)</f>
        <v>11052.62</v>
      </c>
      <c r="Q1902" s="10">
        <f>IF(N1902="HKD",7.8,IF(N1902="CNY",7.30034,1))</f>
        <v>7.3003400000000003</v>
      </c>
      <c r="R1902" s="10">
        <f>+ROUND(O1902/Q1902,4)</f>
        <v>1.4699</v>
      </c>
      <c r="S1902" s="11">
        <f>ROUND(R1902*L1902,2)</f>
        <v>1514</v>
      </c>
      <c r="T1902" s="10" t="s">
        <v>349</v>
      </c>
      <c r="U1902" s="15" t="s">
        <v>125</v>
      </c>
    </row>
    <row r="1903" spans="1:21">
      <c r="A1903" s="15" t="s">
        <v>1003</v>
      </c>
      <c r="B1903" s="16">
        <v>45664</v>
      </c>
      <c r="C1903" s="16">
        <v>45609</v>
      </c>
      <c r="D1903" s="15" t="s">
        <v>94</v>
      </c>
      <c r="E1903" s="15" t="s">
        <v>95</v>
      </c>
      <c r="G1903" s="15" t="s">
        <v>1000</v>
      </c>
      <c r="H1903" s="15" t="s">
        <v>1001</v>
      </c>
      <c r="I1903" s="15" t="s">
        <v>1002</v>
      </c>
      <c r="J1903" s="8" t="str">
        <f>+LEFT(U1903,4)</f>
        <v>LID-</v>
      </c>
      <c r="K1903" s="15" t="s">
        <v>98</v>
      </c>
      <c r="L1903" s="46">
        <v>1030</v>
      </c>
      <c r="M1903" s="15" t="s">
        <v>1472</v>
      </c>
      <c r="N1903" s="15" t="s">
        <v>11</v>
      </c>
      <c r="O1903" s="49">
        <v>3.42</v>
      </c>
      <c r="P1903" s="9">
        <f>ROUND(O1903*L1903,2)</f>
        <v>3522.6</v>
      </c>
      <c r="Q1903" s="10">
        <f>IF(N1903="HKD",7.8,IF(N1903="CNY",7.30034,1))</f>
        <v>7.3003400000000003</v>
      </c>
      <c r="R1903" s="10">
        <f>+ROUND(O1903/Q1903,4)</f>
        <v>0.46850000000000003</v>
      </c>
      <c r="S1903" s="11">
        <f>ROUND(R1903*L1903,2)</f>
        <v>482.56</v>
      </c>
      <c r="T1903" s="10" t="s">
        <v>349</v>
      </c>
      <c r="U1903" s="15" t="s">
        <v>368</v>
      </c>
    </row>
    <row r="1904" spans="1:21">
      <c r="A1904" s="15" t="s">
        <v>999</v>
      </c>
      <c r="B1904" s="16">
        <v>45664</v>
      </c>
      <c r="C1904" s="16">
        <v>45609</v>
      </c>
      <c r="D1904" s="15" t="s">
        <v>94</v>
      </c>
      <c r="E1904" s="15" t="s">
        <v>95</v>
      </c>
      <c r="G1904" s="15" t="s">
        <v>1000</v>
      </c>
      <c r="H1904" s="15" t="s">
        <v>997</v>
      </c>
      <c r="I1904" s="15" t="s">
        <v>998</v>
      </c>
      <c r="J1904" s="8" t="str">
        <f>+LEFT(U1904,4)</f>
        <v>LID-</v>
      </c>
      <c r="K1904" s="15" t="s">
        <v>98</v>
      </c>
      <c r="L1904" s="46">
        <v>1030</v>
      </c>
      <c r="M1904" s="15" t="s">
        <v>1472</v>
      </c>
      <c r="N1904" s="15" t="s">
        <v>11</v>
      </c>
      <c r="O1904" s="49">
        <v>3.64</v>
      </c>
      <c r="P1904" s="9">
        <f>ROUND(O1904*L1904,2)</f>
        <v>3749.2</v>
      </c>
      <c r="Q1904" s="10">
        <f>IF(N1904="HKD",7.8,IF(N1904="CNY",7.30034,1))</f>
        <v>7.3003400000000003</v>
      </c>
      <c r="R1904" s="10">
        <f>+ROUND(O1904/Q1904,4)</f>
        <v>0.49859999999999999</v>
      </c>
      <c r="S1904" s="11">
        <f>ROUND(R1904*L1904,2)</f>
        <v>513.55999999999995</v>
      </c>
      <c r="T1904" s="10" t="s">
        <v>349</v>
      </c>
      <c r="U1904" s="15" t="s">
        <v>368</v>
      </c>
    </row>
    <row r="1905" spans="1:21">
      <c r="A1905" s="15" t="s">
        <v>539</v>
      </c>
      <c r="B1905" s="16">
        <v>45664</v>
      </c>
      <c r="C1905" s="16">
        <v>45657</v>
      </c>
      <c r="D1905" s="15" t="s">
        <v>530</v>
      </c>
      <c r="E1905" s="15" t="s">
        <v>531</v>
      </c>
      <c r="G1905" s="15" t="s">
        <v>968</v>
      </c>
      <c r="H1905" s="15" t="s">
        <v>537</v>
      </c>
      <c r="I1905" s="15" t="s">
        <v>538</v>
      </c>
      <c r="J1905" s="8" t="str">
        <f>+LEFT(U1905,4)</f>
        <v>MISC</v>
      </c>
      <c r="K1905" s="15" t="s">
        <v>10</v>
      </c>
      <c r="L1905" s="46">
        <v>10000</v>
      </c>
      <c r="M1905" s="15" t="s">
        <v>1472</v>
      </c>
      <c r="N1905" s="15" t="s">
        <v>11</v>
      </c>
      <c r="O1905" s="49">
        <v>0.3085</v>
      </c>
      <c r="P1905" s="9">
        <f>ROUND(O1905*L1905,2)</f>
        <v>3085</v>
      </c>
      <c r="Q1905" s="10">
        <f>IF(N1905="HKD",7.8,IF(N1905="CNY",7.30034,1))</f>
        <v>7.3003400000000003</v>
      </c>
      <c r="R1905" s="10">
        <f>+ROUND(O1905/Q1905,4)</f>
        <v>4.2299999999999997E-2</v>
      </c>
      <c r="S1905" s="11">
        <f>ROUND(R1905*L1905,2)</f>
        <v>423</v>
      </c>
      <c r="T1905" s="10" t="s">
        <v>349</v>
      </c>
      <c r="U1905" s="15" t="s">
        <v>25</v>
      </c>
    </row>
    <row r="1906" spans="1:21">
      <c r="A1906" s="15" t="s">
        <v>532</v>
      </c>
      <c r="B1906" s="16">
        <v>45664</v>
      </c>
      <c r="C1906" s="16">
        <v>45657</v>
      </c>
      <c r="D1906" s="15" t="s">
        <v>530</v>
      </c>
      <c r="E1906" s="15" t="s">
        <v>531</v>
      </c>
      <c r="G1906" s="15" t="s">
        <v>968</v>
      </c>
      <c r="H1906" s="15" t="s">
        <v>528</v>
      </c>
      <c r="I1906" s="15" t="s">
        <v>529</v>
      </c>
      <c r="J1906" s="8" t="str">
        <f>+LEFT(U1906,4)</f>
        <v>MISC</v>
      </c>
      <c r="K1906" s="15" t="s">
        <v>10</v>
      </c>
      <c r="L1906" s="46">
        <v>8000</v>
      </c>
      <c r="M1906" s="15" t="s">
        <v>1472</v>
      </c>
      <c r="N1906" s="15" t="s">
        <v>11</v>
      </c>
      <c r="O1906" s="49">
        <v>0.39500000000000002</v>
      </c>
      <c r="P1906" s="9">
        <f>ROUND(O1906*L1906,2)</f>
        <v>3160</v>
      </c>
      <c r="Q1906" s="10">
        <f>IF(N1906="HKD",7.8,IF(N1906="CNY",7.30034,1))</f>
        <v>7.3003400000000003</v>
      </c>
      <c r="R1906" s="10">
        <f>+ROUND(O1906/Q1906,4)</f>
        <v>5.4100000000000002E-2</v>
      </c>
      <c r="S1906" s="11">
        <f>ROUND(R1906*L1906,2)</f>
        <v>432.8</v>
      </c>
      <c r="T1906" s="10" t="s">
        <v>349</v>
      </c>
      <c r="U1906" s="15" t="s">
        <v>25</v>
      </c>
    </row>
    <row r="1907" spans="1:21">
      <c r="A1907" s="15" t="s">
        <v>961</v>
      </c>
      <c r="B1907" s="16">
        <v>45664</v>
      </c>
      <c r="C1907" s="16">
        <v>45643</v>
      </c>
      <c r="D1907" s="15" t="s">
        <v>128</v>
      </c>
      <c r="E1907" s="15" t="s">
        <v>129</v>
      </c>
      <c r="G1907" s="15" t="s">
        <v>953</v>
      </c>
      <c r="H1907" s="15" t="s">
        <v>958</v>
      </c>
      <c r="I1907" s="15" t="s">
        <v>959</v>
      </c>
      <c r="J1907" s="8" t="str">
        <f>+LEFT(U1907,4)</f>
        <v>RIV-</v>
      </c>
      <c r="K1907" s="15" t="s">
        <v>10</v>
      </c>
      <c r="L1907" s="46">
        <v>4300</v>
      </c>
      <c r="M1907" s="15" t="s">
        <v>1472</v>
      </c>
      <c r="N1907" s="15" t="s">
        <v>11</v>
      </c>
      <c r="O1907" s="49">
        <v>4.8000000000000001E-2</v>
      </c>
      <c r="P1907" s="9">
        <f>ROUND(O1907*L1907,2)</f>
        <v>206.4</v>
      </c>
      <c r="Q1907" s="10">
        <f>IF(N1907="HKD",7.8,IF(N1907="CNY",7.30034,1))</f>
        <v>7.3003400000000003</v>
      </c>
      <c r="R1907" s="10">
        <f>+ROUND(O1907/Q1907,4)</f>
        <v>6.6E-3</v>
      </c>
      <c r="S1907" s="11">
        <f>ROUND(R1907*L1907,2)</f>
        <v>28.38</v>
      </c>
      <c r="T1907" s="10" t="s">
        <v>349</v>
      </c>
      <c r="U1907" s="15" t="s">
        <v>132</v>
      </c>
    </row>
    <row r="1908" spans="1:21">
      <c r="A1908" s="15" t="s">
        <v>960</v>
      </c>
      <c r="B1908" s="16">
        <v>45664</v>
      </c>
      <c r="C1908" s="16">
        <v>45653</v>
      </c>
      <c r="D1908" s="15" t="s">
        <v>128</v>
      </c>
      <c r="E1908" s="15" t="s">
        <v>129</v>
      </c>
      <c r="G1908" s="15" t="s">
        <v>953</v>
      </c>
      <c r="H1908" s="15" t="s">
        <v>958</v>
      </c>
      <c r="I1908" s="15" t="s">
        <v>959</v>
      </c>
      <c r="J1908" s="8" t="str">
        <f>+LEFT(U1908,4)</f>
        <v>RIV-</v>
      </c>
      <c r="K1908" s="15" t="s">
        <v>10</v>
      </c>
      <c r="L1908" s="46">
        <v>1000</v>
      </c>
      <c r="M1908" s="15" t="s">
        <v>1472</v>
      </c>
      <c r="N1908" s="15" t="s">
        <v>11</v>
      </c>
      <c r="O1908" s="49">
        <v>4.8000000000000001E-2</v>
      </c>
      <c r="P1908" s="9">
        <f>ROUND(O1908*L1908,2)</f>
        <v>48</v>
      </c>
      <c r="Q1908" s="10">
        <f>IF(N1908="HKD",7.8,IF(N1908="CNY",7.30034,1))</f>
        <v>7.3003400000000003</v>
      </c>
      <c r="R1908" s="10">
        <f>+ROUND(O1908/Q1908,4)</f>
        <v>6.6E-3</v>
      </c>
      <c r="S1908" s="11">
        <f>ROUND(R1908*L1908,2)</f>
        <v>6.6</v>
      </c>
      <c r="T1908" s="10" t="s">
        <v>349</v>
      </c>
      <c r="U1908" s="15" t="s">
        <v>132</v>
      </c>
    </row>
    <row r="1909" spans="1:21">
      <c r="A1909" s="15" t="s">
        <v>956</v>
      </c>
      <c r="B1909" s="16">
        <v>45664</v>
      </c>
      <c r="C1909" s="16">
        <v>45653</v>
      </c>
      <c r="D1909" s="15" t="s">
        <v>128</v>
      </c>
      <c r="E1909" s="15" t="s">
        <v>129</v>
      </c>
      <c r="G1909" s="15" t="s">
        <v>953</v>
      </c>
      <c r="H1909" s="15" t="s">
        <v>954</v>
      </c>
      <c r="I1909" s="15" t="s">
        <v>955</v>
      </c>
      <c r="J1909" s="8" t="str">
        <f>+LEFT(U1909,4)</f>
        <v>RIV-</v>
      </c>
      <c r="K1909" s="15" t="s">
        <v>10</v>
      </c>
      <c r="L1909" s="46">
        <v>2100</v>
      </c>
      <c r="M1909" s="15" t="s">
        <v>1472</v>
      </c>
      <c r="N1909" s="15" t="s">
        <v>11</v>
      </c>
      <c r="O1909" s="49">
        <v>7.0099999999999996E-2</v>
      </c>
      <c r="P1909" s="9">
        <f>ROUND(O1909*L1909,2)</f>
        <v>147.21</v>
      </c>
      <c r="Q1909" s="10">
        <f>IF(N1909="HKD",7.8,IF(N1909="CNY",7.30034,1))</f>
        <v>7.3003400000000003</v>
      </c>
      <c r="R1909" s="10">
        <f>+ROUND(O1909/Q1909,4)</f>
        <v>9.5999999999999992E-3</v>
      </c>
      <c r="S1909" s="11">
        <f>ROUND(R1909*L1909,2)</f>
        <v>20.16</v>
      </c>
      <c r="T1909" s="10" t="s">
        <v>349</v>
      </c>
      <c r="U1909" s="15" t="s">
        <v>132</v>
      </c>
    </row>
    <row r="1910" spans="1:21">
      <c r="A1910" s="15" t="s">
        <v>957</v>
      </c>
      <c r="B1910" s="16">
        <v>45664</v>
      </c>
      <c r="C1910" s="16">
        <v>45610</v>
      </c>
      <c r="D1910" s="15" t="s">
        <v>128</v>
      </c>
      <c r="E1910" s="15" t="s">
        <v>129</v>
      </c>
      <c r="G1910" s="15" t="s">
        <v>953</v>
      </c>
      <c r="H1910" s="15" t="s">
        <v>950</v>
      </c>
      <c r="I1910" s="15" t="s">
        <v>951</v>
      </c>
      <c r="J1910" s="8" t="str">
        <f>+LEFT(U1910,4)</f>
        <v>RIV-</v>
      </c>
      <c r="K1910" s="15" t="s">
        <v>10</v>
      </c>
      <c r="L1910" s="46">
        <v>2000</v>
      </c>
      <c r="M1910" s="15" t="s">
        <v>1472</v>
      </c>
      <c r="N1910" s="15" t="s">
        <v>11</v>
      </c>
      <c r="O1910" s="49">
        <v>0.1016</v>
      </c>
      <c r="P1910" s="9">
        <f>ROUND(O1910*L1910,2)</f>
        <v>203.2</v>
      </c>
      <c r="Q1910" s="10">
        <f>IF(N1910="HKD",7.8,IF(N1910="CNY",7.30034,1))</f>
        <v>7.3003400000000003</v>
      </c>
      <c r="R1910" s="10">
        <f>+ROUND(O1910/Q1910,4)</f>
        <v>1.3899999999999999E-2</v>
      </c>
      <c r="S1910" s="11">
        <f>ROUND(R1910*L1910,2)</f>
        <v>27.8</v>
      </c>
      <c r="T1910" s="10" t="s">
        <v>349</v>
      </c>
      <c r="U1910" s="15" t="s">
        <v>132</v>
      </c>
    </row>
    <row r="1911" spans="1:21">
      <c r="A1911" s="15" t="s">
        <v>952</v>
      </c>
      <c r="B1911" s="16">
        <v>45664</v>
      </c>
      <c r="C1911" s="16">
        <v>45644</v>
      </c>
      <c r="D1911" s="15" t="s">
        <v>128</v>
      </c>
      <c r="E1911" s="15" t="s">
        <v>129</v>
      </c>
      <c r="G1911" s="15" t="s">
        <v>953</v>
      </c>
      <c r="H1911" s="15" t="s">
        <v>950</v>
      </c>
      <c r="I1911" s="15" t="s">
        <v>951</v>
      </c>
      <c r="J1911" s="8" t="str">
        <f>+LEFT(U1911,4)</f>
        <v>RIV-</v>
      </c>
      <c r="K1911" s="15" t="s">
        <v>10</v>
      </c>
      <c r="L1911" s="46">
        <v>600</v>
      </c>
      <c r="M1911" s="15" t="s">
        <v>1472</v>
      </c>
      <c r="N1911" s="15" t="s">
        <v>11</v>
      </c>
      <c r="O1911" s="49">
        <v>0.1016</v>
      </c>
      <c r="P1911" s="9">
        <f>ROUND(O1911*L1911,2)</f>
        <v>60.96</v>
      </c>
      <c r="Q1911" s="10">
        <f>IF(N1911="HKD",7.8,IF(N1911="CNY",7.30034,1))</f>
        <v>7.3003400000000003</v>
      </c>
      <c r="R1911" s="10">
        <f>+ROUND(O1911/Q1911,4)</f>
        <v>1.3899999999999999E-2</v>
      </c>
      <c r="S1911" s="11">
        <f>ROUND(R1911*L1911,2)</f>
        <v>8.34</v>
      </c>
      <c r="T1911" s="10" t="s">
        <v>349</v>
      </c>
      <c r="U1911" s="15" t="s">
        <v>132</v>
      </c>
    </row>
    <row r="1912" spans="1:21">
      <c r="A1912" s="15" t="s">
        <v>964</v>
      </c>
      <c r="B1912" s="16">
        <v>45664</v>
      </c>
      <c r="C1912" s="16">
        <v>45610</v>
      </c>
      <c r="D1912" s="15" t="s">
        <v>128</v>
      </c>
      <c r="E1912" s="15" t="s">
        <v>129</v>
      </c>
      <c r="G1912" s="15" t="s">
        <v>953</v>
      </c>
      <c r="H1912" s="15" t="s">
        <v>962</v>
      </c>
      <c r="I1912" s="15" t="s">
        <v>963</v>
      </c>
      <c r="J1912" s="8" t="str">
        <f>+LEFT(U1912,4)</f>
        <v>SHDL</v>
      </c>
      <c r="K1912" s="15" t="s">
        <v>10</v>
      </c>
      <c r="L1912" s="46">
        <v>1810</v>
      </c>
      <c r="M1912" s="15" t="s">
        <v>1472</v>
      </c>
      <c r="N1912" s="15" t="s">
        <v>11</v>
      </c>
      <c r="O1912" s="49">
        <v>3.9451000000000001</v>
      </c>
      <c r="P1912" s="9">
        <f>ROUND(O1912*L1912,2)</f>
        <v>7140.63</v>
      </c>
      <c r="Q1912" s="10">
        <f>IF(N1912="HKD",7.8,IF(N1912="CNY",7.30034,1))</f>
        <v>7.3003400000000003</v>
      </c>
      <c r="R1912" s="10">
        <f>+ROUND(O1912/Q1912,4)</f>
        <v>0.54039999999999999</v>
      </c>
      <c r="S1912" s="11">
        <f>ROUND(R1912*L1912,2)</f>
        <v>978.12</v>
      </c>
      <c r="T1912" s="10" t="s">
        <v>349</v>
      </c>
      <c r="U1912" s="15" t="s">
        <v>722</v>
      </c>
    </row>
    <row r="1913" spans="1:21">
      <c r="A1913" s="15" t="s">
        <v>943</v>
      </c>
      <c r="B1913" s="16">
        <v>45664</v>
      </c>
      <c r="C1913" s="16">
        <v>45629</v>
      </c>
      <c r="D1913" s="15" t="s">
        <v>143</v>
      </c>
      <c r="E1913" s="15" t="s">
        <v>144</v>
      </c>
      <c r="G1913" s="15" t="s">
        <v>942</v>
      </c>
      <c r="H1913" s="15" t="s">
        <v>939</v>
      </c>
      <c r="I1913" s="15" t="s">
        <v>940</v>
      </c>
      <c r="J1913" s="8" t="str">
        <f>+LEFT(U1913,4)</f>
        <v>WHR-</v>
      </c>
      <c r="K1913" s="15" t="s">
        <v>10</v>
      </c>
      <c r="L1913" s="46">
        <v>1000</v>
      </c>
      <c r="M1913" s="15" t="s">
        <v>1472</v>
      </c>
      <c r="N1913" s="15" t="s">
        <v>11</v>
      </c>
      <c r="O1913" s="49">
        <v>6.2E-2</v>
      </c>
      <c r="P1913" s="9">
        <f>ROUND(O1913*L1913,2)</f>
        <v>62</v>
      </c>
      <c r="Q1913" s="10">
        <f>IF(N1913="HKD",7.8,IF(N1913="CNY",7.30034,1))</f>
        <v>7.3003400000000003</v>
      </c>
      <c r="R1913" s="10">
        <f>+ROUND(O1913/Q1913,4)</f>
        <v>8.5000000000000006E-3</v>
      </c>
      <c r="S1913" s="11">
        <f>ROUND(R1913*L1913,2)</f>
        <v>8.5</v>
      </c>
      <c r="T1913" s="10" t="s">
        <v>349</v>
      </c>
      <c r="U1913" s="15" t="s">
        <v>248</v>
      </c>
    </row>
    <row r="1914" spans="1:21">
      <c r="A1914" s="15" t="s">
        <v>941</v>
      </c>
      <c r="B1914" s="16">
        <v>45664</v>
      </c>
      <c r="C1914" s="16">
        <v>45646</v>
      </c>
      <c r="D1914" s="15" t="s">
        <v>143</v>
      </c>
      <c r="E1914" s="15" t="s">
        <v>144</v>
      </c>
      <c r="G1914" s="15" t="s">
        <v>942</v>
      </c>
      <c r="H1914" s="15" t="s">
        <v>939</v>
      </c>
      <c r="I1914" s="15" t="s">
        <v>940</v>
      </c>
      <c r="J1914" s="8" t="str">
        <f>+LEFT(U1914,4)</f>
        <v>WHR-</v>
      </c>
      <c r="K1914" s="15" t="s">
        <v>10</v>
      </c>
      <c r="L1914" s="46">
        <v>9800</v>
      </c>
      <c r="M1914" s="15" t="s">
        <v>1472</v>
      </c>
      <c r="N1914" s="15" t="s">
        <v>11</v>
      </c>
      <c r="O1914" s="49">
        <v>6.2E-2</v>
      </c>
      <c r="P1914" s="9">
        <f>ROUND(O1914*L1914,2)</f>
        <v>607.6</v>
      </c>
      <c r="Q1914" s="10">
        <f>IF(N1914="HKD",7.8,IF(N1914="CNY",7.30034,1))</f>
        <v>7.3003400000000003</v>
      </c>
      <c r="R1914" s="10">
        <f>+ROUND(O1914/Q1914,4)</f>
        <v>8.5000000000000006E-3</v>
      </c>
      <c r="S1914" s="11">
        <f>ROUND(R1914*L1914,2)</f>
        <v>83.3</v>
      </c>
      <c r="T1914" s="10" t="s">
        <v>349</v>
      </c>
      <c r="U1914" s="15" t="s">
        <v>248</v>
      </c>
    </row>
    <row r="1915" spans="1:21">
      <c r="A1915" s="15" t="s">
        <v>1021</v>
      </c>
      <c r="B1915" s="16">
        <v>45663</v>
      </c>
      <c r="C1915" s="16">
        <v>45657</v>
      </c>
      <c r="D1915" s="15" t="s">
        <v>1006</v>
      </c>
      <c r="E1915" s="15" t="s">
        <v>1007</v>
      </c>
      <c r="G1915" s="15" t="s">
        <v>1009</v>
      </c>
      <c r="H1915" s="15" t="s">
        <v>1019</v>
      </c>
      <c r="I1915" s="15" t="s">
        <v>1020</v>
      </c>
      <c r="J1915" s="8" t="str">
        <f>+LEFT(U1915,4)</f>
        <v>ALM-</v>
      </c>
      <c r="K1915" s="15" t="s">
        <v>98</v>
      </c>
      <c r="L1915" s="46">
        <v>1698</v>
      </c>
      <c r="M1915" s="15" t="s">
        <v>186</v>
      </c>
      <c r="N1915" s="15" t="s">
        <v>11</v>
      </c>
      <c r="O1915" s="49">
        <v>2.9203999999999999</v>
      </c>
      <c r="P1915" s="9">
        <f>ROUND(O1915*L1915,2)</f>
        <v>4958.84</v>
      </c>
      <c r="Q1915" s="10">
        <f>IF(N1915="HKD",7.8,IF(N1915="CNY",7.30034,1))</f>
        <v>7.3003400000000003</v>
      </c>
      <c r="R1915" s="10">
        <f>+ROUND(O1915/Q1915,4)</f>
        <v>0.4</v>
      </c>
      <c r="S1915" s="11">
        <f>ROUND(R1915*L1915,2)</f>
        <v>679.2</v>
      </c>
      <c r="T1915" s="10" t="s">
        <v>349</v>
      </c>
      <c r="U1915" s="15" t="s">
        <v>191</v>
      </c>
    </row>
    <row r="1916" spans="1:21">
      <c r="A1916" s="15" t="s">
        <v>1012</v>
      </c>
      <c r="B1916" s="16">
        <v>45663</v>
      </c>
      <c r="C1916" s="16">
        <v>45657</v>
      </c>
      <c r="D1916" s="15" t="s">
        <v>1006</v>
      </c>
      <c r="E1916" s="15" t="s">
        <v>1007</v>
      </c>
      <c r="G1916" s="15" t="s">
        <v>1009</v>
      </c>
      <c r="H1916" s="15" t="s">
        <v>1010</v>
      </c>
      <c r="I1916" s="15" t="s">
        <v>1011</v>
      </c>
      <c r="J1916" s="8" t="str">
        <f>+LEFT(U1916,4)</f>
        <v>ALM-</v>
      </c>
      <c r="K1916" s="15" t="s">
        <v>98</v>
      </c>
      <c r="L1916" s="46">
        <v>562</v>
      </c>
      <c r="M1916" s="15" t="s">
        <v>186</v>
      </c>
      <c r="N1916" s="15" t="s">
        <v>11</v>
      </c>
      <c r="O1916" s="49">
        <v>2.9203999999999999</v>
      </c>
      <c r="P1916" s="9">
        <f>ROUND(O1916*L1916,2)</f>
        <v>1641.26</v>
      </c>
      <c r="Q1916" s="10">
        <f>IF(N1916="HKD",7.8,IF(N1916="CNY",7.30034,1))</f>
        <v>7.3003400000000003</v>
      </c>
      <c r="R1916" s="10">
        <f>+ROUND(O1916/Q1916,4)</f>
        <v>0.4</v>
      </c>
      <c r="S1916" s="11">
        <f>ROUND(R1916*L1916,2)</f>
        <v>224.8</v>
      </c>
      <c r="T1916" s="10" t="s">
        <v>349</v>
      </c>
      <c r="U1916" s="15" t="s">
        <v>191</v>
      </c>
    </row>
    <row r="1917" spans="1:21">
      <c r="A1917" s="15" t="s">
        <v>1008</v>
      </c>
      <c r="B1917" s="16">
        <v>45663</v>
      </c>
      <c r="C1917" s="16">
        <v>45657</v>
      </c>
      <c r="D1917" s="15" t="s">
        <v>1006</v>
      </c>
      <c r="E1917" s="15" t="s">
        <v>1007</v>
      </c>
      <c r="G1917" s="15" t="s">
        <v>1009</v>
      </c>
      <c r="H1917" s="15" t="s">
        <v>1004</v>
      </c>
      <c r="I1917" s="15" t="s">
        <v>1005</v>
      </c>
      <c r="J1917" s="8" t="str">
        <f>+LEFT(U1917,4)</f>
        <v>ALM-</v>
      </c>
      <c r="K1917" s="15" t="s">
        <v>98</v>
      </c>
      <c r="L1917" s="46">
        <v>550</v>
      </c>
      <c r="M1917" s="15" t="s">
        <v>186</v>
      </c>
      <c r="N1917" s="15" t="s">
        <v>11</v>
      </c>
      <c r="O1917" s="49">
        <v>2.9203999999999999</v>
      </c>
      <c r="P1917" s="9">
        <f>ROUND(O1917*L1917,2)</f>
        <v>1606.22</v>
      </c>
      <c r="Q1917" s="10">
        <f>IF(N1917="HKD",7.8,IF(N1917="CNY",7.30034,1))</f>
        <v>7.3003400000000003</v>
      </c>
      <c r="R1917" s="10">
        <f>+ROUND(O1917/Q1917,4)</f>
        <v>0.4</v>
      </c>
      <c r="S1917" s="11">
        <f>ROUND(R1917*L1917,2)</f>
        <v>220</v>
      </c>
      <c r="T1917" s="10" t="s">
        <v>349</v>
      </c>
      <c r="U1917" s="15" t="s">
        <v>191</v>
      </c>
    </row>
    <row r="1918" spans="1:21">
      <c r="A1918" s="15" t="s">
        <v>1018</v>
      </c>
      <c r="B1918" s="16">
        <v>45663</v>
      </c>
      <c r="C1918" s="16">
        <v>45657</v>
      </c>
      <c r="D1918" s="15" t="s">
        <v>1006</v>
      </c>
      <c r="E1918" s="15" t="s">
        <v>1007</v>
      </c>
      <c r="G1918" s="15" t="s">
        <v>1009</v>
      </c>
      <c r="H1918" s="15" t="s">
        <v>1016</v>
      </c>
      <c r="I1918" s="15" t="s">
        <v>1017</v>
      </c>
      <c r="J1918" s="8" t="str">
        <f>+LEFT(U1918,4)</f>
        <v>ALM-</v>
      </c>
      <c r="K1918" s="15" t="s">
        <v>98</v>
      </c>
      <c r="L1918" s="46">
        <v>902</v>
      </c>
      <c r="M1918" s="15" t="s">
        <v>186</v>
      </c>
      <c r="N1918" s="15" t="s">
        <v>11</v>
      </c>
      <c r="O1918" s="49">
        <v>3.0973000000000002</v>
      </c>
      <c r="P1918" s="9">
        <f>ROUND(O1918*L1918,2)</f>
        <v>2793.76</v>
      </c>
      <c r="Q1918" s="10">
        <f>IF(N1918="HKD",7.8,IF(N1918="CNY",7.30034,1))</f>
        <v>7.3003400000000003</v>
      </c>
      <c r="R1918" s="10">
        <f>+ROUND(O1918/Q1918,4)</f>
        <v>0.42430000000000001</v>
      </c>
      <c r="S1918" s="11">
        <f>ROUND(R1918*L1918,2)</f>
        <v>382.72</v>
      </c>
      <c r="T1918" s="10" t="s">
        <v>349</v>
      </c>
      <c r="U1918" s="15" t="s">
        <v>191</v>
      </c>
    </row>
    <row r="1919" spans="1:21">
      <c r="A1919" s="15" t="s">
        <v>1015</v>
      </c>
      <c r="B1919" s="16">
        <v>45663</v>
      </c>
      <c r="C1919" s="16">
        <v>45657</v>
      </c>
      <c r="D1919" s="15" t="s">
        <v>1006</v>
      </c>
      <c r="E1919" s="15" t="s">
        <v>1007</v>
      </c>
      <c r="G1919" s="15" t="s">
        <v>1009</v>
      </c>
      <c r="H1919" s="15" t="s">
        <v>1013</v>
      </c>
      <c r="I1919" s="15" t="s">
        <v>1014</v>
      </c>
      <c r="J1919" s="8" t="str">
        <f>+LEFT(U1919,4)</f>
        <v>ALM-</v>
      </c>
      <c r="K1919" s="15" t="s">
        <v>98</v>
      </c>
      <c r="L1919" s="46">
        <v>555</v>
      </c>
      <c r="M1919" s="15" t="s">
        <v>186</v>
      </c>
      <c r="N1919" s="15" t="s">
        <v>11</v>
      </c>
      <c r="O1919" s="49">
        <v>3.0973000000000002</v>
      </c>
      <c r="P1919" s="9">
        <f>ROUND(O1919*L1919,2)</f>
        <v>1719</v>
      </c>
      <c r="Q1919" s="10">
        <f>IF(N1919="HKD",7.8,IF(N1919="CNY",7.30034,1))</f>
        <v>7.3003400000000003</v>
      </c>
      <c r="R1919" s="10">
        <f>+ROUND(O1919/Q1919,4)</f>
        <v>0.42430000000000001</v>
      </c>
      <c r="S1919" s="11">
        <f>ROUND(R1919*L1919,2)</f>
        <v>235.49</v>
      </c>
      <c r="T1919" s="10" t="s">
        <v>349</v>
      </c>
      <c r="U1919" s="15" t="s">
        <v>191</v>
      </c>
    </row>
    <row r="1920" spans="1:21">
      <c r="A1920" s="15" t="s">
        <v>1234</v>
      </c>
      <c r="B1920" s="16">
        <v>45663</v>
      </c>
      <c r="C1920" s="16">
        <v>45615</v>
      </c>
      <c r="D1920" s="15" t="s">
        <v>187</v>
      </c>
      <c r="E1920" s="15" t="s">
        <v>188</v>
      </c>
      <c r="G1920" s="15" t="s">
        <v>1199</v>
      </c>
      <c r="H1920" s="15" t="s">
        <v>211</v>
      </c>
      <c r="I1920" s="15" t="s">
        <v>212</v>
      </c>
      <c r="J1920" s="8" t="str">
        <f>+LEFT(U1920,4)</f>
        <v>ALM-</v>
      </c>
      <c r="K1920" s="15" t="s">
        <v>98</v>
      </c>
      <c r="L1920" s="46">
        <v>800</v>
      </c>
      <c r="M1920" s="15" t="s">
        <v>186</v>
      </c>
      <c r="N1920" s="15" t="s">
        <v>11</v>
      </c>
      <c r="O1920" s="49">
        <v>3.1415999999999999</v>
      </c>
      <c r="P1920" s="9">
        <f>ROUND(O1920*L1920,2)</f>
        <v>2513.2800000000002</v>
      </c>
      <c r="Q1920" s="10">
        <f>IF(N1920="HKD",7.8,IF(N1920="CNY",7.30034,1))</f>
        <v>7.3003400000000003</v>
      </c>
      <c r="R1920" s="10">
        <f>+ROUND(O1920/Q1920,4)</f>
        <v>0.43030000000000002</v>
      </c>
      <c r="S1920" s="11">
        <f>ROUND(R1920*L1920,2)</f>
        <v>344.24</v>
      </c>
      <c r="T1920" s="10" t="s">
        <v>349</v>
      </c>
      <c r="U1920" s="15" t="s">
        <v>191</v>
      </c>
    </row>
    <row r="1921" spans="1:21">
      <c r="A1921" s="15" t="s">
        <v>1233</v>
      </c>
      <c r="B1921" s="16">
        <v>45663</v>
      </c>
      <c r="C1921" s="16">
        <v>45615</v>
      </c>
      <c r="D1921" s="15" t="s">
        <v>187</v>
      </c>
      <c r="E1921" s="15" t="s">
        <v>188</v>
      </c>
      <c r="G1921" s="15" t="s">
        <v>1199</v>
      </c>
      <c r="H1921" s="15" t="s">
        <v>208</v>
      </c>
      <c r="I1921" s="15" t="s">
        <v>209</v>
      </c>
      <c r="J1921" s="8" t="str">
        <f>+LEFT(U1921,4)</f>
        <v>ALM-</v>
      </c>
      <c r="K1921" s="15" t="s">
        <v>98</v>
      </c>
      <c r="L1921" s="46">
        <v>1000</v>
      </c>
      <c r="M1921" s="15" t="s">
        <v>186</v>
      </c>
      <c r="N1921" s="15" t="s">
        <v>11</v>
      </c>
      <c r="O1921" s="49">
        <v>3.1415999999999999</v>
      </c>
      <c r="P1921" s="9">
        <f>ROUND(O1921*L1921,2)</f>
        <v>3141.6</v>
      </c>
      <c r="Q1921" s="10">
        <f>IF(N1921="HKD",7.8,IF(N1921="CNY",7.30034,1))</f>
        <v>7.3003400000000003</v>
      </c>
      <c r="R1921" s="10">
        <f>+ROUND(O1921/Q1921,4)</f>
        <v>0.43030000000000002</v>
      </c>
      <c r="S1921" s="11">
        <f>ROUND(R1921*L1921,2)</f>
        <v>430.3</v>
      </c>
      <c r="T1921" s="10" t="s">
        <v>349</v>
      </c>
      <c r="U1921" s="15" t="s">
        <v>191</v>
      </c>
    </row>
    <row r="1922" spans="1:21">
      <c r="A1922" s="15" t="s">
        <v>1232</v>
      </c>
      <c r="B1922" s="16">
        <v>45663</v>
      </c>
      <c r="C1922" s="16">
        <v>45615</v>
      </c>
      <c r="D1922" s="15" t="s">
        <v>187</v>
      </c>
      <c r="E1922" s="15" t="s">
        <v>188</v>
      </c>
      <c r="G1922" s="15" t="s">
        <v>1199</v>
      </c>
      <c r="H1922" s="15" t="s">
        <v>205</v>
      </c>
      <c r="I1922" s="15" t="s">
        <v>206</v>
      </c>
      <c r="J1922" s="8" t="str">
        <f>+LEFT(U1922,4)</f>
        <v>ALM-</v>
      </c>
      <c r="K1922" s="15" t="s">
        <v>98</v>
      </c>
      <c r="L1922" s="46">
        <v>550</v>
      </c>
      <c r="M1922" s="15" t="s">
        <v>186</v>
      </c>
      <c r="N1922" s="15" t="s">
        <v>11</v>
      </c>
      <c r="O1922" s="49">
        <v>3.1415999999999999</v>
      </c>
      <c r="P1922" s="9">
        <f>ROUND(O1922*L1922,2)</f>
        <v>1727.88</v>
      </c>
      <c r="Q1922" s="10">
        <f>IF(N1922="HKD",7.8,IF(N1922="CNY",7.30034,1))</f>
        <v>7.3003400000000003</v>
      </c>
      <c r="R1922" s="10">
        <f>+ROUND(O1922/Q1922,4)</f>
        <v>0.43030000000000002</v>
      </c>
      <c r="S1922" s="11">
        <f>ROUND(R1922*L1922,2)</f>
        <v>236.67</v>
      </c>
      <c r="T1922" s="10" t="s">
        <v>349</v>
      </c>
      <c r="U1922" s="15" t="s">
        <v>191</v>
      </c>
    </row>
    <row r="1923" spans="1:21">
      <c r="A1923" s="15" t="s">
        <v>1231</v>
      </c>
      <c r="B1923" s="16">
        <v>45663</v>
      </c>
      <c r="C1923" s="16">
        <v>45615</v>
      </c>
      <c r="D1923" s="15" t="s">
        <v>187</v>
      </c>
      <c r="E1923" s="15" t="s">
        <v>188</v>
      </c>
      <c r="G1923" s="15" t="s">
        <v>1199</v>
      </c>
      <c r="H1923" s="15" t="s">
        <v>202</v>
      </c>
      <c r="I1923" s="15" t="s">
        <v>203</v>
      </c>
      <c r="J1923" s="8" t="str">
        <f>+LEFT(U1923,4)</f>
        <v>ALM-</v>
      </c>
      <c r="K1923" s="15" t="s">
        <v>98</v>
      </c>
      <c r="L1923" s="46">
        <v>300</v>
      </c>
      <c r="M1923" s="15" t="s">
        <v>186</v>
      </c>
      <c r="N1923" s="15" t="s">
        <v>11</v>
      </c>
      <c r="O1923" s="49">
        <v>3.1415999999999999</v>
      </c>
      <c r="P1923" s="9">
        <f>ROUND(O1923*L1923,2)</f>
        <v>942.48</v>
      </c>
      <c r="Q1923" s="10">
        <f>IF(N1923="HKD",7.8,IF(N1923="CNY",7.30034,1))</f>
        <v>7.3003400000000003</v>
      </c>
      <c r="R1923" s="10">
        <f>+ROUND(O1923/Q1923,4)</f>
        <v>0.43030000000000002</v>
      </c>
      <c r="S1923" s="11">
        <f>ROUND(R1923*L1923,2)</f>
        <v>129.09</v>
      </c>
      <c r="T1923" s="10" t="s">
        <v>349</v>
      </c>
      <c r="U1923" s="15" t="s">
        <v>191</v>
      </c>
    </row>
    <row r="1924" spans="1:21">
      <c r="A1924" s="15" t="s">
        <v>1230</v>
      </c>
      <c r="B1924" s="16">
        <v>45663</v>
      </c>
      <c r="C1924" s="16">
        <v>45615</v>
      </c>
      <c r="D1924" s="15" t="s">
        <v>187</v>
      </c>
      <c r="E1924" s="15" t="s">
        <v>188</v>
      </c>
      <c r="G1924" s="15" t="s">
        <v>1199</v>
      </c>
      <c r="H1924" s="15" t="s">
        <v>199</v>
      </c>
      <c r="I1924" s="15" t="s">
        <v>200</v>
      </c>
      <c r="J1924" s="8" t="str">
        <f>+LEFT(U1924,4)</f>
        <v>ALM-</v>
      </c>
      <c r="K1924" s="15" t="s">
        <v>98</v>
      </c>
      <c r="L1924" s="46">
        <v>1900</v>
      </c>
      <c r="M1924" s="15" t="s">
        <v>186</v>
      </c>
      <c r="N1924" s="15" t="s">
        <v>11</v>
      </c>
      <c r="O1924" s="49">
        <v>3.1415999999999999</v>
      </c>
      <c r="P1924" s="9">
        <f>ROUND(O1924*L1924,2)</f>
        <v>5969.04</v>
      </c>
      <c r="Q1924" s="10">
        <f>IF(N1924="HKD",7.8,IF(N1924="CNY",7.30034,1))</f>
        <v>7.3003400000000003</v>
      </c>
      <c r="R1924" s="10">
        <f>+ROUND(O1924/Q1924,4)</f>
        <v>0.43030000000000002</v>
      </c>
      <c r="S1924" s="11">
        <f>ROUND(R1924*L1924,2)</f>
        <v>817.57</v>
      </c>
      <c r="T1924" s="10" t="s">
        <v>349</v>
      </c>
      <c r="U1924" s="15" t="s">
        <v>191</v>
      </c>
    </row>
    <row r="1925" spans="1:21">
      <c r="A1925" s="15" t="s">
        <v>1229</v>
      </c>
      <c r="B1925" s="16">
        <v>45663</v>
      </c>
      <c r="C1925" s="16">
        <v>45615</v>
      </c>
      <c r="D1925" s="15" t="s">
        <v>187</v>
      </c>
      <c r="E1925" s="15" t="s">
        <v>188</v>
      </c>
      <c r="G1925" s="15" t="s">
        <v>1199</v>
      </c>
      <c r="H1925" s="15" t="s">
        <v>1206</v>
      </c>
      <c r="I1925" s="15" t="s">
        <v>1207</v>
      </c>
      <c r="J1925" s="8" t="str">
        <f>+LEFT(U1925,4)</f>
        <v>ALM-</v>
      </c>
      <c r="K1925" s="15" t="s">
        <v>98</v>
      </c>
      <c r="L1925" s="46">
        <v>100</v>
      </c>
      <c r="M1925" s="15" t="s">
        <v>186</v>
      </c>
      <c r="N1925" s="15" t="s">
        <v>11</v>
      </c>
      <c r="O1925" s="49">
        <v>3.1415999999999999</v>
      </c>
      <c r="P1925" s="9">
        <f>ROUND(O1925*L1925,2)</f>
        <v>314.16000000000003</v>
      </c>
      <c r="Q1925" s="10">
        <f>IF(N1925="HKD",7.8,IF(N1925="CNY",7.30034,1))</f>
        <v>7.3003400000000003</v>
      </c>
      <c r="R1925" s="10">
        <f>+ROUND(O1925/Q1925,4)</f>
        <v>0.43030000000000002</v>
      </c>
      <c r="S1925" s="11">
        <f>ROUND(R1925*L1925,2)</f>
        <v>43.03</v>
      </c>
      <c r="T1925" s="10" t="s">
        <v>349</v>
      </c>
      <c r="U1925" s="15" t="s">
        <v>191</v>
      </c>
    </row>
    <row r="1926" spans="1:21">
      <c r="A1926" s="15" t="s">
        <v>1205</v>
      </c>
      <c r="B1926" s="16">
        <v>45663</v>
      </c>
      <c r="C1926" s="16">
        <v>45638</v>
      </c>
      <c r="D1926" s="15" t="s">
        <v>187</v>
      </c>
      <c r="E1926" s="15" t="s">
        <v>188</v>
      </c>
      <c r="G1926" s="15" t="s">
        <v>1199</v>
      </c>
      <c r="H1926" s="15" t="s">
        <v>211</v>
      </c>
      <c r="I1926" s="15" t="s">
        <v>212</v>
      </c>
      <c r="J1926" s="8" t="str">
        <f>+LEFT(U1926,4)</f>
        <v>ALM-</v>
      </c>
      <c r="K1926" s="15" t="s">
        <v>98</v>
      </c>
      <c r="L1926" s="46">
        <v>300</v>
      </c>
      <c r="M1926" s="15" t="s">
        <v>186</v>
      </c>
      <c r="N1926" s="15" t="s">
        <v>11</v>
      </c>
      <c r="O1926" s="49">
        <v>3.1415999999999999</v>
      </c>
      <c r="P1926" s="9">
        <f>ROUND(O1926*L1926,2)</f>
        <v>942.48</v>
      </c>
      <c r="Q1926" s="10">
        <f>IF(N1926="HKD",7.8,IF(N1926="CNY",7.30034,1))</f>
        <v>7.3003400000000003</v>
      </c>
      <c r="R1926" s="10">
        <f>+ROUND(O1926/Q1926,4)</f>
        <v>0.43030000000000002</v>
      </c>
      <c r="S1926" s="11">
        <f>ROUND(R1926*L1926,2)</f>
        <v>129.09</v>
      </c>
      <c r="T1926" s="10" t="s">
        <v>349</v>
      </c>
      <c r="U1926" s="15" t="s">
        <v>191</v>
      </c>
    </row>
    <row r="1927" spans="1:21">
      <c r="A1927" s="15" t="s">
        <v>1204</v>
      </c>
      <c r="B1927" s="16">
        <v>45663</v>
      </c>
      <c r="C1927" s="16">
        <v>45638</v>
      </c>
      <c r="D1927" s="15" t="s">
        <v>187</v>
      </c>
      <c r="E1927" s="15" t="s">
        <v>188</v>
      </c>
      <c r="G1927" s="15" t="s">
        <v>1199</v>
      </c>
      <c r="H1927" s="15" t="s">
        <v>208</v>
      </c>
      <c r="I1927" s="15" t="s">
        <v>209</v>
      </c>
      <c r="J1927" s="8" t="str">
        <f>+LEFT(U1927,4)</f>
        <v>ALM-</v>
      </c>
      <c r="K1927" s="15" t="s">
        <v>98</v>
      </c>
      <c r="L1927" s="46">
        <v>300</v>
      </c>
      <c r="M1927" s="15" t="s">
        <v>186</v>
      </c>
      <c r="N1927" s="15" t="s">
        <v>11</v>
      </c>
      <c r="O1927" s="49">
        <v>3.1415999999999999</v>
      </c>
      <c r="P1927" s="9">
        <f>ROUND(O1927*L1927,2)</f>
        <v>942.48</v>
      </c>
      <c r="Q1927" s="10">
        <f>IF(N1927="HKD",7.8,IF(N1927="CNY",7.30034,1))</f>
        <v>7.3003400000000003</v>
      </c>
      <c r="R1927" s="10">
        <f>+ROUND(O1927/Q1927,4)</f>
        <v>0.43030000000000002</v>
      </c>
      <c r="S1927" s="11">
        <f>ROUND(R1927*L1927,2)</f>
        <v>129.09</v>
      </c>
      <c r="T1927" s="10" t="s">
        <v>349</v>
      </c>
      <c r="U1927" s="15" t="s">
        <v>191</v>
      </c>
    </row>
    <row r="1928" spans="1:21">
      <c r="A1928" s="15" t="s">
        <v>1222</v>
      </c>
      <c r="B1928" s="16">
        <v>45663</v>
      </c>
      <c r="C1928" s="16">
        <v>45643</v>
      </c>
      <c r="D1928" s="15" t="s">
        <v>187</v>
      </c>
      <c r="E1928" s="15" t="s">
        <v>188</v>
      </c>
      <c r="G1928" s="15" t="s">
        <v>1199</v>
      </c>
      <c r="H1928" s="15" t="s">
        <v>214</v>
      </c>
      <c r="I1928" s="15" t="s">
        <v>215</v>
      </c>
      <c r="J1928" s="8" t="str">
        <f>+LEFT(U1928,4)</f>
        <v>ALM-</v>
      </c>
      <c r="K1928" s="15" t="s">
        <v>98</v>
      </c>
      <c r="L1928" s="46">
        <v>300</v>
      </c>
      <c r="M1928" s="15" t="s">
        <v>186</v>
      </c>
      <c r="N1928" s="15" t="s">
        <v>11</v>
      </c>
      <c r="O1928" s="49">
        <v>3.1415999999999999</v>
      </c>
      <c r="P1928" s="9">
        <f>ROUND(O1928*L1928,2)</f>
        <v>942.48</v>
      </c>
      <c r="Q1928" s="10">
        <f>IF(N1928="HKD",7.8,IF(N1928="CNY",7.30034,1))</f>
        <v>7.3003400000000003</v>
      </c>
      <c r="R1928" s="10">
        <f>+ROUND(O1928/Q1928,4)</f>
        <v>0.43030000000000002</v>
      </c>
      <c r="S1928" s="11">
        <f>ROUND(R1928*L1928,2)</f>
        <v>129.09</v>
      </c>
      <c r="T1928" s="10" t="s">
        <v>349</v>
      </c>
      <c r="U1928" s="15" t="s">
        <v>191</v>
      </c>
    </row>
    <row r="1929" spans="1:21">
      <c r="A1929" s="15" t="s">
        <v>1221</v>
      </c>
      <c r="B1929" s="16">
        <v>45663</v>
      </c>
      <c r="C1929" s="16">
        <v>45643</v>
      </c>
      <c r="D1929" s="15" t="s">
        <v>187</v>
      </c>
      <c r="E1929" s="15" t="s">
        <v>188</v>
      </c>
      <c r="G1929" s="15" t="s">
        <v>1199</v>
      </c>
      <c r="H1929" s="15" t="s">
        <v>211</v>
      </c>
      <c r="I1929" s="15" t="s">
        <v>212</v>
      </c>
      <c r="J1929" s="8" t="str">
        <f>+LEFT(U1929,4)</f>
        <v>ALM-</v>
      </c>
      <c r="K1929" s="15" t="s">
        <v>98</v>
      </c>
      <c r="L1929" s="46">
        <v>460</v>
      </c>
      <c r="M1929" s="15" t="s">
        <v>186</v>
      </c>
      <c r="N1929" s="15" t="s">
        <v>11</v>
      </c>
      <c r="O1929" s="49">
        <v>3.1415999999999999</v>
      </c>
      <c r="P1929" s="9">
        <f>ROUND(O1929*L1929,2)</f>
        <v>1445.14</v>
      </c>
      <c r="Q1929" s="10">
        <f>IF(N1929="HKD",7.8,IF(N1929="CNY",7.30034,1))</f>
        <v>7.3003400000000003</v>
      </c>
      <c r="R1929" s="10">
        <f>+ROUND(O1929/Q1929,4)</f>
        <v>0.43030000000000002</v>
      </c>
      <c r="S1929" s="11">
        <f>ROUND(R1929*L1929,2)</f>
        <v>197.94</v>
      </c>
      <c r="T1929" s="10" t="s">
        <v>349</v>
      </c>
      <c r="U1929" s="15" t="s">
        <v>191</v>
      </c>
    </row>
    <row r="1930" spans="1:21">
      <c r="A1930" s="15" t="s">
        <v>1220</v>
      </c>
      <c r="B1930" s="16">
        <v>45663</v>
      </c>
      <c r="C1930" s="16">
        <v>45643</v>
      </c>
      <c r="D1930" s="15" t="s">
        <v>187</v>
      </c>
      <c r="E1930" s="15" t="s">
        <v>188</v>
      </c>
      <c r="G1930" s="15" t="s">
        <v>1199</v>
      </c>
      <c r="H1930" s="15" t="s">
        <v>202</v>
      </c>
      <c r="I1930" s="15" t="s">
        <v>203</v>
      </c>
      <c r="J1930" s="8" t="str">
        <f>+LEFT(U1930,4)</f>
        <v>ALM-</v>
      </c>
      <c r="K1930" s="15" t="s">
        <v>98</v>
      </c>
      <c r="L1930" s="46">
        <v>310</v>
      </c>
      <c r="M1930" s="15" t="s">
        <v>186</v>
      </c>
      <c r="N1930" s="15" t="s">
        <v>11</v>
      </c>
      <c r="O1930" s="49">
        <v>3.1415999999999999</v>
      </c>
      <c r="P1930" s="9">
        <f>ROUND(O1930*L1930,2)</f>
        <v>973.9</v>
      </c>
      <c r="Q1930" s="10">
        <f>IF(N1930="HKD",7.8,IF(N1930="CNY",7.30034,1))</f>
        <v>7.3003400000000003</v>
      </c>
      <c r="R1930" s="10">
        <f>+ROUND(O1930/Q1930,4)</f>
        <v>0.43030000000000002</v>
      </c>
      <c r="S1930" s="11">
        <f>ROUND(R1930*L1930,2)</f>
        <v>133.38999999999999</v>
      </c>
      <c r="T1930" s="10" t="s">
        <v>349</v>
      </c>
      <c r="U1930" s="15" t="s">
        <v>191</v>
      </c>
    </row>
    <row r="1931" spans="1:21">
      <c r="A1931" s="15" t="s">
        <v>1219</v>
      </c>
      <c r="B1931" s="16">
        <v>45663</v>
      </c>
      <c r="C1931" s="16">
        <v>45643</v>
      </c>
      <c r="D1931" s="15" t="s">
        <v>187</v>
      </c>
      <c r="E1931" s="15" t="s">
        <v>188</v>
      </c>
      <c r="G1931" s="15" t="s">
        <v>1199</v>
      </c>
      <c r="H1931" s="15" t="s">
        <v>1217</v>
      </c>
      <c r="I1931" s="15" t="s">
        <v>1218</v>
      </c>
      <c r="J1931" s="8" t="str">
        <f>+LEFT(U1931,4)</f>
        <v>ALM-</v>
      </c>
      <c r="K1931" s="15" t="s">
        <v>98</v>
      </c>
      <c r="L1931" s="46">
        <v>780</v>
      </c>
      <c r="M1931" s="15" t="s">
        <v>186</v>
      </c>
      <c r="N1931" s="15" t="s">
        <v>11</v>
      </c>
      <c r="O1931" s="49">
        <v>3.1415999999999999</v>
      </c>
      <c r="P1931" s="9">
        <f>ROUND(O1931*L1931,2)</f>
        <v>2450.4499999999998</v>
      </c>
      <c r="Q1931" s="10">
        <f>IF(N1931="HKD",7.8,IF(N1931="CNY",7.30034,1))</f>
        <v>7.3003400000000003</v>
      </c>
      <c r="R1931" s="10">
        <f>+ROUND(O1931/Q1931,4)</f>
        <v>0.43030000000000002</v>
      </c>
      <c r="S1931" s="11">
        <f>ROUND(R1931*L1931,2)</f>
        <v>335.63</v>
      </c>
      <c r="T1931" s="10" t="s">
        <v>349</v>
      </c>
      <c r="U1931" s="15" t="s">
        <v>191</v>
      </c>
    </row>
    <row r="1932" spans="1:21">
      <c r="A1932" s="15" t="s">
        <v>1216</v>
      </c>
      <c r="B1932" s="16">
        <v>45663</v>
      </c>
      <c r="C1932" s="16">
        <v>45643</v>
      </c>
      <c r="D1932" s="15" t="s">
        <v>187</v>
      </c>
      <c r="E1932" s="15" t="s">
        <v>188</v>
      </c>
      <c r="G1932" s="15" t="s">
        <v>1199</v>
      </c>
      <c r="H1932" s="15" t="s">
        <v>211</v>
      </c>
      <c r="I1932" s="15" t="s">
        <v>212</v>
      </c>
      <c r="J1932" s="8" t="str">
        <f>+LEFT(U1932,4)</f>
        <v>ALM-</v>
      </c>
      <c r="K1932" s="15" t="s">
        <v>98</v>
      </c>
      <c r="L1932" s="46">
        <v>900</v>
      </c>
      <c r="M1932" s="15" t="s">
        <v>186</v>
      </c>
      <c r="N1932" s="15" t="s">
        <v>11</v>
      </c>
      <c r="O1932" s="49">
        <v>3.1415999999999999</v>
      </c>
      <c r="P1932" s="9">
        <f>ROUND(O1932*L1932,2)</f>
        <v>2827.44</v>
      </c>
      <c r="Q1932" s="10">
        <f>IF(N1932="HKD",7.8,IF(N1932="CNY",7.30034,1))</f>
        <v>7.3003400000000003</v>
      </c>
      <c r="R1932" s="10">
        <f>+ROUND(O1932/Q1932,4)</f>
        <v>0.43030000000000002</v>
      </c>
      <c r="S1932" s="11">
        <f>ROUND(R1932*L1932,2)</f>
        <v>387.27</v>
      </c>
      <c r="T1932" s="10" t="s">
        <v>349</v>
      </c>
      <c r="U1932" s="15" t="s">
        <v>191</v>
      </c>
    </row>
    <row r="1933" spans="1:21">
      <c r="A1933" s="15" t="s">
        <v>1215</v>
      </c>
      <c r="B1933" s="16">
        <v>45663</v>
      </c>
      <c r="C1933" s="16">
        <v>45643</v>
      </c>
      <c r="D1933" s="15" t="s">
        <v>187</v>
      </c>
      <c r="E1933" s="15" t="s">
        <v>188</v>
      </c>
      <c r="G1933" s="15" t="s">
        <v>1199</v>
      </c>
      <c r="H1933" s="15" t="s">
        <v>1213</v>
      </c>
      <c r="I1933" s="15" t="s">
        <v>1214</v>
      </c>
      <c r="J1933" s="8" t="str">
        <f>+LEFT(U1933,4)</f>
        <v>ALM-</v>
      </c>
      <c r="K1933" s="15" t="s">
        <v>98</v>
      </c>
      <c r="L1933" s="46">
        <v>120</v>
      </c>
      <c r="M1933" s="15" t="s">
        <v>186</v>
      </c>
      <c r="N1933" s="15" t="s">
        <v>11</v>
      </c>
      <c r="O1933" s="49">
        <v>3.1415999999999999</v>
      </c>
      <c r="P1933" s="9">
        <f>ROUND(O1933*L1933,2)</f>
        <v>376.99</v>
      </c>
      <c r="Q1933" s="10">
        <f>IF(N1933="HKD",7.8,IF(N1933="CNY",7.30034,1))</f>
        <v>7.3003400000000003</v>
      </c>
      <c r="R1933" s="10">
        <f>+ROUND(O1933/Q1933,4)</f>
        <v>0.43030000000000002</v>
      </c>
      <c r="S1933" s="11">
        <f>ROUND(R1933*L1933,2)</f>
        <v>51.64</v>
      </c>
      <c r="T1933" s="10" t="s">
        <v>349</v>
      </c>
      <c r="U1933" s="15" t="s">
        <v>191</v>
      </c>
    </row>
    <row r="1934" spans="1:21">
      <c r="A1934" s="15" t="s">
        <v>1198</v>
      </c>
      <c r="B1934" s="16">
        <v>45663</v>
      </c>
      <c r="C1934" s="16">
        <v>45650</v>
      </c>
      <c r="D1934" s="15" t="s">
        <v>187</v>
      </c>
      <c r="E1934" s="15" t="s">
        <v>188</v>
      </c>
      <c r="G1934" s="15" t="s">
        <v>1199</v>
      </c>
      <c r="H1934" s="15" t="s">
        <v>211</v>
      </c>
      <c r="I1934" s="15" t="s">
        <v>212</v>
      </c>
      <c r="J1934" s="8" t="str">
        <f>+LEFT(U1934,4)</f>
        <v>ALM-</v>
      </c>
      <c r="K1934" s="15" t="s">
        <v>98</v>
      </c>
      <c r="L1934" s="46">
        <v>450</v>
      </c>
      <c r="M1934" s="15" t="s">
        <v>186</v>
      </c>
      <c r="N1934" s="15" t="s">
        <v>11</v>
      </c>
      <c r="O1934" s="49">
        <v>3.1415999999999999</v>
      </c>
      <c r="P1934" s="9">
        <f>ROUND(O1934*L1934,2)</f>
        <v>1413.72</v>
      </c>
      <c r="Q1934" s="10">
        <f>IF(N1934="HKD",7.8,IF(N1934="CNY",7.30034,1))</f>
        <v>7.3003400000000003</v>
      </c>
      <c r="R1934" s="10">
        <f>+ROUND(O1934/Q1934,4)</f>
        <v>0.43030000000000002</v>
      </c>
      <c r="S1934" s="11">
        <f>ROUND(R1934*L1934,2)</f>
        <v>193.64</v>
      </c>
      <c r="T1934" s="10" t="s">
        <v>349</v>
      </c>
      <c r="U1934" s="15" t="s">
        <v>191</v>
      </c>
    </row>
    <row r="1935" spans="1:21">
      <c r="A1935" s="15" t="s">
        <v>1212</v>
      </c>
      <c r="B1935" s="16">
        <v>45663</v>
      </c>
      <c r="C1935" s="16">
        <v>45656</v>
      </c>
      <c r="D1935" s="15" t="s">
        <v>187</v>
      </c>
      <c r="E1935" s="15" t="s">
        <v>188</v>
      </c>
      <c r="G1935" s="15" t="s">
        <v>1199</v>
      </c>
      <c r="H1935" s="15" t="s">
        <v>1210</v>
      </c>
      <c r="I1935" s="15" t="s">
        <v>1211</v>
      </c>
      <c r="J1935" s="8" t="str">
        <f>+LEFT(U1935,4)</f>
        <v>ALM-</v>
      </c>
      <c r="K1935" s="15" t="s">
        <v>98</v>
      </c>
      <c r="L1935" s="46">
        <v>205</v>
      </c>
      <c r="M1935" s="15" t="s">
        <v>186</v>
      </c>
      <c r="N1935" s="15" t="s">
        <v>11</v>
      </c>
      <c r="O1935" s="49">
        <v>3.1415999999999999</v>
      </c>
      <c r="P1935" s="9">
        <f>ROUND(O1935*L1935,2)</f>
        <v>644.03</v>
      </c>
      <c r="Q1935" s="10">
        <f>IF(N1935="HKD",7.8,IF(N1935="CNY",7.30034,1))</f>
        <v>7.3003400000000003</v>
      </c>
      <c r="R1935" s="10">
        <f>+ROUND(O1935/Q1935,4)</f>
        <v>0.43030000000000002</v>
      </c>
      <c r="S1935" s="11">
        <f>ROUND(R1935*L1935,2)</f>
        <v>88.21</v>
      </c>
      <c r="T1935" s="10" t="s">
        <v>349</v>
      </c>
      <c r="U1935" s="15" t="s">
        <v>191</v>
      </c>
    </row>
    <row r="1936" spans="1:21">
      <c r="A1936" s="15" t="s">
        <v>1208</v>
      </c>
      <c r="B1936" s="16">
        <v>45663</v>
      </c>
      <c r="C1936" s="16">
        <v>45656</v>
      </c>
      <c r="D1936" s="15" t="s">
        <v>187</v>
      </c>
      <c r="E1936" s="15" t="s">
        <v>188</v>
      </c>
      <c r="G1936" s="15" t="s">
        <v>1199</v>
      </c>
      <c r="H1936" s="15" t="s">
        <v>1206</v>
      </c>
      <c r="I1936" s="15" t="s">
        <v>1207</v>
      </c>
      <c r="J1936" s="8" t="str">
        <f>+LEFT(U1936,4)</f>
        <v>ALM-</v>
      </c>
      <c r="K1936" s="15" t="s">
        <v>98</v>
      </c>
      <c r="L1936" s="46">
        <v>160</v>
      </c>
      <c r="M1936" s="15" t="s">
        <v>186</v>
      </c>
      <c r="N1936" s="15" t="s">
        <v>11</v>
      </c>
      <c r="O1936" s="49">
        <v>3.1415999999999999</v>
      </c>
      <c r="P1936" s="9">
        <f>ROUND(O1936*L1936,2)</f>
        <v>502.66</v>
      </c>
      <c r="Q1936" s="10">
        <f>IF(N1936="HKD",7.8,IF(N1936="CNY",7.30034,1))</f>
        <v>7.3003400000000003</v>
      </c>
      <c r="R1936" s="10">
        <f>+ROUND(O1936/Q1936,4)</f>
        <v>0.43030000000000002</v>
      </c>
      <c r="S1936" s="11">
        <f>ROUND(R1936*L1936,2)</f>
        <v>68.849999999999994</v>
      </c>
      <c r="T1936" s="10" t="s">
        <v>349</v>
      </c>
      <c r="U1936" s="15" t="s">
        <v>191</v>
      </c>
    </row>
    <row r="1937" spans="1:21">
      <c r="A1937" s="15" t="s">
        <v>1225</v>
      </c>
      <c r="B1937" s="16">
        <v>45663</v>
      </c>
      <c r="C1937" s="16">
        <v>45643</v>
      </c>
      <c r="D1937" s="15" t="s">
        <v>187</v>
      </c>
      <c r="E1937" s="15" t="s">
        <v>188</v>
      </c>
      <c r="G1937" s="15" t="s">
        <v>1199</v>
      </c>
      <c r="H1937" s="15" t="s">
        <v>1223</v>
      </c>
      <c r="I1937" s="15" t="s">
        <v>1224</v>
      </c>
      <c r="J1937" s="8" t="str">
        <f>+LEFT(U1937,4)</f>
        <v>ALM-</v>
      </c>
      <c r="K1937" s="15" t="s">
        <v>98</v>
      </c>
      <c r="L1937" s="46">
        <v>50</v>
      </c>
      <c r="M1937" s="15" t="s">
        <v>186</v>
      </c>
      <c r="N1937" s="15" t="s">
        <v>11</v>
      </c>
      <c r="O1937" s="49">
        <v>3.6282999999999999</v>
      </c>
      <c r="P1937" s="9">
        <f>ROUND(O1937*L1937,2)</f>
        <v>181.42</v>
      </c>
      <c r="Q1937" s="10">
        <f>IF(N1937="HKD",7.8,IF(N1937="CNY",7.30034,1))</f>
        <v>7.3003400000000003</v>
      </c>
      <c r="R1937" s="10">
        <f>+ROUND(O1937/Q1937,4)</f>
        <v>0.497</v>
      </c>
      <c r="S1937" s="11">
        <f>ROUND(R1937*L1937,2)</f>
        <v>24.85</v>
      </c>
      <c r="T1937" s="10" t="s">
        <v>349</v>
      </c>
      <c r="U1937" s="15" t="s">
        <v>191</v>
      </c>
    </row>
    <row r="1938" spans="1:21">
      <c r="A1938" s="15" t="s">
        <v>1228</v>
      </c>
      <c r="B1938" s="16">
        <v>45663</v>
      </c>
      <c r="C1938" s="16">
        <v>45643</v>
      </c>
      <c r="D1938" s="15" t="s">
        <v>187</v>
      </c>
      <c r="E1938" s="15" t="s">
        <v>188</v>
      </c>
      <c r="G1938" s="15" t="s">
        <v>1199</v>
      </c>
      <c r="H1938" s="15" t="s">
        <v>1226</v>
      </c>
      <c r="I1938" s="15" t="s">
        <v>1227</v>
      </c>
      <c r="J1938" s="8" t="str">
        <f>+LEFT(U1938,4)</f>
        <v>ALM-</v>
      </c>
      <c r="K1938" s="15" t="s">
        <v>98</v>
      </c>
      <c r="L1938" s="46">
        <v>220</v>
      </c>
      <c r="M1938" s="15" t="s">
        <v>186</v>
      </c>
      <c r="N1938" s="15" t="s">
        <v>11</v>
      </c>
      <c r="O1938" s="49">
        <v>3.6282999999999999</v>
      </c>
      <c r="P1938" s="9">
        <f>ROUND(O1938*L1938,2)</f>
        <v>798.23</v>
      </c>
      <c r="Q1938" s="10">
        <f>IF(N1938="HKD",7.8,IF(N1938="CNY",7.30034,1))</f>
        <v>7.3003400000000003</v>
      </c>
      <c r="R1938" s="10">
        <f>+ROUND(O1938/Q1938,4)</f>
        <v>0.497</v>
      </c>
      <c r="S1938" s="11">
        <f>ROUND(R1938*L1938,2)</f>
        <v>109.34</v>
      </c>
      <c r="T1938" s="10" t="s">
        <v>349</v>
      </c>
      <c r="U1938" s="15" t="s">
        <v>191</v>
      </c>
    </row>
    <row r="1939" spans="1:21">
      <c r="A1939" s="15" t="s">
        <v>1203</v>
      </c>
      <c r="B1939" s="16">
        <v>45663</v>
      </c>
      <c r="C1939" s="16">
        <v>45650</v>
      </c>
      <c r="D1939" s="15" t="s">
        <v>187</v>
      </c>
      <c r="E1939" s="15" t="s">
        <v>188</v>
      </c>
      <c r="G1939" s="15" t="s">
        <v>1199</v>
      </c>
      <c r="H1939" s="15" t="s">
        <v>192</v>
      </c>
      <c r="I1939" s="15" t="s">
        <v>193</v>
      </c>
      <c r="J1939" s="8" t="str">
        <f>+LEFT(U1939,4)</f>
        <v>ALM-</v>
      </c>
      <c r="K1939" s="15" t="s">
        <v>98</v>
      </c>
      <c r="L1939" s="46">
        <v>85</v>
      </c>
      <c r="M1939" s="15" t="s">
        <v>186</v>
      </c>
      <c r="N1939" s="15" t="s">
        <v>11</v>
      </c>
      <c r="O1939" s="49">
        <v>3.6282999999999999</v>
      </c>
      <c r="P1939" s="9">
        <f>ROUND(O1939*L1939,2)</f>
        <v>308.41000000000003</v>
      </c>
      <c r="Q1939" s="10">
        <f>IF(N1939="HKD",7.8,IF(N1939="CNY",7.30034,1))</f>
        <v>7.3003400000000003</v>
      </c>
      <c r="R1939" s="10">
        <f>+ROUND(O1939/Q1939,4)</f>
        <v>0.497</v>
      </c>
      <c r="S1939" s="11">
        <f>ROUND(R1939*L1939,2)</f>
        <v>42.25</v>
      </c>
      <c r="T1939" s="10" t="s">
        <v>349</v>
      </c>
      <c r="U1939" s="15" t="s">
        <v>191</v>
      </c>
    </row>
    <row r="1940" spans="1:21">
      <c r="A1940" s="15" t="s">
        <v>1202</v>
      </c>
      <c r="B1940" s="16">
        <v>45663</v>
      </c>
      <c r="C1940" s="16">
        <v>45650</v>
      </c>
      <c r="D1940" s="15" t="s">
        <v>187</v>
      </c>
      <c r="E1940" s="15" t="s">
        <v>188</v>
      </c>
      <c r="G1940" s="15" t="s">
        <v>1199</v>
      </c>
      <c r="H1940" s="15" t="s">
        <v>1200</v>
      </c>
      <c r="I1940" s="15" t="s">
        <v>1201</v>
      </c>
      <c r="J1940" s="8" t="str">
        <f>+LEFT(U1940,4)</f>
        <v>ALM-</v>
      </c>
      <c r="K1940" s="15" t="s">
        <v>98</v>
      </c>
      <c r="L1940" s="46">
        <v>70</v>
      </c>
      <c r="M1940" s="15" t="s">
        <v>186</v>
      </c>
      <c r="N1940" s="15" t="s">
        <v>11</v>
      </c>
      <c r="O1940" s="49">
        <v>3.6282999999999999</v>
      </c>
      <c r="P1940" s="9">
        <f>ROUND(O1940*L1940,2)</f>
        <v>253.98</v>
      </c>
      <c r="Q1940" s="10">
        <f>IF(N1940="HKD",7.8,IF(N1940="CNY",7.30034,1))</f>
        <v>7.3003400000000003</v>
      </c>
      <c r="R1940" s="10">
        <f>+ROUND(O1940/Q1940,4)</f>
        <v>0.497</v>
      </c>
      <c r="S1940" s="11">
        <f>ROUND(R1940*L1940,2)</f>
        <v>34.79</v>
      </c>
      <c r="T1940" s="10" t="s">
        <v>349</v>
      </c>
      <c r="U1940" s="15" t="s">
        <v>191</v>
      </c>
    </row>
    <row r="1941" spans="1:21">
      <c r="A1941" s="15" t="s">
        <v>1209</v>
      </c>
      <c r="B1941" s="16">
        <v>45663</v>
      </c>
      <c r="C1941" s="16">
        <v>45656</v>
      </c>
      <c r="D1941" s="15" t="s">
        <v>187</v>
      </c>
      <c r="E1941" s="15" t="s">
        <v>188</v>
      </c>
      <c r="G1941" s="15" t="s">
        <v>1199</v>
      </c>
      <c r="H1941" s="15" t="s">
        <v>192</v>
      </c>
      <c r="I1941" s="15" t="s">
        <v>193</v>
      </c>
      <c r="J1941" s="8" t="str">
        <f>+LEFT(U1941,4)</f>
        <v>ALM-</v>
      </c>
      <c r="K1941" s="15" t="s">
        <v>98</v>
      </c>
      <c r="L1941" s="46">
        <v>50</v>
      </c>
      <c r="M1941" s="15" t="s">
        <v>186</v>
      </c>
      <c r="N1941" s="15" t="s">
        <v>11</v>
      </c>
      <c r="O1941" s="49">
        <v>3.6282999999999999</v>
      </c>
      <c r="P1941" s="9">
        <f>ROUND(O1941*L1941,2)</f>
        <v>181.42</v>
      </c>
      <c r="Q1941" s="10">
        <f>IF(N1941="HKD",7.8,IF(N1941="CNY",7.30034,1))</f>
        <v>7.3003400000000003</v>
      </c>
      <c r="R1941" s="10">
        <f>+ROUND(O1941/Q1941,4)</f>
        <v>0.497</v>
      </c>
      <c r="S1941" s="11">
        <f>ROUND(R1941*L1941,2)</f>
        <v>24.85</v>
      </c>
      <c r="T1941" s="10" t="s">
        <v>349</v>
      </c>
      <c r="U1941" s="15" t="s">
        <v>191</v>
      </c>
    </row>
    <row r="1942" spans="1:21">
      <c r="A1942" s="15" t="s">
        <v>1151</v>
      </c>
      <c r="B1942" s="16">
        <v>45663</v>
      </c>
      <c r="C1942" s="16">
        <v>45639</v>
      </c>
      <c r="D1942" s="15" t="s">
        <v>28</v>
      </c>
      <c r="E1942" s="15" t="s">
        <v>29</v>
      </c>
      <c r="G1942" s="15" t="s">
        <v>1144</v>
      </c>
      <c r="H1942" s="15" t="s">
        <v>1149</v>
      </c>
      <c r="I1942" s="15" t="s">
        <v>1150</v>
      </c>
      <c r="J1942" s="8" t="str">
        <f>+LEFT(U1942,4)</f>
        <v>BRKT</v>
      </c>
      <c r="K1942" s="15" t="s">
        <v>10</v>
      </c>
      <c r="L1942" s="46">
        <v>3000</v>
      </c>
      <c r="M1942" s="15" t="s">
        <v>1472</v>
      </c>
      <c r="N1942" s="15" t="s">
        <v>11</v>
      </c>
      <c r="O1942" s="49">
        <v>0.57750000000000001</v>
      </c>
      <c r="P1942" s="9">
        <f>ROUND(O1942*L1942,2)</f>
        <v>1732.5</v>
      </c>
      <c r="Q1942" s="10">
        <f>IF(N1942="HKD",7.8,IF(N1942="CNY",7.30034,1))</f>
        <v>7.3003400000000003</v>
      </c>
      <c r="R1942" s="10">
        <f>+ROUND(O1942/Q1942,4)</f>
        <v>7.9100000000000004E-2</v>
      </c>
      <c r="S1942" s="11">
        <f>ROUND(R1942*L1942,2)</f>
        <v>237.3</v>
      </c>
      <c r="T1942" s="10" t="s">
        <v>349</v>
      </c>
      <c r="U1942" s="15" t="s">
        <v>442</v>
      </c>
    </row>
    <row r="1943" spans="1:21">
      <c r="A1943" s="15" t="s">
        <v>1172</v>
      </c>
      <c r="B1943" s="16">
        <v>45663</v>
      </c>
      <c r="C1943" s="16">
        <v>45615</v>
      </c>
      <c r="D1943" s="15" t="s">
        <v>28</v>
      </c>
      <c r="E1943" s="15" t="s">
        <v>29</v>
      </c>
      <c r="G1943" s="15" t="s">
        <v>1173</v>
      </c>
      <c r="H1943" s="15" t="s">
        <v>1170</v>
      </c>
      <c r="I1943" s="15" t="s">
        <v>1171</v>
      </c>
      <c r="J1943" s="8" t="str">
        <f>+LEFT(U1943,4)</f>
        <v>BRKT</v>
      </c>
      <c r="K1943" s="15" t="s">
        <v>10</v>
      </c>
      <c r="L1943" s="46">
        <v>16500</v>
      </c>
      <c r="M1943" s="15" t="s">
        <v>1472</v>
      </c>
      <c r="N1943" s="15" t="s">
        <v>11</v>
      </c>
      <c r="O1943" s="49">
        <v>0.5877</v>
      </c>
      <c r="P1943" s="9">
        <f>ROUND(O1943*L1943,2)</f>
        <v>9697.0499999999993</v>
      </c>
      <c r="Q1943" s="10">
        <f>IF(N1943="HKD",7.8,IF(N1943="CNY",7.30034,1))</f>
        <v>7.3003400000000003</v>
      </c>
      <c r="R1943" s="10">
        <f>+ROUND(O1943/Q1943,4)</f>
        <v>8.0500000000000002E-2</v>
      </c>
      <c r="S1943" s="11">
        <f>ROUND(R1943*L1943,2)</f>
        <v>1328.25</v>
      </c>
      <c r="T1943" s="10" t="s">
        <v>349</v>
      </c>
      <c r="U1943" s="15" t="s">
        <v>442</v>
      </c>
    </row>
    <row r="1944" spans="1:21">
      <c r="A1944" s="15" t="s">
        <v>1174</v>
      </c>
      <c r="B1944" s="16">
        <v>45663</v>
      </c>
      <c r="C1944" s="16">
        <v>45646</v>
      </c>
      <c r="D1944" s="15" t="s">
        <v>28</v>
      </c>
      <c r="E1944" s="15" t="s">
        <v>29</v>
      </c>
      <c r="G1944" s="15" t="s">
        <v>1173</v>
      </c>
      <c r="H1944" s="15" t="s">
        <v>1170</v>
      </c>
      <c r="I1944" s="15" t="s">
        <v>1171</v>
      </c>
      <c r="J1944" s="8" t="str">
        <f>+LEFT(U1944,4)</f>
        <v>BRKT</v>
      </c>
      <c r="K1944" s="15" t="s">
        <v>10</v>
      </c>
      <c r="L1944" s="46">
        <v>3650</v>
      </c>
      <c r="M1944" s="15" t="s">
        <v>1472</v>
      </c>
      <c r="N1944" s="15" t="s">
        <v>11</v>
      </c>
      <c r="O1944" s="49">
        <v>0.59379999999999999</v>
      </c>
      <c r="P1944" s="9">
        <f>ROUND(O1944*L1944,2)</f>
        <v>2167.37</v>
      </c>
      <c r="Q1944" s="10">
        <f>IF(N1944="HKD",7.8,IF(N1944="CNY",7.30034,1))</f>
        <v>7.3003400000000003</v>
      </c>
      <c r="R1944" s="10">
        <f>+ROUND(O1944/Q1944,4)</f>
        <v>8.1299999999999997E-2</v>
      </c>
      <c r="S1944" s="11">
        <f>ROUND(R1944*L1944,2)</f>
        <v>296.75</v>
      </c>
      <c r="T1944" s="10" t="s">
        <v>349</v>
      </c>
      <c r="U1944" s="15" t="s">
        <v>442</v>
      </c>
    </row>
    <row r="1945" spans="1:21">
      <c r="A1945" s="15" t="s">
        <v>1148</v>
      </c>
      <c r="B1945" s="16">
        <v>45663</v>
      </c>
      <c r="C1945" s="16">
        <v>45639</v>
      </c>
      <c r="D1945" s="15" t="s">
        <v>28</v>
      </c>
      <c r="E1945" s="15" t="s">
        <v>29</v>
      </c>
      <c r="G1945" s="15" t="s">
        <v>1144</v>
      </c>
      <c r="H1945" s="15" t="s">
        <v>1145</v>
      </c>
      <c r="I1945" s="15" t="s">
        <v>1146</v>
      </c>
      <c r="J1945" s="8" t="str">
        <f>+LEFT(U1945,4)</f>
        <v>BRKT</v>
      </c>
      <c r="K1945" s="15" t="s">
        <v>10</v>
      </c>
      <c r="L1945" s="46">
        <v>2550</v>
      </c>
      <c r="M1945" s="15" t="s">
        <v>1472</v>
      </c>
      <c r="N1945" s="15" t="s">
        <v>11</v>
      </c>
      <c r="O1945" s="49">
        <v>0.59809999999999997</v>
      </c>
      <c r="P1945" s="9">
        <f>ROUND(O1945*L1945,2)</f>
        <v>1525.16</v>
      </c>
      <c r="Q1945" s="10">
        <f>IF(N1945="HKD",7.8,IF(N1945="CNY",7.30034,1))</f>
        <v>7.3003400000000003</v>
      </c>
      <c r="R1945" s="10">
        <f>+ROUND(O1945/Q1945,4)</f>
        <v>8.1900000000000001E-2</v>
      </c>
      <c r="S1945" s="11">
        <f>ROUND(R1945*L1945,2)</f>
        <v>208.85</v>
      </c>
      <c r="T1945" s="10" t="s">
        <v>349</v>
      </c>
      <c r="U1945" s="15" t="s">
        <v>442</v>
      </c>
    </row>
    <row r="1946" spans="1:21">
      <c r="A1946" s="15" t="s">
        <v>1147</v>
      </c>
      <c r="B1946" s="16">
        <v>45663</v>
      </c>
      <c r="C1946" s="16">
        <v>45653</v>
      </c>
      <c r="D1946" s="15" t="s">
        <v>28</v>
      </c>
      <c r="E1946" s="15" t="s">
        <v>29</v>
      </c>
      <c r="G1946" s="15" t="s">
        <v>1144</v>
      </c>
      <c r="H1946" s="15" t="s">
        <v>1145</v>
      </c>
      <c r="I1946" s="15" t="s">
        <v>1146</v>
      </c>
      <c r="J1946" s="8" t="str">
        <f>+LEFT(U1946,4)</f>
        <v>BRKT</v>
      </c>
      <c r="K1946" s="15" t="s">
        <v>10</v>
      </c>
      <c r="L1946" s="46">
        <v>100</v>
      </c>
      <c r="M1946" s="15" t="s">
        <v>1472</v>
      </c>
      <c r="N1946" s="15" t="s">
        <v>11</v>
      </c>
      <c r="O1946" s="49">
        <v>0.61029999999999995</v>
      </c>
      <c r="P1946" s="9">
        <f>ROUND(O1946*L1946,2)</f>
        <v>61.03</v>
      </c>
      <c r="Q1946" s="10">
        <f>IF(N1946="HKD",7.8,IF(N1946="CNY",7.30034,1))</f>
        <v>7.3003400000000003</v>
      </c>
      <c r="R1946" s="10">
        <f>+ROUND(O1946/Q1946,4)</f>
        <v>8.3599999999999994E-2</v>
      </c>
      <c r="S1946" s="11">
        <f>ROUND(R1946*L1946,2)</f>
        <v>8.36</v>
      </c>
      <c r="T1946" s="10" t="s">
        <v>349</v>
      </c>
      <c r="U1946" s="15" t="s">
        <v>442</v>
      </c>
    </row>
    <row r="1947" spans="1:21">
      <c r="A1947" s="15" t="s">
        <v>1154</v>
      </c>
      <c r="B1947" s="16">
        <v>45663</v>
      </c>
      <c r="C1947" s="16">
        <v>45609</v>
      </c>
      <c r="D1947" s="15" t="s">
        <v>28</v>
      </c>
      <c r="E1947" s="15" t="s">
        <v>29</v>
      </c>
      <c r="G1947" s="15" t="s">
        <v>1144</v>
      </c>
      <c r="H1947" s="15" t="s">
        <v>1152</v>
      </c>
      <c r="I1947" s="15" t="s">
        <v>1153</v>
      </c>
      <c r="J1947" s="8" t="str">
        <f>+LEFT(U1947,4)</f>
        <v>BRKT</v>
      </c>
      <c r="K1947" s="15" t="s">
        <v>10</v>
      </c>
      <c r="L1947" s="46">
        <v>1040</v>
      </c>
      <c r="M1947" s="15" t="s">
        <v>1472</v>
      </c>
      <c r="N1947" s="15" t="s">
        <v>11</v>
      </c>
      <c r="O1947" s="49">
        <v>0.6522</v>
      </c>
      <c r="P1947" s="9">
        <f>ROUND(O1947*L1947,2)</f>
        <v>678.29</v>
      </c>
      <c r="Q1947" s="10">
        <f>IF(N1947="HKD",7.8,IF(N1947="CNY",7.30034,1))</f>
        <v>7.3003400000000003</v>
      </c>
      <c r="R1947" s="10">
        <f>+ROUND(O1947/Q1947,4)</f>
        <v>8.9300000000000004E-2</v>
      </c>
      <c r="S1947" s="11">
        <f>ROUND(R1947*L1947,2)</f>
        <v>92.87</v>
      </c>
      <c r="T1947" s="10" t="s">
        <v>349</v>
      </c>
      <c r="U1947" s="15" t="s">
        <v>442</v>
      </c>
    </row>
    <row r="1948" spans="1:21">
      <c r="A1948" s="15" t="s">
        <v>1239</v>
      </c>
      <c r="B1948" s="16">
        <v>45663</v>
      </c>
      <c r="C1948" s="16">
        <v>45638</v>
      </c>
      <c r="D1948" s="15" t="s">
        <v>311</v>
      </c>
      <c r="E1948" s="15" t="s">
        <v>312</v>
      </c>
      <c r="G1948" s="15" t="s">
        <v>1236</v>
      </c>
      <c r="H1948" s="15" t="s">
        <v>1237</v>
      </c>
      <c r="I1948" s="15" t="s">
        <v>1238</v>
      </c>
      <c r="J1948" s="8" t="str">
        <f>+LEFT(U1948,4)</f>
        <v>EXM-</v>
      </c>
      <c r="K1948" s="15" t="s">
        <v>10</v>
      </c>
      <c r="L1948" s="46">
        <v>25</v>
      </c>
      <c r="M1948" s="15" t="s">
        <v>186</v>
      </c>
      <c r="N1948" s="15" t="s">
        <v>11</v>
      </c>
      <c r="O1948" s="49">
        <v>90.177000000000007</v>
      </c>
      <c r="P1948" s="9">
        <f>ROUND(O1948*L1948,2)</f>
        <v>2254.4299999999998</v>
      </c>
      <c r="Q1948" s="10">
        <f>IF(N1948="HKD",7.8,IF(N1948="CNY",7.30034,1))</f>
        <v>7.3003400000000003</v>
      </c>
      <c r="R1948" s="10">
        <f>+ROUND(O1948/Q1948,4)</f>
        <v>12.352399999999999</v>
      </c>
      <c r="S1948" s="11">
        <f>ROUND(R1948*L1948,2)</f>
        <v>308.81</v>
      </c>
      <c r="T1948" s="10" t="s">
        <v>349</v>
      </c>
      <c r="U1948" s="15" t="s">
        <v>315</v>
      </c>
    </row>
    <row r="1949" spans="1:21">
      <c r="A1949" s="15" t="s">
        <v>1235</v>
      </c>
      <c r="B1949" s="16">
        <v>45663</v>
      </c>
      <c r="C1949" s="16">
        <v>45638</v>
      </c>
      <c r="D1949" s="15" t="s">
        <v>311</v>
      </c>
      <c r="E1949" s="15" t="s">
        <v>312</v>
      </c>
      <c r="G1949" s="15" t="s">
        <v>1236</v>
      </c>
      <c r="H1949" s="15" t="s">
        <v>316</v>
      </c>
      <c r="I1949" s="15" t="s">
        <v>317</v>
      </c>
      <c r="J1949" s="8" t="str">
        <f>+LEFT(U1949,4)</f>
        <v>EXM-</v>
      </c>
      <c r="K1949" s="15" t="s">
        <v>10</v>
      </c>
      <c r="L1949" s="46">
        <v>25</v>
      </c>
      <c r="M1949" s="15" t="s">
        <v>186</v>
      </c>
      <c r="N1949" s="15" t="s">
        <v>11</v>
      </c>
      <c r="O1949" s="49">
        <v>117.3451</v>
      </c>
      <c r="P1949" s="9">
        <f>ROUND(O1949*L1949,2)</f>
        <v>2933.63</v>
      </c>
      <c r="Q1949" s="10">
        <f>IF(N1949="HKD",7.8,IF(N1949="CNY",7.30034,1))</f>
        <v>7.3003400000000003</v>
      </c>
      <c r="R1949" s="10">
        <f>+ROUND(O1949/Q1949,4)</f>
        <v>16.073899999999998</v>
      </c>
      <c r="S1949" s="11">
        <f>ROUND(R1949*L1949,2)</f>
        <v>401.85</v>
      </c>
      <c r="T1949" s="10" t="s">
        <v>349</v>
      </c>
      <c r="U1949" s="15" t="s">
        <v>315</v>
      </c>
    </row>
    <row r="1950" spans="1:21">
      <c r="A1950" s="15" t="s">
        <v>1242</v>
      </c>
      <c r="B1950" s="16">
        <v>45663</v>
      </c>
      <c r="C1950" s="16">
        <v>45638</v>
      </c>
      <c r="D1950" s="15" t="s">
        <v>311</v>
      </c>
      <c r="E1950" s="15" t="s">
        <v>312</v>
      </c>
      <c r="G1950" s="15" t="s">
        <v>1236</v>
      </c>
      <c r="H1950" s="15" t="s">
        <v>1240</v>
      </c>
      <c r="I1950" s="15" t="s">
        <v>1241</v>
      </c>
      <c r="J1950" s="8" t="str">
        <f>+LEFT(U1950,4)</f>
        <v>EXM-</v>
      </c>
      <c r="K1950" s="15" t="s">
        <v>10</v>
      </c>
      <c r="L1950" s="46">
        <v>50</v>
      </c>
      <c r="M1950" s="15" t="s">
        <v>186</v>
      </c>
      <c r="N1950" s="15" t="s">
        <v>11</v>
      </c>
      <c r="O1950" s="49">
        <v>118.6726</v>
      </c>
      <c r="P1950" s="9">
        <f>ROUND(O1950*L1950,2)</f>
        <v>5933.63</v>
      </c>
      <c r="Q1950" s="10">
        <f>IF(N1950="HKD",7.8,IF(N1950="CNY",7.30034,1))</f>
        <v>7.3003400000000003</v>
      </c>
      <c r="R1950" s="10">
        <f>+ROUND(O1950/Q1950,4)</f>
        <v>16.255800000000001</v>
      </c>
      <c r="S1950" s="11">
        <f>ROUND(R1950*L1950,2)</f>
        <v>812.79</v>
      </c>
      <c r="T1950" s="10" t="s">
        <v>349</v>
      </c>
      <c r="U1950" s="15" t="s">
        <v>315</v>
      </c>
    </row>
    <row r="1951" spans="1:21">
      <c r="A1951" s="15" t="s">
        <v>1143</v>
      </c>
      <c r="B1951" s="16">
        <v>45663</v>
      </c>
      <c r="C1951" s="16">
        <v>45646</v>
      </c>
      <c r="D1951" s="15" t="s">
        <v>28</v>
      </c>
      <c r="E1951" s="15" t="s">
        <v>29</v>
      </c>
      <c r="G1951" s="15" t="s">
        <v>1144</v>
      </c>
      <c r="H1951" s="15" t="s">
        <v>1141</v>
      </c>
      <c r="I1951" s="15" t="s">
        <v>1142</v>
      </c>
      <c r="J1951" s="8" t="str">
        <f>+LEFT(U1951,4)</f>
        <v>FG--</v>
      </c>
      <c r="K1951" s="15" t="s">
        <v>10</v>
      </c>
      <c r="L1951" s="46">
        <v>530</v>
      </c>
      <c r="M1951" s="15" t="s">
        <v>1472</v>
      </c>
      <c r="N1951" s="15" t="s">
        <v>11</v>
      </c>
      <c r="O1951" s="49">
        <v>0.67430000000000001</v>
      </c>
      <c r="P1951" s="9">
        <f>ROUND(O1951*L1951,2)</f>
        <v>357.38</v>
      </c>
      <c r="Q1951" s="10">
        <f>IF(N1951="HKD",7.8,IF(N1951="CNY",7.30034,1))</f>
        <v>7.3003400000000003</v>
      </c>
      <c r="R1951" s="10">
        <f>+ROUND(O1951/Q1951,4)</f>
        <v>9.2399999999999996E-2</v>
      </c>
      <c r="S1951" s="11">
        <f>ROUND(R1951*L1951,2)</f>
        <v>48.97</v>
      </c>
      <c r="T1951" s="10" t="s">
        <v>349</v>
      </c>
      <c r="U1951" s="15" t="s">
        <v>64</v>
      </c>
    </row>
    <row r="1952" spans="1:21">
      <c r="A1952" s="15" t="s">
        <v>1042</v>
      </c>
      <c r="B1952" s="16">
        <v>45663</v>
      </c>
      <c r="C1952" s="16">
        <v>45617</v>
      </c>
      <c r="D1952" s="15" t="s">
        <v>372</v>
      </c>
      <c r="E1952" s="15" t="s">
        <v>373</v>
      </c>
      <c r="G1952" s="15" t="s">
        <v>1036</v>
      </c>
      <c r="H1952" s="15" t="s">
        <v>1040</v>
      </c>
      <c r="I1952" s="15" t="s">
        <v>1041</v>
      </c>
      <c r="J1952" s="8" t="str">
        <f>+LEFT(U1952,4)</f>
        <v>FG--</v>
      </c>
      <c r="K1952" s="15" t="s">
        <v>98</v>
      </c>
      <c r="L1952" s="46">
        <v>5250</v>
      </c>
      <c r="M1952" s="15" t="s">
        <v>1472</v>
      </c>
      <c r="N1952" s="15" t="s">
        <v>11</v>
      </c>
      <c r="O1952" s="49">
        <v>0.96460000000000001</v>
      </c>
      <c r="P1952" s="9">
        <f>ROUND(O1952*L1952,2)</f>
        <v>5064.1499999999996</v>
      </c>
      <c r="Q1952" s="10">
        <f>IF(N1952="HKD",7.8,IF(N1952="CNY",7.30034,1))</f>
        <v>7.3003400000000003</v>
      </c>
      <c r="R1952" s="10">
        <f>+ROUND(O1952/Q1952,4)</f>
        <v>0.1321</v>
      </c>
      <c r="S1952" s="11">
        <f>ROUND(R1952*L1952,2)</f>
        <v>693.53</v>
      </c>
      <c r="T1952" s="10" t="s">
        <v>349</v>
      </c>
      <c r="U1952" s="15" t="s">
        <v>64</v>
      </c>
    </row>
    <row r="1953" spans="1:21">
      <c r="A1953" s="15" t="s">
        <v>1039</v>
      </c>
      <c r="B1953" s="16">
        <v>45663</v>
      </c>
      <c r="C1953" s="16">
        <v>45639</v>
      </c>
      <c r="D1953" s="15" t="s">
        <v>372</v>
      </c>
      <c r="E1953" s="15" t="s">
        <v>373</v>
      </c>
      <c r="G1953" s="15" t="s">
        <v>1036</v>
      </c>
      <c r="H1953" s="15" t="s">
        <v>1037</v>
      </c>
      <c r="I1953" s="15" t="s">
        <v>1038</v>
      </c>
      <c r="J1953" s="8" t="str">
        <f>+LEFT(U1953,4)</f>
        <v>FG--</v>
      </c>
      <c r="K1953" s="15" t="s">
        <v>98</v>
      </c>
      <c r="L1953" s="46">
        <v>3050</v>
      </c>
      <c r="M1953" s="15" t="s">
        <v>1472</v>
      </c>
      <c r="N1953" s="15" t="s">
        <v>11</v>
      </c>
      <c r="O1953" s="49">
        <v>0.97450000000000003</v>
      </c>
      <c r="P1953" s="9">
        <f>ROUND(O1953*L1953,2)</f>
        <v>2972.23</v>
      </c>
      <c r="Q1953" s="10">
        <f>IF(N1953="HKD",7.8,IF(N1953="CNY",7.30034,1))</f>
        <v>7.3003400000000003</v>
      </c>
      <c r="R1953" s="10">
        <f>+ROUND(O1953/Q1953,4)</f>
        <v>0.13350000000000001</v>
      </c>
      <c r="S1953" s="11">
        <f>ROUND(R1953*L1953,2)</f>
        <v>407.18</v>
      </c>
      <c r="T1953" s="10" t="s">
        <v>349</v>
      </c>
      <c r="U1953" s="15" t="s">
        <v>64</v>
      </c>
    </row>
    <row r="1954" spans="1:21">
      <c r="A1954" s="15" t="s">
        <v>1045</v>
      </c>
      <c r="B1954" s="16">
        <v>45663</v>
      </c>
      <c r="C1954" s="16">
        <v>45609</v>
      </c>
      <c r="D1954" s="15" t="s">
        <v>372</v>
      </c>
      <c r="E1954" s="15" t="s">
        <v>373</v>
      </c>
      <c r="G1954" s="15" t="s">
        <v>1036</v>
      </c>
      <c r="H1954" s="15" t="s">
        <v>1043</v>
      </c>
      <c r="I1954" s="15" t="s">
        <v>1044</v>
      </c>
      <c r="J1954" s="8" t="str">
        <f>+LEFT(U1954,4)</f>
        <v>FG--</v>
      </c>
      <c r="K1954" s="15" t="s">
        <v>98</v>
      </c>
      <c r="L1954" s="46">
        <v>530</v>
      </c>
      <c r="M1954" s="15" t="s">
        <v>1472</v>
      </c>
      <c r="N1954" s="15" t="s">
        <v>11</v>
      </c>
      <c r="O1954" s="49">
        <v>0.99439999999999995</v>
      </c>
      <c r="P1954" s="9">
        <f>ROUND(O1954*L1954,2)</f>
        <v>527.03</v>
      </c>
      <c r="Q1954" s="10">
        <f>IF(N1954="HKD",7.8,IF(N1954="CNY",7.30034,1))</f>
        <v>7.3003400000000003</v>
      </c>
      <c r="R1954" s="10">
        <f>+ROUND(O1954/Q1954,4)</f>
        <v>0.13619999999999999</v>
      </c>
      <c r="S1954" s="11">
        <f>ROUND(R1954*L1954,2)</f>
        <v>72.19</v>
      </c>
      <c r="T1954" s="10" t="s">
        <v>349</v>
      </c>
      <c r="U1954" s="15" t="s">
        <v>64</v>
      </c>
    </row>
    <row r="1955" spans="1:21">
      <c r="A1955" s="15" t="s">
        <v>1169</v>
      </c>
      <c r="B1955" s="16">
        <v>45663</v>
      </c>
      <c r="C1955" s="16">
        <v>45629</v>
      </c>
      <c r="D1955" s="15" t="s">
        <v>28</v>
      </c>
      <c r="E1955" s="15" t="s">
        <v>29</v>
      </c>
      <c r="G1955" s="15" t="s">
        <v>1161</v>
      </c>
      <c r="H1955" s="15" t="s">
        <v>1167</v>
      </c>
      <c r="I1955" s="15" t="s">
        <v>1168</v>
      </c>
      <c r="J1955" s="8" t="str">
        <f>+LEFT(U1955,4)</f>
        <v>FG--</v>
      </c>
      <c r="K1955" s="15" t="s">
        <v>10</v>
      </c>
      <c r="L1955" s="46">
        <v>2000</v>
      </c>
      <c r="M1955" s="15" t="s">
        <v>1472</v>
      </c>
      <c r="N1955" s="15" t="s">
        <v>11</v>
      </c>
      <c r="O1955" s="49">
        <v>1.2692000000000001</v>
      </c>
      <c r="P1955" s="9">
        <f>ROUND(O1955*L1955,2)</f>
        <v>2538.4</v>
      </c>
      <c r="Q1955" s="10">
        <f>IF(N1955="HKD",7.8,IF(N1955="CNY",7.30034,1))</f>
        <v>7.3003400000000003</v>
      </c>
      <c r="R1955" s="10">
        <f>+ROUND(O1955/Q1955,4)</f>
        <v>0.1739</v>
      </c>
      <c r="S1955" s="11">
        <f>ROUND(R1955*L1955,2)</f>
        <v>347.8</v>
      </c>
      <c r="T1955" s="10" t="s">
        <v>349</v>
      </c>
      <c r="U1955" s="15" t="s">
        <v>64</v>
      </c>
    </row>
    <row r="1956" spans="1:21">
      <c r="A1956" s="15" t="s">
        <v>1166</v>
      </c>
      <c r="B1956" s="16">
        <v>45663</v>
      </c>
      <c r="C1956" s="16">
        <v>45629</v>
      </c>
      <c r="D1956" s="15" t="s">
        <v>28</v>
      </c>
      <c r="E1956" s="15" t="s">
        <v>29</v>
      </c>
      <c r="G1956" s="15" t="s">
        <v>1161</v>
      </c>
      <c r="H1956" s="15" t="s">
        <v>1162</v>
      </c>
      <c r="I1956" s="15" t="s">
        <v>1163</v>
      </c>
      <c r="J1956" s="8" t="str">
        <f>+LEFT(U1956,4)</f>
        <v>FG--</v>
      </c>
      <c r="K1956" s="15" t="s">
        <v>10</v>
      </c>
      <c r="L1956" s="46">
        <v>1000</v>
      </c>
      <c r="M1956" s="15" t="s">
        <v>1472</v>
      </c>
      <c r="N1956" s="15" t="s">
        <v>11</v>
      </c>
      <c r="O1956" s="49">
        <v>1.3815999999999999</v>
      </c>
      <c r="P1956" s="9">
        <f>ROUND(O1956*L1956,2)</f>
        <v>1381.6</v>
      </c>
      <c r="Q1956" s="10">
        <f>IF(N1956="HKD",7.8,IF(N1956="CNY",7.30034,1))</f>
        <v>7.3003400000000003</v>
      </c>
      <c r="R1956" s="10">
        <f>+ROUND(O1956/Q1956,4)</f>
        <v>0.1893</v>
      </c>
      <c r="S1956" s="11">
        <f>ROUND(R1956*L1956,2)</f>
        <v>189.3</v>
      </c>
      <c r="T1956" s="10" t="s">
        <v>349</v>
      </c>
      <c r="U1956" s="15" t="s">
        <v>64</v>
      </c>
    </row>
    <row r="1957" spans="1:21">
      <c r="A1957" s="15" t="s">
        <v>1165</v>
      </c>
      <c r="B1957" s="16">
        <v>45663</v>
      </c>
      <c r="C1957" s="16">
        <v>45629</v>
      </c>
      <c r="D1957" s="15" t="s">
        <v>28</v>
      </c>
      <c r="E1957" s="15" t="s">
        <v>29</v>
      </c>
      <c r="G1957" s="15" t="s">
        <v>1161</v>
      </c>
      <c r="H1957" s="15" t="s">
        <v>1158</v>
      </c>
      <c r="I1957" s="15" t="s">
        <v>1159</v>
      </c>
      <c r="J1957" s="8" t="str">
        <f>+LEFT(U1957,4)</f>
        <v>FG--</v>
      </c>
      <c r="K1957" s="15" t="s">
        <v>10</v>
      </c>
      <c r="L1957" s="46">
        <v>1040</v>
      </c>
      <c r="M1957" s="15" t="s">
        <v>1472</v>
      </c>
      <c r="N1957" s="15" t="s">
        <v>11</v>
      </c>
      <c r="O1957" s="49">
        <v>1.3815999999999999</v>
      </c>
      <c r="P1957" s="9">
        <f>ROUND(O1957*L1957,2)</f>
        <v>1436.86</v>
      </c>
      <c r="Q1957" s="10">
        <f>IF(N1957="HKD",7.8,IF(N1957="CNY",7.30034,1))</f>
        <v>7.3003400000000003</v>
      </c>
      <c r="R1957" s="10">
        <f>+ROUND(O1957/Q1957,4)</f>
        <v>0.1893</v>
      </c>
      <c r="S1957" s="11">
        <f>ROUND(R1957*L1957,2)</f>
        <v>196.87</v>
      </c>
      <c r="T1957" s="10" t="s">
        <v>349</v>
      </c>
      <c r="U1957" s="15" t="s">
        <v>64</v>
      </c>
    </row>
    <row r="1958" spans="1:21">
      <c r="A1958" s="15" t="s">
        <v>1164</v>
      </c>
      <c r="B1958" s="16">
        <v>45663</v>
      </c>
      <c r="C1958" s="16">
        <v>45646</v>
      </c>
      <c r="D1958" s="15" t="s">
        <v>28</v>
      </c>
      <c r="E1958" s="15" t="s">
        <v>29</v>
      </c>
      <c r="G1958" s="15" t="s">
        <v>1161</v>
      </c>
      <c r="H1958" s="15" t="s">
        <v>1162</v>
      </c>
      <c r="I1958" s="15" t="s">
        <v>1163</v>
      </c>
      <c r="J1958" s="8" t="str">
        <f>+LEFT(U1958,4)</f>
        <v>FG--</v>
      </c>
      <c r="K1958" s="15" t="s">
        <v>10</v>
      </c>
      <c r="L1958" s="46">
        <v>1050</v>
      </c>
      <c r="M1958" s="15" t="s">
        <v>1472</v>
      </c>
      <c r="N1958" s="15" t="s">
        <v>11</v>
      </c>
      <c r="O1958" s="49">
        <v>1.3815999999999999</v>
      </c>
      <c r="P1958" s="9">
        <f>ROUND(O1958*L1958,2)</f>
        <v>1450.68</v>
      </c>
      <c r="Q1958" s="10">
        <f>IF(N1958="HKD",7.8,IF(N1958="CNY",7.30034,1))</f>
        <v>7.3003400000000003</v>
      </c>
      <c r="R1958" s="10">
        <f>+ROUND(O1958/Q1958,4)</f>
        <v>0.1893</v>
      </c>
      <c r="S1958" s="11">
        <f>ROUND(R1958*L1958,2)</f>
        <v>198.77</v>
      </c>
      <c r="T1958" s="10" t="s">
        <v>349</v>
      </c>
      <c r="U1958" s="15" t="s">
        <v>64</v>
      </c>
    </row>
    <row r="1959" spans="1:21">
      <c r="A1959" s="15" t="s">
        <v>1160</v>
      </c>
      <c r="B1959" s="16">
        <v>45663</v>
      </c>
      <c r="C1959" s="16">
        <v>45646</v>
      </c>
      <c r="D1959" s="15" t="s">
        <v>28</v>
      </c>
      <c r="E1959" s="15" t="s">
        <v>29</v>
      </c>
      <c r="G1959" s="15" t="s">
        <v>1161</v>
      </c>
      <c r="H1959" s="15" t="s">
        <v>1158</v>
      </c>
      <c r="I1959" s="15" t="s">
        <v>1159</v>
      </c>
      <c r="J1959" s="8" t="str">
        <f>+LEFT(U1959,4)</f>
        <v>FG--</v>
      </c>
      <c r="K1959" s="15" t="s">
        <v>10</v>
      </c>
      <c r="L1959" s="46">
        <v>1050</v>
      </c>
      <c r="M1959" s="15" t="s">
        <v>1472</v>
      </c>
      <c r="N1959" s="15" t="s">
        <v>11</v>
      </c>
      <c r="O1959" s="49">
        <v>1.3815999999999999</v>
      </c>
      <c r="P1959" s="9">
        <f>ROUND(O1959*L1959,2)</f>
        <v>1450.68</v>
      </c>
      <c r="Q1959" s="10">
        <f>IF(N1959="HKD",7.8,IF(N1959="CNY",7.30034,1))</f>
        <v>7.3003400000000003</v>
      </c>
      <c r="R1959" s="10">
        <f>+ROUND(O1959/Q1959,4)</f>
        <v>0.1893</v>
      </c>
      <c r="S1959" s="11">
        <f>ROUND(R1959*L1959,2)</f>
        <v>198.77</v>
      </c>
      <c r="T1959" s="10" t="s">
        <v>349</v>
      </c>
      <c r="U1959" s="15" t="s">
        <v>64</v>
      </c>
    </row>
    <row r="1960" spans="1:21">
      <c r="A1960" s="15" t="s">
        <v>1189</v>
      </c>
      <c r="B1960" s="16">
        <v>45663</v>
      </c>
      <c r="C1960" s="16">
        <v>45643</v>
      </c>
      <c r="D1960" s="15" t="s">
        <v>149</v>
      </c>
      <c r="E1960" s="15" t="s">
        <v>150</v>
      </c>
      <c r="G1960" s="15" t="s">
        <v>1182</v>
      </c>
      <c r="H1960" s="15" t="s">
        <v>1187</v>
      </c>
      <c r="I1960" s="15" t="s">
        <v>1188</v>
      </c>
      <c r="J1960" s="8" t="str">
        <f>+LEFT(U1960,4)</f>
        <v>GLID</v>
      </c>
      <c r="K1960" s="15" t="s">
        <v>10</v>
      </c>
      <c r="L1960" s="46">
        <v>1220</v>
      </c>
      <c r="M1960" s="15" t="s">
        <v>1472</v>
      </c>
      <c r="N1960" s="15" t="s">
        <v>11</v>
      </c>
      <c r="O1960" s="49">
        <v>2.5366</v>
      </c>
      <c r="P1960" s="9">
        <f>ROUND(O1960*L1960,2)</f>
        <v>3094.65</v>
      </c>
      <c r="Q1960" s="10">
        <f>IF(N1960="HKD",7.8,IF(N1960="CNY",7.30034,1))</f>
        <v>7.3003400000000003</v>
      </c>
      <c r="R1960" s="10">
        <f>+ROUND(O1960/Q1960,4)</f>
        <v>0.34749999999999998</v>
      </c>
      <c r="S1960" s="11">
        <f>ROUND(R1960*L1960,2)</f>
        <v>423.95</v>
      </c>
      <c r="T1960" s="10" t="s">
        <v>349</v>
      </c>
      <c r="U1960" s="15" t="s">
        <v>78</v>
      </c>
    </row>
    <row r="1961" spans="1:21">
      <c r="A1961" s="15" t="s">
        <v>1185</v>
      </c>
      <c r="B1961" s="16">
        <v>45663</v>
      </c>
      <c r="C1961" s="16">
        <v>45609</v>
      </c>
      <c r="D1961" s="15" t="s">
        <v>149</v>
      </c>
      <c r="E1961" s="15" t="s">
        <v>150</v>
      </c>
      <c r="G1961" s="15" t="s">
        <v>1182</v>
      </c>
      <c r="H1961" s="15" t="s">
        <v>1183</v>
      </c>
      <c r="I1961" s="15" t="s">
        <v>1184</v>
      </c>
      <c r="J1961" s="8" t="str">
        <f>+LEFT(U1961,4)</f>
        <v>GLID</v>
      </c>
      <c r="K1961" s="15" t="s">
        <v>10</v>
      </c>
      <c r="L1961" s="46">
        <v>1000</v>
      </c>
      <c r="M1961" s="15" t="s">
        <v>1472</v>
      </c>
      <c r="N1961" s="15" t="s">
        <v>11</v>
      </c>
      <c r="O1961" s="49">
        <v>3.1461000000000001</v>
      </c>
      <c r="P1961" s="9">
        <f>ROUND(O1961*L1961,2)</f>
        <v>3146.1</v>
      </c>
      <c r="Q1961" s="10">
        <f>IF(N1961="HKD",7.8,IF(N1961="CNY",7.30034,1))</f>
        <v>7.3003400000000003</v>
      </c>
      <c r="R1961" s="10">
        <f>+ROUND(O1961/Q1961,4)</f>
        <v>0.43099999999999999</v>
      </c>
      <c r="S1961" s="11">
        <f>ROUND(R1961*L1961,2)</f>
        <v>431</v>
      </c>
      <c r="T1961" s="10" t="s">
        <v>349</v>
      </c>
      <c r="U1961" s="15" t="s">
        <v>78</v>
      </c>
    </row>
    <row r="1962" spans="1:21">
      <c r="A1962" s="15" t="s">
        <v>1186</v>
      </c>
      <c r="B1962" s="16">
        <v>45663</v>
      </c>
      <c r="C1962" s="16">
        <v>45643</v>
      </c>
      <c r="D1962" s="15" t="s">
        <v>149</v>
      </c>
      <c r="E1962" s="15" t="s">
        <v>150</v>
      </c>
      <c r="G1962" s="15" t="s">
        <v>1182</v>
      </c>
      <c r="H1962" s="15" t="s">
        <v>1183</v>
      </c>
      <c r="I1962" s="15" t="s">
        <v>1184</v>
      </c>
      <c r="J1962" s="8" t="str">
        <f>+LEFT(U1962,4)</f>
        <v>GLID</v>
      </c>
      <c r="K1962" s="15" t="s">
        <v>10</v>
      </c>
      <c r="L1962" s="46">
        <v>1730</v>
      </c>
      <c r="M1962" s="15" t="s">
        <v>1472</v>
      </c>
      <c r="N1962" s="15" t="s">
        <v>11</v>
      </c>
      <c r="O1962" s="49">
        <v>3.1461000000000001</v>
      </c>
      <c r="P1962" s="9">
        <f>ROUND(O1962*L1962,2)</f>
        <v>5442.75</v>
      </c>
      <c r="Q1962" s="10">
        <f>IF(N1962="HKD",7.8,IF(N1962="CNY",7.30034,1))</f>
        <v>7.3003400000000003</v>
      </c>
      <c r="R1962" s="10">
        <f>+ROUND(O1962/Q1962,4)</f>
        <v>0.43099999999999999</v>
      </c>
      <c r="S1962" s="11">
        <f>ROUND(R1962*L1962,2)</f>
        <v>745.63</v>
      </c>
      <c r="T1962" s="10" t="s">
        <v>349</v>
      </c>
      <c r="U1962" s="15" t="s">
        <v>78</v>
      </c>
    </row>
    <row r="1963" spans="1:21">
      <c r="A1963" s="15" t="s">
        <v>1181</v>
      </c>
      <c r="B1963" s="16">
        <v>45663</v>
      </c>
      <c r="C1963" s="16">
        <v>45643</v>
      </c>
      <c r="D1963" s="15" t="s">
        <v>149</v>
      </c>
      <c r="E1963" s="15" t="s">
        <v>150</v>
      </c>
      <c r="G1963" s="15" t="s">
        <v>1182</v>
      </c>
      <c r="H1963" s="15" t="s">
        <v>1179</v>
      </c>
      <c r="I1963" s="15" t="s">
        <v>1180</v>
      </c>
      <c r="J1963" s="8" t="str">
        <f>+LEFT(U1963,4)</f>
        <v>GLID</v>
      </c>
      <c r="K1963" s="15" t="s">
        <v>10</v>
      </c>
      <c r="L1963" s="46">
        <v>1200</v>
      </c>
      <c r="M1963" s="15" t="s">
        <v>1472</v>
      </c>
      <c r="N1963" s="15" t="s">
        <v>11</v>
      </c>
      <c r="O1963" s="49">
        <v>3.6753999999999998</v>
      </c>
      <c r="P1963" s="9">
        <f>ROUND(O1963*L1963,2)</f>
        <v>4410.4799999999996</v>
      </c>
      <c r="Q1963" s="10">
        <f>IF(N1963="HKD",7.8,IF(N1963="CNY",7.30034,1))</f>
        <v>7.3003400000000003</v>
      </c>
      <c r="R1963" s="10">
        <f>+ROUND(O1963/Q1963,4)</f>
        <v>0.50349999999999995</v>
      </c>
      <c r="S1963" s="11">
        <f>ROUND(R1963*L1963,2)</f>
        <v>604.20000000000005</v>
      </c>
      <c r="T1963" s="10" t="s">
        <v>349</v>
      </c>
      <c r="U1963" s="15" t="s">
        <v>78</v>
      </c>
    </row>
    <row r="1964" spans="1:21">
      <c r="A1964" s="15" t="s">
        <v>1192</v>
      </c>
      <c r="B1964" s="16">
        <v>45663</v>
      </c>
      <c r="C1964" s="16">
        <v>45639</v>
      </c>
      <c r="D1964" s="15" t="s">
        <v>149</v>
      </c>
      <c r="E1964" s="15" t="s">
        <v>150</v>
      </c>
      <c r="G1964" s="15" t="s">
        <v>1182</v>
      </c>
      <c r="H1964" s="15" t="s">
        <v>1190</v>
      </c>
      <c r="I1964" s="15" t="s">
        <v>1191</v>
      </c>
      <c r="J1964" s="8" t="str">
        <f>+LEFT(U1964,4)</f>
        <v>GLID</v>
      </c>
      <c r="K1964" s="15" t="s">
        <v>10</v>
      </c>
      <c r="L1964" s="46">
        <v>2530</v>
      </c>
      <c r="M1964" s="15" t="s">
        <v>1472</v>
      </c>
      <c r="N1964" s="15" t="s">
        <v>11</v>
      </c>
      <c r="O1964" s="49">
        <v>4.3726000000000003</v>
      </c>
      <c r="P1964" s="9">
        <f>ROUND(O1964*L1964,2)</f>
        <v>11062.68</v>
      </c>
      <c r="Q1964" s="10">
        <f>IF(N1964="HKD",7.8,IF(N1964="CNY",7.30034,1))</f>
        <v>7.3003400000000003</v>
      </c>
      <c r="R1964" s="10">
        <f>+ROUND(O1964/Q1964,4)</f>
        <v>0.59899999999999998</v>
      </c>
      <c r="S1964" s="11">
        <f>ROUND(R1964*L1964,2)</f>
        <v>1515.47</v>
      </c>
      <c r="T1964" s="10" t="s">
        <v>349</v>
      </c>
      <c r="U1964" s="15" t="s">
        <v>78</v>
      </c>
    </row>
    <row r="1965" spans="1:21">
      <c r="A1965" s="15" t="s">
        <v>1195</v>
      </c>
      <c r="B1965" s="16">
        <v>45663</v>
      </c>
      <c r="C1965" s="16">
        <v>45629</v>
      </c>
      <c r="D1965" s="15" t="s">
        <v>149</v>
      </c>
      <c r="E1965" s="15" t="s">
        <v>150</v>
      </c>
      <c r="G1965" s="15" t="s">
        <v>1182</v>
      </c>
      <c r="H1965" s="15" t="s">
        <v>1193</v>
      </c>
      <c r="I1965" s="15" t="s">
        <v>1194</v>
      </c>
      <c r="J1965" s="8" t="str">
        <f>+LEFT(U1965,4)</f>
        <v>GLID</v>
      </c>
      <c r="K1965" s="15" t="s">
        <v>10</v>
      </c>
      <c r="L1965" s="46">
        <v>1040</v>
      </c>
      <c r="M1965" s="15" t="s">
        <v>1472</v>
      </c>
      <c r="N1965" s="15" t="s">
        <v>11</v>
      </c>
      <c r="O1965" s="49">
        <v>4.4463999999999997</v>
      </c>
      <c r="P1965" s="9">
        <f>ROUND(O1965*L1965,2)</f>
        <v>4624.26</v>
      </c>
      <c r="Q1965" s="10">
        <f>IF(N1965="HKD",7.8,IF(N1965="CNY",7.30034,1))</f>
        <v>7.3003400000000003</v>
      </c>
      <c r="R1965" s="10">
        <f>+ROUND(O1965/Q1965,4)</f>
        <v>0.60909999999999997</v>
      </c>
      <c r="S1965" s="11">
        <f>ROUND(R1965*L1965,2)</f>
        <v>633.46</v>
      </c>
      <c r="T1965" s="10" t="s">
        <v>349</v>
      </c>
      <c r="U1965" s="15" t="s">
        <v>78</v>
      </c>
    </row>
    <row r="1966" spans="1:21">
      <c r="A1966" s="15" t="s">
        <v>792</v>
      </c>
      <c r="B1966" s="16">
        <v>45663</v>
      </c>
      <c r="C1966" s="16">
        <v>45629</v>
      </c>
      <c r="D1966" s="15" t="s">
        <v>149</v>
      </c>
      <c r="E1966" s="15" t="s">
        <v>150</v>
      </c>
      <c r="G1966" s="15" t="s">
        <v>1182</v>
      </c>
      <c r="H1966" s="15" t="s">
        <v>790</v>
      </c>
      <c r="I1966" s="15" t="s">
        <v>791</v>
      </c>
      <c r="J1966" s="8" t="str">
        <f>+LEFT(U1966,4)</f>
        <v>GLID</v>
      </c>
      <c r="K1966" s="15" t="s">
        <v>10</v>
      </c>
      <c r="L1966" s="46">
        <v>980</v>
      </c>
      <c r="M1966" s="15" t="s">
        <v>1472</v>
      </c>
      <c r="N1966" s="15" t="s">
        <v>11</v>
      </c>
      <c r="O1966" s="49">
        <v>5.1580000000000004</v>
      </c>
      <c r="P1966" s="9">
        <f>ROUND(O1966*L1966,2)</f>
        <v>5054.84</v>
      </c>
      <c r="Q1966" s="10">
        <f>IF(N1966="HKD",7.8,IF(N1966="CNY",7.30034,1))</f>
        <v>7.3003400000000003</v>
      </c>
      <c r="R1966" s="10">
        <f>+ROUND(O1966/Q1966,4)</f>
        <v>0.70650000000000002</v>
      </c>
      <c r="S1966" s="11">
        <f>ROUND(R1966*L1966,2)</f>
        <v>692.37</v>
      </c>
      <c r="T1966" s="10" t="s">
        <v>349</v>
      </c>
      <c r="U1966" s="15" t="s">
        <v>78</v>
      </c>
    </row>
    <row r="1967" spans="1:21">
      <c r="A1967" s="15" t="s">
        <v>853</v>
      </c>
      <c r="B1967" s="16">
        <v>45663</v>
      </c>
      <c r="C1967" s="16">
        <v>45638</v>
      </c>
      <c r="D1967" s="15" t="s">
        <v>287</v>
      </c>
      <c r="E1967" s="15" t="s">
        <v>288</v>
      </c>
      <c r="G1967" s="15" t="s">
        <v>1275</v>
      </c>
      <c r="H1967" s="15" t="s">
        <v>851</v>
      </c>
      <c r="I1967" s="15" t="s">
        <v>852</v>
      </c>
      <c r="J1967" s="8" t="str">
        <f>+LEFT(U1967,4)</f>
        <v>GLID</v>
      </c>
      <c r="K1967" s="15" t="s">
        <v>10</v>
      </c>
      <c r="L1967" s="46">
        <v>3920</v>
      </c>
      <c r="M1967" s="15" t="s">
        <v>1472</v>
      </c>
      <c r="N1967" s="15" t="s">
        <v>11</v>
      </c>
      <c r="O1967" s="49">
        <v>7.9870000000000001</v>
      </c>
      <c r="P1967" s="9">
        <f>ROUND(O1967*L1967,2)</f>
        <v>31309.040000000001</v>
      </c>
      <c r="Q1967" s="10">
        <f>IF(N1967="HKD",7.8,IF(N1967="CNY",7.30034,1))</f>
        <v>7.3003400000000003</v>
      </c>
      <c r="R1967" s="10">
        <f>+ROUND(O1967/Q1967,4)</f>
        <v>1.0941000000000001</v>
      </c>
      <c r="S1967" s="11">
        <f>ROUND(R1967*L1967,2)</f>
        <v>4288.87</v>
      </c>
      <c r="T1967" s="10" t="s">
        <v>349</v>
      </c>
      <c r="U1967" s="15" t="s">
        <v>78</v>
      </c>
    </row>
    <row r="1968" spans="1:21">
      <c r="A1968" s="15" t="s">
        <v>844</v>
      </c>
      <c r="B1968" s="16">
        <v>45663</v>
      </c>
      <c r="C1968" s="16">
        <v>45638</v>
      </c>
      <c r="D1968" s="15" t="s">
        <v>287</v>
      </c>
      <c r="E1968" s="15" t="s">
        <v>288</v>
      </c>
      <c r="G1968" s="15" t="s">
        <v>1275</v>
      </c>
      <c r="H1968" s="15" t="s">
        <v>842</v>
      </c>
      <c r="I1968" s="15" t="s">
        <v>843</v>
      </c>
      <c r="J1968" s="8" t="str">
        <f>+LEFT(U1968,4)</f>
        <v>GLID</v>
      </c>
      <c r="K1968" s="15" t="s">
        <v>10</v>
      </c>
      <c r="L1968" s="46">
        <v>1400</v>
      </c>
      <c r="M1968" s="15" t="s">
        <v>1472</v>
      </c>
      <c r="N1968" s="15" t="s">
        <v>11</v>
      </c>
      <c r="O1968" s="49">
        <v>9.31</v>
      </c>
      <c r="P1968" s="9">
        <f>ROUND(O1968*L1968,2)</f>
        <v>13034</v>
      </c>
      <c r="Q1968" s="10">
        <f>IF(N1968="HKD",7.8,IF(N1968="CNY",7.30034,1))</f>
        <v>7.3003400000000003</v>
      </c>
      <c r="R1968" s="10">
        <f>+ROUND(O1968/Q1968,4)</f>
        <v>1.2753000000000001</v>
      </c>
      <c r="S1968" s="11">
        <f>ROUND(R1968*L1968,2)</f>
        <v>1785.42</v>
      </c>
      <c r="T1968" s="10" t="s">
        <v>349</v>
      </c>
      <c r="U1968" s="15" t="s">
        <v>78</v>
      </c>
    </row>
    <row r="1969" spans="1:21">
      <c r="A1969" s="15" t="s">
        <v>1035</v>
      </c>
      <c r="B1969" s="16">
        <v>45663</v>
      </c>
      <c r="C1969" s="16">
        <v>45636</v>
      </c>
      <c r="D1969" s="15" t="s">
        <v>372</v>
      </c>
      <c r="E1969" s="15" t="s">
        <v>373</v>
      </c>
      <c r="G1969" s="15" t="s">
        <v>1036</v>
      </c>
      <c r="H1969" s="15" t="s">
        <v>1033</v>
      </c>
      <c r="I1969" s="15" t="s">
        <v>1034</v>
      </c>
      <c r="J1969" s="8" t="str">
        <f>+LEFT(U1969,4)</f>
        <v>HDL-</v>
      </c>
      <c r="K1969" s="15" t="s">
        <v>98</v>
      </c>
      <c r="L1969" s="46">
        <v>1000</v>
      </c>
      <c r="M1969" s="15" t="s">
        <v>1472</v>
      </c>
      <c r="N1969" s="15" t="s">
        <v>11</v>
      </c>
      <c r="O1969" s="49">
        <v>1.1168</v>
      </c>
      <c r="P1969" s="9">
        <f>ROUND(O1969*L1969,2)</f>
        <v>1116.8</v>
      </c>
      <c r="Q1969" s="10">
        <f>IF(N1969="HKD",7.8,IF(N1969="CNY",7.30034,1))</f>
        <v>7.3003400000000003</v>
      </c>
      <c r="R1969" s="10">
        <f>+ROUND(O1969/Q1969,4)</f>
        <v>0.153</v>
      </c>
      <c r="S1969" s="11">
        <f>ROUND(R1969*L1969,2)</f>
        <v>153</v>
      </c>
      <c r="T1969" s="10" t="s">
        <v>349</v>
      </c>
      <c r="U1969" s="15" t="s">
        <v>228</v>
      </c>
    </row>
    <row r="1970" spans="1:21">
      <c r="A1970" s="15" t="s">
        <v>1072</v>
      </c>
      <c r="B1970" s="16">
        <v>45663</v>
      </c>
      <c r="C1970" s="16">
        <v>45618</v>
      </c>
      <c r="D1970" s="15" t="s">
        <v>372</v>
      </c>
      <c r="E1970" s="15" t="s">
        <v>373</v>
      </c>
      <c r="G1970" s="15" t="s">
        <v>1054</v>
      </c>
      <c r="H1970" s="15" t="s">
        <v>1070</v>
      </c>
      <c r="I1970" s="15" t="s">
        <v>1071</v>
      </c>
      <c r="J1970" s="8" t="str">
        <f>+LEFT(U1970,4)</f>
        <v>HDL-</v>
      </c>
      <c r="K1970" s="15" t="s">
        <v>98</v>
      </c>
      <c r="L1970" s="46">
        <v>610</v>
      </c>
      <c r="M1970" s="15" t="s">
        <v>1472</v>
      </c>
      <c r="N1970" s="15" t="s">
        <v>11</v>
      </c>
      <c r="O1970" s="49">
        <v>1.1801999999999999</v>
      </c>
      <c r="P1970" s="9">
        <f>ROUND(O1970*L1970,2)</f>
        <v>719.92</v>
      </c>
      <c r="Q1970" s="10">
        <f>IF(N1970="HKD",7.8,IF(N1970="CNY",7.30034,1))</f>
        <v>7.3003400000000003</v>
      </c>
      <c r="R1970" s="10">
        <f>+ROUND(O1970/Q1970,4)</f>
        <v>0.16170000000000001</v>
      </c>
      <c r="S1970" s="11">
        <f>ROUND(R1970*L1970,2)</f>
        <v>98.64</v>
      </c>
      <c r="T1970" s="10" t="s">
        <v>349</v>
      </c>
      <c r="U1970" s="15" t="s">
        <v>228</v>
      </c>
    </row>
    <row r="1971" spans="1:21">
      <c r="A1971" s="15" t="s">
        <v>1069</v>
      </c>
      <c r="B1971" s="16">
        <v>45663</v>
      </c>
      <c r="C1971" s="16">
        <v>45618</v>
      </c>
      <c r="D1971" s="15" t="s">
        <v>372</v>
      </c>
      <c r="E1971" s="15" t="s">
        <v>373</v>
      </c>
      <c r="G1971" s="15" t="s">
        <v>1054</v>
      </c>
      <c r="H1971" s="15" t="s">
        <v>1067</v>
      </c>
      <c r="I1971" s="15" t="s">
        <v>1068</v>
      </c>
      <c r="J1971" s="8" t="str">
        <f>+LEFT(U1971,4)</f>
        <v>HDL-</v>
      </c>
      <c r="K1971" s="15" t="s">
        <v>98</v>
      </c>
      <c r="L1971" s="46">
        <v>620</v>
      </c>
      <c r="M1971" s="15" t="s">
        <v>1472</v>
      </c>
      <c r="N1971" s="15" t="s">
        <v>11</v>
      </c>
      <c r="O1971" s="49">
        <v>1.1801999999999999</v>
      </c>
      <c r="P1971" s="9">
        <f>ROUND(O1971*L1971,2)</f>
        <v>731.72</v>
      </c>
      <c r="Q1971" s="10">
        <f>IF(N1971="HKD",7.8,IF(N1971="CNY",7.30034,1))</f>
        <v>7.3003400000000003</v>
      </c>
      <c r="R1971" s="10">
        <f>+ROUND(O1971/Q1971,4)</f>
        <v>0.16170000000000001</v>
      </c>
      <c r="S1971" s="11">
        <f>ROUND(R1971*L1971,2)</f>
        <v>100.25</v>
      </c>
      <c r="T1971" s="10" t="s">
        <v>349</v>
      </c>
      <c r="U1971" s="15" t="s">
        <v>228</v>
      </c>
    </row>
    <row r="1972" spans="1:21">
      <c r="A1972" s="15" t="s">
        <v>1066</v>
      </c>
      <c r="B1972" s="16">
        <v>45663</v>
      </c>
      <c r="C1972" s="16">
        <v>45618</v>
      </c>
      <c r="D1972" s="15" t="s">
        <v>372</v>
      </c>
      <c r="E1972" s="15" t="s">
        <v>373</v>
      </c>
      <c r="G1972" s="15" t="s">
        <v>1054</v>
      </c>
      <c r="H1972" s="15" t="s">
        <v>1064</v>
      </c>
      <c r="I1972" s="15" t="s">
        <v>1065</v>
      </c>
      <c r="J1972" s="8" t="str">
        <f>+LEFT(U1972,4)</f>
        <v>HDL-</v>
      </c>
      <c r="K1972" s="15" t="s">
        <v>98</v>
      </c>
      <c r="L1972" s="46">
        <v>620</v>
      </c>
      <c r="M1972" s="15" t="s">
        <v>1472</v>
      </c>
      <c r="N1972" s="15" t="s">
        <v>11</v>
      </c>
      <c r="O1972" s="49">
        <v>1.1801999999999999</v>
      </c>
      <c r="P1972" s="9">
        <f>ROUND(O1972*L1972,2)</f>
        <v>731.72</v>
      </c>
      <c r="Q1972" s="10">
        <f>IF(N1972="HKD",7.8,IF(N1972="CNY",7.30034,1))</f>
        <v>7.3003400000000003</v>
      </c>
      <c r="R1972" s="10">
        <f>+ROUND(O1972/Q1972,4)</f>
        <v>0.16170000000000001</v>
      </c>
      <c r="S1972" s="11">
        <f>ROUND(R1972*L1972,2)</f>
        <v>100.25</v>
      </c>
      <c r="T1972" s="10" t="s">
        <v>349</v>
      </c>
      <c r="U1972" s="15" t="s">
        <v>228</v>
      </c>
    </row>
    <row r="1973" spans="1:21">
      <c r="A1973" s="15" t="s">
        <v>1063</v>
      </c>
      <c r="B1973" s="16">
        <v>45663</v>
      </c>
      <c r="C1973" s="16">
        <v>45618</v>
      </c>
      <c r="D1973" s="15" t="s">
        <v>372</v>
      </c>
      <c r="E1973" s="15" t="s">
        <v>373</v>
      </c>
      <c r="G1973" s="15" t="s">
        <v>1054</v>
      </c>
      <c r="H1973" s="15" t="s">
        <v>1061</v>
      </c>
      <c r="I1973" s="15" t="s">
        <v>1062</v>
      </c>
      <c r="J1973" s="8" t="str">
        <f>+LEFT(U1973,4)</f>
        <v>HDL-</v>
      </c>
      <c r="K1973" s="15" t="s">
        <v>98</v>
      </c>
      <c r="L1973" s="46">
        <v>630</v>
      </c>
      <c r="M1973" s="15" t="s">
        <v>1472</v>
      </c>
      <c r="N1973" s="15" t="s">
        <v>11</v>
      </c>
      <c r="O1973" s="49">
        <v>1.1801999999999999</v>
      </c>
      <c r="P1973" s="9">
        <f>ROUND(O1973*L1973,2)</f>
        <v>743.53</v>
      </c>
      <c r="Q1973" s="10">
        <f>IF(N1973="HKD",7.8,IF(N1973="CNY",7.30034,1))</f>
        <v>7.3003400000000003</v>
      </c>
      <c r="R1973" s="10">
        <f>+ROUND(O1973/Q1973,4)</f>
        <v>0.16170000000000001</v>
      </c>
      <c r="S1973" s="11">
        <f>ROUND(R1973*L1973,2)</f>
        <v>101.87</v>
      </c>
      <c r="T1973" s="10" t="s">
        <v>349</v>
      </c>
      <c r="U1973" s="15" t="s">
        <v>228</v>
      </c>
    </row>
    <row r="1974" spans="1:21">
      <c r="A1974" s="15" t="s">
        <v>1060</v>
      </c>
      <c r="B1974" s="16">
        <v>45663</v>
      </c>
      <c r="C1974" s="16">
        <v>45618</v>
      </c>
      <c r="D1974" s="15" t="s">
        <v>372</v>
      </c>
      <c r="E1974" s="15" t="s">
        <v>373</v>
      </c>
      <c r="G1974" s="15" t="s">
        <v>1054</v>
      </c>
      <c r="H1974" s="15" t="s">
        <v>1058</v>
      </c>
      <c r="I1974" s="15" t="s">
        <v>1059</v>
      </c>
      <c r="J1974" s="8" t="str">
        <f>+LEFT(U1974,4)</f>
        <v>HDL-</v>
      </c>
      <c r="K1974" s="15" t="s">
        <v>98</v>
      </c>
      <c r="L1974" s="46">
        <v>620</v>
      </c>
      <c r="M1974" s="15" t="s">
        <v>1472</v>
      </c>
      <c r="N1974" s="15" t="s">
        <v>11</v>
      </c>
      <c r="O1974" s="49">
        <v>1.2863</v>
      </c>
      <c r="P1974" s="9">
        <f>ROUND(O1974*L1974,2)</f>
        <v>797.51</v>
      </c>
      <c r="Q1974" s="10">
        <f>IF(N1974="HKD",7.8,IF(N1974="CNY",7.30034,1))</f>
        <v>7.3003400000000003</v>
      </c>
      <c r="R1974" s="10">
        <f>+ROUND(O1974/Q1974,4)</f>
        <v>0.1762</v>
      </c>
      <c r="S1974" s="11">
        <f>ROUND(R1974*L1974,2)</f>
        <v>109.24</v>
      </c>
      <c r="T1974" s="10" t="s">
        <v>349</v>
      </c>
      <c r="U1974" s="15" t="s">
        <v>228</v>
      </c>
    </row>
    <row r="1975" spans="1:21">
      <c r="A1975" s="15" t="s">
        <v>1057</v>
      </c>
      <c r="B1975" s="16">
        <v>45663</v>
      </c>
      <c r="C1975" s="16">
        <v>45618</v>
      </c>
      <c r="D1975" s="15" t="s">
        <v>372</v>
      </c>
      <c r="E1975" s="15" t="s">
        <v>373</v>
      </c>
      <c r="G1975" s="15" t="s">
        <v>1054</v>
      </c>
      <c r="H1975" s="15" t="s">
        <v>1055</v>
      </c>
      <c r="I1975" s="15" t="s">
        <v>1056</v>
      </c>
      <c r="J1975" s="8" t="str">
        <f>+LEFT(U1975,4)</f>
        <v>HDL-</v>
      </c>
      <c r="K1975" s="15" t="s">
        <v>98</v>
      </c>
      <c r="L1975" s="46">
        <v>620</v>
      </c>
      <c r="M1975" s="15" t="s">
        <v>1472</v>
      </c>
      <c r="N1975" s="15" t="s">
        <v>11</v>
      </c>
      <c r="O1975" s="49">
        <v>1.2863</v>
      </c>
      <c r="P1975" s="9">
        <f>ROUND(O1975*L1975,2)</f>
        <v>797.51</v>
      </c>
      <c r="Q1975" s="10">
        <f>IF(N1975="HKD",7.8,IF(N1975="CNY",7.30034,1))</f>
        <v>7.3003400000000003</v>
      </c>
      <c r="R1975" s="10">
        <f>+ROUND(O1975/Q1975,4)</f>
        <v>0.1762</v>
      </c>
      <c r="S1975" s="11">
        <f>ROUND(R1975*L1975,2)</f>
        <v>109.24</v>
      </c>
      <c r="T1975" s="10" t="s">
        <v>349</v>
      </c>
      <c r="U1975" s="15" t="s">
        <v>228</v>
      </c>
    </row>
    <row r="1976" spans="1:21">
      <c r="A1976" s="15" t="s">
        <v>1053</v>
      </c>
      <c r="B1976" s="16">
        <v>45663</v>
      </c>
      <c r="C1976" s="16">
        <v>45618</v>
      </c>
      <c r="D1976" s="15" t="s">
        <v>372</v>
      </c>
      <c r="E1976" s="15" t="s">
        <v>373</v>
      </c>
      <c r="G1976" s="15" t="s">
        <v>1054</v>
      </c>
      <c r="H1976" s="15" t="s">
        <v>1051</v>
      </c>
      <c r="I1976" s="15" t="s">
        <v>1052</v>
      </c>
      <c r="J1976" s="8" t="str">
        <f>+LEFT(U1976,4)</f>
        <v>HDL-</v>
      </c>
      <c r="K1976" s="15" t="s">
        <v>98</v>
      </c>
      <c r="L1976" s="46">
        <v>626</v>
      </c>
      <c r="M1976" s="15" t="s">
        <v>1472</v>
      </c>
      <c r="N1976" s="15" t="s">
        <v>11</v>
      </c>
      <c r="O1976" s="49">
        <v>1.2863</v>
      </c>
      <c r="P1976" s="9">
        <f>ROUND(O1976*L1976,2)</f>
        <v>805.22</v>
      </c>
      <c r="Q1976" s="10">
        <f>IF(N1976="HKD",7.8,IF(N1976="CNY",7.30034,1))</f>
        <v>7.3003400000000003</v>
      </c>
      <c r="R1976" s="10">
        <f>+ROUND(O1976/Q1976,4)</f>
        <v>0.1762</v>
      </c>
      <c r="S1976" s="11">
        <f>ROUND(R1976*L1976,2)</f>
        <v>110.3</v>
      </c>
      <c r="T1976" s="10" t="s">
        <v>349</v>
      </c>
      <c r="U1976" s="15" t="s">
        <v>228</v>
      </c>
    </row>
    <row r="1977" spans="1:21">
      <c r="A1977" s="15" t="s">
        <v>1243</v>
      </c>
      <c r="B1977" s="16">
        <v>45663</v>
      </c>
      <c r="C1977" s="16">
        <v>45638</v>
      </c>
      <c r="D1977" s="15" t="s">
        <v>311</v>
      </c>
      <c r="E1977" s="15" t="s">
        <v>312</v>
      </c>
      <c r="G1977" s="15" t="s">
        <v>1244</v>
      </c>
      <c r="H1977" s="15" t="s">
        <v>662</v>
      </c>
      <c r="I1977" s="15" t="s">
        <v>663</v>
      </c>
      <c r="J1977" s="8" t="str">
        <f>+LEFT(U1977,4)</f>
        <v>INM-</v>
      </c>
      <c r="K1977" s="15" t="s">
        <v>10</v>
      </c>
      <c r="L1977" s="46">
        <v>50</v>
      </c>
      <c r="M1977" s="15" t="s">
        <v>186</v>
      </c>
      <c r="N1977" s="15" t="s">
        <v>11</v>
      </c>
      <c r="O1977" s="49">
        <v>92.743399999999994</v>
      </c>
      <c r="P1977" s="9">
        <f>ROUND(O1977*L1977,2)</f>
        <v>4637.17</v>
      </c>
      <c r="Q1977" s="10">
        <f>IF(N1977="HKD",7.8,IF(N1977="CNY",7.30034,1))</f>
        <v>7.3003400000000003</v>
      </c>
      <c r="R1977" s="10">
        <f>+ROUND(O1977/Q1977,4)</f>
        <v>12.704000000000001</v>
      </c>
      <c r="S1977" s="11">
        <f>ROUND(R1977*L1977,2)</f>
        <v>635.20000000000005</v>
      </c>
      <c r="T1977" s="10" t="s">
        <v>349</v>
      </c>
      <c r="U1977" s="15" t="s">
        <v>327</v>
      </c>
    </row>
    <row r="1978" spans="1:21">
      <c r="A1978" s="15" t="s">
        <v>1024</v>
      </c>
      <c r="B1978" s="16">
        <v>45663</v>
      </c>
      <c r="C1978" s="16">
        <v>45646</v>
      </c>
      <c r="D1978" s="15" t="s">
        <v>252</v>
      </c>
      <c r="E1978" s="15" t="s">
        <v>253</v>
      </c>
      <c r="G1978" s="15" t="s">
        <v>1025</v>
      </c>
      <c r="H1978" s="15" t="s">
        <v>1022</v>
      </c>
      <c r="I1978" s="15" t="s">
        <v>1023</v>
      </c>
      <c r="J1978" s="8" t="s">
        <v>1527</v>
      </c>
      <c r="K1978" s="15" t="s">
        <v>10</v>
      </c>
      <c r="L1978" s="46">
        <v>1000</v>
      </c>
      <c r="M1978" s="15" t="s">
        <v>1472</v>
      </c>
      <c r="N1978" s="15" t="s">
        <v>11</v>
      </c>
      <c r="O1978" s="49">
        <v>1.31</v>
      </c>
      <c r="P1978" s="9">
        <f>ROUND(O1978*L1978,2)</f>
        <v>1310</v>
      </c>
      <c r="Q1978" s="10">
        <f>IF(N1978="HKD",7.8,IF(N1978="CNY",7.30034,1))</f>
        <v>7.3003400000000003</v>
      </c>
      <c r="R1978" s="10">
        <f>+ROUND(O1978/Q1978,4)</f>
        <v>0.1794</v>
      </c>
      <c r="S1978" s="11">
        <f>ROUND(R1978*L1978,2)</f>
        <v>179.4</v>
      </c>
      <c r="T1978" s="10" t="s">
        <v>349</v>
      </c>
      <c r="U1978" s="15" t="s">
        <v>36</v>
      </c>
    </row>
    <row r="1979" spans="1:21">
      <c r="A1979" s="15" t="s">
        <v>690</v>
      </c>
      <c r="B1979" s="16">
        <v>45663</v>
      </c>
      <c r="C1979" s="16">
        <v>45638</v>
      </c>
      <c r="D1979" s="15" t="s">
        <v>252</v>
      </c>
      <c r="E1979" s="15" t="s">
        <v>253</v>
      </c>
      <c r="G1979" s="15" t="s">
        <v>1025</v>
      </c>
      <c r="H1979" s="15" t="s">
        <v>688</v>
      </c>
      <c r="I1979" s="15" t="s">
        <v>689</v>
      </c>
      <c r="J1979" s="8" t="s">
        <v>1527</v>
      </c>
      <c r="K1979" s="15" t="s">
        <v>10</v>
      </c>
      <c r="L1979" s="46">
        <v>10800</v>
      </c>
      <c r="M1979" s="15" t="s">
        <v>1472</v>
      </c>
      <c r="N1979" s="15" t="s">
        <v>11</v>
      </c>
      <c r="O1979" s="49">
        <v>0.873</v>
      </c>
      <c r="P1979" s="9">
        <f>ROUND(O1979*L1979,2)</f>
        <v>9428.4</v>
      </c>
      <c r="Q1979" s="10">
        <f>IF(N1979="HKD",7.8,IF(N1979="CNY",7.30034,1))</f>
        <v>7.3003400000000003</v>
      </c>
      <c r="R1979" s="10">
        <f>+ROUND(O1979/Q1979,4)</f>
        <v>0.1196</v>
      </c>
      <c r="S1979" s="11">
        <f>ROUND(R1979*L1979,2)</f>
        <v>1291.68</v>
      </c>
      <c r="T1979" s="10" t="s">
        <v>349</v>
      </c>
      <c r="U1979" s="15" t="s">
        <v>36</v>
      </c>
    </row>
    <row r="1980" spans="1:21">
      <c r="A1980" s="15" t="s">
        <v>1028</v>
      </c>
      <c r="B1980" s="16">
        <v>45663</v>
      </c>
      <c r="C1980" s="16">
        <v>45638</v>
      </c>
      <c r="D1980" s="15" t="s">
        <v>252</v>
      </c>
      <c r="E1980" s="15" t="s">
        <v>253</v>
      </c>
      <c r="G1980" s="15" t="s">
        <v>1025</v>
      </c>
      <c r="H1980" s="15" t="s">
        <v>1026</v>
      </c>
      <c r="I1980" s="15" t="s">
        <v>1027</v>
      </c>
      <c r="J1980" s="8" t="s">
        <v>1527</v>
      </c>
      <c r="K1980" s="15" t="s">
        <v>10</v>
      </c>
      <c r="L1980" s="46">
        <v>16200</v>
      </c>
      <c r="M1980" s="15" t="s">
        <v>1472</v>
      </c>
      <c r="N1980" s="15" t="s">
        <v>11</v>
      </c>
      <c r="O1980" s="49">
        <v>0.873</v>
      </c>
      <c r="P1980" s="9">
        <f>ROUND(O1980*L1980,2)</f>
        <v>14142.6</v>
      </c>
      <c r="Q1980" s="10">
        <f>IF(N1980="HKD",7.8,IF(N1980="CNY",7.30034,1))</f>
        <v>7.3003400000000003</v>
      </c>
      <c r="R1980" s="10">
        <f>+ROUND(O1980/Q1980,4)</f>
        <v>0.1196</v>
      </c>
      <c r="S1980" s="11">
        <f>ROUND(R1980*L1980,2)</f>
        <v>1937.52</v>
      </c>
      <c r="T1980" s="10" t="s">
        <v>349</v>
      </c>
      <c r="U1980" s="15" t="s">
        <v>36</v>
      </c>
    </row>
    <row r="1981" spans="1:21">
      <c r="A1981" s="15" t="s">
        <v>1048</v>
      </c>
      <c r="B1981" s="16">
        <v>45663</v>
      </c>
      <c r="C1981" s="16">
        <v>45629</v>
      </c>
      <c r="D1981" s="15" t="s">
        <v>372</v>
      </c>
      <c r="E1981" s="15" t="s">
        <v>373</v>
      </c>
      <c r="G1981" s="15" t="s">
        <v>1036</v>
      </c>
      <c r="H1981" s="15" t="s">
        <v>1046</v>
      </c>
      <c r="I1981" s="15" t="s">
        <v>1047</v>
      </c>
      <c r="J1981" s="8" t="str">
        <f>+LEFT(U1981,4)</f>
        <v>KNOB</v>
      </c>
      <c r="K1981" s="15" t="s">
        <v>98</v>
      </c>
      <c r="L1981" s="46">
        <v>3000</v>
      </c>
      <c r="M1981" s="15" t="s">
        <v>1472</v>
      </c>
      <c r="N1981" s="15" t="s">
        <v>11</v>
      </c>
      <c r="O1981" s="49">
        <v>0.6411</v>
      </c>
      <c r="P1981" s="9">
        <f>ROUND(O1981*L1981,2)</f>
        <v>1923.3</v>
      </c>
      <c r="Q1981" s="10">
        <f>IF(N1981="HKD",7.8,IF(N1981="CNY",7.30034,1))</f>
        <v>7.3003400000000003</v>
      </c>
      <c r="R1981" s="10">
        <f>+ROUND(O1981/Q1981,4)</f>
        <v>8.7800000000000003E-2</v>
      </c>
      <c r="S1981" s="11">
        <f>ROUND(R1981*L1981,2)</f>
        <v>263.39999999999998</v>
      </c>
      <c r="T1981" s="10" t="s">
        <v>349</v>
      </c>
      <c r="U1981" s="15" t="s">
        <v>32</v>
      </c>
    </row>
    <row r="1982" spans="1:21">
      <c r="A1982" s="15" t="s">
        <v>1049</v>
      </c>
      <c r="B1982" s="16">
        <v>45663</v>
      </c>
      <c r="C1982" s="16">
        <v>45636</v>
      </c>
      <c r="D1982" s="15" t="s">
        <v>372</v>
      </c>
      <c r="E1982" s="15" t="s">
        <v>373</v>
      </c>
      <c r="G1982" s="15" t="s">
        <v>1036</v>
      </c>
      <c r="H1982" s="15" t="s">
        <v>1046</v>
      </c>
      <c r="I1982" s="15" t="s">
        <v>1047</v>
      </c>
      <c r="J1982" s="8" t="str">
        <f>+LEFT(U1982,4)</f>
        <v>KNOB</v>
      </c>
      <c r="K1982" s="15" t="s">
        <v>98</v>
      </c>
      <c r="L1982" s="46">
        <v>1020</v>
      </c>
      <c r="M1982" s="15" t="s">
        <v>1472</v>
      </c>
      <c r="N1982" s="15" t="s">
        <v>11</v>
      </c>
      <c r="O1982" s="49">
        <v>0.6542</v>
      </c>
      <c r="P1982" s="9">
        <f>ROUND(O1982*L1982,2)</f>
        <v>667.28</v>
      </c>
      <c r="Q1982" s="10">
        <f>IF(N1982="HKD",7.8,IF(N1982="CNY",7.30034,1))</f>
        <v>7.3003400000000003</v>
      </c>
      <c r="R1982" s="10">
        <f>+ROUND(O1982/Q1982,4)</f>
        <v>8.9599999999999999E-2</v>
      </c>
      <c r="S1982" s="11">
        <f>ROUND(R1982*L1982,2)</f>
        <v>91.39</v>
      </c>
      <c r="T1982" s="10" t="s">
        <v>349</v>
      </c>
      <c r="U1982" s="15" t="s">
        <v>32</v>
      </c>
    </row>
    <row r="1983" spans="1:21">
      <c r="A1983" s="15" t="s">
        <v>1157</v>
      </c>
      <c r="B1983" s="16">
        <v>45663</v>
      </c>
      <c r="C1983" s="16">
        <v>45609</v>
      </c>
      <c r="D1983" s="15" t="s">
        <v>28</v>
      </c>
      <c r="E1983" s="15" t="s">
        <v>29</v>
      </c>
      <c r="G1983" s="15" t="s">
        <v>1144</v>
      </c>
      <c r="H1983" s="15" t="s">
        <v>1155</v>
      </c>
      <c r="I1983" s="15" t="s">
        <v>1156</v>
      </c>
      <c r="J1983" s="8" t="str">
        <f>+LEFT(U1983,4)</f>
        <v>KNOB</v>
      </c>
      <c r="K1983" s="15" t="s">
        <v>10</v>
      </c>
      <c r="L1983" s="46">
        <v>520</v>
      </c>
      <c r="M1983" s="15" t="s">
        <v>1472</v>
      </c>
      <c r="N1983" s="15" t="s">
        <v>11</v>
      </c>
      <c r="O1983" s="49">
        <v>3.3721999999999999</v>
      </c>
      <c r="P1983" s="9">
        <f>ROUND(O1983*L1983,2)</f>
        <v>1753.54</v>
      </c>
      <c r="Q1983" s="10">
        <f>IF(N1983="HKD",7.8,IF(N1983="CNY",7.30034,1))</f>
        <v>7.3003400000000003</v>
      </c>
      <c r="R1983" s="10">
        <f>+ROUND(O1983/Q1983,4)</f>
        <v>0.46189999999999998</v>
      </c>
      <c r="S1983" s="11">
        <f>ROUND(R1983*L1983,2)</f>
        <v>240.19</v>
      </c>
      <c r="T1983" s="10" t="s">
        <v>349</v>
      </c>
      <c r="U1983" s="15" t="s">
        <v>32</v>
      </c>
    </row>
    <row r="1984" spans="1:21">
      <c r="A1984" s="15" t="s">
        <v>1031</v>
      </c>
      <c r="B1984" s="16">
        <v>45663</v>
      </c>
      <c r="C1984" s="16">
        <v>45639</v>
      </c>
      <c r="D1984" s="15" t="s">
        <v>372</v>
      </c>
      <c r="E1984" s="15" t="s">
        <v>373</v>
      </c>
      <c r="G1984" s="15" t="s">
        <v>1032</v>
      </c>
      <c r="H1984" s="15" t="s">
        <v>1029</v>
      </c>
      <c r="I1984" s="15" t="s">
        <v>1030</v>
      </c>
      <c r="J1984" s="8" t="str">
        <f>+LEFT(U1984,4)</f>
        <v>LHDL</v>
      </c>
      <c r="K1984" s="15" t="s">
        <v>98</v>
      </c>
      <c r="L1984" s="46">
        <v>2040</v>
      </c>
      <c r="M1984" s="15" t="s">
        <v>1472</v>
      </c>
      <c r="N1984" s="15" t="s">
        <v>11</v>
      </c>
      <c r="O1984" s="49">
        <v>0.76559999999999995</v>
      </c>
      <c r="P1984" s="9">
        <f>ROUND(O1984*L1984,2)</f>
        <v>1561.82</v>
      </c>
      <c r="Q1984" s="10">
        <f>IF(N1984="HKD",7.8,IF(N1984="CNY",7.30034,1))</f>
        <v>7.3003400000000003</v>
      </c>
      <c r="R1984" s="10">
        <f>+ROUND(O1984/Q1984,4)</f>
        <v>0.10489999999999999</v>
      </c>
      <c r="S1984" s="11">
        <f>ROUND(R1984*L1984,2)</f>
        <v>214</v>
      </c>
      <c r="T1984" s="10" t="s">
        <v>349</v>
      </c>
      <c r="U1984" s="15" t="s">
        <v>125</v>
      </c>
    </row>
    <row r="1985" spans="1:22">
      <c r="A1985" s="15" t="s">
        <v>1050</v>
      </c>
      <c r="B1985" s="16">
        <v>45663</v>
      </c>
      <c r="C1985" s="16">
        <v>45636</v>
      </c>
      <c r="D1985" s="15" t="s">
        <v>372</v>
      </c>
      <c r="E1985" s="15" t="s">
        <v>373</v>
      </c>
      <c r="G1985" s="15" t="s">
        <v>1036</v>
      </c>
      <c r="H1985" s="15" t="s">
        <v>1029</v>
      </c>
      <c r="I1985" s="15" t="s">
        <v>1030</v>
      </c>
      <c r="J1985" s="8" t="str">
        <f>+LEFT(U1985,4)</f>
        <v>LHDL</v>
      </c>
      <c r="K1985" s="15" t="s">
        <v>98</v>
      </c>
      <c r="L1985" s="46">
        <v>1000</v>
      </c>
      <c r="M1985" s="15" t="s">
        <v>1472</v>
      </c>
      <c r="N1985" s="15" t="s">
        <v>11</v>
      </c>
      <c r="O1985" s="49">
        <v>0.78120000000000001</v>
      </c>
      <c r="P1985" s="9">
        <f>ROUND(O1985*L1985,2)</f>
        <v>781.2</v>
      </c>
      <c r="Q1985" s="10">
        <f>IF(N1985="HKD",7.8,IF(N1985="CNY",7.30034,1))</f>
        <v>7.3003400000000003</v>
      </c>
      <c r="R1985" s="10">
        <f>+ROUND(O1985/Q1985,4)</f>
        <v>0.107</v>
      </c>
      <c r="S1985" s="11">
        <f>ROUND(R1985*L1985,2)</f>
        <v>107</v>
      </c>
      <c r="T1985" s="10" t="s">
        <v>349</v>
      </c>
      <c r="U1985" s="15" t="s">
        <v>125</v>
      </c>
    </row>
    <row r="1986" spans="1:22">
      <c r="A1986" s="15" t="s">
        <v>1177</v>
      </c>
      <c r="B1986" s="16">
        <v>45663</v>
      </c>
      <c r="C1986" s="16">
        <v>45610</v>
      </c>
      <c r="D1986" s="15" t="s">
        <v>28</v>
      </c>
      <c r="E1986" s="15" t="s">
        <v>29</v>
      </c>
      <c r="G1986" s="15" t="s">
        <v>1173</v>
      </c>
      <c r="H1986" s="15" t="s">
        <v>1175</v>
      </c>
      <c r="I1986" s="15" t="s">
        <v>1176</v>
      </c>
      <c r="J1986" s="8" t="str">
        <f>+LEFT(U1986,4)</f>
        <v>MISC</v>
      </c>
      <c r="K1986" s="15" t="s">
        <v>10</v>
      </c>
      <c r="L1986" s="46">
        <v>13000</v>
      </c>
      <c r="M1986" s="15" t="s">
        <v>1472</v>
      </c>
      <c r="N1986" s="15" t="s">
        <v>11</v>
      </c>
      <c r="O1986" s="49">
        <v>0.18160000000000001</v>
      </c>
      <c r="P1986" s="9">
        <f>ROUND(O1986*L1986,2)</f>
        <v>2360.8000000000002</v>
      </c>
      <c r="Q1986" s="10">
        <f>IF(N1986="HKD",7.8,IF(N1986="CNY",7.30034,1))</f>
        <v>7.3003400000000003</v>
      </c>
      <c r="R1986" s="10">
        <f>+ROUND(O1986/Q1986,4)</f>
        <v>2.4899999999999999E-2</v>
      </c>
      <c r="S1986" s="11">
        <f>ROUND(R1986*L1986,2)</f>
        <v>323.7</v>
      </c>
      <c r="T1986" s="10" t="s">
        <v>349</v>
      </c>
      <c r="U1986" s="15" t="s">
        <v>25</v>
      </c>
    </row>
    <row r="1987" spans="1:22">
      <c r="A1987" s="15" t="s">
        <v>1178</v>
      </c>
      <c r="B1987" s="16">
        <v>45663</v>
      </c>
      <c r="C1987" s="16">
        <v>45646</v>
      </c>
      <c r="D1987" s="15" t="s">
        <v>28</v>
      </c>
      <c r="E1987" s="15" t="s">
        <v>29</v>
      </c>
      <c r="G1987" s="15" t="s">
        <v>1173</v>
      </c>
      <c r="H1987" s="15" t="s">
        <v>1175</v>
      </c>
      <c r="I1987" s="15" t="s">
        <v>1176</v>
      </c>
      <c r="J1987" s="8" t="str">
        <f>+LEFT(U1987,4)</f>
        <v>MISC</v>
      </c>
      <c r="K1987" s="15" t="s">
        <v>10</v>
      </c>
      <c r="L1987" s="46">
        <v>11000</v>
      </c>
      <c r="M1987" s="15" t="s">
        <v>1472</v>
      </c>
      <c r="N1987" s="15" t="s">
        <v>11</v>
      </c>
      <c r="O1987" s="49">
        <v>0.18160000000000001</v>
      </c>
      <c r="P1987" s="9">
        <f>ROUND(O1987*L1987,2)</f>
        <v>1997.6</v>
      </c>
      <c r="Q1987" s="10">
        <f>IF(N1987="HKD",7.8,IF(N1987="CNY",7.30034,1))</f>
        <v>7.3003400000000003</v>
      </c>
      <c r="R1987" s="10">
        <f>+ROUND(O1987/Q1987,4)</f>
        <v>2.4899999999999999E-2</v>
      </c>
      <c r="S1987" s="11">
        <f>ROUND(R1987*L1987,2)</f>
        <v>273.89999999999998</v>
      </c>
      <c r="T1987" s="10" t="s">
        <v>349</v>
      </c>
      <c r="U1987" s="15" t="s">
        <v>25</v>
      </c>
    </row>
    <row r="1988" spans="1:22">
      <c r="A1988" s="15" t="s">
        <v>1079</v>
      </c>
      <c r="B1988" s="16">
        <v>45663</v>
      </c>
      <c r="C1988" s="16">
        <v>45646</v>
      </c>
      <c r="D1988" s="15" t="s">
        <v>268</v>
      </c>
      <c r="E1988" s="15" t="s">
        <v>269</v>
      </c>
      <c r="G1988" s="15" t="s">
        <v>1076</v>
      </c>
      <c r="H1988" s="15" t="s">
        <v>1077</v>
      </c>
      <c r="I1988" s="15" t="s">
        <v>1078</v>
      </c>
      <c r="J1988" s="8" t="str">
        <f>+LEFT(U1988,4)</f>
        <v>MISC</v>
      </c>
      <c r="K1988" s="15" t="s">
        <v>10</v>
      </c>
      <c r="L1988" s="46">
        <v>40</v>
      </c>
      <c r="M1988" s="15" t="s">
        <v>136</v>
      </c>
      <c r="N1988" s="15" t="s">
        <v>11</v>
      </c>
      <c r="O1988" s="49">
        <v>5.18</v>
      </c>
      <c r="P1988" s="9">
        <f>ROUND(O1988*L1988,2)</f>
        <v>207.2</v>
      </c>
      <c r="Q1988" s="10">
        <f>IF(N1988="HKD",7.8,IF(N1988="CNY",7.30034,1))</f>
        <v>7.3003400000000003</v>
      </c>
      <c r="R1988" s="10">
        <f>+ROUND(O1988/Q1988,4)</f>
        <v>0.70960000000000001</v>
      </c>
      <c r="S1988" s="11">
        <f>ROUND(R1988*L1988,2)</f>
        <v>28.38</v>
      </c>
      <c r="T1988" s="10" t="s">
        <v>349</v>
      </c>
      <c r="U1988" s="15" t="s">
        <v>25</v>
      </c>
    </row>
    <row r="1989" spans="1:22">
      <c r="A1989" s="15" t="s">
        <v>1079</v>
      </c>
      <c r="B1989" s="16">
        <v>45663</v>
      </c>
      <c r="C1989" s="16">
        <v>45646</v>
      </c>
      <c r="D1989" s="15" t="s">
        <v>268</v>
      </c>
      <c r="E1989" s="15" t="s">
        <v>269</v>
      </c>
      <c r="G1989" s="15" t="s">
        <v>1080</v>
      </c>
      <c r="H1989" s="15" t="s">
        <v>1077</v>
      </c>
      <c r="I1989" s="15" t="s">
        <v>1078</v>
      </c>
      <c r="J1989" s="8" t="str">
        <f>+LEFT(U1989,4)</f>
        <v>MISC</v>
      </c>
      <c r="K1989" s="15" t="s">
        <v>10</v>
      </c>
      <c r="L1989" s="46">
        <v>-50</v>
      </c>
      <c r="M1989" s="15" t="s">
        <v>136</v>
      </c>
      <c r="N1989" s="15" t="s">
        <v>11</v>
      </c>
      <c r="O1989" s="49">
        <v>5.18</v>
      </c>
      <c r="P1989" s="9">
        <f>ROUND(O1989*L1989,2)</f>
        <v>-259</v>
      </c>
      <c r="Q1989" s="10">
        <f>IF(N1989="HKD",7.8,IF(N1989="CNY",7.30034,1))</f>
        <v>7.3003400000000003</v>
      </c>
      <c r="R1989" s="10">
        <f>+ROUND(O1989/Q1989,4)</f>
        <v>0.70960000000000001</v>
      </c>
      <c r="S1989" s="11">
        <f>ROUND(R1989*L1989,2)</f>
        <v>-35.479999999999997</v>
      </c>
      <c r="T1989" s="10" t="s">
        <v>349</v>
      </c>
      <c r="U1989" s="15" t="s">
        <v>25</v>
      </c>
    </row>
    <row r="1990" spans="1:22">
      <c r="A1990" s="15" t="s">
        <v>1079</v>
      </c>
      <c r="B1990" s="16">
        <v>45663</v>
      </c>
      <c r="C1990" s="16">
        <v>45646</v>
      </c>
      <c r="D1990" s="15" t="s">
        <v>268</v>
      </c>
      <c r="E1990" s="15" t="s">
        <v>269</v>
      </c>
      <c r="G1990" s="15" t="s">
        <v>1076</v>
      </c>
      <c r="H1990" s="15" t="s">
        <v>1077</v>
      </c>
      <c r="I1990" s="15" t="s">
        <v>1078</v>
      </c>
      <c r="J1990" s="8" t="str">
        <f>+LEFT(U1990,4)</f>
        <v>MISC</v>
      </c>
      <c r="K1990" s="15" t="s">
        <v>10</v>
      </c>
      <c r="L1990" s="46">
        <v>50</v>
      </c>
      <c r="M1990" s="15" t="s">
        <v>136</v>
      </c>
      <c r="N1990" s="15" t="s">
        <v>11</v>
      </c>
      <c r="O1990" s="49">
        <v>5.18</v>
      </c>
      <c r="P1990" s="9">
        <f>ROUND(O1990*L1990,2)</f>
        <v>259</v>
      </c>
      <c r="Q1990" s="10">
        <f>IF(N1990="HKD",7.8,IF(N1990="CNY",7.30034,1))</f>
        <v>7.3003400000000003</v>
      </c>
      <c r="R1990" s="10">
        <f>+ROUND(O1990/Q1990,4)</f>
        <v>0.70960000000000001</v>
      </c>
      <c r="S1990" s="11">
        <f>ROUND(R1990*L1990,2)</f>
        <v>35.479999999999997</v>
      </c>
      <c r="T1990" s="10" t="s">
        <v>349</v>
      </c>
      <c r="U1990" s="15" t="s">
        <v>25</v>
      </c>
    </row>
    <row r="1991" spans="1:22">
      <c r="A1991" s="15" t="s">
        <v>1075</v>
      </c>
      <c r="B1991" s="16">
        <v>45663</v>
      </c>
      <c r="C1991" s="16">
        <v>45646</v>
      </c>
      <c r="D1991" s="15" t="s">
        <v>268</v>
      </c>
      <c r="E1991" s="15" t="s">
        <v>269</v>
      </c>
      <c r="G1991" s="15" t="s">
        <v>1076</v>
      </c>
      <c r="H1991" s="15" t="s">
        <v>1073</v>
      </c>
      <c r="I1991" s="15" t="s">
        <v>1074</v>
      </c>
      <c r="J1991" s="8" t="str">
        <f>+LEFT(U1991,4)</f>
        <v>MISC</v>
      </c>
      <c r="K1991" s="15" t="s">
        <v>10</v>
      </c>
      <c r="L1991" s="46">
        <v>50</v>
      </c>
      <c r="M1991" s="15" t="s">
        <v>136</v>
      </c>
      <c r="N1991" s="15" t="s">
        <v>11</v>
      </c>
      <c r="O1991" s="49">
        <v>6.64</v>
      </c>
      <c r="P1991" s="9">
        <f>ROUND(O1991*L1991,2)</f>
        <v>332</v>
      </c>
      <c r="Q1991" s="10">
        <f>IF(N1991="HKD",7.8,IF(N1991="CNY",7.30034,1))</f>
        <v>7.3003400000000003</v>
      </c>
      <c r="R1991" s="10">
        <f>+ROUND(O1991/Q1991,4)</f>
        <v>0.90949999999999998</v>
      </c>
      <c r="S1991" s="11">
        <f>ROUND(R1991*L1991,2)</f>
        <v>45.48</v>
      </c>
      <c r="T1991" s="10" t="s">
        <v>349</v>
      </c>
      <c r="U1991" s="15" t="s">
        <v>25</v>
      </c>
    </row>
    <row r="1992" spans="1:22">
      <c r="A1992" s="15" t="s">
        <v>1103</v>
      </c>
      <c r="B1992" s="16">
        <v>45663</v>
      </c>
      <c r="C1992" s="16">
        <v>45653</v>
      </c>
      <c r="D1992" s="15" t="s">
        <v>169</v>
      </c>
      <c r="E1992" s="15" t="s">
        <v>170</v>
      </c>
      <c r="G1992" s="15" t="s">
        <v>1093</v>
      </c>
      <c r="H1992" s="15" t="s">
        <v>1101</v>
      </c>
      <c r="I1992" s="15" t="s">
        <v>1102</v>
      </c>
      <c r="J1992" s="8" t="str">
        <f>+LEFT(U1992,4)</f>
        <v>PAP-</v>
      </c>
      <c r="K1992" s="15" t="s">
        <v>10</v>
      </c>
      <c r="L1992" s="46">
        <v>10000</v>
      </c>
      <c r="M1992" s="15" t="s">
        <v>1472</v>
      </c>
      <c r="N1992" s="15" t="s">
        <v>11</v>
      </c>
      <c r="O1992" s="49">
        <v>0.1</v>
      </c>
      <c r="P1992" s="9">
        <f>ROUND(O1992*L1992,2)</f>
        <v>1000</v>
      </c>
      <c r="Q1992" s="10">
        <f>IF(N1992="HKD",7.8,IF(N1992="CNY",7.30034,1))</f>
        <v>7.3003400000000003</v>
      </c>
      <c r="R1992" s="10">
        <f>+ROUND(O1992/Q1992,4)</f>
        <v>1.37E-2</v>
      </c>
      <c r="S1992" s="11">
        <f>ROUND(R1992*L1992,2)</f>
        <v>137</v>
      </c>
      <c r="T1992" s="10" t="s">
        <v>349</v>
      </c>
      <c r="U1992" s="15" t="s">
        <v>1094</v>
      </c>
    </row>
    <row r="1993" spans="1:22">
      <c r="A1993" s="15" t="s">
        <v>1100</v>
      </c>
      <c r="B1993" s="16">
        <v>45663</v>
      </c>
      <c r="C1993" s="16">
        <v>45653</v>
      </c>
      <c r="D1993" s="15" t="s">
        <v>169</v>
      </c>
      <c r="E1993" s="15" t="s">
        <v>170</v>
      </c>
      <c r="G1993" s="15" t="s">
        <v>1093</v>
      </c>
      <c r="H1993" s="15" t="s">
        <v>1098</v>
      </c>
      <c r="I1993" s="15" t="s">
        <v>1099</v>
      </c>
      <c r="J1993" s="8" t="str">
        <f>+LEFT(U1993,4)</f>
        <v>PAP-</v>
      </c>
      <c r="K1993" s="15" t="s">
        <v>10</v>
      </c>
      <c r="L1993" s="46">
        <v>15000</v>
      </c>
      <c r="M1993" s="15" t="s">
        <v>1472</v>
      </c>
      <c r="N1993" s="15" t="s">
        <v>11</v>
      </c>
      <c r="O1993" s="49">
        <v>0.23</v>
      </c>
      <c r="P1993" s="9">
        <f>ROUND(O1993*L1993,2)</f>
        <v>3450</v>
      </c>
      <c r="Q1993" s="10">
        <f>IF(N1993="HKD",7.8,IF(N1993="CNY",7.30034,1))</f>
        <v>7.3003400000000003</v>
      </c>
      <c r="R1993" s="10">
        <f>+ROUND(O1993/Q1993,4)</f>
        <v>3.15E-2</v>
      </c>
      <c r="S1993" s="11">
        <f>ROUND(R1993*L1993,2)</f>
        <v>472.5</v>
      </c>
      <c r="T1993" s="10" t="s">
        <v>349</v>
      </c>
      <c r="U1993" s="15" t="s">
        <v>1094</v>
      </c>
    </row>
    <row r="1994" spans="1:22">
      <c r="A1994" s="15" t="s">
        <v>1097</v>
      </c>
      <c r="B1994" s="16">
        <v>45663</v>
      </c>
      <c r="C1994" s="16">
        <v>45653</v>
      </c>
      <c r="D1994" s="15" t="s">
        <v>169</v>
      </c>
      <c r="E1994" s="15" t="s">
        <v>170</v>
      </c>
      <c r="G1994" s="15" t="s">
        <v>1093</v>
      </c>
      <c r="H1994" s="15" t="s">
        <v>1095</v>
      </c>
      <c r="I1994" s="15" t="s">
        <v>1096</v>
      </c>
      <c r="J1994" s="8" t="str">
        <f>+LEFT(U1994,4)</f>
        <v>PAP-</v>
      </c>
      <c r="K1994" s="15" t="s">
        <v>10</v>
      </c>
      <c r="L1994" s="46">
        <v>10000</v>
      </c>
      <c r="M1994" s="15" t="s">
        <v>1472</v>
      </c>
      <c r="N1994" s="15" t="s">
        <v>11</v>
      </c>
      <c r="O1994" s="49">
        <v>0.28999999999999998</v>
      </c>
      <c r="P1994" s="9">
        <f>ROUND(O1994*L1994,2)</f>
        <v>2900</v>
      </c>
      <c r="Q1994" s="10">
        <f>IF(N1994="HKD",7.8,IF(N1994="CNY",7.30034,1))</f>
        <v>7.3003400000000003</v>
      </c>
      <c r="R1994" s="10">
        <f>+ROUND(O1994/Q1994,4)</f>
        <v>3.9699999999999999E-2</v>
      </c>
      <c r="S1994" s="11">
        <f>ROUND(R1994*L1994,2)</f>
        <v>397</v>
      </c>
      <c r="T1994" s="10" t="s">
        <v>349</v>
      </c>
      <c r="U1994" s="15" t="s">
        <v>1094</v>
      </c>
    </row>
    <row r="1995" spans="1:22">
      <c r="A1995" s="15" t="s">
        <v>1092</v>
      </c>
      <c r="B1995" s="16">
        <v>45663</v>
      </c>
      <c r="C1995" s="16">
        <v>45653</v>
      </c>
      <c r="D1995" s="15" t="s">
        <v>169</v>
      </c>
      <c r="E1995" s="15" t="s">
        <v>170</v>
      </c>
      <c r="G1995" s="15" t="s">
        <v>1093</v>
      </c>
      <c r="H1995" s="15" t="s">
        <v>1090</v>
      </c>
      <c r="I1995" s="15" t="s">
        <v>1091</v>
      </c>
      <c r="J1995" s="8" t="str">
        <f>+LEFT(U1995,4)</f>
        <v>PAP-</v>
      </c>
      <c r="K1995" s="15" t="s">
        <v>10</v>
      </c>
      <c r="L1995" s="46">
        <v>16000</v>
      </c>
      <c r="M1995" s="15" t="s">
        <v>1472</v>
      </c>
      <c r="N1995" s="15" t="s">
        <v>11</v>
      </c>
      <c r="O1995" s="49">
        <v>0.47789999999999999</v>
      </c>
      <c r="P1995" s="9">
        <f>ROUND(O1995*L1995,2)</f>
        <v>7646.4</v>
      </c>
      <c r="Q1995" s="10">
        <f>IF(N1995="HKD",7.8,IF(N1995="CNY",7.30034,1))</f>
        <v>7.3003400000000003</v>
      </c>
      <c r="R1995" s="10">
        <f>+ROUND(O1995/Q1995,4)</f>
        <v>6.5500000000000003E-2</v>
      </c>
      <c r="S1995" s="11">
        <f>ROUND(R1995*L1995,2)</f>
        <v>1048</v>
      </c>
      <c r="T1995" s="10" t="s">
        <v>349</v>
      </c>
      <c r="U1995" s="15" t="s">
        <v>1094</v>
      </c>
    </row>
    <row r="1996" spans="1:22">
      <c r="A1996" s="15" t="s">
        <v>1126</v>
      </c>
      <c r="B1996" s="16">
        <v>45663</v>
      </c>
      <c r="C1996" s="16">
        <v>45622</v>
      </c>
      <c r="D1996" s="15" t="s">
        <v>169</v>
      </c>
      <c r="E1996" s="15" t="s">
        <v>170</v>
      </c>
      <c r="G1996" s="15" t="s">
        <v>1122</v>
      </c>
      <c r="H1996" s="15" t="s">
        <v>646</v>
      </c>
      <c r="I1996" s="15" t="s">
        <v>647</v>
      </c>
      <c r="J1996" s="8" t="str">
        <f>+LEFT(U1996,4)</f>
        <v>PRIM</v>
      </c>
      <c r="K1996" s="15" t="s">
        <v>10</v>
      </c>
      <c r="L1996" s="46">
        <v>11600</v>
      </c>
      <c r="M1996" s="15" t="s">
        <v>1472</v>
      </c>
      <c r="N1996" s="15" t="s">
        <v>11</v>
      </c>
      <c r="O1996" s="49">
        <v>0.82</v>
      </c>
      <c r="P1996" s="9">
        <f>ROUND(O1996*L1996,2)</f>
        <v>9512</v>
      </c>
      <c r="Q1996" s="10">
        <f>IF(N1996="HKD",7.8,IF(N1996="CNY",7.30034,1))</f>
        <v>7.3003400000000003</v>
      </c>
      <c r="R1996" s="10">
        <f>+ROUND(O1996/Q1996,4)</f>
        <v>0.1123</v>
      </c>
      <c r="S1996" s="11">
        <f>ROUND(R1996*L1996,2)</f>
        <v>1302.68</v>
      </c>
      <c r="T1996" s="10" t="s">
        <v>349</v>
      </c>
      <c r="U1996" s="15" t="s">
        <v>181</v>
      </c>
    </row>
    <row r="1997" spans="1:22">
      <c r="A1997" s="15" t="s">
        <v>1085</v>
      </c>
      <c r="B1997" s="16">
        <v>45663</v>
      </c>
      <c r="C1997" s="16">
        <v>45653</v>
      </c>
      <c r="D1997" s="15" t="s">
        <v>5</v>
      </c>
      <c r="E1997" s="15" t="s">
        <v>6</v>
      </c>
      <c r="G1997" s="15" t="s">
        <v>1084</v>
      </c>
      <c r="H1997" s="15" t="s">
        <v>493</v>
      </c>
      <c r="I1997" s="15" t="s">
        <v>494</v>
      </c>
      <c r="J1997" s="8" t="str">
        <f>+LEFT(U1997,4)</f>
        <v>SHTS</v>
      </c>
      <c r="K1997" s="15" t="s">
        <v>10</v>
      </c>
      <c r="L1997" s="46">
        <v>2020</v>
      </c>
      <c r="M1997" s="15" t="s">
        <v>1472</v>
      </c>
      <c r="N1997" s="15" t="s">
        <v>11</v>
      </c>
      <c r="O1997" s="49">
        <v>1.75</v>
      </c>
      <c r="P1997" s="9">
        <f>ROUND(O1997*L1997,2)</f>
        <v>3535</v>
      </c>
      <c r="Q1997" s="10">
        <f>IF(N1997="HKD",7.8,IF(N1997="CNY",7.30034,1))</f>
        <v>7.3003400000000003</v>
      </c>
      <c r="R1997" s="10">
        <f>+ROUND(O1997/Q1997,4)</f>
        <v>0.2397</v>
      </c>
      <c r="S1997" s="11">
        <f>ROUND(R1997*L1997,2)</f>
        <v>484.19</v>
      </c>
      <c r="T1997" s="10" t="s">
        <v>349</v>
      </c>
      <c r="U1997" s="15" t="s">
        <v>9</v>
      </c>
    </row>
    <row r="1998" spans="1:22">
      <c r="A1998" s="15" t="s">
        <v>1083</v>
      </c>
      <c r="B1998" s="16">
        <v>45663</v>
      </c>
      <c r="C1998" s="16">
        <v>45653</v>
      </c>
      <c r="D1998" s="15" t="s">
        <v>5</v>
      </c>
      <c r="E1998" s="15" t="s">
        <v>6</v>
      </c>
      <c r="G1998" s="15" t="s">
        <v>1084</v>
      </c>
      <c r="H1998" s="15" t="s">
        <v>1081</v>
      </c>
      <c r="I1998" s="15" t="s">
        <v>1082</v>
      </c>
      <c r="J1998" s="8" t="str">
        <f>+LEFT(U1998,4)</f>
        <v>SHTS</v>
      </c>
      <c r="K1998" s="15" t="s">
        <v>10</v>
      </c>
      <c r="L1998" s="46">
        <v>1010</v>
      </c>
      <c r="M1998" s="15" t="s">
        <v>1472</v>
      </c>
      <c r="N1998" s="15" t="s">
        <v>11</v>
      </c>
      <c r="O1998" s="49">
        <v>4.5199999999999996</v>
      </c>
      <c r="P1998" s="9">
        <f>ROUND(O1998*L1998,2)</f>
        <v>4565.2</v>
      </c>
      <c r="Q1998" s="10">
        <f>IF(N1998="HKD",7.8,IF(N1998="CNY",7.30034,1))</f>
        <v>7.3003400000000003</v>
      </c>
      <c r="R1998" s="10">
        <f>+ROUND(O1998/Q1998,4)</f>
        <v>0.61909999999999998</v>
      </c>
      <c r="S1998" s="11">
        <f>ROUND(R1998*L1998,2)</f>
        <v>625.29</v>
      </c>
      <c r="T1998" s="10" t="s">
        <v>349</v>
      </c>
      <c r="U1998" s="15" t="s">
        <v>9</v>
      </c>
    </row>
    <row r="1999" spans="1:22">
      <c r="A1999" s="15" t="s">
        <v>1270</v>
      </c>
      <c r="B1999" s="16">
        <v>45663</v>
      </c>
      <c r="C1999" s="16">
        <v>45576</v>
      </c>
      <c r="D1999" s="15" t="s">
        <v>94</v>
      </c>
      <c r="E1999" s="15" t="s">
        <v>95</v>
      </c>
      <c r="F1999" s="17"/>
      <c r="G1999" s="15" t="s">
        <v>1271</v>
      </c>
      <c r="H1999" s="15" t="s">
        <v>1268</v>
      </c>
      <c r="I1999" s="15" t="s">
        <v>1269</v>
      </c>
      <c r="J1999" s="8" t="str">
        <f>+LEFT(U1999,4)</f>
        <v>SKU-</v>
      </c>
      <c r="K1999" s="15" t="s">
        <v>98</v>
      </c>
      <c r="L1999" s="46">
        <v>1000</v>
      </c>
      <c r="M1999" s="15" t="s">
        <v>1472</v>
      </c>
      <c r="N1999" s="15" t="s">
        <v>11</v>
      </c>
      <c r="O1999" s="49">
        <v>4.3499999999999996</v>
      </c>
      <c r="P1999" s="9">
        <f>ROUND(O1999*L1999,2)</f>
        <v>4350</v>
      </c>
      <c r="Q1999" s="10">
        <f>IF(N1999="HKD",7.8,IF(N1999="CNY",7.30034,1))</f>
        <v>7.3003400000000003</v>
      </c>
      <c r="R1999" s="10">
        <f>+ROUND(O1999/Q1999,4)</f>
        <v>0.59589999999999999</v>
      </c>
      <c r="S1999" s="11">
        <f>ROUND(R1999*L1999,2)</f>
        <v>595.9</v>
      </c>
      <c r="T1999" s="10" t="s">
        <v>349</v>
      </c>
      <c r="U1999" s="15" t="s">
        <v>2</v>
      </c>
      <c r="V1999" s="18"/>
    </row>
    <row r="2000" spans="1:22">
      <c r="A2000" s="15" t="s">
        <v>1274</v>
      </c>
      <c r="B2000" s="16">
        <v>45663</v>
      </c>
      <c r="C2000" s="16">
        <v>45576</v>
      </c>
      <c r="D2000" s="15" t="s">
        <v>94</v>
      </c>
      <c r="E2000" s="15" t="s">
        <v>95</v>
      </c>
      <c r="G2000" s="15" t="s">
        <v>1271</v>
      </c>
      <c r="H2000" s="15" t="s">
        <v>1272</v>
      </c>
      <c r="I2000" s="15" t="s">
        <v>1273</v>
      </c>
      <c r="J2000" s="8" t="str">
        <f>+LEFT(U2000,4)</f>
        <v>SKU-</v>
      </c>
      <c r="K2000" s="15" t="s">
        <v>98</v>
      </c>
      <c r="L2000" s="46">
        <v>800</v>
      </c>
      <c r="M2000" s="15" t="s">
        <v>1472</v>
      </c>
      <c r="N2000" s="15" t="s">
        <v>11</v>
      </c>
      <c r="O2000" s="49">
        <v>4.91</v>
      </c>
      <c r="P2000" s="9">
        <f>ROUND(O2000*L2000,2)</f>
        <v>3928</v>
      </c>
      <c r="Q2000" s="10">
        <f>IF(N2000="HKD",7.8,IF(N2000="CNY",7.30034,1))</f>
        <v>7.3003400000000003</v>
      </c>
      <c r="R2000" s="10">
        <f>+ROUND(O2000/Q2000,4)</f>
        <v>0.67259999999999998</v>
      </c>
      <c r="S2000" s="11">
        <f>ROUND(R2000*L2000,2)</f>
        <v>538.08000000000004</v>
      </c>
      <c r="T2000" s="10" t="s">
        <v>349</v>
      </c>
      <c r="U2000" s="15" t="s">
        <v>2</v>
      </c>
    </row>
    <row r="2001" spans="1:22">
      <c r="A2001" s="15" t="s">
        <v>780</v>
      </c>
      <c r="B2001" s="16">
        <v>45663</v>
      </c>
      <c r="C2001" s="16">
        <v>45615</v>
      </c>
      <c r="D2001" s="15" t="s">
        <v>149</v>
      </c>
      <c r="E2001" s="15" t="s">
        <v>150</v>
      </c>
      <c r="G2001" s="15" t="s">
        <v>1197</v>
      </c>
      <c r="H2001" s="15" t="s">
        <v>345</v>
      </c>
      <c r="I2001" s="15" t="s">
        <v>346</v>
      </c>
      <c r="J2001" s="8" t="str">
        <f>+LEFT(U2001,4)</f>
        <v>SKU-</v>
      </c>
      <c r="K2001" s="15" t="s">
        <v>98</v>
      </c>
      <c r="L2001" s="46">
        <v>480</v>
      </c>
      <c r="M2001" s="15" t="s">
        <v>1472</v>
      </c>
      <c r="N2001" s="15" t="s">
        <v>11</v>
      </c>
      <c r="O2001" s="49">
        <v>7.4157999999999999</v>
      </c>
      <c r="P2001" s="9">
        <f>ROUND(O2001*L2001,2)</f>
        <v>3559.58</v>
      </c>
      <c r="Q2001" s="10">
        <f>IF(N2001="HKD",7.8,IF(N2001="CNY",7.30034,1))</f>
        <v>7.3003400000000003</v>
      </c>
      <c r="R2001" s="10">
        <f>+ROUND(O2001/Q2001,4)</f>
        <v>1.0158</v>
      </c>
      <c r="S2001" s="11">
        <f>ROUND(R2001*L2001,2)</f>
        <v>487.58</v>
      </c>
      <c r="T2001" s="10" t="s">
        <v>349</v>
      </c>
      <c r="U2001" s="15" t="s">
        <v>2</v>
      </c>
    </row>
    <row r="2002" spans="1:22">
      <c r="A2002" s="15" t="s">
        <v>1196</v>
      </c>
      <c r="B2002" s="16">
        <v>45663</v>
      </c>
      <c r="C2002" s="16">
        <v>45615</v>
      </c>
      <c r="D2002" s="15" t="s">
        <v>149</v>
      </c>
      <c r="E2002" s="15" t="s">
        <v>150</v>
      </c>
      <c r="G2002" s="15" t="s">
        <v>1197</v>
      </c>
      <c r="H2002" s="15" t="s">
        <v>147</v>
      </c>
      <c r="I2002" s="15" t="s">
        <v>148</v>
      </c>
      <c r="J2002" s="8" t="str">
        <f>+LEFT(U2002,4)</f>
        <v>SKU-</v>
      </c>
      <c r="K2002" s="15" t="s">
        <v>98</v>
      </c>
      <c r="L2002" s="46">
        <v>1830</v>
      </c>
      <c r="M2002" s="15" t="s">
        <v>1472</v>
      </c>
      <c r="N2002" s="15" t="s">
        <v>11</v>
      </c>
      <c r="O2002" s="49">
        <v>8.6722999999999999</v>
      </c>
      <c r="P2002" s="9">
        <f>ROUND(O2002*L2002,2)</f>
        <v>15870.31</v>
      </c>
      <c r="Q2002" s="10">
        <f>IF(N2002="HKD",7.8,IF(N2002="CNY",7.30034,1))</f>
        <v>7.3003400000000003</v>
      </c>
      <c r="R2002" s="10">
        <f>+ROUND(O2002/Q2002,4)</f>
        <v>1.1879</v>
      </c>
      <c r="S2002" s="11">
        <f>ROUND(R2002*L2002,2)</f>
        <v>2173.86</v>
      </c>
      <c r="T2002" s="10" t="s">
        <v>349</v>
      </c>
      <c r="U2002" s="15" t="s">
        <v>2</v>
      </c>
    </row>
    <row r="2003" spans="1:22">
      <c r="A2003" s="15" t="s">
        <v>1135</v>
      </c>
      <c r="B2003" s="16">
        <v>45663</v>
      </c>
      <c r="C2003" s="16">
        <v>45643</v>
      </c>
      <c r="D2003" s="15" t="s">
        <v>169</v>
      </c>
      <c r="E2003" s="15" t="s">
        <v>170</v>
      </c>
      <c r="F2003" s="17"/>
      <c r="G2003" s="15" t="s">
        <v>1132</v>
      </c>
      <c r="H2003" s="15" t="s">
        <v>1133</v>
      </c>
      <c r="I2003" s="15" t="s">
        <v>1134</v>
      </c>
      <c r="J2003" s="8" t="str">
        <f>+LEFT(U2003,4)</f>
        <v>STKR</v>
      </c>
      <c r="K2003" s="15" t="s">
        <v>10</v>
      </c>
      <c r="L2003" s="46">
        <v>11300</v>
      </c>
      <c r="M2003" s="15" t="s">
        <v>1472</v>
      </c>
      <c r="N2003" s="15" t="s">
        <v>11</v>
      </c>
      <c r="O2003" s="49">
        <v>2.5899999999999999E-2</v>
      </c>
      <c r="P2003" s="9">
        <f>ROUND(O2003*L2003,2)</f>
        <v>292.67</v>
      </c>
      <c r="Q2003" s="10">
        <f>IF(N2003="HKD",7.8,IF(N2003="CNY",7.30034,1))</f>
        <v>7.3003400000000003</v>
      </c>
      <c r="R2003" s="10">
        <f>+ROUND(O2003/Q2003,4)</f>
        <v>3.5000000000000001E-3</v>
      </c>
      <c r="S2003" s="11">
        <f>ROUND(R2003*L2003,2)</f>
        <v>39.549999999999997</v>
      </c>
      <c r="T2003" s="10" t="s">
        <v>349</v>
      </c>
      <c r="U2003" s="15" t="s">
        <v>18</v>
      </c>
      <c r="V2003" s="18"/>
    </row>
    <row r="2004" spans="1:22">
      <c r="A2004" s="15" t="s">
        <v>1138</v>
      </c>
      <c r="B2004" s="16">
        <v>45663</v>
      </c>
      <c r="C2004" s="16">
        <v>45643</v>
      </c>
      <c r="D2004" s="15" t="s">
        <v>169</v>
      </c>
      <c r="E2004" s="15" t="s">
        <v>170</v>
      </c>
      <c r="G2004" s="15" t="s">
        <v>1132</v>
      </c>
      <c r="H2004" s="15" t="s">
        <v>1136</v>
      </c>
      <c r="I2004" s="15" t="s">
        <v>1137</v>
      </c>
      <c r="J2004" s="8" t="str">
        <f>+LEFT(U2004,4)</f>
        <v>STKR</v>
      </c>
      <c r="K2004" s="15" t="s">
        <v>10</v>
      </c>
      <c r="L2004" s="46">
        <v>1010</v>
      </c>
      <c r="M2004" s="15" t="s">
        <v>1472</v>
      </c>
      <c r="N2004" s="15" t="s">
        <v>11</v>
      </c>
      <c r="O2004" s="49">
        <v>0.03</v>
      </c>
      <c r="P2004" s="9">
        <f>ROUND(O2004*L2004,2)</f>
        <v>30.3</v>
      </c>
      <c r="Q2004" s="10">
        <f>IF(N2004="HKD",7.8,IF(N2004="CNY",7.30034,1))</f>
        <v>7.3003400000000003</v>
      </c>
      <c r="R2004" s="10">
        <f>+ROUND(O2004/Q2004,4)</f>
        <v>4.1000000000000003E-3</v>
      </c>
      <c r="S2004" s="11">
        <f>ROUND(R2004*L2004,2)</f>
        <v>4.1399999999999997</v>
      </c>
      <c r="T2004" s="10" t="s">
        <v>349</v>
      </c>
      <c r="U2004" s="15" t="s">
        <v>18</v>
      </c>
    </row>
    <row r="2005" spans="1:22">
      <c r="A2005" s="15" t="s">
        <v>1131</v>
      </c>
      <c r="B2005" s="16">
        <v>45663</v>
      </c>
      <c r="C2005" s="16">
        <v>45653</v>
      </c>
      <c r="D2005" s="15" t="s">
        <v>169</v>
      </c>
      <c r="E2005" s="15" t="s">
        <v>170</v>
      </c>
      <c r="G2005" s="15" t="s">
        <v>1132</v>
      </c>
      <c r="H2005" s="15" t="s">
        <v>1129</v>
      </c>
      <c r="I2005" s="15" t="s">
        <v>1130</v>
      </c>
      <c r="J2005" s="8" t="str">
        <f>+LEFT(U2005,4)</f>
        <v>STKR</v>
      </c>
      <c r="K2005" s="15" t="s">
        <v>10</v>
      </c>
      <c r="L2005" s="46">
        <v>1500</v>
      </c>
      <c r="M2005" s="15" t="s">
        <v>1472</v>
      </c>
      <c r="N2005" s="15" t="s">
        <v>11</v>
      </c>
      <c r="O2005" s="49">
        <v>3.4200000000000001E-2</v>
      </c>
      <c r="P2005" s="9">
        <f>ROUND(O2005*L2005,2)</f>
        <v>51.3</v>
      </c>
      <c r="Q2005" s="10">
        <f>IF(N2005="HKD",7.8,IF(N2005="CNY",7.30034,1))</f>
        <v>7.3003400000000003</v>
      </c>
      <c r="R2005" s="10">
        <f>+ROUND(O2005/Q2005,4)</f>
        <v>4.7000000000000002E-3</v>
      </c>
      <c r="S2005" s="11">
        <f>ROUND(R2005*L2005,2)</f>
        <v>7.05</v>
      </c>
      <c r="T2005" s="10" t="s">
        <v>349</v>
      </c>
      <c r="U2005" s="15" t="s">
        <v>18</v>
      </c>
    </row>
    <row r="2006" spans="1:22">
      <c r="A2006" s="15" t="s">
        <v>1264</v>
      </c>
      <c r="B2006" s="16">
        <v>45663</v>
      </c>
      <c r="C2006" s="16">
        <v>45651</v>
      </c>
      <c r="D2006" s="15" t="s">
        <v>101</v>
      </c>
      <c r="E2006" s="15" t="s">
        <v>102</v>
      </c>
      <c r="G2006" s="15" t="s">
        <v>1248</v>
      </c>
      <c r="H2006" s="15" t="s">
        <v>1245</v>
      </c>
      <c r="I2006" s="15" t="s">
        <v>1246</v>
      </c>
      <c r="J2006" s="8" t="str">
        <f>+LEFT(U2006,4)</f>
        <v>STKR</v>
      </c>
      <c r="K2006" s="15" t="s">
        <v>10</v>
      </c>
      <c r="L2006" s="46">
        <v>1010</v>
      </c>
      <c r="M2006" s="15" t="s">
        <v>1472</v>
      </c>
      <c r="N2006" s="15" t="s">
        <v>11</v>
      </c>
      <c r="O2006" s="49">
        <v>0.05</v>
      </c>
      <c r="P2006" s="9">
        <f>ROUND(O2006*L2006,2)</f>
        <v>50.5</v>
      </c>
      <c r="Q2006" s="10">
        <f>IF(N2006="HKD",7.8,IF(N2006="CNY",7.30034,1))</f>
        <v>7.3003400000000003</v>
      </c>
      <c r="R2006" s="10">
        <f>+ROUND(O2006/Q2006,4)</f>
        <v>6.7999999999999996E-3</v>
      </c>
      <c r="S2006" s="11">
        <f>ROUND(R2006*L2006,2)</f>
        <v>6.87</v>
      </c>
      <c r="T2006" s="10" t="s">
        <v>349</v>
      </c>
      <c r="U2006" s="15" t="s">
        <v>18</v>
      </c>
    </row>
    <row r="2007" spans="1:22">
      <c r="A2007" s="15" t="s">
        <v>1263</v>
      </c>
      <c r="B2007" s="16">
        <v>45663</v>
      </c>
      <c r="C2007" s="16">
        <v>45651</v>
      </c>
      <c r="D2007" s="15" t="s">
        <v>101</v>
      </c>
      <c r="E2007" s="15" t="s">
        <v>102</v>
      </c>
      <c r="G2007" s="15" t="s">
        <v>1248</v>
      </c>
      <c r="H2007" s="15" t="s">
        <v>1261</v>
      </c>
      <c r="I2007" s="15" t="s">
        <v>1262</v>
      </c>
      <c r="J2007" s="8" t="str">
        <f>+LEFT(U2007,4)</f>
        <v>STKR</v>
      </c>
      <c r="K2007" s="15" t="s">
        <v>10</v>
      </c>
      <c r="L2007" s="46">
        <v>1010</v>
      </c>
      <c r="M2007" s="15" t="s">
        <v>1472</v>
      </c>
      <c r="N2007" s="15" t="s">
        <v>11</v>
      </c>
      <c r="O2007" s="49">
        <v>0.05</v>
      </c>
      <c r="P2007" s="9">
        <f>ROUND(O2007*L2007,2)</f>
        <v>50.5</v>
      </c>
      <c r="Q2007" s="10">
        <f>IF(N2007="HKD",7.8,IF(N2007="CNY",7.30034,1))</f>
        <v>7.3003400000000003</v>
      </c>
      <c r="R2007" s="10">
        <f>+ROUND(O2007/Q2007,4)</f>
        <v>6.7999999999999996E-3</v>
      </c>
      <c r="S2007" s="11">
        <f>ROUND(R2007*L2007,2)</f>
        <v>6.87</v>
      </c>
      <c r="T2007" s="10" t="s">
        <v>349</v>
      </c>
      <c r="U2007" s="15" t="s">
        <v>18</v>
      </c>
    </row>
    <row r="2008" spans="1:22">
      <c r="A2008" s="15" t="s">
        <v>1260</v>
      </c>
      <c r="B2008" s="16">
        <v>45663</v>
      </c>
      <c r="C2008" s="16">
        <v>45651</v>
      </c>
      <c r="D2008" s="15" t="s">
        <v>101</v>
      </c>
      <c r="E2008" s="15" t="s">
        <v>102</v>
      </c>
      <c r="G2008" s="15" t="s">
        <v>1248</v>
      </c>
      <c r="H2008" s="15" t="s">
        <v>1258</v>
      </c>
      <c r="I2008" s="15" t="s">
        <v>1259</v>
      </c>
      <c r="J2008" s="8" t="str">
        <f>+LEFT(U2008,4)</f>
        <v>STKR</v>
      </c>
      <c r="K2008" s="15" t="s">
        <v>10</v>
      </c>
      <c r="L2008" s="46">
        <v>510</v>
      </c>
      <c r="M2008" s="15" t="s">
        <v>1472</v>
      </c>
      <c r="N2008" s="15" t="s">
        <v>11</v>
      </c>
      <c r="O2008" s="49">
        <v>0.05</v>
      </c>
      <c r="P2008" s="9">
        <f>ROUND(O2008*L2008,2)</f>
        <v>25.5</v>
      </c>
      <c r="Q2008" s="10">
        <f>IF(N2008="HKD",7.8,IF(N2008="CNY",7.30034,1))</f>
        <v>7.3003400000000003</v>
      </c>
      <c r="R2008" s="10">
        <f>+ROUND(O2008/Q2008,4)</f>
        <v>6.7999999999999996E-3</v>
      </c>
      <c r="S2008" s="11">
        <f>ROUND(R2008*L2008,2)</f>
        <v>3.47</v>
      </c>
      <c r="T2008" s="10" t="s">
        <v>349</v>
      </c>
      <c r="U2008" s="15" t="s">
        <v>18</v>
      </c>
    </row>
    <row r="2009" spans="1:22">
      <c r="A2009" s="15" t="s">
        <v>1257</v>
      </c>
      <c r="B2009" s="16">
        <v>45663</v>
      </c>
      <c r="C2009" s="16">
        <v>45651</v>
      </c>
      <c r="D2009" s="15" t="s">
        <v>101</v>
      </c>
      <c r="E2009" s="15" t="s">
        <v>102</v>
      </c>
      <c r="G2009" s="15" t="s">
        <v>1248</v>
      </c>
      <c r="H2009" s="15" t="s">
        <v>1255</v>
      </c>
      <c r="I2009" s="15" t="s">
        <v>1256</v>
      </c>
      <c r="J2009" s="8" t="str">
        <f>+LEFT(U2009,4)</f>
        <v>STKR</v>
      </c>
      <c r="K2009" s="15" t="s">
        <v>10</v>
      </c>
      <c r="L2009" s="46">
        <v>1010</v>
      </c>
      <c r="M2009" s="15" t="s">
        <v>1472</v>
      </c>
      <c r="N2009" s="15" t="s">
        <v>11</v>
      </c>
      <c r="O2009" s="49">
        <v>0.05</v>
      </c>
      <c r="P2009" s="9">
        <f>ROUND(O2009*L2009,2)</f>
        <v>50.5</v>
      </c>
      <c r="Q2009" s="10">
        <f>IF(N2009="HKD",7.8,IF(N2009="CNY",7.30034,1))</f>
        <v>7.3003400000000003</v>
      </c>
      <c r="R2009" s="10">
        <f>+ROUND(O2009/Q2009,4)</f>
        <v>6.7999999999999996E-3</v>
      </c>
      <c r="S2009" s="11">
        <f>ROUND(R2009*L2009,2)</f>
        <v>6.87</v>
      </c>
      <c r="T2009" s="10" t="s">
        <v>349</v>
      </c>
      <c r="U2009" s="15" t="s">
        <v>18</v>
      </c>
    </row>
    <row r="2010" spans="1:22">
      <c r="A2010" s="15" t="s">
        <v>1251</v>
      </c>
      <c r="B2010" s="16">
        <v>45663</v>
      </c>
      <c r="C2010" s="16">
        <v>45651</v>
      </c>
      <c r="D2010" s="15" t="s">
        <v>101</v>
      </c>
      <c r="E2010" s="15" t="s">
        <v>102</v>
      </c>
      <c r="G2010" s="15" t="s">
        <v>1248</v>
      </c>
      <c r="H2010" s="15" t="s">
        <v>1249</v>
      </c>
      <c r="I2010" s="15" t="s">
        <v>1250</v>
      </c>
      <c r="J2010" s="8" t="str">
        <f>+LEFT(U2010,4)</f>
        <v>STKR</v>
      </c>
      <c r="K2010" s="15" t="s">
        <v>10</v>
      </c>
      <c r="L2010" s="46">
        <v>1010</v>
      </c>
      <c r="M2010" s="15" t="s">
        <v>1472</v>
      </c>
      <c r="N2010" s="15" t="s">
        <v>11</v>
      </c>
      <c r="O2010" s="49">
        <v>0.05</v>
      </c>
      <c r="P2010" s="9">
        <f>ROUND(O2010*L2010,2)</f>
        <v>50.5</v>
      </c>
      <c r="Q2010" s="10">
        <f>IF(N2010="HKD",7.8,IF(N2010="CNY",7.30034,1))</f>
        <v>7.3003400000000003</v>
      </c>
      <c r="R2010" s="10">
        <f>+ROUND(O2010/Q2010,4)</f>
        <v>6.7999999999999996E-3</v>
      </c>
      <c r="S2010" s="11">
        <f>ROUND(R2010*L2010,2)</f>
        <v>6.87</v>
      </c>
      <c r="T2010" s="10" t="s">
        <v>349</v>
      </c>
      <c r="U2010" s="15" t="s">
        <v>18</v>
      </c>
    </row>
    <row r="2011" spans="1:22">
      <c r="A2011" s="15" t="s">
        <v>1247</v>
      </c>
      <c r="B2011" s="16">
        <v>45663</v>
      </c>
      <c r="C2011" s="16">
        <v>45651</v>
      </c>
      <c r="D2011" s="15" t="s">
        <v>101</v>
      </c>
      <c r="E2011" s="15" t="s">
        <v>102</v>
      </c>
      <c r="G2011" s="15" t="s">
        <v>1248</v>
      </c>
      <c r="H2011" s="15" t="s">
        <v>1245</v>
      </c>
      <c r="I2011" s="15" t="s">
        <v>1246</v>
      </c>
      <c r="J2011" s="8" t="str">
        <f>+LEFT(U2011,4)</f>
        <v>STKR</v>
      </c>
      <c r="K2011" s="15" t="s">
        <v>10</v>
      </c>
      <c r="L2011" s="46">
        <v>1010</v>
      </c>
      <c r="M2011" s="15" t="s">
        <v>1472</v>
      </c>
      <c r="N2011" s="15" t="s">
        <v>11</v>
      </c>
      <c r="O2011" s="49">
        <v>0.05</v>
      </c>
      <c r="P2011" s="9">
        <f>ROUND(O2011*L2011,2)</f>
        <v>50.5</v>
      </c>
      <c r="Q2011" s="10">
        <f>IF(N2011="HKD",7.8,IF(N2011="CNY",7.30034,1))</f>
        <v>7.3003400000000003</v>
      </c>
      <c r="R2011" s="10">
        <f>+ROUND(O2011/Q2011,4)</f>
        <v>6.7999999999999996E-3</v>
      </c>
      <c r="S2011" s="11">
        <f>ROUND(R2011*L2011,2)</f>
        <v>6.87</v>
      </c>
      <c r="T2011" s="10" t="s">
        <v>349</v>
      </c>
      <c r="U2011" s="15" t="s">
        <v>18</v>
      </c>
    </row>
    <row r="2012" spans="1:22">
      <c r="A2012" s="15" t="s">
        <v>1254</v>
      </c>
      <c r="B2012" s="16">
        <v>45663</v>
      </c>
      <c r="C2012" s="16">
        <v>45651</v>
      </c>
      <c r="D2012" s="15" t="s">
        <v>101</v>
      </c>
      <c r="E2012" s="15" t="s">
        <v>102</v>
      </c>
      <c r="G2012" s="15" t="s">
        <v>1248</v>
      </c>
      <c r="H2012" s="15" t="s">
        <v>1252</v>
      </c>
      <c r="I2012" s="15" t="s">
        <v>1253</v>
      </c>
      <c r="J2012" s="8" t="str">
        <f>+LEFT(U2012,4)</f>
        <v>STKR</v>
      </c>
      <c r="K2012" s="15" t="s">
        <v>10</v>
      </c>
      <c r="L2012" s="46">
        <v>505</v>
      </c>
      <c r="M2012" s="15" t="s">
        <v>1472</v>
      </c>
      <c r="N2012" s="15" t="s">
        <v>11</v>
      </c>
      <c r="O2012" s="49">
        <v>0.06</v>
      </c>
      <c r="P2012" s="9">
        <f>ROUND(O2012*L2012,2)</f>
        <v>30.3</v>
      </c>
      <c r="Q2012" s="10">
        <f>IF(N2012="HKD",7.8,IF(N2012="CNY",7.30034,1))</f>
        <v>7.3003400000000003</v>
      </c>
      <c r="R2012" s="10">
        <f>+ROUND(O2012/Q2012,4)</f>
        <v>8.2000000000000007E-3</v>
      </c>
      <c r="S2012" s="11">
        <f>ROUND(R2012*L2012,2)</f>
        <v>4.1399999999999997</v>
      </c>
      <c r="T2012" s="10" t="s">
        <v>349</v>
      </c>
      <c r="U2012" s="15" t="s">
        <v>18</v>
      </c>
    </row>
    <row r="2013" spans="1:22">
      <c r="A2013" s="15" t="s">
        <v>1267</v>
      </c>
      <c r="B2013" s="16">
        <v>45663</v>
      </c>
      <c r="C2013" s="16">
        <v>45652</v>
      </c>
      <c r="D2013" s="15" t="s">
        <v>101</v>
      </c>
      <c r="E2013" s="15" t="s">
        <v>102</v>
      </c>
      <c r="G2013" s="15" t="s">
        <v>1248</v>
      </c>
      <c r="H2013" s="15" t="s">
        <v>1265</v>
      </c>
      <c r="I2013" s="15" t="s">
        <v>1266</v>
      </c>
      <c r="J2013" s="8" t="str">
        <f>+LEFT(U2013,4)</f>
        <v>STKR</v>
      </c>
      <c r="K2013" s="15" t="s">
        <v>10</v>
      </c>
      <c r="L2013" s="46">
        <v>1010</v>
      </c>
      <c r="M2013" s="15" t="s">
        <v>1472</v>
      </c>
      <c r="N2013" s="15" t="s">
        <v>11</v>
      </c>
      <c r="O2013" s="49">
        <v>0.06</v>
      </c>
      <c r="P2013" s="9">
        <f>ROUND(O2013*L2013,2)</f>
        <v>60.6</v>
      </c>
      <c r="Q2013" s="10">
        <f>IF(N2013="HKD",7.8,IF(N2013="CNY",7.30034,1))</f>
        <v>7.3003400000000003</v>
      </c>
      <c r="R2013" s="10">
        <f>+ROUND(O2013/Q2013,4)</f>
        <v>8.2000000000000007E-3</v>
      </c>
      <c r="S2013" s="11">
        <f>ROUND(R2013*L2013,2)</f>
        <v>8.2799999999999994</v>
      </c>
      <c r="T2013" s="10" t="s">
        <v>349</v>
      </c>
      <c r="U2013" s="15" t="s">
        <v>18</v>
      </c>
    </row>
    <row r="2014" spans="1:22">
      <c r="A2014" s="15" t="s">
        <v>1113</v>
      </c>
      <c r="B2014" s="16">
        <v>45663</v>
      </c>
      <c r="C2014" s="16">
        <v>45643</v>
      </c>
      <c r="D2014" s="15" t="s">
        <v>169</v>
      </c>
      <c r="E2014" s="15" t="s">
        <v>170</v>
      </c>
      <c r="G2014" s="15" t="s">
        <v>1107</v>
      </c>
      <c r="H2014" s="15" t="s">
        <v>1111</v>
      </c>
      <c r="I2014" s="15" t="s">
        <v>1112</v>
      </c>
      <c r="J2014" s="8" t="str">
        <f>+LEFT(U2014,4)</f>
        <v>U&amp;C-</v>
      </c>
      <c r="K2014" s="15" t="s">
        <v>10</v>
      </c>
      <c r="L2014" s="46">
        <v>7100</v>
      </c>
      <c r="M2014" s="15" t="s">
        <v>1472</v>
      </c>
      <c r="N2014" s="15" t="s">
        <v>11</v>
      </c>
      <c r="O2014" s="49">
        <v>0.252</v>
      </c>
      <c r="P2014" s="9">
        <f>ROUND(O2014*L2014,2)</f>
        <v>1789.2</v>
      </c>
      <c r="Q2014" s="10">
        <f>IF(N2014="HKD",7.8,IF(N2014="CNY",7.30034,1))</f>
        <v>7.3003400000000003</v>
      </c>
      <c r="R2014" s="10">
        <f>+ROUND(O2014/Q2014,4)</f>
        <v>3.4500000000000003E-2</v>
      </c>
      <c r="S2014" s="11">
        <f>ROUND(R2014*L2014,2)</f>
        <v>244.95</v>
      </c>
      <c r="T2014" s="10" t="s">
        <v>349</v>
      </c>
      <c r="U2014" s="15" t="s">
        <v>177</v>
      </c>
    </row>
    <row r="2015" spans="1:22">
      <c r="A2015" s="15" t="s">
        <v>1116</v>
      </c>
      <c r="B2015" s="16">
        <v>45663</v>
      </c>
      <c r="C2015" s="16">
        <v>45643</v>
      </c>
      <c r="D2015" s="15" t="s">
        <v>169</v>
      </c>
      <c r="E2015" s="15" t="s">
        <v>170</v>
      </c>
      <c r="G2015" s="15" t="s">
        <v>1107</v>
      </c>
      <c r="H2015" s="15" t="s">
        <v>1114</v>
      </c>
      <c r="I2015" s="15" t="s">
        <v>1115</v>
      </c>
      <c r="J2015" s="8" t="str">
        <f>+LEFT(U2015,4)</f>
        <v>U&amp;C-</v>
      </c>
      <c r="K2015" s="15" t="s">
        <v>10</v>
      </c>
      <c r="L2015" s="46">
        <v>2020</v>
      </c>
      <c r="M2015" s="15" t="s">
        <v>1472</v>
      </c>
      <c r="N2015" s="15" t="s">
        <v>11</v>
      </c>
      <c r="O2015" s="49">
        <v>0.26700000000000002</v>
      </c>
      <c r="P2015" s="9">
        <f>ROUND(O2015*L2015,2)</f>
        <v>539.34</v>
      </c>
      <c r="Q2015" s="10">
        <f>IF(N2015="HKD",7.8,IF(N2015="CNY",7.30034,1))</f>
        <v>7.3003400000000003</v>
      </c>
      <c r="R2015" s="10">
        <f>+ROUND(O2015/Q2015,4)</f>
        <v>3.6600000000000001E-2</v>
      </c>
      <c r="S2015" s="11">
        <f>ROUND(R2015*L2015,2)</f>
        <v>73.930000000000007</v>
      </c>
      <c r="T2015" s="10" t="s">
        <v>349</v>
      </c>
      <c r="U2015" s="15" t="s">
        <v>177</v>
      </c>
    </row>
    <row r="2016" spans="1:22">
      <c r="A2016" s="15" t="s">
        <v>1110</v>
      </c>
      <c r="B2016" s="16">
        <v>45663</v>
      </c>
      <c r="C2016" s="16">
        <v>45643</v>
      </c>
      <c r="D2016" s="15" t="s">
        <v>169</v>
      </c>
      <c r="E2016" s="15" t="s">
        <v>170</v>
      </c>
      <c r="G2016" s="15" t="s">
        <v>1107</v>
      </c>
      <c r="H2016" s="15" t="s">
        <v>1108</v>
      </c>
      <c r="I2016" s="15" t="s">
        <v>1109</v>
      </c>
      <c r="J2016" s="8" t="str">
        <f>+LEFT(U2016,4)</f>
        <v>U&amp;C-</v>
      </c>
      <c r="K2016" s="15" t="s">
        <v>10</v>
      </c>
      <c r="L2016" s="46">
        <v>1010</v>
      </c>
      <c r="M2016" s="15" t="s">
        <v>1472</v>
      </c>
      <c r="N2016" s="15" t="s">
        <v>11</v>
      </c>
      <c r="O2016" s="49">
        <v>0.26700000000000002</v>
      </c>
      <c r="P2016" s="9">
        <f>ROUND(O2016*L2016,2)</f>
        <v>269.67</v>
      </c>
      <c r="Q2016" s="10">
        <f>IF(N2016="HKD",7.8,IF(N2016="CNY",7.30034,1))</f>
        <v>7.3003400000000003</v>
      </c>
      <c r="R2016" s="10">
        <f>+ROUND(O2016/Q2016,4)</f>
        <v>3.6600000000000001E-2</v>
      </c>
      <c r="S2016" s="11">
        <f>ROUND(R2016*L2016,2)</f>
        <v>36.97</v>
      </c>
      <c r="T2016" s="10" t="s">
        <v>349</v>
      </c>
      <c r="U2016" s="15" t="s">
        <v>177</v>
      </c>
    </row>
    <row r="2017" spans="1:21">
      <c r="A2017" s="15" t="s">
        <v>1119</v>
      </c>
      <c r="B2017" s="16">
        <v>45663</v>
      </c>
      <c r="C2017" s="16">
        <v>45643</v>
      </c>
      <c r="D2017" s="15" t="s">
        <v>169</v>
      </c>
      <c r="E2017" s="15" t="s">
        <v>170</v>
      </c>
      <c r="G2017" s="15" t="s">
        <v>1107</v>
      </c>
      <c r="H2017" s="15" t="s">
        <v>1117</v>
      </c>
      <c r="I2017" s="15" t="s">
        <v>1118</v>
      </c>
      <c r="J2017" s="8" t="str">
        <f>+LEFT(U2017,4)</f>
        <v>U&amp;C-</v>
      </c>
      <c r="K2017" s="15" t="s">
        <v>10</v>
      </c>
      <c r="L2017" s="46">
        <v>2020</v>
      </c>
      <c r="M2017" s="15" t="s">
        <v>1472</v>
      </c>
      <c r="N2017" s="15" t="s">
        <v>11</v>
      </c>
      <c r="O2017" s="49">
        <v>0.28499999999999998</v>
      </c>
      <c r="P2017" s="9">
        <f>ROUND(O2017*L2017,2)</f>
        <v>575.70000000000005</v>
      </c>
      <c r="Q2017" s="10">
        <f>IF(N2017="HKD",7.8,IF(N2017="CNY",7.30034,1))</f>
        <v>7.3003400000000003</v>
      </c>
      <c r="R2017" s="10">
        <f>+ROUND(O2017/Q2017,4)</f>
        <v>3.9E-2</v>
      </c>
      <c r="S2017" s="11">
        <f>ROUND(R2017*L2017,2)</f>
        <v>78.78</v>
      </c>
      <c r="T2017" s="10" t="s">
        <v>349</v>
      </c>
      <c r="U2017" s="15" t="s">
        <v>177</v>
      </c>
    </row>
    <row r="2018" spans="1:21">
      <c r="A2018" s="15" t="s">
        <v>1128</v>
      </c>
      <c r="B2018" s="16">
        <v>45663</v>
      </c>
      <c r="C2018" s="16">
        <v>45622</v>
      </c>
      <c r="D2018" s="15" t="s">
        <v>169</v>
      </c>
      <c r="E2018" s="15" t="s">
        <v>170</v>
      </c>
      <c r="G2018" s="15" t="s">
        <v>1122</v>
      </c>
      <c r="H2018" s="15" t="s">
        <v>1127</v>
      </c>
      <c r="I2018" s="15" t="s">
        <v>647</v>
      </c>
      <c r="J2018" s="8" t="str">
        <f>+LEFT(U2018,4)</f>
        <v>U&amp;C-</v>
      </c>
      <c r="K2018" s="15" t="s">
        <v>10</v>
      </c>
      <c r="L2018" s="46">
        <v>3020</v>
      </c>
      <c r="M2018" s="15" t="s">
        <v>1472</v>
      </c>
      <c r="N2018" s="15" t="s">
        <v>11</v>
      </c>
      <c r="O2018" s="49">
        <v>0.7</v>
      </c>
      <c r="P2018" s="9">
        <f>ROUND(O2018*L2018,2)</f>
        <v>2114</v>
      </c>
      <c r="Q2018" s="10">
        <f>IF(N2018="HKD",7.8,IF(N2018="CNY",7.30034,1))</f>
        <v>7.3003400000000003</v>
      </c>
      <c r="R2018" s="10">
        <f>+ROUND(O2018/Q2018,4)</f>
        <v>9.5899999999999999E-2</v>
      </c>
      <c r="S2018" s="11">
        <f>ROUND(R2018*L2018,2)</f>
        <v>289.62</v>
      </c>
      <c r="T2018" s="10" t="s">
        <v>349</v>
      </c>
      <c r="U2018" s="15" t="s">
        <v>177</v>
      </c>
    </row>
    <row r="2019" spans="1:21">
      <c r="A2019" s="15" t="s">
        <v>1139</v>
      </c>
      <c r="B2019" s="16">
        <v>45663</v>
      </c>
      <c r="C2019" s="16">
        <v>45643</v>
      </c>
      <c r="D2019" s="15" t="s">
        <v>169</v>
      </c>
      <c r="E2019" s="15" t="s">
        <v>170</v>
      </c>
      <c r="G2019" s="15" t="s">
        <v>1140</v>
      </c>
      <c r="H2019" s="15" t="s">
        <v>1127</v>
      </c>
      <c r="I2019" s="15" t="s">
        <v>647</v>
      </c>
      <c r="J2019" s="8" t="str">
        <f>+LEFT(U2019,4)</f>
        <v>U&amp;C-</v>
      </c>
      <c r="K2019" s="15" t="s">
        <v>10</v>
      </c>
      <c r="L2019" s="46">
        <v>4000</v>
      </c>
      <c r="M2019" s="15" t="s">
        <v>1472</v>
      </c>
      <c r="N2019" s="15" t="s">
        <v>11</v>
      </c>
      <c r="O2019" s="49">
        <v>0.7</v>
      </c>
      <c r="P2019" s="9">
        <f>ROUND(O2019*L2019,2)</f>
        <v>2800</v>
      </c>
      <c r="Q2019" s="10">
        <f>IF(N2019="HKD",7.8,IF(N2019="CNY",7.30034,1))</f>
        <v>7.3003400000000003</v>
      </c>
      <c r="R2019" s="10">
        <f>+ROUND(O2019/Q2019,4)</f>
        <v>9.5899999999999999E-2</v>
      </c>
      <c r="S2019" s="11">
        <f>ROUND(R2019*L2019,2)</f>
        <v>383.6</v>
      </c>
      <c r="T2019" s="10" t="s">
        <v>349</v>
      </c>
      <c r="U2019" s="15" t="s">
        <v>177</v>
      </c>
    </row>
    <row r="2020" spans="1:21">
      <c r="A2020" s="15" t="s">
        <v>1121</v>
      </c>
      <c r="B2020" s="16">
        <v>45663</v>
      </c>
      <c r="C2020" s="16">
        <v>45643</v>
      </c>
      <c r="D2020" s="15" t="s">
        <v>169</v>
      </c>
      <c r="E2020" s="15" t="s">
        <v>170</v>
      </c>
      <c r="G2020" s="15" t="s">
        <v>1122</v>
      </c>
      <c r="H2020" s="15" t="s">
        <v>1120</v>
      </c>
      <c r="I2020" s="15" t="s">
        <v>643</v>
      </c>
      <c r="J2020" s="8" t="str">
        <f>+LEFT(U2020,4)</f>
        <v>U&amp;C-</v>
      </c>
      <c r="K2020" s="15" t="s">
        <v>10</v>
      </c>
      <c r="L2020" s="46">
        <v>2100</v>
      </c>
      <c r="M2020" s="15" t="s">
        <v>1472</v>
      </c>
      <c r="N2020" s="15" t="s">
        <v>11</v>
      </c>
      <c r="O2020" s="49">
        <v>1.0900000000000001</v>
      </c>
      <c r="P2020" s="9">
        <f>ROUND(O2020*L2020,2)</f>
        <v>2289</v>
      </c>
      <c r="Q2020" s="10">
        <f>IF(N2020="HKD",7.8,IF(N2020="CNY",7.30034,1))</f>
        <v>7.3003400000000003</v>
      </c>
      <c r="R2020" s="10">
        <f>+ROUND(O2020/Q2020,4)</f>
        <v>0.14929999999999999</v>
      </c>
      <c r="S2020" s="11">
        <f>ROUND(R2020*L2020,2)</f>
        <v>313.52999999999997</v>
      </c>
      <c r="T2020" s="10" t="s">
        <v>349</v>
      </c>
      <c r="U2020" s="15" t="s">
        <v>177</v>
      </c>
    </row>
    <row r="2021" spans="1:21">
      <c r="A2021" s="15" t="s">
        <v>1125</v>
      </c>
      <c r="B2021" s="16">
        <v>45663</v>
      </c>
      <c r="C2021" s="16">
        <v>45643</v>
      </c>
      <c r="D2021" s="15" t="s">
        <v>169</v>
      </c>
      <c r="E2021" s="15" t="s">
        <v>170</v>
      </c>
      <c r="G2021" s="15" t="s">
        <v>1122</v>
      </c>
      <c r="H2021" s="15" t="s">
        <v>1124</v>
      </c>
      <c r="I2021" s="15" t="s">
        <v>643</v>
      </c>
      <c r="J2021" s="8" t="str">
        <f>+LEFT(U2021,4)</f>
        <v>U&amp;C-</v>
      </c>
      <c r="K2021" s="15" t="s">
        <v>10</v>
      </c>
      <c r="L2021" s="46">
        <v>2100</v>
      </c>
      <c r="M2021" s="15" t="s">
        <v>1472</v>
      </c>
      <c r="N2021" s="15" t="s">
        <v>11</v>
      </c>
      <c r="O2021" s="49">
        <v>1.29</v>
      </c>
      <c r="P2021" s="9">
        <f>ROUND(O2021*L2021,2)</f>
        <v>2709</v>
      </c>
      <c r="Q2021" s="10">
        <f>IF(N2021="HKD",7.8,IF(N2021="CNY",7.30034,1))</f>
        <v>7.3003400000000003</v>
      </c>
      <c r="R2021" s="10">
        <f>+ROUND(O2021/Q2021,4)</f>
        <v>0.1767</v>
      </c>
      <c r="S2021" s="11">
        <f>ROUND(R2021*L2021,2)</f>
        <v>371.07</v>
      </c>
      <c r="T2021" s="10" t="s">
        <v>349</v>
      </c>
      <c r="U2021" s="15" t="s">
        <v>177</v>
      </c>
    </row>
    <row r="2022" spans="1:21">
      <c r="A2022" s="15" t="s">
        <v>1123</v>
      </c>
      <c r="B2022" s="16">
        <v>45663</v>
      </c>
      <c r="C2022" s="16">
        <v>45643</v>
      </c>
      <c r="D2022" s="15" t="s">
        <v>169</v>
      </c>
      <c r="E2022" s="15" t="s">
        <v>170</v>
      </c>
      <c r="G2022" s="15" t="s">
        <v>1122</v>
      </c>
      <c r="H2022" s="15" t="s">
        <v>642</v>
      </c>
      <c r="I2022" s="15" t="s">
        <v>643</v>
      </c>
      <c r="J2022" s="8" t="str">
        <f>+LEFT(U2022,4)</f>
        <v>U&amp;C-</v>
      </c>
      <c r="K2022" s="15" t="s">
        <v>10</v>
      </c>
      <c r="L2022" s="46">
        <v>2100</v>
      </c>
      <c r="M2022" s="15" t="s">
        <v>1472</v>
      </c>
      <c r="N2022" s="15" t="s">
        <v>11</v>
      </c>
      <c r="O2022" s="49">
        <v>1.29</v>
      </c>
      <c r="P2022" s="9">
        <f>ROUND(O2022*L2022,2)</f>
        <v>2709</v>
      </c>
      <c r="Q2022" s="10">
        <f>IF(N2022="HKD",7.8,IF(N2022="CNY",7.30034,1))</f>
        <v>7.3003400000000003</v>
      </c>
      <c r="R2022" s="10">
        <f>+ROUND(O2022/Q2022,4)</f>
        <v>0.1767</v>
      </c>
      <c r="S2022" s="11">
        <f>ROUND(R2022*L2022,2)</f>
        <v>371.07</v>
      </c>
      <c r="T2022" s="10" t="s">
        <v>349</v>
      </c>
      <c r="U2022" s="15" t="s">
        <v>177</v>
      </c>
    </row>
    <row r="2023" spans="1:21">
      <c r="A2023" s="15" t="s">
        <v>1088</v>
      </c>
      <c r="B2023" s="16">
        <v>45663</v>
      </c>
      <c r="C2023" s="16">
        <v>45650</v>
      </c>
      <c r="D2023" s="15" t="s">
        <v>169</v>
      </c>
      <c r="E2023" s="15" t="s">
        <v>170</v>
      </c>
      <c r="G2023" s="15" t="s">
        <v>1089</v>
      </c>
      <c r="H2023" s="15" t="s">
        <v>1086</v>
      </c>
      <c r="I2023" s="15" t="s">
        <v>1087</v>
      </c>
      <c r="J2023" s="8" t="str">
        <f>+LEFT(U2023,4)</f>
        <v>U&amp;C-</v>
      </c>
      <c r="K2023" s="15" t="s">
        <v>10</v>
      </c>
      <c r="L2023" s="46">
        <v>1000</v>
      </c>
      <c r="M2023" s="15" t="s">
        <v>1472</v>
      </c>
      <c r="N2023" s="15" t="s">
        <v>11</v>
      </c>
      <c r="O2023" s="49">
        <v>0.92900000000000005</v>
      </c>
      <c r="P2023" s="9">
        <f>ROUND(O2023*L2023,2)</f>
        <v>929</v>
      </c>
      <c r="Q2023" s="10">
        <f>IF(N2023="HKD",7.8,IF(N2023="CNY",7.30034,1))</f>
        <v>7.3003400000000003</v>
      </c>
      <c r="R2023" s="10">
        <f>+ROUND(O2023/Q2023,4)</f>
        <v>0.1273</v>
      </c>
      <c r="S2023" s="11">
        <f>ROUND(R2023*L2023,2)</f>
        <v>127.3</v>
      </c>
      <c r="T2023" s="10" t="s">
        <v>349</v>
      </c>
      <c r="U2023" s="15" t="s">
        <v>177</v>
      </c>
    </row>
    <row r="2024" spans="1:21">
      <c r="A2024" s="15" t="s">
        <v>1106</v>
      </c>
      <c r="B2024" s="16">
        <v>45663</v>
      </c>
      <c r="C2024" s="16">
        <v>45650</v>
      </c>
      <c r="D2024" s="15" t="s">
        <v>169</v>
      </c>
      <c r="E2024" s="15" t="s">
        <v>170</v>
      </c>
      <c r="G2024" s="15" t="s">
        <v>1107</v>
      </c>
      <c r="H2024" s="15" t="s">
        <v>1104</v>
      </c>
      <c r="I2024" s="15" t="s">
        <v>1105</v>
      </c>
      <c r="J2024" s="8" t="str">
        <f>+LEFT(U2024,4)</f>
        <v>WACD</v>
      </c>
      <c r="K2024" s="15" t="s">
        <v>10</v>
      </c>
      <c r="L2024" s="46">
        <v>1000</v>
      </c>
      <c r="M2024" s="15" t="s">
        <v>1472</v>
      </c>
      <c r="N2024" s="15" t="s">
        <v>11</v>
      </c>
      <c r="O2024" s="49">
        <v>0.26800000000000002</v>
      </c>
      <c r="P2024" s="9">
        <f>ROUND(O2024*L2024,2)</f>
        <v>268</v>
      </c>
      <c r="Q2024" s="10">
        <f>IF(N2024="HKD",7.8,IF(N2024="CNY",7.30034,1))</f>
        <v>7.3003400000000003</v>
      </c>
      <c r="R2024" s="10">
        <f>+ROUND(O2024/Q2024,4)</f>
        <v>3.6700000000000003E-2</v>
      </c>
      <c r="S2024" s="11">
        <f>ROUND(R2024*L2024,2)</f>
        <v>36.700000000000003</v>
      </c>
      <c r="T2024" s="10" t="s">
        <v>349</v>
      </c>
      <c r="U2024" s="15" t="s">
        <v>635</v>
      </c>
    </row>
    <row r="2025" spans="1:21">
      <c r="A2025" s="15" t="s">
        <v>1298</v>
      </c>
      <c r="B2025" s="16">
        <v>45660</v>
      </c>
      <c r="C2025" s="16">
        <v>45653</v>
      </c>
      <c r="D2025" s="15" t="s">
        <v>5</v>
      </c>
      <c r="E2025" s="15" t="s">
        <v>6</v>
      </c>
      <c r="G2025" s="15" t="s">
        <v>1295</v>
      </c>
      <c r="H2025" s="15" t="s">
        <v>1296</v>
      </c>
      <c r="I2025" s="15" t="s">
        <v>1297</v>
      </c>
      <c r="J2025" s="8" t="str">
        <f>+LEFT(U2025,4)</f>
        <v>BOX-</v>
      </c>
      <c r="K2025" s="15" t="s">
        <v>10</v>
      </c>
      <c r="L2025" s="46">
        <v>2000</v>
      </c>
      <c r="M2025" s="15" t="s">
        <v>1472</v>
      </c>
      <c r="N2025" s="15" t="s">
        <v>11</v>
      </c>
      <c r="O2025" s="49">
        <v>3.08</v>
      </c>
      <c r="P2025" s="9">
        <f>ROUND(O2025*L2025,2)</f>
        <v>6160</v>
      </c>
      <c r="Q2025" s="10">
        <f>IF(N2025="HKD",7.8,IF(N2025="CNY",7.30034,1))</f>
        <v>7.3003400000000003</v>
      </c>
      <c r="R2025" s="10">
        <f>+ROUND(O2025/Q2025,4)</f>
        <v>0.4219</v>
      </c>
      <c r="S2025" s="11">
        <f>ROUND(R2025*L2025,2)</f>
        <v>843.8</v>
      </c>
      <c r="T2025" s="10" t="s">
        <v>349</v>
      </c>
      <c r="U2025" s="15" t="s">
        <v>1</v>
      </c>
    </row>
    <row r="2026" spans="1:21">
      <c r="A2026" s="15" t="s">
        <v>1294</v>
      </c>
      <c r="B2026" s="16">
        <v>45660</v>
      </c>
      <c r="C2026" s="16">
        <v>45653</v>
      </c>
      <c r="D2026" s="15" t="s">
        <v>5</v>
      </c>
      <c r="E2026" s="15" t="s">
        <v>6</v>
      </c>
      <c r="G2026" s="15" t="s">
        <v>1295</v>
      </c>
      <c r="H2026" s="15" t="s">
        <v>84</v>
      </c>
      <c r="I2026" s="15" t="s">
        <v>85</v>
      </c>
      <c r="J2026" s="8" t="str">
        <f>+LEFT(U2026,4)</f>
        <v>BOX-</v>
      </c>
      <c r="K2026" s="15" t="s">
        <v>10</v>
      </c>
      <c r="L2026" s="46">
        <v>1090</v>
      </c>
      <c r="M2026" s="15" t="s">
        <v>1472</v>
      </c>
      <c r="N2026" s="15" t="s">
        <v>11</v>
      </c>
      <c r="O2026" s="49">
        <v>4.8499999999999996</v>
      </c>
      <c r="P2026" s="9">
        <f>ROUND(O2026*L2026,2)</f>
        <v>5286.5</v>
      </c>
      <c r="Q2026" s="10">
        <f>IF(N2026="HKD",7.8,IF(N2026="CNY",7.30034,1))</f>
        <v>7.3003400000000003</v>
      </c>
      <c r="R2026" s="10">
        <f>+ROUND(O2026/Q2026,4)</f>
        <v>0.66439999999999999</v>
      </c>
      <c r="S2026" s="11">
        <f>ROUND(R2026*L2026,2)</f>
        <v>724.2</v>
      </c>
      <c r="T2026" s="10" t="s">
        <v>349</v>
      </c>
      <c r="U2026" s="15" t="s">
        <v>1</v>
      </c>
    </row>
    <row r="2027" spans="1:21">
      <c r="A2027" s="15" t="s">
        <v>1311</v>
      </c>
      <c r="B2027" s="16">
        <v>45660</v>
      </c>
      <c r="C2027" s="16">
        <v>45629</v>
      </c>
      <c r="D2027" s="15" t="s">
        <v>149</v>
      </c>
      <c r="E2027" s="15" t="s">
        <v>150</v>
      </c>
      <c r="G2027" s="15" t="s">
        <v>1312</v>
      </c>
      <c r="H2027" s="15" t="s">
        <v>1309</v>
      </c>
      <c r="I2027" s="15" t="s">
        <v>1310</v>
      </c>
      <c r="J2027" s="8" t="str">
        <f>+LEFT(U2027,4)</f>
        <v>GLID</v>
      </c>
      <c r="K2027" s="15" t="s">
        <v>10</v>
      </c>
      <c r="L2027" s="46">
        <v>1020</v>
      </c>
      <c r="M2027" s="15" t="s">
        <v>1472</v>
      </c>
      <c r="N2027" s="15" t="s">
        <v>11</v>
      </c>
      <c r="O2027" s="49">
        <v>6.1177000000000001</v>
      </c>
      <c r="P2027" s="9">
        <f>ROUND(O2027*L2027,2)</f>
        <v>6240.05</v>
      </c>
      <c r="Q2027" s="10">
        <f>IF(N2027="HKD",7.8,IF(N2027="CNY",7.30034,1))</f>
        <v>7.3003400000000003</v>
      </c>
      <c r="R2027" s="10">
        <f>+ROUND(O2027/Q2027,4)</f>
        <v>0.83799999999999997</v>
      </c>
      <c r="S2027" s="11">
        <f>ROUND(R2027*L2027,2)</f>
        <v>854.76</v>
      </c>
      <c r="T2027" s="10" t="s">
        <v>349</v>
      </c>
      <c r="U2027" s="15" t="s">
        <v>78</v>
      </c>
    </row>
    <row r="2028" spans="1:21">
      <c r="A2028" s="15" t="s">
        <v>1318</v>
      </c>
      <c r="B2028" s="16">
        <v>45660</v>
      </c>
      <c r="C2028" s="16">
        <v>45597</v>
      </c>
      <c r="D2028" s="15" t="s">
        <v>1316</v>
      </c>
      <c r="E2028" s="15" t="s">
        <v>1317</v>
      </c>
      <c r="G2028" s="15" t="s">
        <v>1319</v>
      </c>
      <c r="H2028" s="15" t="s">
        <v>1314</v>
      </c>
      <c r="I2028" s="15" t="s">
        <v>1315</v>
      </c>
      <c r="J2028" s="8" t="str">
        <f>+LEFT(U2028,4)</f>
        <v>GLID</v>
      </c>
      <c r="K2028" s="15" t="s">
        <v>10</v>
      </c>
      <c r="L2028" s="46">
        <v>4200</v>
      </c>
      <c r="M2028" s="15" t="s">
        <v>1472</v>
      </c>
      <c r="N2028" s="15" t="s">
        <v>11</v>
      </c>
      <c r="O2028" s="49">
        <v>6.6017999999999999</v>
      </c>
      <c r="P2028" s="9">
        <f>ROUND(O2028*L2028,2)</f>
        <v>27727.56</v>
      </c>
      <c r="Q2028" s="10">
        <f>IF(N2028="HKD",7.8,IF(N2028="CNY",7.30034,1))</f>
        <v>7.3003400000000003</v>
      </c>
      <c r="R2028" s="10">
        <f>+ROUND(O2028/Q2028,4)</f>
        <v>0.90429999999999999</v>
      </c>
      <c r="S2028" s="11">
        <f>ROUND(R2028*L2028,2)</f>
        <v>3798.06</v>
      </c>
      <c r="T2028" s="10" t="s">
        <v>349</v>
      </c>
      <c r="U2028" s="15" t="s">
        <v>78</v>
      </c>
    </row>
    <row r="2029" spans="1:21">
      <c r="A2029" s="15" t="s">
        <v>862</v>
      </c>
      <c r="B2029" s="16">
        <v>45660</v>
      </c>
      <c r="C2029" s="16">
        <v>45638</v>
      </c>
      <c r="D2029" s="15" t="s">
        <v>287</v>
      </c>
      <c r="E2029" s="15" t="s">
        <v>288</v>
      </c>
      <c r="G2029" s="15" t="s">
        <v>1286</v>
      </c>
      <c r="H2029" s="15" t="s">
        <v>860</v>
      </c>
      <c r="I2029" s="15" t="s">
        <v>861</v>
      </c>
      <c r="J2029" s="8" t="str">
        <f>+LEFT(U2029,4)</f>
        <v>GLID</v>
      </c>
      <c r="K2029" s="15" t="s">
        <v>10</v>
      </c>
      <c r="L2029" s="46">
        <v>1985</v>
      </c>
      <c r="M2029" s="15" t="s">
        <v>1472</v>
      </c>
      <c r="N2029" s="15" t="s">
        <v>11</v>
      </c>
      <c r="O2029" s="49">
        <v>7.2716000000000003</v>
      </c>
      <c r="P2029" s="9">
        <f>ROUND(O2029*L2029,2)</f>
        <v>14434.13</v>
      </c>
      <c r="Q2029" s="10">
        <f>IF(N2029="HKD",7.8,IF(N2029="CNY",7.30034,1))</f>
        <v>7.3003400000000003</v>
      </c>
      <c r="R2029" s="10">
        <f>+ROUND(O2029/Q2029,4)</f>
        <v>0.99609999999999999</v>
      </c>
      <c r="S2029" s="11">
        <f>ROUND(R2029*L2029,2)</f>
        <v>1977.26</v>
      </c>
      <c r="T2029" s="10" t="s">
        <v>349</v>
      </c>
      <c r="U2029" s="15" t="s">
        <v>78</v>
      </c>
    </row>
    <row r="2030" spans="1:21">
      <c r="A2030" s="15" t="s">
        <v>847</v>
      </c>
      <c r="B2030" s="16">
        <v>45660</v>
      </c>
      <c r="C2030" s="16">
        <v>45638</v>
      </c>
      <c r="D2030" s="15" t="s">
        <v>287</v>
      </c>
      <c r="E2030" s="15" t="s">
        <v>288</v>
      </c>
      <c r="G2030" s="15" t="s">
        <v>1286</v>
      </c>
      <c r="H2030" s="15" t="s">
        <v>845</v>
      </c>
      <c r="I2030" s="15" t="s">
        <v>846</v>
      </c>
      <c r="J2030" s="8" t="str">
        <f>+LEFT(U2030,4)</f>
        <v>GLID</v>
      </c>
      <c r="K2030" s="15" t="s">
        <v>10</v>
      </c>
      <c r="L2030" s="46">
        <v>1435</v>
      </c>
      <c r="M2030" s="15" t="s">
        <v>1472</v>
      </c>
      <c r="N2030" s="15" t="s">
        <v>11</v>
      </c>
      <c r="O2030" s="49">
        <v>8.6631999999999998</v>
      </c>
      <c r="P2030" s="9">
        <f>ROUND(O2030*L2030,2)</f>
        <v>12431.69</v>
      </c>
      <c r="Q2030" s="10">
        <f>IF(N2030="HKD",7.8,IF(N2030="CNY",7.30034,1))</f>
        <v>7.3003400000000003</v>
      </c>
      <c r="R2030" s="10">
        <f>+ROUND(O2030/Q2030,4)</f>
        <v>1.1867000000000001</v>
      </c>
      <c r="S2030" s="11">
        <f>ROUND(R2030*L2030,2)</f>
        <v>1702.91</v>
      </c>
      <c r="T2030" s="10" t="s">
        <v>349</v>
      </c>
      <c r="U2030" s="15" t="s">
        <v>78</v>
      </c>
    </row>
    <row r="2031" spans="1:21">
      <c r="A2031" s="15" t="s">
        <v>840</v>
      </c>
      <c r="B2031" s="16">
        <v>45660</v>
      </c>
      <c r="C2031" s="16">
        <v>45638</v>
      </c>
      <c r="D2031" s="15" t="s">
        <v>287</v>
      </c>
      <c r="E2031" s="15" t="s">
        <v>288</v>
      </c>
      <c r="G2031" s="15" t="s">
        <v>1286</v>
      </c>
      <c r="H2031" s="15" t="s">
        <v>838</v>
      </c>
      <c r="I2031" s="15" t="s">
        <v>839</v>
      </c>
      <c r="J2031" s="8" t="str">
        <f>+LEFT(U2031,4)</f>
        <v>GLID</v>
      </c>
      <c r="K2031" s="15" t="s">
        <v>10</v>
      </c>
      <c r="L2031" s="46">
        <v>2800</v>
      </c>
      <c r="M2031" s="15" t="s">
        <v>1472</v>
      </c>
      <c r="N2031" s="15" t="s">
        <v>11</v>
      </c>
      <c r="O2031" s="49">
        <v>9.31</v>
      </c>
      <c r="P2031" s="9">
        <f>ROUND(O2031*L2031,2)</f>
        <v>26068</v>
      </c>
      <c r="Q2031" s="10">
        <f>IF(N2031="HKD",7.8,IF(N2031="CNY",7.30034,1))</f>
        <v>7.3003400000000003</v>
      </c>
      <c r="R2031" s="10">
        <f>+ROUND(O2031/Q2031,4)</f>
        <v>1.2753000000000001</v>
      </c>
      <c r="S2031" s="11">
        <f>ROUND(R2031*L2031,2)</f>
        <v>3570.84</v>
      </c>
      <c r="T2031" s="10" t="s">
        <v>349</v>
      </c>
      <c r="U2031" s="15" t="s">
        <v>78</v>
      </c>
    </row>
    <row r="2032" spans="1:21">
      <c r="A2032" s="15" t="s">
        <v>1291</v>
      </c>
      <c r="B2032" s="16">
        <v>45660</v>
      </c>
      <c r="C2032" s="16">
        <v>45639</v>
      </c>
      <c r="D2032" s="15" t="s">
        <v>252</v>
      </c>
      <c r="E2032" s="15" t="s">
        <v>253</v>
      </c>
      <c r="G2032" s="15" t="s">
        <v>1290</v>
      </c>
      <c r="H2032" s="15" t="s">
        <v>250</v>
      </c>
      <c r="I2032" s="15" t="s">
        <v>251</v>
      </c>
      <c r="J2032" s="8" t="str">
        <f>+LEFT(U2032,4)</f>
        <v>GLID</v>
      </c>
      <c r="K2032" s="15" t="s">
        <v>10</v>
      </c>
      <c r="L2032" s="46">
        <v>4010</v>
      </c>
      <c r="M2032" s="15" t="s">
        <v>1472</v>
      </c>
      <c r="N2032" s="15" t="s">
        <v>11</v>
      </c>
      <c r="O2032" s="49">
        <v>10.7476</v>
      </c>
      <c r="P2032" s="9">
        <f>ROUND(O2032*L2032,2)</f>
        <v>43097.88</v>
      </c>
      <c r="Q2032" s="10">
        <f>IF(N2032="HKD",7.8,IF(N2032="CNY",7.30034,1))</f>
        <v>7.3003400000000003</v>
      </c>
      <c r="R2032" s="10">
        <f>+ROUND(O2032/Q2032,4)</f>
        <v>1.4722</v>
      </c>
      <c r="S2032" s="11">
        <f>ROUND(R2032*L2032,2)</f>
        <v>5903.52</v>
      </c>
      <c r="T2032" s="10" t="s">
        <v>349</v>
      </c>
      <c r="U2032" s="15" t="s">
        <v>78</v>
      </c>
    </row>
    <row r="2033" spans="1:21">
      <c r="A2033" s="15" t="s">
        <v>1289</v>
      </c>
      <c r="B2033" s="16">
        <v>45660</v>
      </c>
      <c r="C2033" s="16">
        <v>45639</v>
      </c>
      <c r="D2033" s="15" t="s">
        <v>252</v>
      </c>
      <c r="E2033" s="15" t="s">
        <v>253</v>
      </c>
      <c r="G2033" s="15" t="s">
        <v>1290</v>
      </c>
      <c r="H2033" s="15" t="s">
        <v>775</v>
      </c>
      <c r="I2033" s="15" t="s">
        <v>776</v>
      </c>
      <c r="J2033" s="8" t="str">
        <f>+LEFT(U2033,4)</f>
        <v>GLID</v>
      </c>
      <c r="K2033" s="15" t="s">
        <v>10</v>
      </c>
      <c r="L2033" s="46">
        <v>1910</v>
      </c>
      <c r="M2033" s="15" t="s">
        <v>1472</v>
      </c>
      <c r="N2033" s="15" t="s">
        <v>11</v>
      </c>
      <c r="O2033" s="49">
        <v>13.6808</v>
      </c>
      <c r="P2033" s="9">
        <f>ROUND(O2033*L2033,2)</f>
        <v>26130.33</v>
      </c>
      <c r="Q2033" s="10">
        <f>IF(N2033="HKD",7.8,IF(N2033="CNY",7.30034,1))</f>
        <v>7.3003400000000003</v>
      </c>
      <c r="R2033" s="10">
        <f>+ROUND(O2033/Q2033,4)</f>
        <v>1.8740000000000001</v>
      </c>
      <c r="S2033" s="11">
        <f>ROUND(R2033*L2033,2)</f>
        <v>3579.34</v>
      </c>
      <c r="T2033" s="10" t="s">
        <v>349</v>
      </c>
      <c r="U2033" s="15" t="s">
        <v>78</v>
      </c>
    </row>
    <row r="2034" spans="1:21">
      <c r="A2034" s="15" t="s">
        <v>1305</v>
      </c>
      <c r="B2034" s="16">
        <v>45660</v>
      </c>
      <c r="C2034" s="16">
        <v>45629</v>
      </c>
      <c r="D2034" s="15" t="s">
        <v>121</v>
      </c>
      <c r="E2034" s="15" t="s">
        <v>122</v>
      </c>
      <c r="G2034" s="15" t="s">
        <v>1302</v>
      </c>
      <c r="H2034" s="15" t="s">
        <v>1303</v>
      </c>
      <c r="I2034" s="15" t="s">
        <v>1304</v>
      </c>
      <c r="J2034" s="8" t="str">
        <f>+LEFT(U2034,4)</f>
        <v>HDL-</v>
      </c>
      <c r="K2034" s="15" t="s">
        <v>10</v>
      </c>
      <c r="L2034" s="46">
        <v>1020</v>
      </c>
      <c r="M2034" s="15" t="s">
        <v>1472</v>
      </c>
      <c r="N2034" s="15" t="s">
        <v>11</v>
      </c>
      <c r="O2034" s="49">
        <v>6.5797999999999996</v>
      </c>
      <c r="P2034" s="9">
        <f>ROUND(O2034*L2034,2)</f>
        <v>6711.4</v>
      </c>
      <c r="Q2034" s="10">
        <f>IF(N2034="HKD",7.8,IF(N2034="CNY",7.30034,1))</f>
        <v>7.3003400000000003</v>
      </c>
      <c r="R2034" s="10">
        <f>+ROUND(O2034/Q2034,4)</f>
        <v>0.90129999999999999</v>
      </c>
      <c r="S2034" s="11">
        <f>ROUND(R2034*L2034,2)</f>
        <v>919.33</v>
      </c>
      <c r="T2034" s="10" t="s">
        <v>349</v>
      </c>
      <c r="U2034" s="15" t="s">
        <v>228</v>
      </c>
    </row>
    <row r="2035" spans="1:21">
      <c r="A2035" s="15" t="s">
        <v>1308</v>
      </c>
      <c r="B2035" s="16">
        <v>45660</v>
      </c>
      <c r="C2035" s="16">
        <v>45646</v>
      </c>
      <c r="D2035" s="15" t="s">
        <v>121</v>
      </c>
      <c r="E2035" s="15" t="s">
        <v>122</v>
      </c>
      <c r="G2035" s="15" t="s">
        <v>1302</v>
      </c>
      <c r="H2035" s="15" t="s">
        <v>1306</v>
      </c>
      <c r="I2035" s="15" t="s">
        <v>1307</v>
      </c>
      <c r="J2035" s="8" t="s">
        <v>1527</v>
      </c>
      <c r="K2035" s="15" t="s">
        <v>10</v>
      </c>
      <c r="L2035" s="46">
        <v>3000</v>
      </c>
      <c r="M2035" s="15" t="s">
        <v>1472</v>
      </c>
      <c r="N2035" s="15" t="s">
        <v>11</v>
      </c>
      <c r="O2035" s="49">
        <v>0.8</v>
      </c>
      <c r="P2035" s="9">
        <f>ROUND(O2035*L2035,2)</f>
        <v>2400</v>
      </c>
      <c r="Q2035" s="10">
        <f>IF(N2035="HKD",7.8,IF(N2035="CNY",7.30034,1))</f>
        <v>7.3003400000000003</v>
      </c>
      <c r="R2035" s="10">
        <f>+ROUND(O2035/Q2035,4)</f>
        <v>0.1096</v>
      </c>
      <c r="S2035" s="11">
        <f>ROUND(R2035*L2035,2)</f>
        <v>328.8</v>
      </c>
      <c r="T2035" s="10" t="s">
        <v>349</v>
      </c>
      <c r="U2035" s="15" t="s">
        <v>36</v>
      </c>
    </row>
    <row r="2036" spans="1:21">
      <c r="A2036" s="15" t="s">
        <v>249</v>
      </c>
      <c r="B2036" s="16">
        <v>45660</v>
      </c>
      <c r="C2036" s="16">
        <v>45639</v>
      </c>
      <c r="D2036" s="15" t="s">
        <v>143</v>
      </c>
      <c r="E2036" s="15" t="s">
        <v>144</v>
      </c>
      <c r="G2036" s="15" t="s">
        <v>1287</v>
      </c>
      <c r="H2036" s="15" t="s">
        <v>141</v>
      </c>
      <c r="I2036" s="15" t="s">
        <v>142</v>
      </c>
      <c r="J2036" s="8" t="str">
        <f>+LEFT(U2036,4)</f>
        <v>KNOB</v>
      </c>
      <c r="K2036" s="15" t="s">
        <v>10</v>
      </c>
      <c r="L2036" s="46">
        <v>60</v>
      </c>
      <c r="M2036" s="15" t="s">
        <v>1472</v>
      </c>
      <c r="N2036" s="15" t="s">
        <v>11</v>
      </c>
      <c r="O2036" s="49">
        <v>5.0999999999999996</v>
      </c>
      <c r="P2036" s="9">
        <f>ROUND(O2036*L2036,2)</f>
        <v>306</v>
      </c>
      <c r="Q2036" s="10">
        <f>IF(N2036="HKD",7.8,IF(N2036="CNY",7.30034,1))</f>
        <v>7.3003400000000003</v>
      </c>
      <c r="R2036" s="10">
        <f>+ROUND(O2036/Q2036,4)</f>
        <v>0.6986</v>
      </c>
      <c r="S2036" s="11">
        <f>ROUND(R2036*L2036,2)</f>
        <v>41.92</v>
      </c>
      <c r="T2036" s="10" t="s">
        <v>349</v>
      </c>
      <c r="U2036" s="15" t="s">
        <v>32</v>
      </c>
    </row>
    <row r="2037" spans="1:21">
      <c r="A2037" s="15" t="s">
        <v>1288</v>
      </c>
      <c r="B2037" s="16">
        <v>45660</v>
      </c>
      <c r="C2037" s="16">
        <v>45644</v>
      </c>
      <c r="D2037" s="15" t="s">
        <v>143</v>
      </c>
      <c r="E2037" s="15" t="s">
        <v>144</v>
      </c>
      <c r="G2037" s="15" t="s">
        <v>1287</v>
      </c>
      <c r="H2037" s="15" t="s">
        <v>141</v>
      </c>
      <c r="I2037" s="15" t="s">
        <v>142</v>
      </c>
      <c r="J2037" s="8" t="str">
        <f>+LEFT(U2037,4)</f>
        <v>KNOB</v>
      </c>
      <c r="K2037" s="15" t="s">
        <v>10</v>
      </c>
      <c r="L2037" s="46">
        <v>9740</v>
      </c>
      <c r="M2037" s="15" t="s">
        <v>1472</v>
      </c>
      <c r="N2037" s="15" t="s">
        <v>11</v>
      </c>
      <c r="O2037" s="49">
        <v>5.0999999999999996</v>
      </c>
      <c r="P2037" s="9">
        <f>ROUND(O2037*L2037,2)</f>
        <v>49674</v>
      </c>
      <c r="Q2037" s="10">
        <f>IF(N2037="HKD",7.8,IF(N2037="CNY",7.30034,1))</f>
        <v>7.3003400000000003</v>
      </c>
      <c r="R2037" s="10">
        <f>+ROUND(O2037/Q2037,4)</f>
        <v>0.6986</v>
      </c>
      <c r="S2037" s="11">
        <f>ROUND(R2037*L2037,2)</f>
        <v>6804.36</v>
      </c>
      <c r="T2037" s="10" t="s">
        <v>349</v>
      </c>
      <c r="U2037" s="15" t="s">
        <v>32</v>
      </c>
    </row>
    <row r="2038" spans="1:21">
      <c r="A2038" s="15" t="s">
        <v>1301</v>
      </c>
      <c r="B2038" s="16">
        <v>45660</v>
      </c>
      <c r="C2038" s="16">
        <v>45629</v>
      </c>
      <c r="D2038" s="15" t="s">
        <v>121</v>
      </c>
      <c r="E2038" s="15" t="s">
        <v>122</v>
      </c>
      <c r="G2038" s="15" t="s">
        <v>1302</v>
      </c>
      <c r="H2038" s="15" t="s">
        <v>1299</v>
      </c>
      <c r="I2038" s="15" t="s">
        <v>1300</v>
      </c>
      <c r="J2038" s="8" t="str">
        <f>+LEFT(U2038,4)</f>
        <v>LHDL</v>
      </c>
      <c r="K2038" s="15" t="s">
        <v>10</v>
      </c>
      <c r="L2038" s="46">
        <v>1020</v>
      </c>
      <c r="M2038" s="15" t="s">
        <v>1472</v>
      </c>
      <c r="N2038" s="15" t="s">
        <v>11</v>
      </c>
      <c r="O2038" s="49">
        <v>3.2938000000000001</v>
      </c>
      <c r="P2038" s="9">
        <f>ROUND(O2038*L2038,2)</f>
        <v>3359.68</v>
      </c>
      <c r="Q2038" s="10">
        <f>IF(N2038="HKD",7.8,IF(N2038="CNY",7.30034,1))</f>
        <v>7.3003400000000003</v>
      </c>
      <c r="R2038" s="10">
        <f>+ROUND(O2038/Q2038,4)</f>
        <v>0.45119999999999999</v>
      </c>
      <c r="S2038" s="11">
        <f>ROUND(R2038*L2038,2)</f>
        <v>460.22</v>
      </c>
      <c r="T2038" s="10" t="s">
        <v>349</v>
      </c>
      <c r="U2038" s="15" t="s">
        <v>125</v>
      </c>
    </row>
    <row r="2039" spans="1:21">
      <c r="A2039" s="15" t="s">
        <v>1284</v>
      </c>
      <c r="B2039" s="16">
        <v>45660</v>
      </c>
      <c r="C2039" s="16">
        <v>45659</v>
      </c>
      <c r="D2039" s="15" t="s">
        <v>709</v>
      </c>
      <c r="E2039" s="15" t="s">
        <v>710</v>
      </c>
      <c r="G2039" s="15" t="s">
        <v>1285</v>
      </c>
      <c r="H2039" s="15" t="s">
        <v>1282</v>
      </c>
      <c r="I2039" s="15" t="s">
        <v>1283</v>
      </c>
      <c r="J2039" s="8" t="str">
        <f>+LEFT(U2039,4)</f>
        <v>MISC</v>
      </c>
      <c r="K2039" s="15" t="s">
        <v>10</v>
      </c>
      <c r="L2039" s="46">
        <v>1050</v>
      </c>
      <c r="M2039" s="15" t="s">
        <v>1472</v>
      </c>
      <c r="N2039" s="15" t="s">
        <v>11</v>
      </c>
      <c r="O2039" s="49">
        <v>0.39100000000000001</v>
      </c>
      <c r="P2039" s="9">
        <f>ROUND(O2039*L2039,2)</f>
        <v>410.55</v>
      </c>
      <c r="Q2039" s="10">
        <f>IF(N2039="HKD",7.8,IF(N2039="CNY",7.30034,1))</f>
        <v>7.3003400000000003</v>
      </c>
      <c r="R2039" s="10">
        <f>+ROUND(O2039/Q2039,4)</f>
        <v>5.3600000000000002E-2</v>
      </c>
      <c r="S2039" s="11">
        <f>ROUND(R2039*L2039,2)</f>
        <v>56.28</v>
      </c>
      <c r="T2039" s="10" t="s">
        <v>349</v>
      </c>
      <c r="U2039" s="15" t="s">
        <v>25</v>
      </c>
    </row>
    <row r="2040" spans="1:21">
      <c r="A2040" s="15" t="s">
        <v>1280</v>
      </c>
      <c r="B2040" s="16">
        <v>45660</v>
      </c>
      <c r="C2040" s="16">
        <v>45644</v>
      </c>
      <c r="D2040" s="15" t="s">
        <v>1278</v>
      </c>
      <c r="E2040" s="15" t="s">
        <v>1279</v>
      </c>
      <c r="G2040" s="15" t="s">
        <v>1281</v>
      </c>
      <c r="H2040" s="15" t="s">
        <v>1276</v>
      </c>
      <c r="I2040" s="15" t="s">
        <v>1277</v>
      </c>
      <c r="J2040" s="8" t="str">
        <f>+LEFT(U2040,4)</f>
        <v>POLM</v>
      </c>
      <c r="K2040" s="15" t="s">
        <v>10</v>
      </c>
      <c r="L2040" s="46">
        <v>200</v>
      </c>
      <c r="M2040" s="15" t="s">
        <v>1472</v>
      </c>
      <c r="N2040" s="15" t="s">
        <v>11</v>
      </c>
      <c r="O2040" s="49">
        <v>210</v>
      </c>
      <c r="P2040" s="9">
        <f>ROUND(O2040*L2040,2)</f>
        <v>42000</v>
      </c>
      <c r="Q2040" s="10">
        <f>IF(N2040="HKD",7.8,IF(N2040="CNY",7.30034,1))</f>
        <v>7.3003400000000003</v>
      </c>
      <c r="R2040" s="10">
        <f>+ROUND(O2040/Q2040,4)</f>
        <v>28.765799999999999</v>
      </c>
      <c r="S2040" s="11">
        <f>ROUND(R2040*L2040,2)</f>
        <v>5753.16</v>
      </c>
      <c r="T2040" s="10" t="s">
        <v>349</v>
      </c>
      <c r="U2040" s="15" t="s">
        <v>272</v>
      </c>
    </row>
    <row r="2041" spans="1:21">
      <c r="A2041" s="15" t="s">
        <v>1364</v>
      </c>
      <c r="B2041" s="16">
        <v>45660</v>
      </c>
      <c r="C2041" s="16">
        <v>45611</v>
      </c>
      <c r="D2041" s="15" t="s">
        <v>235</v>
      </c>
      <c r="E2041" s="15" t="s">
        <v>236</v>
      </c>
      <c r="G2041" s="15" t="s">
        <v>1365</v>
      </c>
      <c r="H2041" s="15" t="s">
        <v>233</v>
      </c>
      <c r="I2041" s="15" t="s">
        <v>234</v>
      </c>
      <c r="J2041" s="8" t="str">
        <f>+LEFT(U2041,4)</f>
        <v>RIV-</v>
      </c>
      <c r="K2041" s="15" t="s">
        <v>10</v>
      </c>
      <c r="L2041" s="46">
        <v>11000</v>
      </c>
      <c r="M2041" s="15" t="s">
        <v>1472</v>
      </c>
      <c r="N2041" s="15" t="s">
        <v>11</v>
      </c>
      <c r="O2041" s="49">
        <v>4.1599999999999998E-2</v>
      </c>
      <c r="P2041" s="9">
        <f>ROUND(O2041*L2041,2)</f>
        <v>457.6</v>
      </c>
      <c r="Q2041" s="10">
        <f>IF(N2041="HKD",7.8,IF(N2041="CNY",7.30034,1))</f>
        <v>7.3003400000000003</v>
      </c>
      <c r="R2041" s="10">
        <f>+ROUND(O2041/Q2041,4)</f>
        <v>5.7000000000000002E-3</v>
      </c>
      <c r="S2041" s="11">
        <f>ROUND(R2041*L2041,2)</f>
        <v>62.7</v>
      </c>
      <c r="T2041" s="10" t="s">
        <v>349</v>
      </c>
      <c r="U2041" s="15" t="s">
        <v>132</v>
      </c>
    </row>
    <row r="2042" spans="1:21">
      <c r="A2042" s="15" t="s">
        <v>1351</v>
      </c>
      <c r="B2042" s="16">
        <v>45660</v>
      </c>
      <c r="C2042" s="16">
        <v>45639</v>
      </c>
      <c r="D2042" s="15" t="s">
        <v>235</v>
      </c>
      <c r="E2042" s="15" t="s">
        <v>236</v>
      </c>
      <c r="G2042" s="15" t="s">
        <v>1347</v>
      </c>
      <c r="H2042" s="15" t="s">
        <v>233</v>
      </c>
      <c r="I2042" s="15" t="s">
        <v>234</v>
      </c>
      <c r="J2042" s="8" t="str">
        <f>+LEFT(U2042,4)</f>
        <v>RIV-</v>
      </c>
      <c r="K2042" s="15" t="s">
        <v>10</v>
      </c>
      <c r="L2042" s="46">
        <v>10000</v>
      </c>
      <c r="M2042" s="15" t="s">
        <v>1472</v>
      </c>
      <c r="N2042" s="15" t="s">
        <v>11</v>
      </c>
      <c r="O2042" s="49">
        <v>4.1599999999999998E-2</v>
      </c>
      <c r="P2042" s="9">
        <f>ROUND(O2042*L2042,2)</f>
        <v>416</v>
      </c>
      <c r="Q2042" s="10">
        <f>IF(N2042="HKD",7.8,IF(N2042="CNY",7.30034,1))</f>
        <v>7.3003400000000003</v>
      </c>
      <c r="R2042" s="10">
        <f>+ROUND(O2042/Q2042,4)</f>
        <v>5.7000000000000002E-3</v>
      </c>
      <c r="S2042" s="11">
        <f>ROUND(R2042*L2042,2)</f>
        <v>57</v>
      </c>
      <c r="T2042" s="10" t="s">
        <v>349</v>
      </c>
      <c r="U2042" s="15" t="s">
        <v>132</v>
      </c>
    </row>
    <row r="2043" spans="1:21">
      <c r="A2043" s="15" t="s">
        <v>1343</v>
      </c>
      <c r="B2043" s="16">
        <v>45660</v>
      </c>
      <c r="C2043" s="16">
        <v>45643</v>
      </c>
      <c r="D2043" s="15" t="s">
        <v>235</v>
      </c>
      <c r="E2043" s="15" t="s">
        <v>236</v>
      </c>
      <c r="G2043" s="15" t="s">
        <v>1340</v>
      </c>
      <c r="H2043" s="15" t="s">
        <v>233</v>
      </c>
      <c r="I2043" s="15" t="s">
        <v>234</v>
      </c>
      <c r="J2043" s="8" t="str">
        <f>+LEFT(U2043,4)</f>
        <v>RIV-</v>
      </c>
      <c r="K2043" s="15" t="s">
        <v>10</v>
      </c>
      <c r="L2043" s="46">
        <v>1600</v>
      </c>
      <c r="M2043" s="15" t="s">
        <v>1472</v>
      </c>
      <c r="N2043" s="15" t="s">
        <v>11</v>
      </c>
      <c r="O2043" s="49">
        <v>4.1599999999999998E-2</v>
      </c>
      <c r="P2043" s="9">
        <f>ROUND(O2043*L2043,2)</f>
        <v>66.56</v>
      </c>
      <c r="Q2043" s="10">
        <f>IF(N2043="HKD",7.8,IF(N2043="CNY",7.30034,1))</f>
        <v>7.3003400000000003</v>
      </c>
      <c r="R2043" s="10">
        <f>+ROUND(O2043/Q2043,4)</f>
        <v>5.7000000000000002E-3</v>
      </c>
      <c r="S2043" s="11">
        <f>ROUND(R2043*L2043,2)</f>
        <v>9.1199999999999992</v>
      </c>
      <c r="T2043" s="10" t="s">
        <v>349</v>
      </c>
      <c r="U2043" s="15" t="s">
        <v>132</v>
      </c>
    </row>
    <row r="2044" spans="1:21">
      <c r="A2044" s="15" t="s">
        <v>952</v>
      </c>
      <c r="B2044" s="16">
        <v>45660</v>
      </c>
      <c r="C2044" s="16">
        <v>45644</v>
      </c>
      <c r="D2044" s="15" t="s">
        <v>128</v>
      </c>
      <c r="E2044" s="15" t="s">
        <v>129</v>
      </c>
      <c r="G2044" s="15" t="s">
        <v>1377</v>
      </c>
      <c r="H2044" s="15" t="s">
        <v>950</v>
      </c>
      <c r="I2044" s="15" t="s">
        <v>951</v>
      </c>
      <c r="J2044" s="8" t="str">
        <f>+LEFT(U2044,4)</f>
        <v>RIV-</v>
      </c>
      <c r="K2044" s="15" t="s">
        <v>10</v>
      </c>
      <c r="L2044" s="46">
        <v>6000</v>
      </c>
      <c r="M2044" s="15" t="s">
        <v>1472</v>
      </c>
      <c r="N2044" s="15" t="s">
        <v>11</v>
      </c>
      <c r="O2044" s="49">
        <v>0.1016</v>
      </c>
      <c r="P2044" s="9">
        <f>ROUND(O2044*L2044,2)</f>
        <v>609.6</v>
      </c>
      <c r="Q2044" s="10">
        <f>IF(N2044="HKD",7.8,IF(N2044="CNY",7.30034,1))</f>
        <v>7.3003400000000003</v>
      </c>
      <c r="R2044" s="10">
        <f>+ROUND(O2044/Q2044,4)</f>
        <v>1.3899999999999999E-2</v>
      </c>
      <c r="S2044" s="11">
        <f>ROUND(R2044*L2044,2)</f>
        <v>83.4</v>
      </c>
      <c r="T2044" s="10" t="s">
        <v>349</v>
      </c>
      <c r="U2044" s="15" t="s">
        <v>132</v>
      </c>
    </row>
    <row r="2045" spans="1:21">
      <c r="A2045" s="15" t="s">
        <v>952</v>
      </c>
      <c r="B2045" s="16">
        <v>45660</v>
      </c>
      <c r="C2045" s="16">
        <v>45644</v>
      </c>
      <c r="D2045" s="15" t="s">
        <v>128</v>
      </c>
      <c r="E2045" s="15" t="s">
        <v>129</v>
      </c>
      <c r="G2045" s="15" t="s">
        <v>1378</v>
      </c>
      <c r="H2045" s="15" t="s">
        <v>950</v>
      </c>
      <c r="I2045" s="15" t="s">
        <v>951</v>
      </c>
      <c r="J2045" s="8" t="str">
        <f>+LEFT(U2045,4)</f>
        <v>RIV-</v>
      </c>
      <c r="K2045" s="15" t="s">
        <v>10</v>
      </c>
      <c r="L2045" s="46">
        <v>-6600</v>
      </c>
      <c r="M2045" s="15" t="s">
        <v>1472</v>
      </c>
      <c r="N2045" s="15" t="s">
        <v>11</v>
      </c>
      <c r="O2045" s="49">
        <v>0.1016</v>
      </c>
      <c r="P2045" s="9">
        <f>ROUND(O2045*L2045,2)</f>
        <v>-670.56</v>
      </c>
      <c r="Q2045" s="10">
        <f>IF(N2045="HKD",7.8,IF(N2045="CNY",7.30034,1))</f>
        <v>7.3003400000000003</v>
      </c>
      <c r="R2045" s="10">
        <f>+ROUND(O2045/Q2045,4)</f>
        <v>1.3899999999999999E-2</v>
      </c>
      <c r="S2045" s="11">
        <f>ROUND(R2045*L2045,2)</f>
        <v>-91.74</v>
      </c>
      <c r="T2045" s="10" t="s">
        <v>349</v>
      </c>
      <c r="U2045" s="15" t="s">
        <v>132</v>
      </c>
    </row>
    <row r="2046" spans="1:21">
      <c r="A2046" s="15" t="s">
        <v>1370</v>
      </c>
      <c r="B2046" s="16">
        <v>45660</v>
      </c>
      <c r="C2046" s="16">
        <v>45618</v>
      </c>
      <c r="D2046" s="15" t="s">
        <v>235</v>
      </c>
      <c r="E2046" s="15" t="s">
        <v>236</v>
      </c>
      <c r="G2046" s="15" t="s">
        <v>1369</v>
      </c>
      <c r="H2046" s="15" t="s">
        <v>1352</v>
      </c>
      <c r="I2046" s="15" t="s">
        <v>1353</v>
      </c>
      <c r="J2046" s="8" t="str">
        <f>+LEFT(U2046,4)</f>
        <v>RIV-</v>
      </c>
      <c r="K2046" s="15" t="s">
        <v>10</v>
      </c>
      <c r="L2046" s="46">
        <v>5600</v>
      </c>
      <c r="M2046" s="15" t="s">
        <v>1472</v>
      </c>
      <c r="N2046" s="15" t="s">
        <v>11</v>
      </c>
      <c r="O2046" s="49">
        <v>0.13550000000000001</v>
      </c>
      <c r="P2046" s="9">
        <f>ROUND(O2046*L2046,2)</f>
        <v>758.8</v>
      </c>
      <c r="Q2046" s="10">
        <f>IF(N2046="HKD",7.8,IF(N2046="CNY",7.30034,1))</f>
        <v>7.3003400000000003</v>
      </c>
      <c r="R2046" s="10">
        <f>+ROUND(O2046/Q2046,4)</f>
        <v>1.8599999999999998E-2</v>
      </c>
      <c r="S2046" s="11">
        <f>ROUND(R2046*L2046,2)</f>
        <v>104.16</v>
      </c>
      <c r="T2046" s="10" t="s">
        <v>349</v>
      </c>
      <c r="U2046" s="15" t="s">
        <v>132</v>
      </c>
    </row>
    <row r="2047" spans="1:21">
      <c r="A2047" s="15" t="s">
        <v>1355</v>
      </c>
      <c r="B2047" s="16">
        <v>45660</v>
      </c>
      <c r="C2047" s="16">
        <v>45636</v>
      </c>
      <c r="D2047" s="15" t="s">
        <v>235</v>
      </c>
      <c r="E2047" s="15" t="s">
        <v>236</v>
      </c>
      <c r="G2047" s="15" t="s">
        <v>1356</v>
      </c>
      <c r="H2047" s="15" t="s">
        <v>1352</v>
      </c>
      <c r="I2047" s="15" t="s">
        <v>1353</v>
      </c>
      <c r="J2047" s="8" t="str">
        <f>+LEFT(U2047,4)</f>
        <v>RIV-</v>
      </c>
      <c r="K2047" s="15" t="s">
        <v>10</v>
      </c>
      <c r="L2047" s="46">
        <v>10500</v>
      </c>
      <c r="M2047" s="15" t="s">
        <v>1472</v>
      </c>
      <c r="N2047" s="15" t="s">
        <v>11</v>
      </c>
      <c r="O2047" s="49">
        <v>0.13550000000000001</v>
      </c>
      <c r="P2047" s="9">
        <f>ROUND(O2047*L2047,2)</f>
        <v>1422.75</v>
      </c>
      <c r="Q2047" s="10">
        <f>IF(N2047="HKD",7.8,IF(N2047="CNY",7.30034,1))</f>
        <v>7.3003400000000003</v>
      </c>
      <c r="R2047" s="10">
        <f>+ROUND(O2047/Q2047,4)</f>
        <v>1.8599999999999998E-2</v>
      </c>
      <c r="S2047" s="11">
        <f>ROUND(R2047*L2047,2)</f>
        <v>195.3</v>
      </c>
      <c r="T2047" s="10" t="s">
        <v>349</v>
      </c>
      <c r="U2047" s="15" t="s">
        <v>132</v>
      </c>
    </row>
    <row r="2048" spans="1:21">
      <c r="A2048" s="15" t="s">
        <v>1354</v>
      </c>
      <c r="B2048" s="16">
        <v>45660</v>
      </c>
      <c r="C2048" s="16">
        <v>45638</v>
      </c>
      <c r="D2048" s="15" t="s">
        <v>235</v>
      </c>
      <c r="E2048" s="15" t="s">
        <v>236</v>
      </c>
      <c r="G2048" s="15" t="s">
        <v>1347</v>
      </c>
      <c r="H2048" s="15" t="s">
        <v>1352</v>
      </c>
      <c r="I2048" s="15" t="s">
        <v>1353</v>
      </c>
      <c r="J2048" s="8" t="str">
        <f>+LEFT(U2048,4)</f>
        <v>RIV-</v>
      </c>
      <c r="K2048" s="15" t="s">
        <v>10</v>
      </c>
      <c r="L2048" s="46">
        <v>1600</v>
      </c>
      <c r="M2048" s="15" t="s">
        <v>1472</v>
      </c>
      <c r="N2048" s="15" t="s">
        <v>11</v>
      </c>
      <c r="O2048" s="49">
        <v>0.13550000000000001</v>
      </c>
      <c r="P2048" s="9">
        <f>ROUND(O2048*L2048,2)</f>
        <v>216.8</v>
      </c>
      <c r="Q2048" s="10">
        <f>IF(N2048="HKD",7.8,IF(N2048="CNY",7.30034,1))</f>
        <v>7.3003400000000003</v>
      </c>
      <c r="R2048" s="10">
        <f>+ROUND(O2048/Q2048,4)</f>
        <v>1.8599999999999998E-2</v>
      </c>
      <c r="S2048" s="11">
        <f>ROUND(R2048*L2048,2)</f>
        <v>29.76</v>
      </c>
      <c r="T2048" s="10" t="s">
        <v>349</v>
      </c>
      <c r="U2048" s="15" t="s">
        <v>132</v>
      </c>
    </row>
    <row r="2049" spans="1:21">
      <c r="A2049" s="15" t="s">
        <v>1367</v>
      </c>
      <c r="B2049" s="16">
        <v>45660</v>
      </c>
      <c r="C2049" s="16">
        <v>45611</v>
      </c>
      <c r="D2049" s="15" t="s">
        <v>235</v>
      </c>
      <c r="E2049" s="15" t="s">
        <v>236</v>
      </c>
      <c r="G2049" s="15" t="s">
        <v>1365</v>
      </c>
      <c r="H2049" s="15" t="s">
        <v>239</v>
      </c>
      <c r="I2049" s="15" t="s">
        <v>240</v>
      </c>
      <c r="J2049" s="8" t="str">
        <f>+LEFT(U2049,4)</f>
        <v>RIV-</v>
      </c>
      <c r="K2049" s="15" t="s">
        <v>10</v>
      </c>
      <c r="L2049" s="46">
        <v>5000</v>
      </c>
      <c r="M2049" s="15" t="s">
        <v>1472</v>
      </c>
      <c r="N2049" s="15" t="s">
        <v>11</v>
      </c>
      <c r="O2049" s="49">
        <v>0.16120000000000001</v>
      </c>
      <c r="P2049" s="9">
        <f>ROUND(O2049*L2049,2)</f>
        <v>806</v>
      </c>
      <c r="Q2049" s="10">
        <f>IF(N2049="HKD",7.8,IF(N2049="CNY",7.30034,1))</f>
        <v>7.3003400000000003</v>
      </c>
      <c r="R2049" s="10">
        <f>+ROUND(O2049/Q2049,4)</f>
        <v>2.2100000000000002E-2</v>
      </c>
      <c r="S2049" s="11">
        <f>ROUND(R2049*L2049,2)</f>
        <v>110.5</v>
      </c>
      <c r="T2049" s="10" t="s">
        <v>349</v>
      </c>
      <c r="U2049" s="15" t="s">
        <v>132</v>
      </c>
    </row>
    <row r="2050" spans="1:21">
      <c r="A2050" s="15" t="s">
        <v>1368</v>
      </c>
      <c r="B2050" s="16">
        <v>45660</v>
      </c>
      <c r="C2050" s="16">
        <v>45618</v>
      </c>
      <c r="D2050" s="15" t="s">
        <v>235</v>
      </c>
      <c r="E2050" s="15" t="s">
        <v>236</v>
      </c>
      <c r="G2050" s="15" t="s">
        <v>1369</v>
      </c>
      <c r="H2050" s="15" t="s">
        <v>239</v>
      </c>
      <c r="I2050" s="15" t="s">
        <v>240</v>
      </c>
      <c r="J2050" s="8" t="str">
        <f>+LEFT(U2050,4)</f>
        <v>RIV-</v>
      </c>
      <c r="K2050" s="15" t="s">
        <v>10</v>
      </c>
      <c r="L2050" s="46">
        <v>17000</v>
      </c>
      <c r="M2050" s="15" t="s">
        <v>1472</v>
      </c>
      <c r="N2050" s="15" t="s">
        <v>11</v>
      </c>
      <c r="O2050" s="49">
        <v>0.16120000000000001</v>
      </c>
      <c r="P2050" s="9">
        <f>ROUND(O2050*L2050,2)</f>
        <v>2740.4</v>
      </c>
      <c r="Q2050" s="10">
        <f>IF(N2050="HKD",7.8,IF(N2050="CNY",7.30034,1))</f>
        <v>7.3003400000000003</v>
      </c>
      <c r="R2050" s="10">
        <f>+ROUND(O2050/Q2050,4)</f>
        <v>2.2100000000000002E-2</v>
      </c>
      <c r="S2050" s="11">
        <f>ROUND(R2050*L2050,2)</f>
        <v>375.7</v>
      </c>
      <c r="T2050" s="10" t="s">
        <v>349</v>
      </c>
      <c r="U2050" s="15" t="s">
        <v>132</v>
      </c>
    </row>
    <row r="2051" spans="1:21">
      <c r="A2051" s="15" t="s">
        <v>1336</v>
      </c>
      <c r="B2051" s="16">
        <v>45660</v>
      </c>
      <c r="C2051" s="16">
        <v>45622</v>
      </c>
      <c r="D2051" s="15" t="s">
        <v>235</v>
      </c>
      <c r="E2051" s="15" t="s">
        <v>236</v>
      </c>
      <c r="G2051" s="15" t="s">
        <v>1335</v>
      </c>
      <c r="H2051" s="15" t="s">
        <v>239</v>
      </c>
      <c r="I2051" s="15" t="s">
        <v>240</v>
      </c>
      <c r="J2051" s="8" t="str">
        <f>+LEFT(U2051,4)</f>
        <v>RIV-</v>
      </c>
      <c r="K2051" s="15" t="s">
        <v>10</v>
      </c>
      <c r="L2051" s="46">
        <v>10000</v>
      </c>
      <c r="M2051" s="15" t="s">
        <v>1472</v>
      </c>
      <c r="N2051" s="15" t="s">
        <v>11</v>
      </c>
      <c r="O2051" s="49">
        <v>0.16120000000000001</v>
      </c>
      <c r="P2051" s="9">
        <f>ROUND(O2051*L2051,2)</f>
        <v>1612</v>
      </c>
      <c r="Q2051" s="10">
        <f>IF(N2051="HKD",7.8,IF(N2051="CNY",7.30034,1))</f>
        <v>7.3003400000000003</v>
      </c>
      <c r="R2051" s="10">
        <f>+ROUND(O2051/Q2051,4)</f>
        <v>2.2100000000000002E-2</v>
      </c>
      <c r="S2051" s="11">
        <f>ROUND(R2051*L2051,2)</f>
        <v>221</v>
      </c>
      <c r="T2051" s="10" t="s">
        <v>349</v>
      </c>
      <c r="U2051" s="15" t="s">
        <v>132</v>
      </c>
    </row>
    <row r="2052" spans="1:21">
      <c r="A2052" s="15" t="s">
        <v>1342</v>
      </c>
      <c r="B2052" s="16">
        <v>45660</v>
      </c>
      <c r="C2052" s="16">
        <v>45643</v>
      </c>
      <c r="D2052" s="15" t="s">
        <v>235</v>
      </c>
      <c r="E2052" s="15" t="s">
        <v>236</v>
      </c>
      <c r="G2052" s="15" t="s">
        <v>1340</v>
      </c>
      <c r="H2052" s="15" t="s">
        <v>239</v>
      </c>
      <c r="I2052" s="15" t="s">
        <v>240</v>
      </c>
      <c r="J2052" s="8" t="str">
        <f>+LEFT(U2052,4)</f>
        <v>RIV-</v>
      </c>
      <c r="K2052" s="15" t="s">
        <v>10</v>
      </c>
      <c r="L2052" s="46">
        <v>9200</v>
      </c>
      <c r="M2052" s="15" t="s">
        <v>1472</v>
      </c>
      <c r="N2052" s="15" t="s">
        <v>11</v>
      </c>
      <c r="O2052" s="49">
        <v>0.16120000000000001</v>
      </c>
      <c r="P2052" s="9">
        <f>ROUND(O2052*L2052,2)</f>
        <v>1483.04</v>
      </c>
      <c r="Q2052" s="10">
        <f>IF(N2052="HKD",7.8,IF(N2052="CNY",7.30034,1))</f>
        <v>7.3003400000000003</v>
      </c>
      <c r="R2052" s="10">
        <f>+ROUND(O2052/Q2052,4)</f>
        <v>2.2100000000000002E-2</v>
      </c>
      <c r="S2052" s="11">
        <f>ROUND(R2052*L2052,2)</f>
        <v>203.32</v>
      </c>
      <c r="T2052" s="10" t="s">
        <v>349</v>
      </c>
      <c r="U2052" s="15" t="s">
        <v>132</v>
      </c>
    </row>
    <row r="2053" spans="1:21">
      <c r="A2053" s="15" t="s">
        <v>1339</v>
      </c>
      <c r="B2053" s="16">
        <v>45660</v>
      </c>
      <c r="C2053" s="16">
        <v>45643</v>
      </c>
      <c r="D2053" s="15" t="s">
        <v>235</v>
      </c>
      <c r="E2053" s="15" t="s">
        <v>236</v>
      </c>
      <c r="G2053" s="15" t="s">
        <v>1340</v>
      </c>
      <c r="H2053" s="15" t="s">
        <v>1337</v>
      </c>
      <c r="I2053" s="15" t="s">
        <v>1338</v>
      </c>
      <c r="J2053" s="8" t="str">
        <f>+LEFT(U2053,4)</f>
        <v>RIV-</v>
      </c>
      <c r="K2053" s="15" t="s">
        <v>10</v>
      </c>
      <c r="L2053" s="46">
        <v>2000</v>
      </c>
      <c r="M2053" s="15" t="s">
        <v>1472</v>
      </c>
      <c r="N2053" s="15" t="s">
        <v>11</v>
      </c>
      <c r="O2053" s="49">
        <v>0.17180000000000001</v>
      </c>
      <c r="P2053" s="9">
        <f>ROUND(O2053*L2053,2)</f>
        <v>343.6</v>
      </c>
      <c r="Q2053" s="10">
        <f>IF(N2053="HKD",7.8,IF(N2053="CNY",7.30034,1))</f>
        <v>7.3003400000000003</v>
      </c>
      <c r="R2053" s="10">
        <f>+ROUND(O2053/Q2053,4)</f>
        <v>2.35E-2</v>
      </c>
      <c r="S2053" s="11">
        <f>ROUND(R2053*L2053,2)</f>
        <v>47</v>
      </c>
      <c r="T2053" s="10" t="s">
        <v>349</v>
      </c>
      <c r="U2053" s="15" t="s">
        <v>132</v>
      </c>
    </row>
    <row r="2054" spans="1:21">
      <c r="A2054" s="15" t="s">
        <v>1366</v>
      </c>
      <c r="B2054" s="16">
        <v>45660</v>
      </c>
      <c r="C2054" s="16">
        <v>45611</v>
      </c>
      <c r="D2054" s="15" t="s">
        <v>235</v>
      </c>
      <c r="E2054" s="15" t="s">
        <v>236</v>
      </c>
      <c r="G2054" s="15" t="s">
        <v>1365</v>
      </c>
      <c r="H2054" s="15" t="s">
        <v>1361</v>
      </c>
      <c r="I2054" s="15" t="s">
        <v>1362</v>
      </c>
      <c r="J2054" s="8" t="str">
        <f>+LEFT(U2054,4)</f>
        <v>RIV-</v>
      </c>
      <c r="K2054" s="15" t="s">
        <v>10</v>
      </c>
      <c r="L2054" s="46">
        <v>6000</v>
      </c>
      <c r="M2054" s="15" t="s">
        <v>1472</v>
      </c>
      <c r="N2054" s="15" t="s">
        <v>11</v>
      </c>
      <c r="O2054" s="49">
        <v>0.17649999999999999</v>
      </c>
      <c r="P2054" s="9">
        <f>ROUND(O2054*L2054,2)</f>
        <v>1059</v>
      </c>
      <c r="Q2054" s="10">
        <f>IF(N2054="HKD",7.8,IF(N2054="CNY",7.30034,1))</f>
        <v>7.3003400000000003</v>
      </c>
      <c r="R2054" s="10">
        <f>+ROUND(O2054/Q2054,4)</f>
        <v>2.4199999999999999E-2</v>
      </c>
      <c r="S2054" s="11">
        <f>ROUND(R2054*L2054,2)</f>
        <v>145.19999999999999</v>
      </c>
      <c r="T2054" s="10" t="s">
        <v>349</v>
      </c>
      <c r="U2054" s="15" t="s">
        <v>132</v>
      </c>
    </row>
    <row r="2055" spans="1:21">
      <c r="A2055" s="15" t="s">
        <v>1363</v>
      </c>
      <c r="B2055" s="16">
        <v>45660</v>
      </c>
      <c r="C2055" s="16">
        <v>45629</v>
      </c>
      <c r="D2055" s="15" t="s">
        <v>235</v>
      </c>
      <c r="E2055" s="15" t="s">
        <v>236</v>
      </c>
      <c r="G2055" s="15" t="s">
        <v>1356</v>
      </c>
      <c r="H2055" s="15" t="s">
        <v>1361</v>
      </c>
      <c r="I2055" s="15" t="s">
        <v>1362</v>
      </c>
      <c r="J2055" s="8" t="str">
        <f>+LEFT(U2055,4)</f>
        <v>RIV-</v>
      </c>
      <c r="K2055" s="15" t="s">
        <v>10</v>
      </c>
      <c r="L2055" s="46">
        <v>8000</v>
      </c>
      <c r="M2055" s="15" t="s">
        <v>1472</v>
      </c>
      <c r="N2055" s="15" t="s">
        <v>11</v>
      </c>
      <c r="O2055" s="49">
        <v>0.17649999999999999</v>
      </c>
      <c r="P2055" s="9">
        <f>ROUND(O2055*L2055,2)</f>
        <v>1412</v>
      </c>
      <c r="Q2055" s="10">
        <f>IF(N2055="HKD",7.8,IF(N2055="CNY",7.30034,1))</f>
        <v>7.3003400000000003</v>
      </c>
      <c r="R2055" s="10">
        <f>+ROUND(O2055/Q2055,4)</f>
        <v>2.4199999999999999E-2</v>
      </c>
      <c r="S2055" s="11">
        <f>ROUND(R2055*L2055,2)</f>
        <v>193.6</v>
      </c>
      <c r="T2055" s="10" t="s">
        <v>349</v>
      </c>
      <c r="U2055" s="15" t="s">
        <v>132</v>
      </c>
    </row>
    <row r="2056" spans="1:21">
      <c r="A2056" s="15" t="s">
        <v>1357</v>
      </c>
      <c r="B2056" s="16">
        <v>45660</v>
      </c>
      <c r="C2056" s="16">
        <v>45636</v>
      </c>
      <c r="D2056" s="15" t="s">
        <v>235</v>
      </c>
      <c r="E2056" s="15" t="s">
        <v>236</v>
      </c>
      <c r="G2056" s="15" t="s">
        <v>1356</v>
      </c>
      <c r="H2056" s="15" t="s">
        <v>242</v>
      </c>
      <c r="I2056" s="15" t="s">
        <v>243</v>
      </c>
      <c r="J2056" s="8" t="str">
        <f>+LEFT(U2056,4)</f>
        <v>RIV-</v>
      </c>
      <c r="K2056" s="15" t="s">
        <v>10</v>
      </c>
      <c r="L2056" s="46">
        <v>2000</v>
      </c>
      <c r="M2056" s="15" t="s">
        <v>1472</v>
      </c>
      <c r="N2056" s="15" t="s">
        <v>11</v>
      </c>
      <c r="O2056" s="49">
        <v>0.1865</v>
      </c>
      <c r="P2056" s="9">
        <f>ROUND(O2056*L2056,2)</f>
        <v>373</v>
      </c>
      <c r="Q2056" s="10">
        <f>IF(N2056="HKD",7.8,IF(N2056="CNY",7.30034,1))</f>
        <v>7.3003400000000003</v>
      </c>
      <c r="R2056" s="10">
        <f>+ROUND(O2056/Q2056,4)</f>
        <v>2.5499999999999998E-2</v>
      </c>
      <c r="S2056" s="11">
        <f>ROUND(R2056*L2056,2)</f>
        <v>51</v>
      </c>
      <c r="T2056" s="10" t="s">
        <v>349</v>
      </c>
      <c r="U2056" s="15" t="s">
        <v>132</v>
      </c>
    </row>
    <row r="2057" spans="1:21">
      <c r="A2057" s="15" t="s">
        <v>1341</v>
      </c>
      <c r="B2057" s="16">
        <v>45660</v>
      </c>
      <c r="C2057" s="16">
        <v>45643</v>
      </c>
      <c r="D2057" s="15" t="s">
        <v>235</v>
      </c>
      <c r="E2057" s="15" t="s">
        <v>236</v>
      </c>
      <c r="G2057" s="15" t="s">
        <v>1340</v>
      </c>
      <c r="H2057" s="15" t="s">
        <v>242</v>
      </c>
      <c r="I2057" s="15" t="s">
        <v>243</v>
      </c>
      <c r="J2057" s="8" t="str">
        <f>+LEFT(U2057,4)</f>
        <v>RIV-</v>
      </c>
      <c r="K2057" s="15" t="s">
        <v>10</v>
      </c>
      <c r="L2057" s="46">
        <v>4100</v>
      </c>
      <c r="M2057" s="15" t="s">
        <v>1472</v>
      </c>
      <c r="N2057" s="15" t="s">
        <v>11</v>
      </c>
      <c r="O2057" s="49">
        <v>0.1865</v>
      </c>
      <c r="P2057" s="9">
        <f>ROUND(O2057*L2057,2)</f>
        <v>764.65</v>
      </c>
      <c r="Q2057" s="10">
        <f>IF(N2057="HKD",7.8,IF(N2057="CNY",7.30034,1))</f>
        <v>7.3003400000000003</v>
      </c>
      <c r="R2057" s="10">
        <f>+ROUND(O2057/Q2057,4)</f>
        <v>2.5499999999999998E-2</v>
      </c>
      <c r="S2057" s="11">
        <f>ROUND(R2057*L2057,2)</f>
        <v>104.55</v>
      </c>
      <c r="T2057" s="10" t="s">
        <v>349</v>
      </c>
      <c r="U2057" s="15" t="s">
        <v>132</v>
      </c>
    </row>
    <row r="2058" spans="1:21">
      <c r="A2058" s="15" t="s">
        <v>1334</v>
      </c>
      <c r="B2058" s="16">
        <v>45660</v>
      </c>
      <c r="C2058" s="16">
        <v>45643</v>
      </c>
      <c r="D2058" s="15" t="s">
        <v>235</v>
      </c>
      <c r="E2058" s="15" t="s">
        <v>236</v>
      </c>
      <c r="G2058" s="15" t="s">
        <v>1335</v>
      </c>
      <c r="H2058" s="15" t="s">
        <v>242</v>
      </c>
      <c r="I2058" s="15" t="s">
        <v>243</v>
      </c>
      <c r="J2058" s="8" t="str">
        <f>+LEFT(U2058,4)</f>
        <v>RIV-</v>
      </c>
      <c r="K2058" s="15" t="s">
        <v>10</v>
      </c>
      <c r="L2058" s="46">
        <v>5000</v>
      </c>
      <c r="M2058" s="15" t="s">
        <v>1472</v>
      </c>
      <c r="N2058" s="15" t="s">
        <v>11</v>
      </c>
      <c r="O2058" s="49">
        <v>0.1865</v>
      </c>
      <c r="P2058" s="9">
        <f>ROUND(O2058*L2058,2)</f>
        <v>932.5</v>
      </c>
      <c r="Q2058" s="10">
        <f>IF(N2058="HKD",7.8,IF(N2058="CNY",7.30034,1))</f>
        <v>7.3003400000000003</v>
      </c>
      <c r="R2058" s="10">
        <f>+ROUND(O2058/Q2058,4)</f>
        <v>2.5499999999999998E-2</v>
      </c>
      <c r="S2058" s="11">
        <f>ROUND(R2058*L2058,2)</f>
        <v>127.5</v>
      </c>
      <c r="T2058" s="10" t="s">
        <v>349</v>
      </c>
      <c r="U2058" s="15" t="s">
        <v>132</v>
      </c>
    </row>
    <row r="2059" spans="1:21">
      <c r="A2059" s="15" t="s">
        <v>1360</v>
      </c>
      <c r="B2059" s="16">
        <v>45660</v>
      </c>
      <c r="C2059" s="16">
        <v>45629</v>
      </c>
      <c r="D2059" s="15" t="s">
        <v>235</v>
      </c>
      <c r="E2059" s="15" t="s">
        <v>236</v>
      </c>
      <c r="G2059" s="15" t="s">
        <v>1356</v>
      </c>
      <c r="H2059" s="15" t="s">
        <v>1358</v>
      </c>
      <c r="I2059" s="15" t="s">
        <v>1359</v>
      </c>
      <c r="J2059" s="8" t="str">
        <f>+LEFT(U2059,4)</f>
        <v>RIV-</v>
      </c>
      <c r="K2059" s="15" t="s">
        <v>10</v>
      </c>
      <c r="L2059" s="46">
        <v>20000</v>
      </c>
      <c r="M2059" s="15" t="s">
        <v>1472</v>
      </c>
      <c r="N2059" s="15" t="s">
        <v>11</v>
      </c>
      <c r="O2059" s="49">
        <v>0.22839999999999999</v>
      </c>
      <c r="P2059" s="9">
        <f>ROUND(O2059*L2059,2)</f>
        <v>4568</v>
      </c>
      <c r="Q2059" s="10">
        <f>IF(N2059="HKD",7.8,IF(N2059="CNY",7.30034,1))</f>
        <v>7.3003400000000003</v>
      </c>
      <c r="R2059" s="10">
        <f>+ROUND(O2059/Q2059,4)</f>
        <v>3.1300000000000001E-2</v>
      </c>
      <c r="S2059" s="11">
        <f>ROUND(R2059*L2059,2)</f>
        <v>626</v>
      </c>
      <c r="T2059" s="10" t="s">
        <v>349</v>
      </c>
      <c r="U2059" s="15" t="s">
        <v>132</v>
      </c>
    </row>
    <row r="2060" spans="1:21">
      <c r="A2060" s="15" t="s">
        <v>1376</v>
      </c>
      <c r="B2060" s="16">
        <v>45660</v>
      </c>
      <c r="C2060" s="16">
        <v>45609</v>
      </c>
      <c r="D2060" s="15" t="s">
        <v>235</v>
      </c>
      <c r="E2060" s="15" t="s">
        <v>236</v>
      </c>
      <c r="G2060" s="15" t="s">
        <v>1369</v>
      </c>
      <c r="H2060" s="15" t="s">
        <v>1374</v>
      </c>
      <c r="I2060" s="15" t="s">
        <v>1375</v>
      </c>
      <c r="J2060" s="8" t="str">
        <f>+LEFT(U2060,4)</f>
        <v>SCR-</v>
      </c>
      <c r="K2060" s="15" t="s">
        <v>10</v>
      </c>
      <c r="L2060" s="46">
        <v>1000</v>
      </c>
      <c r="M2060" s="15" t="s">
        <v>1472</v>
      </c>
      <c r="N2060" s="15" t="s">
        <v>11</v>
      </c>
      <c r="O2060" s="49">
        <v>0.12939999999999999</v>
      </c>
      <c r="P2060" s="9">
        <f>ROUND(O2060*L2060,2)</f>
        <v>129.4</v>
      </c>
      <c r="Q2060" s="10">
        <f>IF(N2060="HKD",7.8,IF(N2060="CNY",7.30034,1))</f>
        <v>7.3003400000000003</v>
      </c>
      <c r="R2060" s="10">
        <f>+ROUND(O2060/Q2060,4)</f>
        <v>1.77E-2</v>
      </c>
      <c r="S2060" s="11">
        <f>ROUND(R2060*L2060,2)</f>
        <v>17.7</v>
      </c>
      <c r="T2060" s="10" t="s">
        <v>349</v>
      </c>
      <c r="U2060" s="15" t="s">
        <v>166</v>
      </c>
    </row>
    <row r="2061" spans="1:21">
      <c r="A2061" s="15" t="s">
        <v>1373</v>
      </c>
      <c r="B2061" s="16">
        <v>45660</v>
      </c>
      <c r="C2061" s="16">
        <v>45609</v>
      </c>
      <c r="D2061" s="15" t="s">
        <v>235</v>
      </c>
      <c r="E2061" s="15" t="s">
        <v>236</v>
      </c>
      <c r="G2061" s="15" t="s">
        <v>1369</v>
      </c>
      <c r="H2061" s="15" t="s">
        <v>1371</v>
      </c>
      <c r="I2061" s="15" t="s">
        <v>1372</v>
      </c>
      <c r="J2061" s="8" t="str">
        <f>+LEFT(U2061,4)</f>
        <v>SCR-</v>
      </c>
      <c r="K2061" s="15" t="s">
        <v>10</v>
      </c>
      <c r="L2061" s="46">
        <v>250</v>
      </c>
      <c r="M2061" s="15" t="s">
        <v>1472</v>
      </c>
      <c r="N2061" s="15" t="s">
        <v>11</v>
      </c>
      <c r="O2061" s="49">
        <v>0.28810000000000002</v>
      </c>
      <c r="P2061" s="9">
        <f>ROUND(O2061*L2061,2)</f>
        <v>72.03</v>
      </c>
      <c r="Q2061" s="10">
        <f>IF(N2061="HKD",7.8,IF(N2061="CNY",7.30034,1))</f>
        <v>7.3003400000000003</v>
      </c>
      <c r="R2061" s="10">
        <f>+ROUND(O2061/Q2061,4)</f>
        <v>3.95E-2</v>
      </c>
      <c r="S2061" s="11">
        <f>ROUND(R2061*L2061,2)</f>
        <v>9.8800000000000008</v>
      </c>
      <c r="T2061" s="10" t="s">
        <v>349</v>
      </c>
      <c r="U2061" s="15" t="s">
        <v>166</v>
      </c>
    </row>
    <row r="2062" spans="1:21">
      <c r="A2062" s="15" t="s">
        <v>1346</v>
      </c>
      <c r="B2062" s="16">
        <v>45660</v>
      </c>
      <c r="C2062" s="16">
        <v>45639</v>
      </c>
      <c r="D2062" s="15" t="s">
        <v>235</v>
      </c>
      <c r="E2062" s="15" t="s">
        <v>236</v>
      </c>
      <c r="G2062" s="15" t="s">
        <v>1347</v>
      </c>
      <c r="H2062" s="15" t="s">
        <v>1344</v>
      </c>
      <c r="I2062" s="15" t="s">
        <v>1345</v>
      </c>
      <c r="J2062" s="8" t="str">
        <f>+LEFT(U2062,4)</f>
        <v>SCR-</v>
      </c>
      <c r="K2062" s="15" t="s">
        <v>10</v>
      </c>
      <c r="L2062" s="46">
        <v>3000</v>
      </c>
      <c r="M2062" s="15" t="s">
        <v>1472</v>
      </c>
      <c r="N2062" s="15" t="s">
        <v>11</v>
      </c>
      <c r="O2062" s="49">
        <v>0.47449999999999998</v>
      </c>
      <c r="P2062" s="9">
        <f>ROUND(O2062*L2062,2)</f>
        <v>1423.5</v>
      </c>
      <c r="Q2062" s="10">
        <f>IF(N2062="HKD",7.8,IF(N2062="CNY",7.30034,1))</f>
        <v>7.3003400000000003</v>
      </c>
      <c r="R2062" s="10">
        <f>+ROUND(O2062/Q2062,4)</f>
        <v>6.5000000000000002E-2</v>
      </c>
      <c r="S2062" s="11">
        <f>ROUND(R2062*L2062,2)</f>
        <v>195</v>
      </c>
      <c r="T2062" s="10" t="s">
        <v>349</v>
      </c>
      <c r="U2062" s="15" t="s">
        <v>166</v>
      </c>
    </row>
    <row r="2063" spans="1:21">
      <c r="A2063" s="15" t="s">
        <v>1350</v>
      </c>
      <c r="B2063" s="16">
        <v>45660</v>
      </c>
      <c r="C2063" s="16">
        <v>45639</v>
      </c>
      <c r="D2063" s="15" t="s">
        <v>235</v>
      </c>
      <c r="E2063" s="15" t="s">
        <v>236</v>
      </c>
      <c r="G2063" s="15" t="s">
        <v>1347</v>
      </c>
      <c r="H2063" s="15" t="s">
        <v>1348</v>
      </c>
      <c r="I2063" s="15" t="s">
        <v>1349</v>
      </c>
      <c r="J2063" s="8" t="str">
        <f>+LEFT(U2063,4)</f>
        <v>SCR-</v>
      </c>
      <c r="K2063" s="15" t="s">
        <v>10</v>
      </c>
      <c r="L2063" s="46">
        <v>2500</v>
      </c>
      <c r="M2063" s="15" t="s">
        <v>1472</v>
      </c>
      <c r="N2063" s="15" t="s">
        <v>11</v>
      </c>
      <c r="O2063" s="49">
        <v>0.67030000000000001</v>
      </c>
      <c r="P2063" s="9">
        <f>ROUND(O2063*L2063,2)</f>
        <v>1675.75</v>
      </c>
      <c r="Q2063" s="10">
        <f>IF(N2063="HKD",7.8,IF(N2063="CNY",7.30034,1))</f>
        <v>7.3003400000000003</v>
      </c>
      <c r="R2063" s="10">
        <f>+ROUND(O2063/Q2063,4)</f>
        <v>9.1800000000000007E-2</v>
      </c>
      <c r="S2063" s="11">
        <f>ROUND(R2063*L2063,2)</f>
        <v>229.5</v>
      </c>
      <c r="T2063" s="10" t="s">
        <v>349</v>
      </c>
      <c r="U2063" s="15" t="s">
        <v>166</v>
      </c>
    </row>
    <row r="2064" spans="1:21">
      <c r="A2064" s="15" t="s">
        <v>1274</v>
      </c>
      <c r="B2064" s="16">
        <v>45660</v>
      </c>
      <c r="C2064" s="16">
        <v>45576</v>
      </c>
      <c r="D2064" s="15" t="s">
        <v>94</v>
      </c>
      <c r="E2064" s="15" t="s">
        <v>95</v>
      </c>
      <c r="G2064" s="15" t="s">
        <v>1333</v>
      </c>
      <c r="H2064" s="15" t="s">
        <v>1272</v>
      </c>
      <c r="I2064" s="15" t="s">
        <v>1273</v>
      </c>
      <c r="J2064" s="8" t="str">
        <f>+LEFT(U2064,4)</f>
        <v>SKU-</v>
      </c>
      <c r="K2064" s="15" t="s">
        <v>98</v>
      </c>
      <c r="L2064" s="46">
        <v>-800</v>
      </c>
      <c r="M2064" s="15" t="s">
        <v>1472</v>
      </c>
      <c r="N2064" s="15" t="s">
        <v>11</v>
      </c>
      <c r="O2064" s="49">
        <v>4.91</v>
      </c>
      <c r="P2064" s="9">
        <f>ROUND(O2064*L2064,2)</f>
        <v>-3928</v>
      </c>
      <c r="Q2064" s="10">
        <f>IF(N2064="HKD",7.8,IF(N2064="CNY",7.30034,1))</f>
        <v>7.3003400000000003</v>
      </c>
      <c r="R2064" s="10">
        <f>+ROUND(O2064/Q2064,4)</f>
        <v>0.67259999999999998</v>
      </c>
      <c r="S2064" s="11">
        <f>ROUND(R2064*L2064,2)</f>
        <v>-538.08000000000004</v>
      </c>
      <c r="T2064" s="10" t="s">
        <v>349</v>
      </c>
      <c r="U2064" s="15" t="s">
        <v>2</v>
      </c>
    </row>
    <row r="2065" spans="1:21">
      <c r="A2065" s="15" t="s">
        <v>1196</v>
      </c>
      <c r="B2065" s="16">
        <v>45660</v>
      </c>
      <c r="C2065" s="16">
        <v>45615</v>
      </c>
      <c r="D2065" s="15" t="s">
        <v>149</v>
      </c>
      <c r="E2065" s="15" t="s">
        <v>150</v>
      </c>
      <c r="G2065" s="15" t="s">
        <v>1292</v>
      </c>
      <c r="H2065" s="15" t="s">
        <v>147</v>
      </c>
      <c r="I2065" s="15" t="s">
        <v>148</v>
      </c>
      <c r="J2065" s="8" t="str">
        <f>+LEFT(U2065,4)</f>
        <v>SKU-</v>
      </c>
      <c r="K2065" s="15" t="s">
        <v>98</v>
      </c>
      <c r="L2065" s="46">
        <v>1170</v>
      </c>
      <c r="M2065" s="15" t="s">
        <v>1472</v>
      </c>
      <c r="N2065" s="15" t="s">
        <v>11</v>
      </c>
      <c r="O2065" s="49">
        <v>8.6722999999999999</v>
      </c>
      <c r="P2065" s="9">
        <f>ROUND(O2065*L2065,2)</f>
        <v>10146.59</v>
      </c>
      <c r="Q2065" s="10">
        <f>IF(N2065="HKD",7.8,IF(N2065="CNY",7.30034,1))</f>
        <v>7.3003400000000003</v>
      </c>
      <c r="R2065" s="10">
        <f>+ROUND(O2065/Q2065,4)</f>
        <v>1.1879</v>
      </c>
      <c r="S2065" s="11">
        <f>ROUND(R2065*L2065,2)</f>
        <v>1389.84</v>
      </c>
      <c r="T2065" s="10" t="s">
        <v>349</v>
      </c>
      <c r="U2065" s="15" t="s">
        <v>2</v>
      </c>
    </row>
    <row r="2066" spans="1:21">
      <c r="A2066" s="15" t="s">
        <v>1196</v>
      </c>
      <c r="B2066" s="16">
        <v>45660</v>
      </c>
      <c r="C2066" s="16">
        <v>45615</v>
      </c>
      <c r="D2066" s="15" t="s">
        <v>149</v>
      </c>
      <c r="E2066" s="15" t="s">
        <v>150</v>
      </c>
      <c r="G2066" s="15" t="s">
        <v>1293</v>
      </c>
      <c r="H2066" s="15" t="s">
        <v>147</v>
      </c>
      <c r="I2066" s="15" t="s">
        <v>148</v>
      </c>
      <c r="J2066" s="8" t="str">
        <f>+LEFT(U2066,4)</f>
        <v>SKU-</v>
      </c>
      <c r="K2066" s="15" t="s">
        <v>98</v>
      </c>
      <c r="L2066" s="46">
        <v>-1170</v>
      </c>
      <c r="M2066" s="15" t="s">
        <v>1472</v>
      </c>
      <c r="N2066" s="15" t="s">
        <v>11</v>
      </c>
      <c r="O2066" s="49">
        <v>8.6722999999999999</v>
      </c>
      <c r="P2066" s="9">
        <f>ROUND(O2066*L2066,2)</f>
        <v>-10146.59</v>
      </c>
      <c r="Q2066" s="10">
        <f>IF(N2066="HKD",7.8,IF(N2066="CNY",7.30034,1))</f>
        <v>7.3003400000000003</v>
      </c>
      <c r="R2066" s="10">
        <f>+ROUND(O2066/Q2066,4)</f>
        <v>1.1879</v>
      </c>
      <c r="S2066" s="11">
        <f>ROUND(R2066*L2066,2)</f>
        <v>-1389.84</v>
      </c>
      <c r="T2066" s="10" t="s">
        <v>349</v>
      </c>
      <c r="U2066" s="15" t="s">
        <v>2</v>
      </c>
    </row>
    <row r="2067" spans="1:21">
      <c r="A2067" s="15" t="s">
        <v>1196</v>
      </c>
      <c r="B2067" s="16">
        <v>45660</v>
      </c>
      <c r="C2067" s="16">
        <v>45615</v>
      </c>
      <c r="D2067" s="15" t="s">
        <v>149</v>
      </c>
      <c r="E2067" s="15" t="s">
        <v>150</v>
      </c>
      <c r="G2067" s="15" t="s">
        <v>1313</v>
      </c>
      <c r="H2067" s="15" t="s">
        <v>147</v>
      </c>
      <c r="I2067" s="15" t="s">
        <v>148</v>
      </c>
      <c r="J2067" s="8" t="str">
        <f>+LEFT(U2067,4)</f>
        <v>SKU-</v>
      </c>
      <c r="K2067" s="15" t="s">
        <v>98</v>
      </c>
      <c r="L2067" s="46">
        <v>1170</v>
      </c>
      <c r="M2067" s="15" t="s">
        <v>1472</v>
      </c>
      <c r="N2067" s="15" t="s">
        <v>11</v>
      </c>
      <c r="O2067" s="49">
        <v>8.6722999999999999</v>
      </c>
      <c r="P2067" s="9">
        <f>ROUND(O2067*L2067,2)</f>
        <v>10146.59</v>
      </c>
      <c r="Q2067" s="10">
        <f>IF(N2067="HKD",7.8,IF(N2067="CNY",7.30034,1))</f>
        <v>7.3003400000000003</v>
      </c>
      <c r="R2067" s="10">
        <f>+ROUND(O2067/Q2067,4)</f>
        <v>1.1879</v>
      </c>
      <c r="S2067" s="11">
        <f>ROUND(R2067*L2067,2)</f>
        <v>1389.84</v>
      </c>
      <c r="T2067" s="10" t="s">
        <v>349</v>
      </c>
      <c r="U2067" s="15" t="s">
        <v>2</v>
      </c>
    </row>
    <row r="2068" spans="1:21">
      <c r="A2068" s="15" t="s">
        <v>1322</v>
      </c>
      <c r="B2068" s="16">
        <v>45660</v>
      </c>
      <c r="C2068" s="16">
        <v>45622</v>
      </c>
      <c r="D2068" s="15" t="s">
        <v>169</v>
      </c>
      <c r="E2068" s="15" t="s">
        <v>170</v>
      </c>
      <c r="G2068" s="15" t="s">
        <v>1323</v>
      </c>
      <c r="H2068" s="15" t="s">
        <v>1320</v>
      </c>
      <c r="I2068" s="15" t="s">
        <v>1321</v>
      </c>
      <c r="J2068" s="8" t="str">
        <f>+LEFT(U2068,4)</f>
        <v>STKR</v>
      </c>
      <c r="K2068" s="15" t="s">
        <v>10</v>
      </c>
      <c r="L2068" s="46">
        <v>3020</v>
      </c>
      <c r="M2068" s="15" t="s">
        <v>1472</v>
      </c>
      <c r="N2068" s="15" t="s">
        <v>11</v>
      </c>
      <c r="O2068" s="49">
        <v>0.05</v>
      </c>
      <c r="P2068" s="9">
        <f>ROUND(O2068*L2068,2)</f>
        <v>151</v>
      </c>
      <c r="Q2068" s="10">
        <f>IF(N2068="HKD",7.8,IF(N2068="CNY",7.30034,1))</f>
        <v>7.3003400000000003</v>
      </c>
      <c r="R2068" s="10">
        <f>+ROUND(O2068/Q2068,4)</f>
        <v>6.7999999999999996E-3</v>
      </c>
      <c r="S2068" s="11">
        <f>ROUND(R2068*L2068,2)</f>
        <v>20.54</v>
      </c>
      <c r="T2068" s="10" t="s">
        <v>349</v>
      </c>
      <c r="U2068" s="15" t="s">
        <v>18</v>
      </c>
    </row>
    <row r="2069" spans="1:21">
      <c r="A2069" s="15" t="s">
        <v>1332</v>
      </c>
      <c r="B2069" s="16">
        <v>45660</v>
      </c>
      <c r="C2069" s="16">
        <v>45622</v>
      </c>
      <c r="D2069" s="15" t="s">
        <v>169</v>
      </c>
      <c r="E2069" s="15" t="s">
        <v>170</v>
      </c>
      <c r="G2069" s="15" t="s">
        <v>1323</v>
      </c>
      <c r="H2069" s="15" t="s">
        <v>1330</v>
      </c>
      <c r="I2069" s="15" t="s">
        <v>1331</v>
      </c>
      <c r="J2069" s="8" t="str">
        <f>+LEFT(U2069,4)</f>
        <v>STKR</v>
      </c>
      <c r="K2069" s="15" t="s">
        <v>10</v>
      </c>
      <c r="L2069" s="46">
        <v>2020</v>
      </c>
      <c r="M2069" s="15" t="s">
        <v>1472</v>
      </c>
      <c r="N2069" s="15" t="s">
        <v>11</v>
      </c>
      <c r="O2069" s="49">
        <v>0.08</v>
      </c>
      <c r="P2069" s="9">
        <f>ROUND(O2069*L2069,2)</f>
        <v>161.6</v>
      </c>
      <c r="Q2069" s="10">
        <f>IF(N2069="HKD",7.8,IF(N2069="CNY",7.30034,1))</f>
        <v>7.3003400000000003</v>
      </c>
      <c r="R2069" s="10">
        <f>+ROUND(O2069/Q2069,4)</f>
        <v>1.0999999999999999E-2</v>
      </c>
      <c r="S2069" s="11">
        <f>ROUND(R2069*L2069,2)</f>
        <v>22.22</v>
      </c>
      <c r="T2069" s="10" t="s">
        <v>349</v>
      </c>
      <c r="U2069" s="15" t="s">
        <v>18</v>
      </c>
    </row>
    <row r="2070" spans="1:21">
      <c r="A2070" s="15" t="s">
        <v>1329</v>
      </c>
      <c r="B2070" s="16">
        <v>45660</v>
      </c>
      <c r="C2070" s="16">
        <v>45622</v>
      </c>
      <c r="D2070" s="15" t="s">
        <v>169</v>
      </c>
      <c r="E2070" s="15" t="s">
        <v>170</v>
      </c>
      <c r="G2070" s="15" t="s">
        <v>1323</v>
      </c>
      <c r="H2070" s="15" t="s">
        <v>1327</v>
      </c>
      <c r="I2070" s="15" t="s">
        <v>1328</v>
      </c>
      <c r="J2070" s="8" t="str">
        <f>+LEFT(U2070,4)</f>
        <v>STKR</v>
      </c>
      <c r="K2070" s="15" t="s">
        <v>10</v>
      </c>
      <c r="L2070" s="46">
        <v>1010</v>
      </c>
      <c r="M2070" s="15" t="s">
        <v>1472</v>
      </c>
      <c r="N2070" s="15" t="s">
        <v>11</v>
      </c>
      <c r="O2070" s="49">
        <v>0.08</v>
      </c>
      <c r="P2070" s="9">
        <f>ROUND(O2070*L2070,2)</f>
        <v>80.8</v>
      </c>
      <c r="Q2070" s="10">
        <f>IF(N2070="HKD",7.8,IF(N2070="CNY",7.30034,1))</f>
        <v>7.3003400000000003</v>
      </c>
      <c r="R2070" s="10">
        <f>+ROUND(O2070/Q2070,4)</f>
        <v>1.0999999999999999E-2</v>
      </c>
      <c r="S2070" s="11">
        <f>ROUND(R2070*L2070,2)</f>
        <v>11.11</v>
      </c>
      <c r="T2070" s="10" t="s">
        <v>349</v>
      </c>
      <c r="U2070" s="15" t="s">
        <v>18</v>
      </c>
    </row>
    <row r="2071" spans="1:21">
      <c r="A2071" s="15" t="s">
        <v>1326</v>
      </c>
      <c r="B2071" s="16">
        <v>45660</v>
      </c>
      <c r="C2071" s="16">
        <v>45622</v>
      </c>
      <c r="D2071" s="15" t="s">
        <v>169</v>
      </c>
      <c r="E2071" s="15" t="s">
        <v>170</v>
      </c>
      <c r="G2071" s="15" t="s">
        <v>1323</v>
      </c>
      <c r="H2071" s="15" t="s">
        <v>1324</v>
      </c>
      <c r="I2071" s="15" t="s">
        <v>1325</v>
      </c>
      <c r="J2071" s="8" t="str">
        <f>+LEFT(U2071,4)</f>
        <v>STKR</v>
      </c>
      <c r="K2071" s="15" t="s">
        <v>10</v>
      </c>
      <c r="L2071" s="46">
        <v>1010</v>
      </c>
      <c r="M2071" s="15" t="s">
        <v>1472</v>
      </c>
      <c r="N2071" s="15" t="s">
        <v>11</v>
      </c>
      <c r="O2071" s="49">
        <v>0.08</v>
      </c>
      <c r="P2071" s="9">
        <f>ROUND(O2071*L2071,2)</f>
        <v>80.8</v>
      </c>
      <c r="Q2071" s="10">
        <f>IF(N2071="HKD",7.8,IF(N2071="CNY",7.30034,1))</f>
        <v>7.3003400000000003</v>
      </c>
      <c r="R2071" s="10">
        <f>+ROUND(O2071/Q2071,4)</f>
        <v>1.0999999999999999E-2</v>
      </c>
      <c r="S2071" s="11">
        <f>ROUND(R2071*L2071,2)</f>
        <v>11.11</v>
      </c>
      <c r="T2071" s="10" t="s">
        <v>349</v>
      </c>
      <c r="U2071" s="15" t="s">
        <v>18</v>
      </c>
    </row>
    <row r="2072" spans="1:21">
      <c r="A2072" s="15" t="s">
        <v>1440</v>
      </c>
      <c r="B2072" s="16">
        <v>45659</v>
      </c>
      <c r="C2072" s="16">
        <v>45629</v>
      </c>
      <c r="D2072" s="15" t="s">
        <v>21</v>
      </c>
      <c r="E2072" s="15" t="s">
        <v>22</v>
      </c>
      <c r="G2072" s="15" t="s">
        <v>1431</v>
      </c>
      <c r="H2072" s="15" t="s">
        <v>801</v>
      </c>
      <c r="I2072" s="15" t="s">
        <v>802</v>
      </c>
      <c r="J2072" s="8" t="str">
        <f>+LEFT(U2072,4)</f>
        <v>BRKT</v>
      </c>
      <c r="K2072" s="15" t="s">
        <v>10</v>
      </c>
      <c r="L2072" s="46">
        <v>2600</v>
      </c>
      <c r="M2072" s="15" t="s">
        <v>1472</v>
      </c>
      <c r="N2072" s="15" t="s">
        <v>11</v>
      </c>
      <c r="O2072" s="49">
        <v>0.56430000000000002</v>
      </c>
      <c r="P2072" s="9">
        <f>ROUND(O2072*L2072,2)</f>
        <v>1467.18</v>
      </c>
      <c r="Q2072" s="10">
        <f>IF(N2072="HKD",7.8,IF(N2072="CNY",7.30034,1))</f>
        <v>7.3003400000000003</v>
      </c>
      <c r="R2072" s="10">
        <f>+ROUND(O2072/Q2072,4)</f>
        <v>7.7299999999999994E-2</v>
      </c>
      <c r="S2072" s="11">
        <f>ROUND(R2072*L2072,2)</f>
        <v>200.98</v>
      </c>
      <c r="T2072" s="10" t="s">
        <v>349</v>
      </c>
      <c r="U2072" s="15" t="s">
        <v>442</v>
      </c>
    </row>
    <row r="2073" spans="1:21">
      <c r="A2073" s="15" t="s">
        <v>1450</v>
      </c>
      <c r="B2073" s="16">
        <v>45659</v>
      </c>
      <c r="C2073" s="16">
        <v>45609</v>
      </c>
      <c r="D2073" s="15" t="s">
        <v>21</v>
      </c>
      <c r="E2073" s="15" t="s">
        <v>22</v>
      </c>
      <c r="G2073" s="15" t="s">
        <v>1431</v>
      </c>
      <c r="H2073" s="15" t="s">
        <v>1448</v>
      </c>
      <c r="I2073" s="15" t="s">
        <v>1449</v>
      </c>
      <c r="J2073" s="8" t="str">
        <f>+LEFT(U2073,4)</f>
        <v>BRKT</v>
      </c>
      <c r="K2073" s="15" t="s">
        <v>10</v>
      </c>
      <c r="L2073" s="46">
        <v>1030</v>
      </c>
      <c r="M2073" s="15" t="s">
        <v>1472</v>
      </c>
      <c r="N2073" s="15" t="s">
        <v>11</v>
      </c>
      <c r="O2073" s="49">
        <v>0.57969999999999999</v>
      </c>
      <c r="P2073" s="9">
        <f>ROUND(O2073*L2073,2)</f>
        <v>597.09</v>
      </c>
      <c r="Q2073" s="10">
        <f>IF(N2073="HKD",7.8,IF(N2073="CNY",7.30034,1))</f>
        <v>7.3003400000000003</v>
      </c>
      <c r="R2073" s="10">
        <f>+ROUND(O2073/Q2073,4)</f>
        <v>7.9399999999999998E-2</v>
      </c>
      <c r="S2073" s="11">
        <f>ROUND(R2073*L2073,2)</f>
        <v>81.78</v>
      </c>
      <c r="T2073" s="10" t="s">
        <v>349</v>
      </c>
      <c r="U2073" s="15" t="s">
        <v>442</v>
      </c>
    </row>
    <row r="2074" spans="1:21">
      <c r="A2074" s="15" t="s">
        <v>1444</v>
      </c>
      <c r="B2074" s="16">
        <v>45659</v>
      </c>
      <c r="C2074" s="16">
        <v>45609</v>
      </c>
      <c r="D2074" s="15" t="s">
        <v>21</v>
      </c>
      <c r="E2074" s="15" t="s">
        <v>22</v>
      </c>
      <c r="G2074" s="15" t="s">
        <v>1431</v>
      </c>
      <c r="H2074" s="15" t="s">
        <v>1441</v>
      </c>
      <c r="I2074" s="15" t="s">
        <v>1442</v>
      </c>
      <c r="J2074" s="8" t="str">
        <f>+LEFT(U2074,4)</f>
        <v>BRKT</v>
      </c>
      <c r="K2074" s="15" t="s">
        <v>10</v>
      </c>
      <c r="L2074" s="46">
        <v>520</v>
      </c>
      <c r="M2074" s="15" t="s">
        <v>1472</v>
      </c>
      <c r="N2074" s="15" t="s">
        <v>11</v>
      </c>
      <c r="O2074" s="49">
        <v>0.60340000000000005</v>
      </c>
      <c r="P2074" s="9">
        <f>ROUND(O2074*L2074,2)</f>
        <v>313.77</v>
      </c>
      <c r="Q2074" s="10">
        <f>IF(N2074="HKD",7.8,IF(N2074="CNY",7.30034,1))</f>
        <v>7.3003400000000003</v>
      </c>
      <c r="R2074" s="10">
        <f>+ROUND(O2074/Q2074,4)</f>
        <v>8.2699999999999996E-2</v>
      </c>
      <c r="S2074" s="11">
        <f>ROUND(R2074*L2074,2)</f>
        <v>43</v>
      </c>
      <c r="T2074" s="10" t="s">
        <v>349</v>
      </c>
      <c r="U2074" s="15" t="s">
        <v>442</v>
      </c>
    </row>
    <row r="2075" spans="1:21">
      <c r="A2075" s="15" t="s">
        <v>1443</v>
      </c>
      <c r="B2075" s="16">
        <v>45659</v>
      </c>
      <c r="C2075" s="16">
        <v>45629</v>
      </c>
      <c r="D2075" s="15" t="s">
        <v>21</v>
      </c>
      <c r="E2075" s="15" t="s">
        <v>22</v>
      </c>
      <c r="G2075" s="15" t="s">
        <v>1431</v>
      </c>
      <c r="H2075" s="15" t="s">
        <v>1441</v>
      </c>
      <c r="I2075" s="15" t="s">
        <v>1442</v>
      </c>
      <c r="J2075" s="8" t="str">
        <f>+LEFT(U2075,4)</f>
        <v>BRKT</v>
      </c>
      <c r="K2075" s="15" t="s">
        <v>10</v>
      </c>
      <c r="L2075" s="46">
        <v>1030</v>
      </c>
      <c r="M2075" s="15" t="s">
        <v>1472</v>
      </c>
      <c r="N2075" s="15" t="s">
        <v>11</v>
      </c>
      <c r="O2075" s="49">
        <v>0.60340000000000005</v>
      </c>
      <c r="P2075" s="9">
        <f>ROUND(O2075*L2075,2)</f>
        <v>621.5</v>
      </c>
      <c r="Q2075" s="10">
        <f>IF(N2075="HKD",7.8,IF(N2075="CNY",7.30034,1))</f>
        <v>7.3003400000000003</v>
      </c>
      <c r="R2075" s="10">
        <f>+ROUND(O2075/Q2075,4)</f>
        <v>8.2699999999999996E-2</v>
      </c>
      <c r="S2075" s="11">
        <f>ROUND(R2075*L2075,2)</f>
        <v>85.18</v>
      </c>
      <c r="T2075" s="10" t="s">
        <v>349</v>
      </c>
      <c r="U2075" s="15" t="s">
        <v>442</v>
      </c>
    </row>
    <row r="2076" spans="1:21">
      <c r="A2076" s="15" t="s">
        <v>1447</v>
      </c>
      <c r="B2076" s="16">
        <v>45659</v>
      </c>
      <c r="C2076" s="16">
        <v>45609</v>
      </c>
      <c r="D2076" s="15" t="s">
        <v>21</v>
      </c>
      <c r="E2076" s="15" t="s">
        <v>22</v>
      </c>
      <c r="G2076" s="15" t="s">
        <v>1431</v>
      </c>
      <c r="H2076" s="15" t="s">
        <v>1445</v>
      </c>
      <c r="I2076" s="15" t="s">
        <v>1446</v>
      </c>
      <c r="J2076" s="8" t="str">
        <f>+LEFT(U2076,4)</f>
        <v>BRKT</v>
      </c>
      <c r="K2076" s="15" t="s">
        <v>10</v>
      </c>
      <c r="L2076" s="46">
        <v>520</v>
      </c>
      <c r="M2076" s="15" t="s">
        <v>1472</v>
      </c>
      <c r="N2076" s="15" t="s">
        <v>11</v>
      </c>
      <c r="O2076" s="49">
        <v>0.62309999999999999</v>
      </c>
      <c r="P2076" s="9">
        <f>ROUND(O2076*L2076,2)</f>
        <v>324.01</v>
      </c>
      <c r="Q2076" s="10">
        <f>IF(N2076="HKD",7.8,IF(N2076="CNY",7.30034,1))</f>
        <v>7.3003400000000003</v>
      </c>
      <c r="R2076" s="10">
        <f>+ROUND(O2076/Q2076,4)</f>
        <v>8.5400000000000004E-2</v>
      </c>
      <c r="S2076" s="11">
        <f>ROUND(R2076*L2076,2)</f>
        <v>44.41</v>
      </c>
      <c r="T2076" s="10" t="s">
        <v>349</v>
      </c>
      <c r="U2076" s="15" t="s">
        <v>442</v>
      </c>
    </row>
    <row r="2077" spans="1:21">
      <c r="A2077" s="15" t="s">
        <v>1434</v>
      </c>
      <c r="B2077" s="16">
        <v>45659</v>
      </c>
      <c r="C2077" s="16">
        <v>45609</v>
      </c>
      <c r="D2077" s="15" t="s">
        <v>21</v>
      </c>
      <c r="E2077" s="15" t="s">
        <v>22</v>
      </c>
      <c r="G2077" s="15" t="s">
        <v>1435</v>
      </c>
      <c r="H2077" s="15" t="s">
        <v>1432</v>
      </c>
      <c r="I2077" s="15" t="s">
        <v>1433</v>
      </c>
      <c r="J2077" s="8" t="str">
        <f>+LEFT(U2077,4)</f>
        <v>FG--</v>
      </c>
      <c r="K2077" s="15" t="s">
        <v>10</v>
      </c>
      <c r="L2077" s="46">
        <v>1020</v>
      </c>
      <c r="M2077" s="15" t="s">
        <v>1472</v>
      </c>
      <c r="N2077" s="15" t="s">
        <v>11</v>
      </c>
      <c r="O2077" s="49">
        <v>0.65390000000000004</v>
      </c>
      <c r="P2077" s="9">
        <f>ROUND(O2077*L2077,2)</f>
        <v>666.98</v>
      </c>
      <c r="Q2077" s="10">
        <f>IF(N2077="HKD",7.8,IF(N2077="CNY",7.30034,1))</f>
        <v>7.3003400000000003</v>
      </c>
      <c r="R2077" s="10">
        <f>+ROUND(O2077/Q2077,4)</f>
        <v>8.9599999999999999E-2</v>
      </c>
      <c r="S2077" s="11">
        <f>ROUND(R2077*L2077,2)</f>
        <v>91.39</v>
      </c>
      <c r="T2077" s="10" t="s">
        <v>349</v>
      </c>
      <c r="U2077" s="15" t="s">
        <v>64</v>
      </c>
    </row>
    <row r="2078" spans="1:21">
      <c r="A2078" s="15" t="s">
        <v>1439</v>
      </c>
      <c r="B2078" s="16">
        <v>45659</v>
      </c>
      <c r="C2078" s="16">
        <v>45609</v>
      </c>
      <c r="D2078" s="15" t="s">
        <v>21</v>
      </c>
      <c r="E2078" s="15" t="s">
        <v>22</v>
      </c>
      <c r="G2078" s="15" t="s">
        <v>1431</v>
      </c>
      <c r="H2078" s="15" t="s">
        <v>1437</v>
      </c>
      <c r="I2078" s="15" t="s">
        <v>1438</v>
      </c>
      <c r="J2078" s="8" t="str">
        <f>+LEFT(U2078,4)</f>
        <v>FG--</v>
      </c>
      <c r="K2078" s="15" t="s">
        <v>10</v>
      </c>
      <c r="L2078" s="46">
        <v>1030</v>
      </c>
      <c r="M2078" s="15" t="s">
        <v>1472</v>
      </c>
      <c r="N2078" s="15" t="s">
        <v>11</v>
      </c>
      <c r="O2078" s="49">
        <v>0.65839999999999999</v>
      </c>
      <c r="P2078" s="9">
        <f>ROUND(O2078*L2078,2)</f>
        <v>678.15</v>
      </c>
      <c r="Q2078" s="10">
        <f>IF(N2078="HKD",7.8,IF(N2078="CNY",7.30034,1))</f>
        <v>7.3003400000000003</v>
      </c>
      <c r="R2078" s="10">
        <f>+ROUND(O2078/Q2078,4)</f>
        <v>9.0200000000000002E-2</v>
      </c>
      <c r="S2078" s="11">
        <f>ROUND(R2078*L2078,2)</f>
        <v>92.91</v>
      </c>
      <c r="T2078" s="10" t="s">
        <v>349</v>
      </c>
      <c r="U2078" s="15" t="s">
        <v>64</v>
      </c>
    </row>
    <row r="2079" spans="1:21">
      <c r="A2079" s="15" t="s">
        <v>1430</v>
      </c>
      <c r="B2079" s="16">
        <v>45659</v>
      </c>
      <c r="C2079" s="16">
        <v>45609</v>
      </c>
      <c r="D2079" s="15" t="s">
        <v>21</v>
      </c>
      <c r="E2079" s="15" t="s">
        <v>22</v>
      </c>
      <c r="G2079" s="15" t="s">
        <v>1431</v>
      </c>
      <c r="H2079" s="15" t="s">
        <v>1428</v>
      </c>
      <c r="I2079" s="15" t="s">
        <v>1429</v>
      </c>
      <c r="J2079" s="8" t="str">
        <f>+LEFT(U2079,4)</f>
        <v>FG--</v>
      </c>
      <c r="K2079" s="15" t="s">
        <v>10</v>
      </c>
      <c r="L2079" s="46">
        <v>530</v>
      </c>
      <c r="M2079" s="15" t="s">
        <v>1472</v>
      </c>
      <c r="N2079" s="15" t="s">
        <v>11</v>
      </c>
      <c r="O2079" s="49">
        <v>0.65839999999999999</v>
      </c>
      <c r="P2079" s="9">
        <f>ROUND(O2079*L2079,2)</f>
        <v>348.95</v>
      </c>
      <c r="Q2079" s="10">
        <f>IF(N2079="HKD",7.8,IF(N2079="CNY",7.30034,1))</f>
        <v>7.3003400000000003</v>
      </c>
      <c r="R2079" s="10">
        <f>+ROUND(O2079/Q2079,4)</f>
        <v>9.0200000000000002E-2</v>
      </c>
      <c r="S2079" s="11">
        <f>ROUND(R2079*L2079,2)</f>
        <v>47.81</v>
      </c>
      <c r="T2079" s="10" t="s">
        <v>349</v>
      </c>
      <c r="U2079" s="15" t="s">
        <v>64</v>
      </c>
    </row>
    <row r="2080" spans="1:21">
      <c r="A2080" s="15" t="s">
        <v>1436</v>
      </c>
      <c r="B2080" s="16">
        <v>45659</v>
      </c>
      <c r="C2080" s="16">
        <v>45617</v>
      </c>
      <c r="D2080" s="15" t="s">
        <v>21</v>
      </c>
      <c r="E2080" s="15" t="s">
        <v>22</v>
      </c>
      <c r="G2080" s="15" t="s">
        <v>1435</v>
      </c>
      <c r="H2080" s="15" t="s">
        <v>1428</v>
      </c>
      <c r="I2080" s="15" t="s">
        <v>1429</v>
      </c>
      <c r="J2080" s="8" t="str">
        <f>+LEFT(U2080,4)</f>
        <v>FG--</v>
      </c>
      <c r="K2080" s="15" t="s">
        <v>10</v>
      </c>
      <c r="L2080" s="46">
        <v>1020</v>
      </c>
      <c r="M2080" s="15" t="s">
        <v>1472</v>
      </c>
      <c r="N2080" s="15" t="s">
        <v>11</v>
      </c>
      <c r="O2080" s="49">
        <v>0.65839999999999999</v>
      </c>
      <c r="P2080" s="9">
        <f>ROUND(O2080*L2080,2)</f>
        <v>671.57</v>
      </c>
      <c r="Q2080" s="10">
        <f>IF(N2080="HKD",7.8,IF(N2080="CNY",7.30034,1))</f>
        <v>7.3003400000000003</v>
      </c>
      <c r="R2080" s="10">
        <f>+ROUND(O2080/Q2080,4)</f>
        <v>9.0200000000000002E-2</v>
      </c>
      <c r="S2080" s="11">
        <f>ROUND(R2080*L2080,2)</f>
        <v>92</v>
      </c>
      <c r="T2080" s="10" t="s">
        <v>349</v>
      </c>
      <c r="U2080" s="15" t="s">
        <v>64</v>
      </c>
    </row>
    <row r="2081" spans="1:21">
      <c r="A2081" s="15" t="s">
        <v>1379</v>
      </c>
      <c r="B2081" s="16">
        <v>45659</v>
      </c>
      <c r="C2081" s="16">
        <v>45629</v>
      </c>
      <c r="D2081" s="15" t="s">
        <v>128</v>
      </c>
      <c r="E2081" s="15" t="s">
        <v>129</v>
      </c>
      <c r="G2081" s="15" t="s">
        <v>1377</v>
      </c>
      <c r="H2081" s="15" t="s">
        <v>443</v>
      </c>
      <c r="I2081" s="15" t="s">
        <v>444</v>
      </c>
      <c r="J2081" s="8" t="str">
        <f>+LEFT(U2081,4)</f>
        <v>FG--</v>
      </c>
      <c r="K2081" s="15" t="s">
        <v>10</v>
      </c>
      <c r="L2081" s="46">
        <v>11000</v>
      </c>
      <c r="M2081" s="15" t="s">
        <v>1472</v>
      </c>
      <c r="N2081" s="15" t="s">
        <v>11</v>
      </c>
      <c r="O2081" s="49">
        <v>1.0021</v>
      </c>
      <c r="P2081" s="9">
        <f>ROUND(O2081*L2081,2)</f>
        <v>11023.1</v>
      </c>
      <c r="Q2081" s="10">
        <f>IF(N2081="HKD",7.8,IF(N2081="CNY",7.30034,1))</f>
        <v>7.3003400000000003</v>
      </c>
      <c r="R2081" s="10">
        <f>+ROUND(O2081/Q2081,4)</f>
        <v>0.13730000000000001</v>
      </c>
      <c r="S2081" s="11">
        <f>ROUND(R2081*L2081,2)</f>
        <v>1510.3</v>
      </c>
      <c r="T2081" s="10" t="s">
        <v>349</v>
      </c>
      <c r="U2081" s="15" t="s">
        <v>64</v>
      </c>
    </row>
    <row r="2082" spans="1:21">
      <c r="A2082" s="15" t="s">
        <v>1404</v>
      </c>
      <c r="B2082" s="16">
        <v>45659</v>
      </c>
      <c r="C2082" s="16">
        <v>45639</v>
      </c>
      <c r="D2082" s="15" t="s">
        <v>569</v>
      </c>
      <c r="E2082" s="15" t="s">
        <v>570</v>
      </c>
      <c r="G2082" s="15" t="s">
        <v>1403</v>
      </c>
      <c r="H2082" s="15" t="s">
        <v>256</v>
      </c>
      <c r="I2082" s="15" t="s">
        <v>257</v>
      </c>
      <c r="J2082" s="8" t="str">
        <f>+LEFT(U2082,4)</f>
        <v>GLID</v>
      </c>
      <c r="K2082" s="15" t="s">
        <v>10</v>
      </c>
      <c r="L2082" s="46">
        <v>2250</v>
      </c>
      <c r="M2082" s="15" t="s">
        <v>1472</v>
      </c>
      <c r="N2082" s="15" t="s">
        <v>11</v>
      </c>
      <c r="O2082" s="49">
        <v>8.7024000000000008</v>
      </c>
      <c r="P2082" s="9">
        <f>ROUND(O2082*L2082,2)</f>
        <v>19580.400000000001</v>
      </c>
      <c r="Q2082" s="10">
        <f>IF(N2082="HKD",7.8,IF(N2082="CNY",7.30034,1))</f>
        <v>7.3003400000000003</v>
      </c>
      <c r="R2082" s="10">
        <f>+ROUND(O2082/Q2082,4)</f>
        <v>1.1920999999999999</v>
      </c>
      <c r="S2082" s="11">
        <f>ROUND(R2082*L2082,2)</f>
        <v>2682.23</v>
      </c>
      <c r="T2082" s="10" t="s">
        <v>349</v>
      </c>
      <c r="U2082" s="15" t="s">
        <v>78</v>
      </c>
    </row>
    <row r="2083" spans="1:21">
      <c r="A2083" s="15" t="s">
        <v>777</v>
      </c>
      <c r="B2083" s="16">
        <v>45659</v>
      </c>
      <c r="C2083" s="16">
        <v>45644</v>
      </c>
      <c r="D2083" s="15" t="s">
        <v>569</v>
      </c>
      <c r="E2083" s="15" t="s">
        <v>570</v>
      </c>
      <c r="G2083" s="15" t="s">
        <v>1418</v>
      </c>
      <c r="H2083" s="15" t="s">
        <v>775</v>
      </c>
      <c r="I2083" s="15" t="s">
        <v>776</v>
      </c>
      <c r="J2083" s="8" t="str">
        <f>+LEFT(U2083,4)</f>
        <v>GLID</v>
      </c>
      <c r="K2083" s="15" t="s">
        <v>10</v>
      </c>
      <c r="L2083" s="46">
        <v>960</v>
      </c>
      <c r="M2083" s="15" t="s">
        <v>1472</v>
      </c>
      <c r="N2083" s="15" t="s">
        <v>11</v>
      </c>
      <c r="O2083" s="49">
        <v>13.818</v>
      </c>
      <c r="P2083" s="9">
        <f>ROUND(O2083*L2083,2)</f>
        <v>13265.28</v>
      </c>
      <c r="Q2083" s="10">
        <f>IF(N2083="HKD",7.8,IF(N2083="CNY",7.30034,1))</f>
        <v>7.3003400000000003</v>
      </c>
      <c r="R2083" s="10">
        <f>+ROUND(O2083/Q2083,4)</f>
        <v>1.8928</v>
      </c>
      <c r="S2083" s="11">
        <f>ROUND(R2083*L2083,2)</f>
        <v>1817.09</v>
      </c>
      <c r="T2083" s="10" t="s">
        <v>349</v>
      </c>
      <c r="U2083" s="15" t="s">
        <v>78</v>
      </c>
    </row>
    <row r="2084" spans="1:21">
      <c r="A2084" s="15" t="s">
        <v>1427</v>
      </c>
      <c r="B2084" s="16">
        <v>45659</v>
      </c>
      <c r="C2084" s="16">
        <v>45650</v>
      </c>
      <c r="D2084" s="15" t="s">
        <v>569</v>
      </c>
      <c r="E2084" s="15" t="s">
        <v>570</v>
      </c>
      <c r="G2084" s="15" t="s">
        <v>1418</v>
      </c>
      <c r="H2084" s="15" t="s">
        <v>1425</v>
      </c>
      <c r="I2084" s="15" t="s">
        <v>1426</v>
      </c>
      <c r="J2084" s="8" t="s">
        <v>1505</v>
      </c>
      <c r="K2084" s="15" t="s">
        <v>10</v>
      </c>
      <c r="L2084" s="46">
        <v>1000</v>
      </c>
      <c r="M2084" s="15" t="s">
        <v>1472</v>
      </c>
      <c r="N2084" s="15" t="s">
        <v>11</v>
      </c>
      <c r="O2084" s="49">
        <v>2.75</v>
      </c>
      <c r="P2084" s="9">
        <f>ROUND(O2084*L2084,2)</f>
        <v>2750</v>
      </c>
      <c r="Q2084" s="10">
        <f>IF(N2084="HKD",7.8,IF(N2084="CNY",7.30034,1))</f>
        <v>7.3003400000000003</v>
      </c>
      <c r="R2084" s="10">
        <f>+ROUND(O2084/Q2084,4)</f>
        <v>0.37669999999999998</v>
      </c>
      <c r="S2084" s="11">
        <f>ROUND(R2084*L2084,2)</f>
        <v>376.7</v>
      </c>
      <c r="T2084" s="10" t="s">
        <v>349</v>
      </c>
      <c r="U2084" s="15" t="s">
        <v>36</v>
      </c>
    </row>
    <row r="2085" spans="1:21">
      <c r="A2085" s="15" t="s">
        <v>1421</v>
      </c>
      <c r="B2085" s="16">
        <v>45659</v>
      </c>
      <c r="C2085" s="16">
        <v>45652</v>
      </c>
      <c r="D2085" s="15" t="s">
        <v>569</v>
      </c>
      <c r="E2085" s="15" t="s">
        <v>570</v>
      </c>
      <c r="G2085" s="15" t="s">
        <v>1418</v>
      </c>
      <c r="H2085" s="15" t="s">
        <v>1419</v>
      </c>
      <c r="I2085" s="15" t="s">
        <v>1420</v>
      </c>
      <c r="J2085" s="8" t="s">
        <v>1505</v>
      </c>
      <c r="K2085" s="15" t="s">
        <v>10</v>
      </c>
      <c r="L2085" s="46">
        <v>1000</v>
      </c>
      <c r="M2085" s="15" t="s">
        <v>1472</v>
      </c>
      <c r="N2085" s="15" t="s">
        <v>11</v>
      </c>
      <c r="O2085" s="49">
        <v>3.1</v>
      </c>
      <c r="P2085" s="9">
        <f>ROUND(O2085*L2085,2)</f>
        <v>3100</v>
      </c>
      <c r="Q2085" s="10">
        <f>IF(N2085="HKD",7.8,IF(N2085="CNY",7.30034,1))</f>
        <v>7.3003400000000003</v>
      </c>
      <c r="R2085" s="10">
        <f>+ROUND(O2085/Q2085,4)</f>
        <v>0.42459999999999998</v>
      </c>
      <c r="S2085" s="11">
        <f>ROUND(R2085*L2085,2)</f>
        <v>424.6</v>
      </c>
      <c r="T2085" s="10" t="s">
        <v>349</v>
      </c>
      <c r="U2085" s="15" t="s">
        <v>36</v>
      </c>
    </row>
    <row r="2086" spans="1:21">
      <c r="A2086" s="15" t="s">
        <v>1424</v>
      </c>
      <c r="B2086" s="16">
        <v>45659</v>
      </c>
      <c r="C2086" s="16">
        <v>45650</v>
      </c>
      <c r="D2086" s="15" t="s">
        <v>569</v>
      </c>
      <c r="E2086" s="15" t="s">
        <v>570</v>
      </c>
      <c r="G2086" s="15" t="s">
        <v>1418</v>
      </c>
      <c r="H2086" s="15" t="s">
        <v>1422</v>
      </c>
      <c r="I2086" s="15" t="s">
        <v>1423</v>
      </c>
      <c r="J2086" s="8" t="s">
        <v>1505</v>
      </c>
      <c r="K2086" s="15" t="s">
        <v>10</v>
      </c>
      <c r="L2086" s="46">
        <v>1200</v>
      </c>
      <c r="M2086" s="15" t="s">
        <v>1472</v>
      </c>
      <c r="N2086" s="15" t="s">
        <v>11</v>
      </c>
      <c r="O2086" s="49">
        <v>4.2</v>
      </c>
      <c r="P2086" s="9">
        <f>ROUND(O2086*L2086,2)</f>
        <v>5040</v>
      </c>
      <c r="Q2086" s="10">
        <f>IF(N2086="HKD",7.8,IF(N2086="CNY",7.30034,1))</f>
        <v>7.3003400000000003</v>
      </c>
      <c r="R2086" s="10">
        <f>+ROUND(O2086/Q2086,4)</f>
        <v>0.57530000000000003</v>
      </c>
      <c r="S2086" s="11">
        <f>ROUND(R2086*L2086,2)</f>
        <v>690.36</v>
      </c>
      <c r="T2086" s="10" t="s">
        <v>349</v>
      </c>
      <c r="U2086" s="15" t="s">
        <v>36</v>
      </c>
    </row>
    <row r="2087" spans="1:21">
      <c r="A2087" s="15" t="s">
        <v>1411</v>
      </c>
      <c r="B2087" s="16">
        <v>45659</v>
      </c>
      <c r="C2087" s="16">
        <v>45639</v>
      </c>
      <c r="D2087" s="15" t="s">
        <v>569</v>
      </c>
      <c r="E2087" s="15" t="s">
        <v>570</v>
      </c>
      <c r="G2087" s="15" t="s">
        <v>1403</v>
      </c>
      <c r="H2087" s="15" t="s">
        <v>763</v>
      </c>
      <c r="I2087" s="15" t="s">
        <v>764</v>
      </c>
      <c r="J2087" s="8" t="s">
        <v>1505</v>
      </c>
      <c r="K2087" s="15" t="s">
        <v>10</v>
      </c>
      <c r="L2087" s="46">
        <v>520</v>
      </c>
      <c r="M2087" s="15" t="s">
        <v>1472</v>
      </c>
      <c r="N2087" s="15" t="s">
        <v>11</v>
      </c>
      <c r="O2087" s="49">
        <v>4.9000000000000004</v>
      </c>
      <c r="P2087" s="9">
        <f>ROUND(O2087*L2087,2)</f>
        <v>2548</v>
      </c>
      <c r="Q2087" s="10">
        <f>IF(N2087="HKD",7.8,IF(N2087="CNY",7.30034,1))</f>
        <v>7.3003400000000003</v>
      </c>
      <c r="R2087" s="10">
        <f>+ROUND(O2087/Q2087,4)</f>
        <v>0.67120000000000002</v>
      </c>
      <c r="S2087" s="11">
        <f>ROUND(R2087*L2087,2)</f>
        <v>349.02</v>
      </c>
      <c r="T2087" s="10" t="s">
        <v>349</v>
      </c>
      <c r="U2087" s="15" t="s">
        <v>36</v>
      </c>
    </row>
    <row r="2088" spans="1:21">
      <c r="A2088" s="15" t="s">
        <v>1410</v>
      </c>
      <c r="B2088" s="16">
        <v>45659</v>
      </c>
      <c r="C2088" s="16">
        <v>45639</v>
      </c>
      <c r="D2088" s="15" t="s">
        <v>569</v>
      </c>
      <c r="E2088" s="15" t="s">
        <v>570</v>
      </c>
      <c r="G2088" s="15" t="s">
        <v>1403</v>
      </c>
      <c r="H2088" s="15" t="s">
        <v>1408</v>
      </c>
      <c r="I2088" s="15" t="s">
        <v>1409</v>
      </c>
      <c r="J2088" s="8" t="s">
        <v>1505</v>
      </c>
      <c r="K2088" s="15" t="s">
        <v>10</v>
      </c>
      <c r="L2088" s="46">
        <v>620</v>
      </c>
      <c r="M2088" s="15" t="s">
        <v>1472</v>
      </c>
      <c r="N2088" s="15" t="s">
        <v>11</v>
      </c>
      <c r="O2088" s="49">
        <v>4.9000000000000004</v>
      </c>
      <c r="P2088" s="9">
        <f>ROUND(O2088*L2088,2)</f>
        <v>3038</v>
      </c>
      <c r="Q2088" s="10">
        <f>IF(N2088="HKD",7.8,IF(N2088="CNY",7.30034,1))</f>
        <v>7.3003400000000003</v>
      </c>
      <c r="R2088" s="10">
        <f>+ROUND(O2088/Q2088,4)</f>
        <v>0.67120000000000002</v>
      </c>
      <c r="S2088" s="11">
        <f>ROUND(R2088*L2088,2)</f>
        <v>416.14</v>
      </c>
      <c r="T2088" s="10" t="s">
        <v>349</v>
      </c>
      <c r="U2088" s="15" t="s">
        <v>36</v>
      </c>
    </row>
    <row r="2089" spans="1:21">
      <c r="A2089" s="15" t="s">
        <v>771</v>
      </c>
      <c r="B2089" s="16">
        <v>45659</v>
      </c>
      <c r="C2089" s="16">
        <v>45650</v>
      </c>
      <c r="D2089" s="15" t="s">
        <v>569</v>
      </c>
      <c r="E2089" s="15" t="s">
        <v>570</v>
      </c>
      <c r="G2089" s="15" t="s">
        <v>1418</v>
      </c>
      <c r="H2089" s="15" t="s">
        <v>769</v>
      </c>
      <c r="I2089" s="15" t="s">
        <v>770</v>
      </c>
      <c r="J2089" s="8" t="s">
        <v>1505</v>
      </c>
      <c r="K2089" s="15" t="s">
        <v>10</v>
      </c>
      <c r="L2089" s="46">
        <v>900</v>
      </c>
      <c r="M2089" s="15" t="s">
        <v>1472</v>
      </c>
      <c r="N2089" s="15" t="s">
        <v>11</v>
      </c>
      <c r="O2089" s="49">
        <v>4.9000000000000004</v>
      </c>
      <c r="P2089" s="9">
        <f>ROUND(O2089*L2089,2)</f>
        <v>4410</v>
      </c>
      <c r="Q2089" s="10">
        <f>IF(N2089="HKD",7.8,IF(N2089="CNY",7.30034,1))</f>
        <v>7.3003400000000003</v>
      </c>
      <c r="R2089" s="10">
        <f>+ROUND(O2089/Q2089,4)</f>
        <v>0.67120000000000002</v>
      </c>
      <c r="S2089" s="11">
        <f>ROUND(R2089*L2089,2)</f>
        <v>604.08000000000004</v>
      </c>
      <c r="T2089" s="10" t="s">
        <v>349</v>
      </c>
      <c r="U2089" s="15" t="s">
        <v>36</v>
      </c>
    </row>
    <row r="2090" spans="1:21">
      <c r="A2090" s="15" t="s">
        <v>1407</v>
      </c>
      <c r="B2090" s="16">
        <v>45659</v>
      </c>
      <c r="C2090" s="16">
        <v>45639</v>
      </c>
      <c r="D2090" s="15" t="s">
        <v>569</v>
      </c>
      <c r="E2090" s="15" t="s">
        <v>570</v>
      </c>
      <c r="G2090" s="15" t="s">
        <v>1403</v>
      </c>
      <c r="H2090" s="15" t="s">
        <v>1405</v>
      </c>
      <c r="I2090" s="15" t="s">
        <v>1406</v>
      </c>
      <c r="J2090" s="8" t="s">
        <v>1505</v>
      </c>
      <c r="K2090" s="15" t="s">
        <v>10</v>
      </c>
      <c r="L2090" s="46">
        <v>520</v>
      </c>
      <c r="M2090" s="15" t="s">
        <v>1472</v>
      </c>
      <c r="N2090" s="15" t="s">
        <v>11</v>
      </c>
      <c r="O2090" s="49">
        <v>5.7</v>
      </c>
      <c r="P2090" s="9">
        <f>ROUND(O2090*L2090,2)</f>
        <v>2964</v>
      </c>
      <c r="Q2090" s="10">
        <f>IF(N2090="HKD",7.8,IF(N2090="CNY",7.30034,1))</f>
        <v>7.3003400000000003</v>
      </c>
      <c r="R2090" s="10">
        <f>+ROUND(O2090/Q2090,4)</f>
        <v>0.78080000000000005</v>
      </c>
      <c r="S2090" s="11">
        <f>ROUND(R2090*L2090,2)</f>
        <v>406.02</v>
      </c>
      <c r="T2090" s="10" t="s">
        <v>349</v>
      </c>
      <c r="U2090" s="15" t="s">
        <v>36</v>
      </c>
    </row>
    <row r="2091" spans="1:21">
      <c r="A2091" s="15" t="s">
        <v>768</v>
      </c>
      <c r="B2091" s="16">
        <v>45659</v>
      </c>
      <c r="C2091" s="16">
        <v>45650</v>
      </c>
      <c r="D2091" s="15" t="s">
        <v>569</v>
      </c>
      <c r="E2091" s="15" t="s">
        <v>570</v>
      </c>
      <c r="G2091" s="15" t="s">
        <v>1418</v>
      </c>
      <c r="H2091" s="15" t="s">
        <v>766</v>
      </c>
      <c r="I2091" s="15" t="s">
        <v>767</v>
      </c>
      <c r="J2091" s="8" t="s">
        <v>1505</v>
      </c>
      <c r="K2091" s="15" t="s">
        <v>10</v>
      </c>
      <c r="L2091" s="46">
        <v>300</v>
      </c>
      <c r="M2091" s="15" t="s">
        <v>1472</v>
      </c>
      <c r="N2091" s="15" t="s">
        <v>11</v>
      </c>
      <c r="O2091" s="49">
        <v>5.7</v>
      </c>
      <c r="P2091" s="9">
        <f>ROUND(O2091*L2091,2)</f>
        <v>1710</v>
      </c>
      <c r="Q2091" s="10">
        <f>IF(N2091="HKD",7.8,IF(N2091="CNY",7.30034,1))</f>
        <v>7.3003400000000003</v>
      </c>
      <c r="R2091" s="10">
        <f>+ROUND(O2091/Q2091,4)</f>
        <v>0.78080000000000005</v>
      </c>
      <c r="S2091" s="11">
        <f>ROUND(R2091*L2091,2)</f>
        <v>234.24</v>
      </c>
      <c r="T2091" s="10" t="s">
        <v>349</v>
      </c>
      <c r="U2091" s="15" t="s">
        <v>36</v>
      </c>
    </row>
    <row r="2092" spans="1:21">
      <c r="A2092" s="15" t="s">
        <v>1417</v>
      </c>
      <c r="B2092" s="16">
        <v>45659</v>
      </c>
      <c r="C2092" s="16">
        <v>45652</v>
      </c>
      <c r="D2092" s="15" t="s">
        <v>569</v>
      </c>
      <c r="E2092" s="15" t="s">
        <v>570</v>
      </c>
      <c r="G2092" s="15" t="s">
        <v>1418</v>
      </c>
      <c r="H2092" s="15" t="s">
        <v>1415</v>
      </c>
      <c r="I2092" s="15" t="s">
        <v>1416</v>
      </c>
      <c r="J2092" s="8" t="s">
        <v>1505</v>
      </c>
      <c r="K2092" s="15" t="s">
        <v>10</v>
      </c>
      <c r="L2092" s="46">
        <v>1000</v>
      </c>
      <c r="M2092" s="15" t="s">
        <v>1472</v>
      </c>
      <c r="N2092" s="15" t="s">
        <v>11</v>
      </c>
      <c r="O2092" s="49">
        <v>5.7</v>
      </c>
      <c r="P2092" s="9">
        <f>ROUND(O2092*L2092,2)</f>
        <v>5700</v>
      </c>
      <c r="Q2092" s="10">
        <f>IF(N2092="HKD",7.8,IF(N2092="CNY",7.30034,1))</f>
        <v>7.3003400000000003</v>
      </c>
      <c r="R2092" s="10">
        <f>+ROUND(O2092/Q2092,4)</f>
        <v>0.78080000000000005</v>
      </c>
      <c r="S2092" s="11">
        <f>ROUND(R2092*L2092,2)</f>
        <v>780.8</v>
      </c>
      <c r="T2092" s="10" t="s">
        <v>349</v>
      </c>
      <c r="U2092" s="15" t="s">
        <v>36</v>
      </c>
    </row>
    <row r="2093" spans="1:21">
      <c r="A2093" s="15" t="s">
        <v>1383</v>
      </c>
      <c r="B2093" s="16">
        <v>45659</v>
      </c>
      <c r="C2093" s="16">
        <v>45610</v>
      </c>
      <c r="D2093" s="15" t="s">
        <v>128</v>
      </c>
      <c r="E2093" s="15" t="s">
        <v>129</v>
      </c>
      <c r="G2093" s="15" t="s">
        <v>1377</v>
      </c>
      <c r="H2093" s="15" t="s">
        <v>954</v>
      </c>
      <c r="I2093" s="15" t="s">
        <v>955</v>
      </c>
      <c r="J2093" s="8" t="str">
        <f>+LEFT(U2093,4)</f>
        <v>RIV-</v>
      </c>
      <c r="K2093" s="15" t="s">
        <v>10</v>
      </c>
      <c r="L2093" s="46">
        <v>3000</v>
      </c>
      <c r="M2093" s="15" t="s">
        <v>1472</v>
      </c>
      <c r="N2093" s="15" t="s">
        <v>11</v>
      </c>
      <c r="O2093" s="49">
        <v>7.0099999999999996E-2</v>
      </c>
      <c r="P2093" s="9">
        <f>ROUND(O2093*L2093,2)</f>
        <v>210.3</v>
      </c>
      <c r="Q2093" s="10">
        <f>IF(N2093="HKD",7.8,IF(N2093="CNY",7.30034,1))</f>
        <v>7.3003400000000003</v>
      </c>
      <c r="R2093" s="10">
        <f>+ROUND(O2093/Q2093,4)</f>
        <v>9.5999999999999992E-3</v>
      </c>
      <c r="S2093" s="11">
        <f>ROUND(R2093*L2093,2)</f>
        <v>28.8</v>
      </c>
      <c r="T2093" s="10" t="s">
        <v>349</v>
      </c>
      <c r="U2093" s="15" t="s">
        <v>132</v>
      </c>
    </row>
    <row r="2094" spans="1:21">
      <c r="A2094" s="15" t="s">
        <v>1382</v>
      </c>
      <c r="B2094" s="16">
        <v>45659</v>
      </c>
      <c r="C2094" s="16">
        <v>45622</v>
      </c>
      <c r="D2094" s="15" t="s">
        <v>128</v>
      </c>
      <c r="E2094" s="15" t="s">
        <v>129</v>
      </c>
      <c r="G2094" s="15" t="s">
        <v>1377</v>
      </c>
      <c r="H2094" s="15" t="s">
        <v>954</v>
      </c>
      <c r="I2094" s="15" t="s">
        <v>955</v>
      </c>
      <c r="J2094" s="8" t="str">
        <f>+LEFT(U2094,4)</f>
        <v>RIV-</v>
      </c>
      <c r="K2094" s="15" t="s">
        <v>10</v>
      </c>
      <c r="L2094" s="46">
        <v>8000</v>
      </c>
      <c r="M2094" s="15" t="s">
        <v>1472</v>
      </c>
      <c r="N2094" s="15" t="s">
        <v>11</v>
      </c>
      <c r="O2094" s="49">
        <v>7.0099999999999996E-2</v>
      </c>
      <c r="P2094" s="9">
        <f>ROUND(O2094*L2094,2)</f>
        <v>560.79999999999995</v>
      </c>
      <c r="Q2094" s="10">
        <f>IF(N2094="HKD",7.8,IF(N2094="CNY",7.30034,1))</f>
        <v>7.3003400000000003</v>
      </c>
      <c r="R2094" s="10">
        <f>+ROUND(O2094/Q2094,4)</f>
        <v>9.5999999999999992E-3</v>
      </c>
      <c r="S2094" s="11">
        <f>ROUND(R2094*L2094,2)</f>
        <v>76.8</v>
      </c>
      <c r="T2094" s="10" t="s">
        <v>349</v>
      </c>
      <c r="U2094" s="15" t="s">
        <v>132</v>
      </c>
    </row>
    <row r="2095" spans="1:21">
      <c r="A2095" s="15" t="s">
        <v>1381</v>
      </c>
      <c r="B2095" s="16">
        <v>45659</v>
      </c>
      <c r="C2095" s="16">
        <v>45622</v>
      </c>
      <c r="D2095" s="15" t="s">
        <v>128</v>
      </c>
      <c r="E2095" s="15" t="s">
        <v>129</v>
      </c>
      <c r="G2095" s="15" t="s">
        <v>1377</v>
      </c>
      <c r="H2095" s="15" t="s">
        <v>954</v>
      </c>
      <c r="I2095" s="15" t="s">
        <v>955</v>
      </c>
      <c r="J2095" s="8" t="str">
        <f>+LEFT(U2095,4)</f>
        <v>RIV-</v>
      </c>
      <c r="K2095" s="15" t="s">
        <v>10</v>
      </c>
      <c r="L2095" s="46">
        <v>12000</v>
      </c>
      <c r="M2095" s="15" t="s">
        <v>1472</v>
      </c>
      <c r="N2095" s="15" t="s">
        <v>11</v>
      </c>
      <c r="O2095" s="49">
        <v>7.0099999999999996E-2</v>
      </c>
      <c r="P2095" s="9">
        <f>ROUND(O2095*L2095,2)</f>
        <v>841.2</v>
      </c>
      <c r="Q2095" s="10">
        <f>IF(N2095="HKD",7.8,IF(N2095="CNY",7.30034,1))</f>
        <v>7.3003400000000003</v>
      </c>
      <c r="R2095" s="10">
        <f>+ROUND(O2095/Q2095,4)</f>
        <v>9.5999999999999992E-3</v>
      </c>
      <c r="S2095" s="11">
        <f>ROUND(R2095*L2095,2)</f>
        <v>115.2</v>
      </c>
      <c r="T2095" s="10" t="s">
        <v>349</v>
      </c>
      <c r="U2095" s="15" t="s">
        <v>132</v>
      </c>
    </row>
    <row r="2096" spans="1:21">
      <c r="A2096" s="15" t="s">
        <v>1380</v>
      </c>
      <c r="B2096" s="16">
        <v>45659</v>
      </c>
      <c r="C2096" s="16">
        <v>45636</v>
      </c>
      <c r="D2096" s="15" t="s">
        <v>128</v>
      </c>
      <c r="E2096" s="15" t="s">
        <v>129</v>
      </c>
      <c r="G2096" s="15" t="s">
        <v>1377</v>
      </c>
      <c r="H2096" s="15" t="s">
        <v>954</v>
      </c>
      <c r="I2096" s="15" t="s">
        <v>955</v>
      </c>
      <c r="J2096" s="8" t="str">
        <f>+LEFT(U2096,4)</f>
        <v>RIV-</v>
      </c>
      <c r="K2096" s="15" t="s">
        <v>10</v>
      </c>
      <c r="L2096" s="46">
        <v>6500</v>
      </c>
      <c r="M2096" s="15" t="s">
        <v>1472</v>
      </c>
      <c r="N2096" s="15" t="s">
        <v>11</v>
      </c>
      <c r="O2096" s="49">
        <v>7.0099999999999996E-2</v>
      </c>
      <c r="P2096" s="9">
        <f>ROUND(O2096*L2096,2)</f>
        <v>455.65</v>
      </c>
      <c r="Q2096" s="10">
        <f>IF(N2096="HKD",7.8,IF(N2096="CNY",7.30034,1))</f>
        <v>7.3003400000000003</v>
      </c>
      <c r="R2096" s="10">
        <f>+ROUND(O2096/Q2096,4)</f>
        <v>9.5999999999999992E-3</v>
      </c>
      <c r="S2096" s="11">
        <f>ROUND(R2096*L2096,2)</f>
        <v>62.4</v>
      </c>
      <c r="T2096" s="10" t="s">
        <v>349</v>
      </c>
      <c r="U2096" s="15" t="s">
        <v>132</v>
      </c>
    </row>
    <row r="2097" spans="1:21">
      <c r="A2097" s="15" t="s">
        <v>1385</v>
      </c>
      <c r="B2097" s="16">
        <v>45659</v>
      </c>
      <c r="C2097" s="16">
        <v>45643</v>
      </c>
      <c r="D2097" s="15" t="s">
        <v>128</v>
      </c>
      <c r="E2097" s="15" t="s">
        <v>129</v>
      </c>
      <c r="G2097" s="15" t="s">
        <v>1377</v>
      </c>
      <c r="H2097" s="15" t="s">
        <v>950</v>
      </c>
      <c r="I2097" s="15" t="s">
        <v>951</v>
      </c>
      <c r="J2097" s="8" t="str">
        <f>+LEFT(U2097,4)</f>
        <v>RIV-</v>
      </c>
      <c r="K2097" s="15" t="s">
        <v>10</v>
      </c>
      <c r="L2097" s="46">
        <v>2050</v>
      </c>
      <c r="M2097" s="15" t="s">
        <v>1472</v>
      </c>
      <c r="N2097" s="15" t="s">
        <v>11</v>
      </c>
      <c r="O2097" s="49">
        <v>0.1016</v>
      </c>
      <c r="P2097" s="9">
        <f>ROUND(O2097*L2097,2)</f>
        <v>208.28</v>
      </c>
      <c r="Q2097" s="10">
        <f>IF(N2097="HKD",7.8,IF(N2097="CNY",7.30034,1))</f>
        <v>7.3003400000000003</v>
      </c>
      <c r="R2097" s="10">
        <f>+ROUND(O2097/Q2097,4)</f>
        <v>1.3899999999999999E-2</v>
      </c>
      <c r="S2097" s="11">
        <f>ROUND(R2097*L2097,2)</f>
        <v>28.5</v>
      </c>
      <c r="T2097" s="10" t="s">
        <v>349</v>
      </c>
      <c r="U2097" s="15" t="s">
        <v>132</v>
      </c>
    </row>
    <row r="2098" spans="1:21">
      <c r="A2098" s="15" t="s">
        <v>952</v>
      </c>
      <c r="B2098" s="16">
        <v>45659</v>
      </c>
      <c r="C2098" s="16">
        <v>45644</v>
      </c>
      <c r="D2098" s="15" t="s">
        <v>128</v>
      </c>
      <c r="E2098" s="15" t="s">
        <v>129</v>
      </c>
      <c r="G2098" s="15" t="s">
        <v>1377</v>
      </c>
      <c r="H2098" s="15" t="s">
        <v>950</v>
      </c>
      <c r="I2098" s="15" t="s">
        <v>951</v>
      </c>
      <c r="J2098" s="8" t="str">
        <f>+LEFT(U2098,4)</f>
        <v>RIV-</v>
      </c>
      <c r="K2098" s="15" t="s">
        <v>10</v>
      </c>
      <c r="L2098" s="46">
        <v>6600</v>
      </c>
      <c r="M2098" s="15" t="s">
        <v>1472</v>
      </c>
      <c r="N2098" s="15" t="s">
        <v>11</v>
      </c>
      <c r="O2098" s="49">
        <v>0.1016</v>
      </c>
      <c r="P2098" s="9">
        <f>ROUND(O2098*L2098,2)</f>
        <v>670.56</v>
      </c>
      <c r="Q2098" s="10">
        <f>IF(N2098="HKD",7.8,IF(N2098="CNY",7.30034,1))</f>
        <v>7.3003400000000003</v>
      </c>
      <c r="R2098" s="10">
        <f>+ROUND(O2098/Q2098,4)</f>
        <v>1.3899999999999999E-2</v>
      </c>
      <c r="S2098" s="11">
        <f>ROUND(R2098*L2098,2)</f>
        <v>91.74</v>
      </c>
      <c r="T2098" s="10" t="s">
        <v>349</v>
      </c>
      <c r="U2098" s="15" t="s">
        <v>132</v>
      </c>
    </row>
    <row r="2099" spans="1:21">
      <c r="A2099" s="15" t="s">
        <v>1384</v>
      </c>
      <c r="B2099" s="16">
        <v>45659</v>
      </c>
      <c r="C2099" s="16">
        <v>45646</v>
      </c>
      <c r="D2099" s="15" t="s">
        <v>128</v>
      </c>
      <c r="E2099" s="15" t="s">
        <v>129</v>
      </c>
      <c r="G2099" s="15" t="s">
        <v>1377</v>
      </c>
      <c r="H2099" s="15" t="s">
        <v>950</v>
      </c>
      <c r="I2099" s="15" t="s">
        <v>951</v>
      </c>
      <c r="J2099" s="8" t="str">
        <f>+LEFT(U2099,4)</f>
        <v>RIV-</v>
      </c>
      <c r="K2099" s="15" t="s">
        <v>10</v>
      </c>
      <c r="L2099" s="46">
        <v>2100</v>
      </c>
      <c r="M2099" s="15" t="s">
        <v>1472</v>
      </c>
      <c r="N2099" s="15" t="s">
        <v>11</v>
      </c>
      <c r="O2099" s="49">
        <v>0.1016</v>
      </c>
      <c r="P2099" s="9">
        <f>ROUND(O2099*L2099,2)</f>
        <v>213.36</v>
      </c>
      <c r="Q2099" s="10">
        <f>IF(N2099="HKD",7.8,IF(N2099="CNY",7.30034,1))</f>
        <v>7.3003400000000003</v>
      </c>
      <c r="R2099" s="10">
        <f>+ROUND(O2099/Q2099,4)</f>
        <v>1.3899999999999999E-2</v>
      </c>
      <c r="S2099" s="11">
        <f>ROUND(R2099*L2099,2)</f>
        <v>29.19</v>
      </c>
      <c r="T2099" s="10" t="s">
        <v>349</v>
      </c>
      <c r="U2099" s="15" t="s">
        <v>132</v>
      </c>
    </row>
    <row r="2100" spans="1:21">
      <c r="A2100" s="15" t="s">
        <v>1395</v>
      </c>
      <c r="B2100" s="16">
        <v>45659</v>
      </c>
      <c r="C2100" s="16">
        <v>45610</v>
      </c>
      <c r="D2100" s="15" t="s">
        <v>143</v>
      </c>
      <c r="E2100" s="15" t="s">
        <v>144</v>
      </c>
      <c r="G2100" s="15" t="s">
        <v>1396</v>
      </c>
      <c r="H2100" s="15" t="s">
        <v>1393</v>
      </c>
      <c r="I2100" s="15" t="s">
        <v>1394</v>
      </c>
      <c r="J2100" s="8" t="str">
        <f>+LEFT(U2100,4)</f>
        <v>SHDL</v>
      </c>
      <c r="K2100" s="15" t="s">
        <v>10</v>
      </c>
      <c r="L2100" s="46">
        <v>2000</v>
      </c>
      <c r="M2100" s="15" t="s">
        <v>1472</v>
      </c>
      <c r="N2100" s="15" t="s">
        <v>11</v>
      </c>
      <c r="O2100" s="49">
        <v>7.2710999999999997</v>
      </c>
      <c r="P2100" s="9">
        <f>ROUND(O2100*L2100,2)</f>
        <v>14542.2</v>
      </c>
      <c r="Q2100" s="10">
        <f>IF(N2100="HKD",7.8,IF(N2100="CNY",7.30034,1))</f>
        <v>7.3003400000000003</v>
      </c>
      <c r="R2100" s="10">
        <f>+ROUND(O2100/Q2100,4)</f>
        <v>0.996</v>
      </c>
      <c r="S2100" s="11">
        <f>ROUND(R2100*L2100,2)</f>
        <v>1992</v>
      </c>
      <c r="T2100" s="10" t="s">
        <v>349</v>
      </c>
      <c r="U2100" s="15" t="s">
        <v>722</v>
      </c>
    </row>
    <row r="2101" spans="1:21">
      <c r="A2101" s="15" t="s">
        <v>1274</v>
      </c>
      <c r="B2101" s="16">
        <v>45659</v>
      </c>
      <c r="C2101" s="16">
        <v>45576</v>
      </c>
      <c r="D2101" s="15" t="s">
        <v>94</v>
      </c>
      <c r="E2101" s="15" t="s">
        <v>95</v>
      </c>
      <c r="G2101" s="15" t="s">
        <v>1451</v>
      </c>
      <c r="H2101" s="15" t="s">
        <v>1272</v>
      </c>
      <c r="I2101" s="15" t="s">
        <v>1273</v>
      </c>
      <c r="J2101" s="8" t="str">
        <f>+LEFT(U2101,4)</f>
        <v>SKU-</v>
      </c>
      <c r="K2101" s="15" t="s">
        <v>98</v>
      </c>
      <c r="L2101" s="46">
        <v>800</v>
      </c>
      <c r="M2101" s="15" t="s">
        <v>1472</v>
      </c>
      <c r="N2101" s="15" t="s">
        <v>11</v>
      </c>
      <c r="O2101" s="49">
        <v>4.91</v>
      </c>
      <c r="P2101" s="9">
        <f>ROUND(O2101*L2101,2)</f>
        <v>3928</v>
      </c>
      <c r="Q2101" s="10">
        <f>IF(N2101="HKD",7.8,IF(N2101="CNY",7.30034,1))</f>
        <v>7.3003400000000003</v>
      </c>
      <c r="R2101" s="10">
        <f>+ROUND(O2101/Q2101,4)</f>
        <v>0.67259999999999998</v>
      </c>
      <c r="S2101" s="11">
        <f>ROUND(R2101*L2101,2)</f>
        <v>538.08000000000004</v>
      </c>
      <c r="T2101" s="10" t="s">
        <v>349</v>
      </c>
      <c r="U2101" s="15" t="s">
        <v>2</v>
      </c>
    </row>
    <row r="2102" spans="1:21">
      <c r="A2102" s="15" t="s">
        <v>1392</v>
      </c>
      <c r="B2102" s="16">
        <v>45659</v>
      </c>
      <c r="C2102" s="16">
        <v>45609</v>
      </c>
      <c r="D2102" s="15" t="s">
        <v>143</v>
      </c>
      <c r="E2102" s="15" t="s">
        <v>144</v>
      </c>
      <c r="G2102" s="15" t="s">
        <v>1389</v>
      </c>
      <c r="H2102" s="15" t="s">
        <v>939</v>
      </c>
      <c r="I2102" s="15" t="s">
        <v>940</v>
      </c>
      <c r="J2102" s="8" t="str">
        <f>+LEFT(U2102,4)</f>
        <v>WHR-</v>
      </c>
      <c r="K2102" s="15" t="s">
        <v>10</v>
      </c>
      <c r="L2102" s="46">
        <v>4000</v>
      </c>
      <c r="M2102" s="15" t="s">
        <v>1472</v>
      </c>
      <c r="N2102" s="15" t="s">
        <v>11</v>
      </c>
      <c r="O2102" s="49">
        <v>6.2E-2</v>
      </c>
      <c r="P2102" s="9">
        <f>ROUND(O2102*L2102,2)</f>
        <v>248</v>
      </c>
      <c r="Q2102" s="10">
        <f>IF(N2102="HKD",7.8,IF(N2102="CNY",7.30034,1))</f>
        <v>7.3003400000000003</v>
      </c>
      <c r="R2102" s="10">
        <f>+ROUND(O2102/Q2102,4)</f>
        <v>8.5000000000000006E-3</v>
      </c>
      <c r="S2102" s="11">
        <f>ROUND(R2102*L2102,2)</f>
        <v>34</v>
      </c>
      <c r="T2102" s="10" t="s">
        <v>349</v>
      </c>
      <c r="U2102" s="15" t="s">
        <v>248</v>
      </c>
    </row>
    <row r="2103" spans="1:21">
      <c r="A2103" s="15" t="s">
        <v>1391</v>
      </c>
      <c r="B2103" s="16">
        <v>45659</v>
      </c>
      <c r="C2103" s="16">
        <v>45622</v>
      </c>
      <c r="D2103" s="15" t="s">
        <v>143</v>
      </c>
      <c r="E2103" s="15" t="s">
        <v>144</v>
      </c>
      <c r="G2103" s="15" t="s">
        <v>1389</v>
      </c>
      <c r="H2103" s="15" t="s">
        <v>939</v>
      </c>
      <c r="I2103" s="15" t="s">
        <v>940</v>
      </c>
      <c r="J2103" s="8" t="str">
        <f>+LEFT(U2103,4)</f>
        <v>WHR-</v>
      </c>
      <c r="K2103" s="15" t="s">
        <v>10</v>
      </c>
      <c r="L2103" s="46">
        <v>2000</v>
      </c>
      <c r="M2103" s="15" t="s">
        <v>1472</v>
      </c>
      <c r="N2103" s="15" t="s">
        <v>11</v>
      </c>
      <c r="O2103" s="49">
        <v>6.2E-2</v>
      </c>
      <c r="P2103" s="9">
        <f>ROUND(O2103*L2103,2)</f>
        <v>124</v>
      </c>
      <c r="Q2103" s="10">
        <f>IF(N2103="HKD",7.8,IF(N2103="CNY",7.30034,1))</f>
        <v>7.3003400000000003</v>
      </c>
      <c r="R2103" s="10">
        <f>+ROUND(O2103/Q2103,4)</f>
        <v>8.5000000000000006E-3</v>
      </c>
      <c r="S2103" s="11">
        <f>ROUND(R2103*L2103,2)</f>
        <v>17</v>
      </c>
      <c r="T2103" s="10" t="s">
        <v>349</v>
      </c>
      <c r="U2103" s="15" t="s">
        <v>248</v>
      </c>
    </row>
    <row r="2104" spans="1:21">
      <c r="A2104" s="15" t="s">
        <v>1390</v>
      </c>
      <c r="B2104" s="16">
        <v>45659</v>
      </c>
      <c r="C2104" s="16">
        <v>45643</v>
      </c>
      <c r="D2104" s="15" t="s">
        <v>143</v>
      </c>
      <c r="E2104" s="15" t="s">
        <v>144</v>
      </c>
      <c r="G2104" s="15" t="s">
        <v>1389</v>
      </c>
      <c r="H2104" s="15" t="s">
        <v>939</v>
      </c>
      <c r="I2104" s="15" t="s">
        <v>940</v>
      </c>
      <c r="J2104" s="8" t="str">
        <f>+LEFT(U2104,4)</f>
        <v>WHR-</v>
      </c>
      <c r="K2104" s="15" t="s">
        <v>10</v>
      </c>
      <c r="L2104" s="46">
        <v>2000</v>
      </c>
      <c r="M2104" s="15" t="s">
        <v>1472</v>
      </c>
      <c r="N2104" s="15" t="s">
        <v>11</v>
      </c>
      <c r="O2104" s="49">
        <v>6.2E-2</v>
      </c>
      <c r="P2104" s="9">
        <f>ROUND(O2104*L2104,2)</f>
        <v>124</v>
      </c>
      <c r="Q2104" s="10">
        <f>IF(N2104="HKD",7.8,IF(N2104="CNY",7.30034,1))</f>
        <v>7.3003400000000003</v>
      </c>
      <c r="R2104" s="10">
        <f>+ROUND(O2104/Q2104,4)</f>
        <v>8.5000000000000006E-3</v>
      </c>
      <c r="S2104" s="11">
        <f>ROUND(R2104*L2104,2)</f>
        <v>17</v>
      </c>
      <c r="T2104" s="10" t="s">
        <v>349</v>
      </c>
      <c r="U2104" s="15" t="s">
        <v>248</v>
      </c>
    </row>
    <row r="2105" spans="1:21">
      <c r="A2105" s="15" t="s">
        <v>1399</v>
      </c>
      <c r="B2105" s="16">
        <v>45659</v>
      </c>
      <c r="C2105" s="16">
        <v>45643</v>
      </c>
      <c r="D2105" s="15" t="s">
        <v>143</v>
      </c>
      <c r="E2105" s="15" t="s">
        <v>144</v>
      </c>
      <c r="G2105" s="15" t="s">
        <v>1396</v>
      </c>
      <c r="H2105" s="15" t="s">
        <v>1397</v>
      </c>
      <c r="I2105" s="15" t="s">
        <v>1398</v>
      </c>
      <c r="J2105" s="8" t="str">
        <f>+LEFT(U2105,4)</f>
        <v>WHR-</v>
      </c>
      <c r="K2105" s="15" t="s">
        <v>10</v>
      </c>
      <c r="L2105" s="46">
        <v>2500</v>
      </c>
      <c r="M2105" s="15" t="s">
        <v>1472</v>
      </c>
      <c r="N2105" s="15" t="s">
        <v>11</v>
      </c>
      <c r="O2105" s="49">
        <v>8.9499999999999996E-2</v>
      </c>
      <c r="P2105" s="9">
        <f>ROUND(O2105*L2105,2)</f>
        <v>223.75</v>
      </c>
      <c r="Q2105" s="10">
        <f>IF(N2105="HKD",7.8,IF(N2105="CNY",7.30034,1))</f>
        <v>7.3003400000000003</v>
      </c>
      <c r="R2105" s="10">
        <f>+ROUND(O2105/Q2105,4)</f>
        <v>1.23E-2</v>
      </c>
      <c r="S2105" s="11">
        <f>ROUND(R2105*L2105,2)</f>
        <v>30.75</v>
      </c>
      <c r="T2105" s="10" t="s">
        <v>349</v>
      </c>
      <c r="U2105" s="15" t="s">
        <v>248</v>
      </c>
    </row>
    <row r="2106" spans="1:21">
      <c r="A2106" s="15" t="s">
        <v>1400</v>
      </c>
      <c r="B2106" s="16">
        <v>45659</v>
      </c>
      <c r="C2106" s="16">
        <v>45644</v>
      </c>
      <c r="D2106" s="15" t="s">
        <v>143</v>
      </c>
      <c r="E2106" s="15" t="s">
        <v>144</v>
      </c>
      <c r="G2106" s="15" t="s">
        <v>1396</v>
      </c>
      <c r="H2106" s="15" t="s">
        <v>1397</v>
      </c>
      <c r="I2106" s="15" t="s">
        <v>1398</v>
      </c>
      <c r="J2106" s="8" t="str">
        <f>+LEFT(U2106,4)</f>
        <v>WHR-</v>
      </c>
      <c r="K2106" s="15" t="s">
        <v>10</v>
      </c>
      <c r="L2106" s="46">
        <v>9000</v>
      </c>
      <c r="M2106" s="15" t="s">
        <v>1472</v>
      </c>
      <c r="N2106" s="15" t="s">
        <v>11</v>
      </c>
      <c r="O2106" s="49">
        <v>8.9499999999999996E-2</v>
      </c>
      <c r="P2106" s="9">
        <f>ROUND(O2106*L2106,2)</f>
        <v>805.5</v>
      </c>
      <c r="Q2106" s="10">
        <f>IF(N2106="HKD",7.8,IF(N2106="CNY",7.30034,1))</f>
        <v>7.3003400000000003</v>
      </c>
      <c r="R2106" s="10">
        <f>+ROUND(O2106/Q2106,4)</f>
        <v>1.23E-2</v>
      </c>
      <c r="S2106" s="11">
        <f>ROUND(R2106*L2106,2)</f>
        <v>110.7</v>
      </c>
      <c r="T2106" s="10" t="s">
        <v>349</v>
      </c>
      <c r="U2106" s="15" t="s">
        <v>248</v>
      </c>
    </row>
    <row r="2107" spans="1:21">
      <c r="A2107" s="15" t="s">
        <v>1401</v>
      </c>
      <c r="B2107" s="16">
        <v>45659</v>
      </c>
      <c r="C2107" s="16">
        <v>45609</v>
      </c>
      <c r="D2107" s="15" t="s">
        <v>143</v>
      </c>
      <c r="E2107" s="15" t="s">
        <v>144</v>
      </c>
      <c r="G2107" s="15" t="s">
        <v>1396</v>
      </c>
      <c r="H2107" s="15" t="s">
        <v>245</v>
      </c>
      <c r="I2107" s="15" t="s">
        <v>246</v>
      </c>
      <c r="J2107" s="8" t="str">
        <f>+LEFT(U2107,4)</f>
        <v>WHR-</v>
      </c>
      <c r="K2107" s="15" t="s">
        <v>10</v>
      </c>
      <c r="L2107" s="46">
        <v>2300</v>
      </c>
      <c r="M2107" s="15" t="s">
        <v>1472</v>
      </c>
      <c r="N2107" s="15" t="s">
        <v>11</v>
      </c>
      <c r="O2107" s="49">
        <v>0.1096</v>
      </c>
      <c r="P2107" s="9">
        <f>ROUND(O2107*L2107,2)</f>
        <v>252.08</v>
      </c>
      <c r="Q2107" s="10">
        <f>IF(N2107="HKD",7.8,IF(N2107="CNY",7.30034,1))</f>
        <v>7.3003400000000003</v>
      </c>
      <c r="R2107" s="10">
        <f>+ROUND(O2107/Q2107,4)</f>
        <v>1.4999999999999999E-2</v>
      </c>
      <c r="S2107" s="11">
        <f>ROUND(R2107*L2107,2)</f>
        <v>34.5</v>
      </c>
      <c r="T2107" s="10" t="s">
        <v>349</v>
      </c>
      <c r="U2107" s="15" t="s">
        <v>248</v>
      </c>
    </row>
    <row r="2108" spans="1:21">
      <c r="A2108" s="15" t="s">
        <v>1414</v>
      </c>
      <c r="B2108" s="16">
        <v>45659</v>
      </c>
      <c r="C2108" s="16">
        <v>45639</v>
      </c>
      <c r="D2108" s="15" t="s">
        <v>569</v>
      </c>
      <c r="E2108" s="15" t="s">
        <v>570</v>
      </c>
      <c r="G2108" s="15" t="s">
        <v>1403</v>
      </c>
      <c r="H2108" s="15" t="s">
        <v>1412</v>
      </c>
      <c r="I2108" s="15" t="s">
        <v>1413</v>
      </c>
      <c r="J2108" s="8" t="str">
        <f>+LEFT(U2108,4)</f>
        <v>WHR-</v>
      </c>
      <c r="K2108" s="15" t="s">
        <v>10</v>
      </c>
      <c r="L2108" s="46">
        <v>2560</v>
      </c>
      <c r="M2108" s="15" t="s">
        <v>1472</v>
      </c>
      <c r="N2108" s="15" t="s">
        <v>11</v>
      </c>
      <c r="O2108" s="49">
        <v>0.1176</v>
      </c>
      <c r="P2108" s="9">
        <f>ROUND(O2108*L2108,2)</f>
        <v>301.06</v>
      </c>
      <c r="Q2108" s="10">
        <f>IF(N2108="HKD",7.8,IF(N2108="CNY",7.30034,1))</f>
        <v>7.3003400000000003</v>
      </c>
      <c r="R2108" s="10">
        <f>+ROUND(O2108/Q2108,4)</f>
        <v>1.61E-2</v>
      </c>
      <c r="S2108" s="11">
        <f>ROUND(R2108*L2108,2)</f>
        <v>41.22</v>
      </c>
      <c r="T2108" s="10" t="s">
        <v>349</v>
      </c>
      <c r="U2108" s="15" t="s">
        <v>248</v>
      </c>
    </row>
    <row r="2109" spans="1:21">
      <c r="A2109" s="15" t="s">
        <v>1388</v>
      </c>
      <c r="B2109" s="16">
        <v>45659</v>
      </c>
      <c r="C2109" s="16">
        <v>45629</v>
      </c>
      <c r="D2109" s="15" t="s">
        <v>143</v>
      </c>
      <c r="E2109" s="15" t="s">
        <v>144</v>
      </c>
      <c r="G2109" s="15" t="s">
        <v>1389</v>
      </c>
      <c r="H2109" s="15" t="s">
        <v>1386</v>
      </c>
      <c r="I2109" s="15" t="s">
        <v>1387</v>
      </c>
      <c r="J2109" s="8" t="str">
        <f>+LEFT(U2109,4)</f>
        <v>WHR-</v>
      </c>
      <c r="K2109" s="15" t="s">
        <v>10</v>
      </c>
      <c r="L2109" s="46">
        <v>500</v>
      </c>
      <c r="M2109" s="15" t="s">
        <v>1472</v>
      </c>
      <c r="N2109" s="15" t="s">
        <v>11</v>
      </c>
      <c r="O2109" s="49">
        <v>0.14000000000000001</v>
      </c>
      <c r="P2109" s="9">
        <f>ROUND(O2109*L2109,2)</f>
        <v>70</v>
      </c>
      <c r="Q2109" s="10">
        <f>IF(N2109="HKD",7.8,IF(N2109="CNY",7.30034,1))</f>
        <v>7.3003400000000003</v>
      </c>
      <c r="R2109" s="10">
        <f>+ROUND(O2109/Q2109,4)</f>
        <v>1.9199999999999998E-2</v>
      </c>
      <c r="S2109" s="11">
        <f>ROUND(R2109*L2109,2)</f>
        <v>9.6</v>
      </c>
      <c r="T2109" s="10" t="s">
        <v>349</v>
      </c>
      <c r="U2109" s="15" t="s">
        <v>248</v>
      </c>
    </row>
    <row r="2110" spans="1:21">
      <c r="A2110" s="15" t="s">
        <v>1402</v>
      </c>
      <c r="B2110" s="16">
        <v>45659</v>
      </c>
      <c r="C2110" s="16">
        <v>45644</v>
      </c>
      <c r="D2110" s="15" t="s">
        <v>569</v>
      </c>
      <c r="E2110" s="15" t="s">
        <v>570</v>
      </c>
      <c r="G2110" s="15" t="s">
        <v>1403</v>
      </c>
      <c r="H2110" s="15" t="s">
        <v>772</v>
      </c>
      <c r="I2110" s="15" t="s">
        <v>773</v>
      </c>
      <c r="J2110" s="8" t="str">
        <f>+LEFT(U2110,4)</f>
        <v>WHR-</v>
      </c>
      <c r="K2110" s="15" t="s">
        <v>10</v>
      </c>
      <c r="L2110" s="46">
        <v>2100</v>
      </c>
      <c r="M2110" s="15" t="s">
        <v>1472</v>
      </c>
      <c r="N2110" s="15" t="s">
        <v>11</v>
      </c>
      <c r="O2110" s="49">
        <v>0.441</v>
      </c>
      <c r="P2110" s="9">
        <f>ROUND(O2110*L2110,2)</f>
        <v>926.1</v>
      </c>
      <c r="Q2110" s="10">
        <f>IF(N2110="HKD",7.8,IF(N2110="CNY",7.30034,1))</f>
        <v>7.3003400000000003</v>
      </c>
      <c r="R2110" s="10">
        <f>+ROUND(O2110/Q2110,4)</f>
        <v>6.0400000000000002E-2</v>
      </c>
      <c r="S2110" s="11">
        <f>ROUND(R2110*L2110,2)</f>
        <v>126.84</v>
      </c>
      <c r="T2110" s="10" t="s">
        <v>349</v>
      </c>
      <c r="U2110" s="15" t="s">
        <v>248</v>
      </c>
    </row>
  </sheetData>
  <autoFilter ref="A1:AA1" xr:uid="{00000000-0009-0000-0000-000000000000}">
    <sortState xmlns:xlrd2="http://schemas.microsoft.com/office/spreadsheetml/2017/richdata2" ref="A2:V2110">
      <sortCondition descending="1" ref="B1"/>
    </sortState>
  </autoFilter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110"/>
  <sheetViews>
    <sheetView tabSelected="1" workbookViewId="0">
      <pane xSplit="8" ySplit="1" topLeftCell="I2105" activePane="bottomRight" state="frozen"/>
      <selection pane="topRight" activeCell="I1" sqref="I1"/>
      <selection pane="bottomLeft" activeCell="A2" sqref="A2"/>
      <selection pane="bottomRight" activeCell="A2" sqref="A2:V2110"/>
    </sheetView>
  </sheetViews>
  <sheetFormatPr defaultColWidth="9.109375" defaultRowHeight="13.2"/>
  <cols>
    <col min="1" max="1" width="12.88671875" style="31" customWidth="1"/>
    <col min="2" max="2" width="9.88671875" style="31" bestFit="1" customWidth="1"/>
    <col min="3" max="3" width="10.44140625" style="31" customWidth="1"/>
    <col min="4" max="5" width="9.109375" style="31"/>
    <col min="6" max="6" width="9.109375" style="40"/>
    <col min="7" max="7" width="9.109375" style="31"/>
    <col min="8" max="8" width="13" style="31" customWidth="1"/>
    <col min="9" max="11" width="9.109375" style="31"/>
    <col min="12" max="12" width="10" style="52" customWidth="1"/>
    <col min="13" max="14" width="9.109375" style="31"/>
    <col min="15" max="15" width="12.33203125" style="53" customWidth="1"/>
    <col min="16" max="16" width="12.33203125" style="31" bestFit="1" customWidth="1"/>
    <col min="17" max="18" width="9.33203125" style="31" hidden="1" customWidth="1"/>
    <col min="19" max="19" width="10.44140625" style="31" hidden="1" customWidth="1"/>
    <col min="20" max="21" width="0" style="31" hidden="1" customWidth="1"/>
    <col min="22" max="22" width="14.44140625" style="58" customWidth="1"/>
    <col min="23" max="23" width="11.33203125" style="41" bestFit="1" customWidth="1"/>
    <col min="24" max="16384" width="9.109375" style="31"/>
  </cols>
  <sheetData>
    <row r="1" spans="1:24" s="28" customFormat="1" ht="36" customHeight="1">
      <c r="A1" s="21" t="s">
        <v>2266</v>
      </c>
      <c r="B1" s="22" t="s">
        <v>1453</v>
      </c>
      <c r="C1" s="22" t="s">
        <v>1454</v>
      </c>
      <c r="D1" s="21" t="s">
        <v>2267</v>
      </c>
      <c r="E1" s="21" t="s">
        <v>2268</v>
      </c>
      <c r="F1" s="23" t="s">
        <v>1457</v>
      </c>
      <c r="G1" s="21" t="s">
        <v>1458</v>
      </c>
      <c r="H1" s="21" t="s">
        <v>1459</v>
      </c>
      <c r="I1" s="21" t="s">
        <v>1460</v>
      </c>
      <c r="J1" s="21" t="s">
        <v>2269</v>
      </c>
      <c r="K1" s="21" t="s">
        <v>1462</v>
      </c>
      <c r="L1" s="51" t="s">
        <v>1463</v>
      </c>
      <c r="M1" s="21" t="s">
        <v>1464</v>
      </c>
      <c r="N1" s="24" t="s">
        <v>1465</v>
      </c>
      <c r="O1" s="55" t="s">
        <v>1466</v>
      </c>
      <c r="P1" s="25" t="s">
        <v>1467</v>
      </c>
      <c r="Q1" s="24" t="s">
        <v>1468</v>
      </c>
      <c r="R1" s="26" t="s">
        <v>1469</v>
      </c>
      <c r="S1" s="27" t="s">
        <v>1470</v>
      </c>
      <c r="T1" s="28" t="s">
        <v>1471</v>
      </c>
      <c r="V1" s="56" t="s">
        <v>2270</v>
      </c>
      <c r="W1" s="29" t="s">
        <v>2271</v>
      </c>
      <c r="X1" s="30"/>
    </row>
    <row r="2" spans="1:24" s="39" customFormat="1">
      <c r="A2" s="31" t="s">
        <v>1270</v>
      </c>
      <c r="B2" s="32">
        <v>45663</v>
      </c>
      <c r="C2" s="32">
        <v>45576</v>
      </c>
      <c r="D2" s="31" t="s">
        <v>94</v>
      </c>
      <c r="E2" s="31" t="s">
        <v>95</v>
      </c>
      <c r="F2" s="33"/>
      <c r="G2" s="31" t="s">
        <v>1271</v>
      </c>
      <c r="H2" s="31" t="s">
        <v>1268</v>
      </c>
      <c r="I2" s="31" t="s">
        <v>1269</v>
      </c>
      <c r="J2" s="34" t="str">
        <f t="shared" ref="J2:J65" si="0">+LEFT(U2,4)</f>
        <v>SKU-</v>
      </c>
      <c r="K2" s="31" t="s">
        <v>98</v>
      </c>
      <c r="L2" s="52">
        <v>1000</v>
      </c>
      <c r="M2" s="31" t="s">
        <v>1472</v>
      </c>
      <c r="N2" s="31" t="s">
        <v>11</v>
      </c>
      <c r="O2" s="53">
        <v>4.3499999999999996</v>
      </c>
      <c r="P2" s="35">
        <f t="shared" ref="P2:P65" si="1">ROUND(O2*L2,2)</f>
        <v>4350</v>
      </c>
      <c r="Q2" s="36">
        <f t="shared" ref="Q2:Q65" si="2">IF(N2="HKD",7.8,IF(N2="CNY",7.30034,1))</f>
        <v>7.3003400000000003</v>
      </c>
      <c r="R2" s="36">
        <f t="shared" ref="R2:R65" si="3">+ROUND(O2/Q2,4)</f>
        <v>0.59589999999999999</v>
      </c>
      <c r="S2" s="37">
        <f t="shared" ref="S2:S65" si="4">ROUND(R2*L2,2)</f>
        <v>595.9</v>
      </c>
      <c r="T2" s="36" t="s">
        <v>349</v>
      </c>
      <c r="U2" s="31" t="s">
        <v>2</v>
      </c>
      <c r="V2" s="57">
        <v>7.1879</v>
      </c>
      <c r="W2" s="38">
        <f t="shared" ref="W2:W65" si="5">IF(N2="CNY",O2/V2*L2,1)</f>
        <v>605.18371151518522</v>
      </c>
    </row>
    <row r="3" spans="1:24" s="39" customFormat="1">
      <c r="A3" s="31" t="s">
        <v>116</v>
      </c>
      <c r="B3" s="32">
        <v>45678</v>
      </c>
      <c r="C3" s="32">
        <v>45677</v>
      </c>
      <c r="D3" s="31" t="s">
        <v>101</v>
      </c>
      <c r="E3" s="31" t="s">
        <v>102</v>
      </c>
      <c r="F3" s="33"/>
      <c r="G3" s="31" t="s">
        <v>117</v>
      </c>
      <c r="H3" s="31" t="s">
        <v>114</v>
      </c>
      <c r="I3" s="31" t="s">
        <v>115</v>
      </c>
      <c r="J3" s="34" t="str">
        <f t="shared" si="0"/>
        <v>STKR</v>
      </c>
      <c r="K3" s="31" t="s">
        <v>10</v>
      </c>
      <c r="L3" s="52">
        <v>5000</v>
      </c>
      <c r="M3" s="31" t="s">
        <v>1472</v>
      </c>
      <c r="N3" s="31" t="s">
        <v>11</v>
      </c>
      <c r="O3" s="53">
        <v>2.5000000000000001E-2</v>
      </c>
      <c r="P3" s="35">
        <f t="shared" si="1"/>
        <v>125</v>
      </c>
      <c r="Q3" s="36">
        <f t="shared" si="2"/>
        <v>7.3003400000000003</v>
      </c>
      <c r="R3" s="36">
        <f t="shared" si="3"/>
        <v>3.3999999999999998E-3</v>
      </c>
      <c r="S3" s="37">
        <f t="shared" si="4"/>
        <v>17</v>
      </c>
      <c r="T3" s="36" t="s">
        <v>349</v>
      </c>
      <c r="U3" s="31" t="s">
        <v>18</v>
      </c>
      <c r="V3" s="57">
        <v>7.1879</v>
      </c>
      <c r="W3" s="38">
        <f t="shared" si="5"/>
        <v>17.390336537792681</v>
      </c>
    </row>
    <row r="4" spans="1:24" s="39" customFormat="1">
      <c r="A4" s="31" t="s">
        <v>1135</v>
      </c>
      <c r="B4" s="32">
        <v>45663</v>
      </c>
      <c r="C4" s="32">
        <v>45643</v>
      </c>
      <c r="D4" s="31" t="s">
        <v>169</v>
      </c>
      <c r="E4" s="31" t="s">
        <v>170</v>
      </c>
      <c r="F4" s="33"/>
      <c r="G4" s="31" t="s">
        <v>1132</v>
      </c>
      <c r="H4" s="31" t="s">
        <v>1133</v>
      </c>
      <c r="I4" s="31" t="s">
        <v>1134</v>
      </c>
      <c r="J4" s="34" t="str">
        <f t="shared" si="0"/>
        <v>STKR</v>
      </c>
      <c r="K4" s="31" t="s">
        <v>10</v>
      </c>
      <c r="L4" s="52">
        <v>11300</v>
      </c>
      <c r="M4" s="31" t="s">
        <v>1472</v>
      </c>
      <c r="N4" s="31" t="s">
        <v>11</v>
      </c>
      <c r="O4" s="53">
        <v>2.5899999999999999E-2</v>
      </c>
      <c r="P4" s="35">
        <f t="shared" si="1"/>
        <v>292.67</v>
      </c>
      <c r="Q4" s="36">
        <f t="shared" si="2"/>
        <v>7.3003400000000003</v>
      </c>
      <c r="R4" s="36">
        <f t="shared" si="3"/>
        <v>3.5000000000000001E-3</v>
      </c>
      <c r="S4" s="37">
        <f t="shared" si="4"/>
        <v>39.549999999999997</v>
      </c>
      <c r="T4" s="36" t="s">
        <v>349</v>
      </c>
      <c r="U4" s="31" t="s">
        <v>18</v>
      </c>
      <c r="V4" s="57">
        <v>7.1879</v>
      </c>
      <c r="W4" s="38">
        <f t="shared" si="5"/>
        <v>40.717038356126267</v>
      </c>
    </row>
    <row r="5" spans="1:24">
      <c r="A5" s="31" t="s">
        <v>16</v>
      </c>
      <c r="B5" s="32">
        <v>45680</v>
      </c>
      <c r="C5" s="32">
        <v>45671</v>
      </c>
      <c r="D5" s="31" t="s">
        <v>14</v>
      </c>
      <c r="E5" s="31" t="s">
        <v>15</v>
      </c>
      <c r="G5" s="31" t="s">
        <v>17</v>
      </c>
      <c r="H5" s="31" t="s">
        <v>12</v>
      </c>
      <c r="I5" s="31" t="s">
        <v>13</v>
      </c>
      <c r="J5" s="34" t="str">
        <f t="shared" si="0"/>
        <v>STKR</v>
      </c>
      <c r="K5" s="31" t="s">
        <v>10</v>
      </c>
      <c r="L5" s="52">
        <v>60000</v>
      </c>
      <c r="M5" s="31" t="s">
        <v>1472</v>
      </c>
      <c r="N5" s="31" t="s">
        <v>11</v>
      </c>
      <c r="O5" s="53">
        <v>2.8199999999999999E-2</v>
      </c>
      <c r="P5" s="35">
        <f t="shared" si="1"/>
        <v>1692</v>
      </c>
      <c r="Q5" s="36">
        <f t="shared" si="2"/>
        <v>7.3003400000000003</v>
      </c>
      <c r="R5" s="36">
        <f t="shared" si="3"/>
        <v>3.8999999999999998E-3</v>
      </c>
      <c r="S5" s="37">
        <f t="shared" si="4"/>
        <v>234</v>
      </c>
      <c r="T5" s="36" t="s">
        <v>349</v>
      </c>
      <c r="U5" s="31" t="s">
        <v>18</v>
      </c>
      <c r="V5" s="57">
        <v>7.1879</v>
      </c>
      <c r="W5" s="38">
        <f t="shared" si="5"/>
        <v>235.3955953755617</v>
      </c>
    </row>
    <row r="6" spans="1:24">
      <c r="A6" s="31" t="s">
        <v>621</v>
      </c>
      <c r="B6" s="32">
        <v>45670</v>
      </c>
      <c r="C6" s="32">
        <v>45643</v>
      </c>
      <c r="D6" s="31" t="s">
        <v>169</v>
      </c>
      <c r="E6" s="31" t="s">
        <v>170</v>
      </c>
      <c r="G6" s="31" t="s">
        <v>618</v>
      </c>
      <c r="H6" s="31" t="s">
        <v>619</v>
      </c>
      <c r="I6" s="31" t="s">
        <v>620</v>
      </c>
      <c r="J6" s="34" t="str">
        <f t="shared" si="0"/>
        <v>STKR</v>
      </c>
      <c r="K6" s="31" t="s">
        <v>10</v>
      </c>
      <c r="L6" s="52">
        <v>3020</v>
      </c>
      <c r="M6" s="31" t="s">
        <v>1472</v>
      </c>
      <c r="N6" s="31" t="s">
        <v>11</v>
      </c>
      <c r="O6" s="53">
        <v>0.03</v>
      </c>
      <c r="P6" s="35">
        <f t="shared" si="1"/>
        <v>90.6</v>
      </c>
      <c r="Q6" s="36">
        <f t="shared" si="2"/>
        <v>7.3003400000000003</v>
      </c>
      <c r="R6" s="36">
        <f t="shared" si="3"/>
        <v>4.1000000000000003E-3</v>
      </c>
      <c r="S6" s="37">
        <f t="shared" si="4"/>
        <v>12.38</v>
      </c>
      <c r="T6" s="36" t="s">
        <v>349</v>
      </c>
      <c r="U6" s="31" t="s">
        <v>18</v>
      </c>
      <c r="V6" s="57">
        <v>7.1879</v>
      </c>
      <c r="W6" s="38">
        <f t="shared" si="5"/>
        <v>12.604515922592135</v>
      </c>
    </row>
    <row r="7" spans="1:24">
      <c r="A7" s="31" t="s">
        <v>1138</v>
      </c>
      <c r="B7" s="32">
        <v>45663</v>
      </c>
      <c r="C7" s="32">
        <v>45643</v>
      </c>
      <c r="D7" s="31" t="s">
        <v>169</v>
      </c>
      <c r="E7" s="31" t="s">
        <v>170</v>
      </c>
      <c r="G7" s="31" t="s">
        <v>1132</v>
      </c>
      <c r="H7" s="31" t="s">
        <v>1136</v>
      </c>
      <c r="I7" s="31" t="s">
        <v>1137</v>
      </c>
      <c r="J7" s="34" t="str">
        <f t="shared" si="0"/>
        <v>STKR</v>
      </c>
      <c r="K7" s="31" t="s">
        <v>10</v>
      </c>
      <c r="L7" s="52">
        <v>1010</v>
      </c>
      <c r="M7" s="31" t="s">
        <v>1472</v>
      </c>
      <c r="N7" s="31" t="s">
        <v>11</v>
      </c>
      <c r="O7" s="53">
        <v>0.03</v>
      </c>
      <c r="P7" s="35">
        <f t="shared" si="1"/>
        <v>30.3</v>
      </c>
      <c r="Q7" s="36">
        <f t="shared" si="2"/>
        <v>7.3003400000000003</v>
      </c>
      <c r="R7" s="36">
        <f t="shared" si="3"/>
        <v>4.1000000000000003E-3</v>
      </c>
      <c r="S7" s="37">
        <f t="shared" si="4"/>
        <v>4.1399999999999997</v>
      </c>
      <c r="T7" s="36" t="s">
        <v>349</v>
      </c>
      <c r="U7" s="31" t="s">
        <v>18</v>
      </c>
      <c r="V7" s="57">
        <v>7.1879</v>
      </c>
      <c r="W7" s="38">
        <f t="shared" si="5"/>
        <v>4.2154175767609452</v>
      </c>
    </row>
    <row r="8" spans="1:24">
      <c r="A8" s="31" t="s">
        <v>613</v>
      </c>
      <c r="B8" s="32">
        <v>45670</v>
      </c>
      <c r="C8" s="32">
        <v>45643</v>
      </c>
      <c r="D8" s="31" t="s">
        <v>101</v>
      </c>
      <c r="E8" s="31" t="s">
        <v>102</v>
      </c>
      <c r="G8" s="31" t="s">
        <v>614</v>
      </c>
      <c r="H8" s="31" t="s">
        <v>611</v>
      </c>
      <c r="I8" s="31" t="s">
        <v>612</v>
      </c>
      <c r="J8" s="34" t="str">
        <f t="shared" si="0"/>
        <v>STKR</v>
      </c>
      <c r="K8" s="31" t="s">
        <v>10</v>
      </c>
      <c r="L8" s="52">
        <v>1010</v>
      </c>
      <c r="M8" s="31" t="s">
        <v>1472</v>
      </c>
      <c r="N8" s="31" t="s">
        <v>11</v>
      </c>
      <c r="O8" s="53">
        <v>0.03</v>
      </c>
      <c r="P8" s="35">
        <f t="shared" si="1"/>
        <v>30.3</v>
      </c>
      <c r="Q8" s="36">
        <f t="shared" si="2"/>
        <v>7.3003400000000003</v>
      </c>
      <c r="R8" s="36">
        <f t="shared" si="3"/>
        <v>4.1000000000000003E-3</v>
      </c>
      <c r="S8" s="37">
        <f t="shared" si="4"/>
        <v>4.1399999999999997</v>
      </c>
      <c r="T8" s="36" t="s">
        <v>349</v>
      </c>
      <c r="U8" s="31" t="s">
        <v>18</v>
      </c>
      <c r="V8" s="57">
        <v>7.1879</v>
      </c>
      <c r="W8" s="38">
        <f t="shared" si="5"/>
        <v>4.2154175767609452</v>
      </c>
    </row>
    <row r="9" spans="1:24">
      <c r="A9" s="31" t="s">
        <v>1131</v>
      </c>
      <c r="B9" s="32">
        <v>45663</v>
      </c>
      <c r="C9" s="32">
        <v>45653</v>
      </c>
      <c r="D9" s="31" t="s">
        <v>169</v>
      </c>
      <c r="E9" s="31" t="s">
        <v>170</v>
      </c>
      <c r="G9" s="31" t="s">
        <v>1132</v>
      </c>
      <c r="H9" s="31" t="s">
        <v>1129</v>
      </c>
      <c r="I9" s="31" t="s">
        <v>1130</v>
      </c>
      <c r="J9" s="34" t="str">
        <f t="shared" si="0"/>
        <v>STKR</v>
      </c>
      <c r="K9" s="31" t="s">
        <v>10</v>
      </c>
      <c r="L9" s="52">
        <v>1500</v>
      </c>
      <c r="M9" s="31" t="s">
        <v>1472</v>
      </c>
      <c r="N9" s="31" t="s">
        <v>11</v>
      </c>
      <c r="O9" s="53">
        <v>3.4200000000000001E-2</v>
      </c>
      <c r="P9" s="35">
        <f t="shared" si="1"/>
        <v>51.3</v>
      </c>
      <c r="Q9" s="36">
        <f t="shared" si="2"/>
        <v>7.3003400000000003</v>
      </c>
      <c r="R9" s="36">
        <f t="shared" si="3"/>
        <v>4.7000000000000002E-3</v>
      </c>
      <c r="S9" s="37">
        <f t="shared" si="4"/>
        <v>7.05</v>
      </c>
      <c r="T9" s="36" t="s">
        <v>349</v>
      </c>
      <c r="U9" s="31" t="s">
        <v>18</v>
      </c>
      <c r="V9" s="57">
        <v>7.1879</v>
      </c>
      <c r="W9" s="38">
        <f t="shared" si="5"/>
        <v>7.1369941151101157</v>
      </c>
    </row>
    <row r="10" spans="1:24">
      <c r="A10" s="31" t="s">
        <v>561</v>
      </c>
      <c r="B10" s="32">
        <v>45670</v>
      </c>
      <c r="C10" s="32">
        <v>45629</v>
      </c>
      <c r="D10" s="31" t="s">
        <v>545</v>
      </c>
      <c r="E10" s="31" t="s">
        <v>546</v>
      </c>
      <c r="G10" s="31" t="s">
        <v>548</v>
      </c>
      <c r="H10" s="31" t="s">
        <v>557</v>
      </c>
      <c r="I10" s="31" t="s">
        <v>558</v>
      </c>
      <c r="J10" s="34" t="str">
        <f t="shared" si="0"/>
        <v>WHR-</v>
      </c>
      <c r="K10" s="31" t="s">
        <v>10</v>
      </c>
      <c r="L10" s="52">
        <v>5000</v>
      </c>
      <c r="M10" s="31" t="s">
        <v>1472</v>
      </c>
      <c r="N10" s="31" t="s">
        <v>11</v>
      </c>
      <c r="O10" s="53">
        <v>3.9800000000000002E-2</v>
      </c>
      <c r="P10" s="35">
        <f t="shared" si="1"/>
        <v>199</v>
      </c>
      <c r="Q10" s="36">
        <f t="shared" si="2"/>
        <v>7.3003400000000003</v>
      </c>
      <c r="R10" s="36">
        <f t="shared" si="3"/>
        <v>5.4999999999999997E-3</v>
      </c>
      <c r="S10" s="37">
        <f t="shared" si="4"/>
        <v>27.5</v>
      </c>
      <c r="T10" s="36" t="s">
        <v>349</v>
      </c>
      <c r="U10" s="31" t="s">
        <v>248</v>
      </c>
      <c r="V10" s="57">
        <v>7.1879</v>
      </c>
      <c r="W10" s="38">
        <f t="shared" si="5"/>
        <v>27.685415768165946</v>
      </c>
    </row>
    <row r="11" spans="1:24">
      <c r="A11" s="31" t="s">
        <v>560</v>
      </c>
      <c r="B11" s="32">
        <v>45670</v>
      </c>
      <c r="C11" s="32">
        <v>45636</v>
      </c>
      <c r="D11" s="31" t="s">
        <v>545</v>
      </c>
      <c r="E11" s="31" t="s">
        <v>546</v>
      </c>
      <c r="G11" s="31" t="s">
        <v>548</v>
      </c>
      <c r="H11" s="31" t="s">
        <v>557</v>
      </c>
      <c r="I11" s="31" t="s">
        <v>558</v>
      </c>
      <c r="J11" s="34" t="str">
        <f t="shared" si="0"/>
        <v>WHR-</v>
      </c>
      <c r="K11" s="31" t="s">
        <v>10</v>
      </c>
      <c r="L11" s="52">
        <v>1400</v>
      </c>
      <c r="M11" s="31" t="s">
        <v>1472</v>
      </c>
      <c r="N11" s="31" t="s">
        <v>11</v>
      </c>
      <c r="O11" s="53">
        <v>3.9800000000000002E-2</v>
      </c>
      <c r="P11" s="35">
        <f t="shared" si="1"/>
        <v>55.72</v>
      </c>
      <c r="Q11" s="36">
        <f t="shared" si="2"/>
        <v>7.3003400000000003</v>
      </c>
      <c r="R11" s="36">
        <f t="shared" si="3"/>
        <v>5.4999999999999997E-3</v>
      </c>
      <c r="S11" s="37">
        <f t="shared" si="4"/>
        <v>7.7</v>
      </c>
      <c r="T11" s="36" t="s">
        <v>349</v>
      </c>
      <c r="U11" s="31" t="s">
        <v>248</v>
      </c>
      <c r="V11" s="57">
        <v>7.1879</v>
      </c>
      <c r="W11" s="38">
        <f t="shared" si="5"/>
        <v>7.7519164150864652</v>
      </c>
    </row>
    <row r="12" spans="1:24">
      <c r="A12" s="31" t="s">
        <v>559</v>
      </c>
      <c r="B12" s="32">
        <v>45670</v>
      </c>
      <c r="C12" s="32">
        <v>45653</v>
      </c>
      <c r="D12" s="31" t="s">
        <v>545</v>
      </c>
      <c r="E12" s="31" t="s">
        <v>546</v>
      </c>
      <c r="G12" s="31" t="s">
        <v>548</v>
      </c>
      <c r="H12" s="31" t="s">
        <v>557</v>
      </c>
      <c r="I12" s="31" t="s">
        <v>558</v>
      </c>
      <c r="J12" s="34" t="str">
        <f t="shared" si="0"/>
        <v>WHR-</v>
      </c>
      <c r="K12" s="31" t="s">
        <v>10</v>
      </c>
      <c r="L12" s="52">
        <v>1000</v>
      </c>
      <c r="M12" s="31" t="s">
        <v>1472</v>
      </c>
      <c r="N12" s="31" t="s">
        <v>11</v>
      </c>
      <c r="O12" s="53">
        <v>3.9800000000000002E-2</v>
      </c>
      <c r="P12" s="35">
        <f t="shared" si="1"/>
        <v>39.799999999999997</v>
      </c>
      <c r="Q12" s="36">
        <f t="shared" si="2"/>
        <v>7.3003400000000003</v>
      </c>
      <c r="R12" s="36">
        <f t="shared" si="3"/>
        <v>5.4999999999999997E-3</v>
      </c>
      <c r="S12" s="37">
        <f t="shared" si="4"/>
        <v>5.5</v>
      </c>
      <c r="T12" s="36" t="s">
        <v>349</v>
      </c>
      <c r="U12" s="31" t="s">
        <v>248</v>
      </c>
      <c r="V12" s="57">
        <v>7.1879</v>
      </c>
      <c r="W12" s="38">
        <f t="shared" si="5"/>
        <v>5.5370831536331897</v>
      </c>
    </row>
    <row r="13" spans="1:24">
      <c r="A13" s="31" t="s">
        <v>566</v>
      </c>
      <c r="B13" s="32">
        <v>45670</v>
      </c>
      <c r="C13" s="32">
        <v>45644</v>
      </c>
      <c r="D13" s="31" t="s">
        <v>545</v>
      </c>
      <c r="E13" s="31" t="s">
        <v>546</v>
      </c>
      <c r="G13" s="31" t="s">
        <v>562</v>
      </c>
      <c r="H13" s="31" t="s">
        <v>563</v>
      </c>
      <c r="I13" s="31" t="s">
        <v>564</v>
      </c>
      <c r="J13" s="34" t="str">
        <f t="shared" si="0"/>
        <v>WHR-</v>
      </c>
      <c r="K13" s="31" t="s">
        <v>10</v>
      </c>
      <c r="L13" s="52">
        <v>9800</v>
      </c>
      <c r="M13" s="31" t="s">
        <v>1472</v>
      </c>
      <c r="N13" s="31" t="s">
        <v>11</v>
      </c>
      <c r="O13" s="53">
        <v>4.1000000000000002E-2</v>
      </c>
      <c r="P13" s="35">
        <f t="shared" si="1"/>
        <v>401.8</v>
      </c>
      <c r="Q13" s="36">
        <f t="shared" si="2"/>
        <v>7.3003400000000003</v>
      </c>
      <c r="R13" s="36">
        <f t="shared" si="3"/>
        <v>5.5999999999999999E-3</v>
      </c>
      <c r="S13" s="37">
        <f t="shared" si="4"/>
        <v>54.88</v>
      </c>
      <c r="T13" s="36" t="s">
        <v>349</v>
      </c>
      <c r="U13" s="31" t="s">
        <v>248</v>
      </c>
      <c r="V13" s="57">
        <v>7.1879</v>
      </c>
      <c r="W13" s="38">
        <f t="shared" si="5"/>
        <v>55.899497767080788</v>
      </c>
    </row>
    <row r="14" spans="1:24">
      <c r="A14" s="31" t="s">
        <v>565</v>
      </c>
      <c r="B14" s="32">
        <v>45670</v>
      </c>
      <c r="C14" s="32">
        <v>45646</v>
      </c>
      <c r="D14" s="31" t="s">
        <v>545</v>
      </c>
      <c r="E14" s="31" t="s">
        <v>546</v>
      </c>
      <c r="G14" s="31" t="s">
        <v>562</v>
      </c>
      <c r="H14" s="31" t="s">
        <v>563</v>
      </c>
      <c r="I14" s="31" t="s">
        <v>564</v>
      </c>
      <c r="J14" s="34" t="str">
        <f t="shared" si="0"/>
        <v>WHR-</v>
      </c>
      <c r="K14" s="31" t="s">
        <v>10</v>
      </c>
      <c r="L14" s="52">
        <v>3900</v>
      </c>
      <c r="M14" s="31" t="s">
        <v>1472</v>
      </c>
      <c r="N14" s="31" t="s">
        <v>11</v>
      </c>
      <c r="O14" s="53">
        <v>4.1000000000000002E-2</v>
      </c>
      <c r="P14" s="35">
        <f t="shared" si="1"/>
        <v>159.9</v>
      </c>
      <c r="Q14" s="36">
        <f t="shared" si="2"/>
        <v>7.3003400000000003</v>
      </c>
      <c r="R14" s="36">
        <f t="shared" si="3"/>
        <v>5.5999999999999999E-3</v>
      </c>
      <c r="S14" s="37">
        <f t="shared" si="4"/>
        <v>21.84</v>
      </c>
      <c r="T14" s="36" t="s">
        <v>349</v>
      </c>
      <c r="U14" s="31" t="s">
        <v>248</v>
      </c>
      <c r="V14" s="57">
        <v>7.1879</v>
      </c>
      <c r="W14" s="38">
        <f t="shared" si="5"/>
        <v>22.245718499144395</v>
      </c>
    </row>
    <row r="15" spans="1:24">
      <c r="A15" s="31" t="s">
        <v>1364</v>
      </c>
      <c r="B15" s="32">
        <v>45660</v>
      </c>
      <c r="C15" s="32">
        <v>45611</v>
      </c>
      <c r="D15" s="31" t="s">
        <v>235</v>
      </c>
      <c r="E15" s="31" t="s">
        <v>236</v>
      </c>
      <c r="G15" s="31" t="s">
        <v>1365</v>
      </c>
      <c r="H15" s="31" t="s">
        <v>233</v>
      </c>
      <c r="I15" s="31" t="s">
        <v>234</v>
      </c>
      <c r="J15" s="34" t="str">
        <f t="shared" si="0"/>
        <v>RIV-</v>
      </c>
      <c r="K15" s="31" t="s">
        <v>10</v>
      </c>
      <c r="L15" s="52">
        <v>11000</v>
      </c>
      <c r="M15" s="31" t="s">
        <v>1472</v>
      </c>
      <c r="N15" s="31" t="s">
        <v>11</v>
      </c>
      <c r="O15" s="53">
        <v>4.1599999999999998E-2</v>
      </c>
      <c r="P15" s="35">
        <f t="shared" si="1"/>
        <v>457.6</v>
      </c>
      <c r="Q15" s="36">
        <f t="shared" si="2"/>
        <v>7.3003400000000003</v>
      </c>
      <c r="R15" s="36">
        <f t="shared" si="3"/>
        <v>5.7000000000000002E-3</v>
      </c>
      <c r="S15" s="37">
        <f t="shared" si="4"/>
        <v>62.7</v>
      </c>
      <c r="T15" s="36" t="s">
        <v>349</v>
      </c>
      <c r="U15" s="31" t="s">
        <v>132</v>
      </c>
      <c r="V15" s="57">
        <v>7.1879</v>
      </c>
      <c r="W15" s="38">
        <f t="shared" si="5"/>
        <v>63.662543997551438</v>
      </c>
    </row>
    <row r="16" spans="1:24">
      <c r="A16" s="31" t="s">
        <v>1351</v>
      </c>
      <c r="B16" s="32">
        <v>45660</v>
      </c>
      <c r="C16" s="32">
        <v>45639</v>
      </c>
      <c r="D16" s="31" t="s">
        <v>235</v>
      </c>
      <c r="E16" s="31" t="s">
        <v>236</v>
      </c>
      <c r="G16" s="31" t="s">
        <v>1347</v>
      </c>
      <c r="H16" s="31" t="s">
        <v>233</v>
      </c>
      <c r="I16" s="31" t="s">
        <v>234</v>
      </c>
      <c r="J16" s="34" t="str">
        <f t="shared" si="0"/>
        <v>RIV-</v>
      </c>
      <c r="K16" s="31" t="s">
        <v>10</v>
      </c>
      <c r="L16" s="52">
        <v>10000</v>
      </c>
      <c r="M16" s="31" t="s">
        <v>1472</v>
      </c>
      <c r="N16" s="31" t="s">
        <v>11</v>
      </c>
      <c r="O16" s="53">
        <v>4.1599999999999998E-2</v>
      </c>
      <c r="P16" s="35">
        <f t="shared" si="1"/>
        <v>416</v>
      </c>
      <c r="Q16" s="36">
        <f t="shared" si="2"/>
        <v>7.3003400000000003</v>
      </c>
      <c r="R16" s="36">
        <f t="shared" si="3"/>
        <v>5.7000000000000002E-3</v>
      </c>
      <c r="S16" s="37">
        <f t="shared" si="4"/>
        <v>57</v>
      </c>
      <c r="T16" s="36" t="s">
        <v>349</v>
      </c>
      <c r="U16" s="31" t="s">
        <v>132</v>
      </c>
      <c r="V16" s="57">
        <v>7.1879</v>
      </c>
      <c r="W16" s="38">
        <f t="shared" si="5"/>
        <v>57.875039997774032</v>
      </c>
    </row>
    <row r="17" spans="1:23">
      <c r="A17" s="31" t="s">
        <v>1343</v>
      </c>
      <c r="B17" s="32">
        <v>45660</v>
      </c>
      <c r="C17" s="32">
        <v>45643</v>
      </c>
      <c r="D17" s="31" t="s">
        <v>235</v>
      </c>
      <c r="E17" s="31" t="s">
        <v>236</v>
      </c>
      <c r="G17" s="31" t="s">
        <v>1340</v>
      </c>
      <c r="H17" s="31" t="s">
        <v>233</v>
      </c>
      <c r="I17" s="31" t="s">
        <v>234</v>
      </c>
      <c r="J17" s="34" t="str">
        <f t="shared" si="0"/>
        <v>RIV-</v>
      </c>
      <c r="K17" s="31" t="s">
        <v>10</v>
      </c>
      <c r="L17" s="52">
        <v>1600</v>
      </c>
      <c r="M17" s="31" t="s">
        <v>1472</v>
      </c>
      <c r="N17" s="31" t="s">
        <v>11</v>
      </c>
      <c r="O17" s="53">
        <v>4.1599999999999998E-2</v>
      </c>
      <c r="P17" s="35">
        <f t="shared" si="1"/>
        <v>66.56</v>
      </c>
      <c r="Q17" s="36">
        <f t="shared" si="2"/>
        <v>7.3003400000000003</v>
      </c>
      <c r="R17" s="36">
        <f t="shared" si="3"/>
        <v>5.7000000000000002E-3</v>
      </c>
      <c r="S17" s="37">
        <f t="shared" si="4"/>
        <v>9.1199999999999992</v>
      </c>
      <c r="T17" s="36" t="s">
        <v>349</v>
      </c>
      <c r="U17" s="31" t="s">
        <v>132</v>
      </c>
      <c r="V17" s="57">
        <v>7.1879</v>
      </c>
      <c r="W17" s="38">
        <f t="shared" si="5"/>
        <v>9.2600063996438458</v>
      </c>
    </row>
    <row r="18" spans="1:23">
      <c r="A18" s="31" t="s">
        <v>237</v>
      </c>
      <c r="B18" s="32">
        <v>45674</v>
      </c>
      <c r="C18" s="32">
        <v>45660</v>
      </c>
      <c r="D18" s="31" t="s">
        <v>235</v>
      </c>
      <c r="E18" s="31" t="s">
        <v>236</v>
      </c>
      <c r="G18" s="31" t="s">
        <v>238</v>
      </c>
      <c r="H18" s="31" t="s">
        <v>233</v>
      </c>
      <c r="I18" s="31" t="s">
        <v>234</v>
      </c>
      <c r="J18" s="34" t="str">
        <f t="shared" si="0"/>
        <v>RIV-</v>
      </c>
      <c r="K18" s="31" t="s">
        <v>10</v>
      </c>
      <c r="L18" s="52">
        <v>2000</v>
      </c>
      <c r="M18" s="31" t="s">
        <v>1472</v>
      </c>
      <c r="N18" s="31" t="s">
        <v>11</v>
      </c>
      <c r="O18" s="53">
        <v>4.1599999999999998E-2</v>
      </c>
      <c r="P18" s="35">
        <f t="shared" si="1"/>
        <v>83.2</v>
      </c>
      <c r="Q18" s="36">
        <f t="shared" si="2"/>
        <v>7.3003400000000003</v>
      </c>
      <c r="R18" s="36">
        <f t="shared" si="3"/>
        <v>5.7000000000000002E-3</v>
      </c>
      <c r="S18" s="37">
        <f t="shared" si="4"/>
        <v>11.4</v>
      </c>
      <c r="T18" s="36" t="s">
        <v>349</v>
      </c>
      <c r="U18" s="31" t="s">
        <v>132</v>
      </c>
      <c r="V18" s="57">
        <v>7.1879</v>
      </c>
      <c r="W18" s="38">
        <f t="shared" si="5"/>
        <v>11.575007999554806</v>
      </c>
    </row>
    <row r="19" spans="1:23">
      <c r="A19" s="31" t="s">
        <v>604</v>
      </c>
      <c r="B19" s="32">
        <v>45670</v>
      </c>
      <c r="C19" s="32">
        <v>45622</v>
      </c>
      <c r="D19" s="31" t="s">
        <v>162</v>
      </c>
      <c r="E19" s="31" t="s">
        <v>163</v>
      </c>
      <c r="G19" s="31" t="s">
        <v>602</v>
      </c>
      <c r="H19" s="31" t="s">
        <v>599</v>
      </c>
      <c r="I19" s="31" t="s">
        <v>600</v>
      </c>
      <c r="J19" s="34" t="str">
        <f t="shared" si="0"/>
        <v>SCR-</v>
      </c>
      <c r="K19" s="31" t="s">
        <v>10</v>
      </c>
      <c r="L19" s="52">
        <v>15000</v>
      </c>
      <c r="M19" s="31" t="s">
        <v>1472</v>
      </c>
      <c r="N19" s="31" t="s">
        <v>11</v>
      </c>
      <c r="O19" s="53">
        <v>4.2000000000000003E-2</v>
      </c>
      <c r="P19" s="35">
        <f t="shared" si="1"/>
        <v>630</v>
      </c>
      <c r="Q19" s="36">
        <f t="shared" si="2"/>
        <v>7.3003400000000003</v>
      </c>
      <c r="R19" s="36">
        <f t="shared" si="3"/>
        <v>5.7999999999999996E-3</v>
      </c>
      <c r="S19" s="37">
        <f t="shared" si="4"/>
        <v>87</v>
      </c>
      <c r="T19" s="36" t="s">
        <v>349</v>
      </c>
      <c r="U19" s="31" t="s">
        <v>166</v>
      </c>
      <c r="V19" s="57">
        <v>7.1879</v>
      </c>
      <c r="W19" s="38">
        <f t="shared" si="5"/>
        <v>87.647296150475114</v>
      </c>
    </row>
    <row r="20" spans="1:23">
      <c r="A20" s="31" t="s">
        <v>603</v>
      </c>
      <c r="B20" s="32">
        <v>45670</v>
      </c>
      <c r="C20" s="32">
        <v>45643</v>
      </c>
      <c r="D20" s="31" t="s">
        <v>162</v>
      </c>
      <c r="E20" s="31" t="s">
        <v>163</v>
      </c>
      <c r="G20" s="31" t="s">
        <v>602</v>
      </c>
      <c r="H20" s="31" t="s">
        <v>599</v>
      </c>
      <c r="I20" s="31" t="s">
        <v>600</v>
      </c>
      <c r="J20" s="34" t="str">
        <f t="shared" si="0"/>
        <v>SCR-</v>
      </c>
      <c r="K20" s="31" t="s">
        <v>10</v>
      </c>
      <c r="L20" s="52">
        <v>7300</v>
      </c>
      <c r="M20" s="31" t="s">
        <v>1472</v>
      </c>
      <c r="N20" s="31" t="s">
        <v>11</v>
      </c>
      <c r="O20" s="53">
        <v>4.2000000000000003E-2</v>
      </c>
      <c r="P20" s="35">
        <f t="shared" si="1"/>
        <v>306.60000000000002</v>
      </c>
      <c r="Q20" s="36">
        <f t="shared" si="2"/>
        <v>7.3003400000000003</v>
      </c>
      <c r="R20" s="36">
        <f t="shared" si="3"/>
        <v>5.7999999999999996E-3</v>
      </c>
      <c r="S20" s="37">
        <f t="shared" si="4"/>
        <v>42.34</v>
      </c>
      <c r="T20" s="36" t="s">
        <v>349</v>
      </c>
      <c r="U20" s="31" t="s">
        <v>166</v>
      </c>
      <c r="V20" s="57">
        <v>7.1879</v>
      </c>
      <c r="W20" s="38">
        <f t="shared" si="5"/>
        <v>42.655017459897884</v>
      </c>
    </row>
    <row r="21" spans="1:23">
      <c r="A21" s="31" t="s">
        <v>625</v>
      </c>
      <c r="B21" s="32">
        <v>45670</v>
      </c>
      <c r="C21" s="32">
        <v>45643</v>
      </c>
      <c r="D21" s="31" t="s">
        <v>169</v>
      </c>
      <c r="E21" s="31" t="s">
        <v>170</v>
      </c>
      <c r="G21" s="31" t="s">
        <v>618</v>
      </c>
      <c r="H21" s="31" t="s">
        <v>622</v>
      </c>
      <c r="I21" s="31" t="s">
        <v>623</v>
      </c>
      <c r="J21" s="34" t="str">
        <f t="shared" si="0"/>
        <v>STKR</v>
      </c>
      <c r="K21" s="31" t="s">
        <v>10</v>
      </c>
      <c r="L21" s="52">
        <v>2020</v>
      </c>
      <c r="M21" s="31" t="s">
        <v>1472</v>
      </c>
      <c r="N21" s="31" t="s">
        <v>11</v>
      </c>
      <c r="O21" s="53">
        <v>4.2000000000000003E-2</v>
      </c>
      <c r="P21" s="35">
        <f t="shared" si="1"/>
        <v>84.84</v>
      </c>
      <c r="Q21" s="36">
        <f t="shared" si="2"/>
        <v>7.3003400000000003</v>
      </c>
      <c r="R21" s="36">
        <f t="shared" si="3"/>
        <v>5.7999999999999996E-3</v>
      </c>
      <c r="S21" s="37">
        <f t="shared" si="4"/>
        <v>11.72</v>
      </c>
      <c r="T21" s="36" t="s">
        <v>349</v>
      </c>
      <c r="U21" s="31" t="s">
        <v>18</v>
      </c>
      <c r="V21" s="57">
        <v>7.1879</v>
      </c>
      <c r="W21" s="38">
        <f t="shared" si="5"/>
        <v>11.803169214930648</v>
      </c>
    </row>
    <row r="22" spans="1:23">
      <c r="A22" s="31" t="s">
        <v>624</v>
      </c>
      <c r="B22" s="32">
        <v>45670</v>
      </c>
      <c r="C22" s="32">
        <v>45643</v>
      </c>
      <c r="D22" s="31" t="s">
        <v>169</v>
      </c>
      <c r="E22" s="31" t="s">
        <v>170</v>
      </c>
      <c r="G22" s="31" t="s">
        <v>618</v>
      </c>
      <c r="H22" s="31" t="s">
        <v>622</v>
      </c>
      <c r="I22" s="31" t="s">
        <v>623</v>
      </c>
      <c r="J22" s="34" t="str">
        <f t="shared" si="0"/>
        <v>STKR</v>
      </c>
      <c r="K22" s="31" t="s">
        <v>10</v>
      </c>
      <c r="L22" s="52">
        <v>50</v>
      </c>
      <c r="M22" s="31" t="s">
        <v>1472</v>
      </c>
      <c r="N22" s="31" t="s">
        <v>11</v>
      </c>
      <c r="O22" s="53">
        <v>4.2000000000000003E-2</v>
      </c>
      <c r="P22" s="35">
        <f t="shared" si="1"/>
        <v>2.1</v>
      </c>
      <c r="Q22" s="36">
        <f t="shared" si="2"/>
        <v>7.3003400000000003</v>
      </c>
      <c r="R22" s="36">
        <f t="shared" si="3"/>
        <v>5.7999999999999996E-3</v>
      </c>
      <c r="S22" s="37">
        <f t="shared" si="4"/>
        <v>0.28999999999999998</v>
      </c>
      <c r="T22" s="36" t="s">
        <v>349</v>
      </c>
      <c r="U22" s="31" t="s">
        <v>18</v>
      </c>
      <c r="V22" s="57">
        <v>7.1879</v>
      </c>
      <c r="W22" s="38">
        <f t="shared" si="5"/>
        <v>0.29215765383491704</v>
      </c>
    </row>
    <row r="23" spans="1:23">
      <c r="A23" s="31" t="s">
        <v>617</v>
      </c>
      <c r="B23" s="32">
        <v>45670</v>
      </c>
      <c r="C23" s="32">
        <v>45643</v>
      </c>
      <c r="D23" s="31" t="s">
        <v>169</v>
      </c>
      <c r="E23" s="31" t="s">
        <v>170</v>
      </c>
      <c r="G23" s="31" t="s">
        <v>618</v>
      </c>
      <c r="H23" s="31" t="s">
        <v>615</v>
      </c>
      <c r="I23" s="31" t="s">
        <v>616</v>
      </c>
      <c r="J23" s="34" t="str">
        <f t="shared" si="0"/>
        <v>STKR</v>
      </c>
      <c r="K23" s="31" t="s">
        <v>10</v>
      </c>
      <c r="L23" s="52">
        <v>2520</v>
      </c>
      <c r="M23" s="31" t="s">
        <v>1472</v>
      </c>
      <c r="N23" s="31" t="s">
        <v>11</v>
      </c>
      <c r="O23" s="53">
        <v>4.2000000000000003E-2</v>
      </c>
      <c r="P23" s="35">
        <f t="shared" si="1"/>
        <v>105.84</v>
      </c>
      <c r="Q23" s="36">
        <f t="shared" si="2"/>
        <v>7.3003400000000003</v>
      </c>
      <c r="R23" s="36">
        <f t="shared" si="3"/>
        <v>5.7999999999999996E-3</v>
      </c>
      <c r="S23" s="37">
        <f t="shared" si="4"/>
        <v>14.62</v>
      </c>
      <c r="T23" s="36" t="s">
        <v>349</v>
      </c>
      <c r="U23" s="31" t="s">
        <v>18</v>
      </c>
      <c r="V23" s="57">
        <v>7.1879</v>
      </c>
      <c r="W23" s="38">
        <f t="shared" si="5"/>
        <v>14.724745753279818</v>
      </c>
    </row>
    <row r="24" spans="1:23">
      <c r="A24" s="31" t="s">
        <v>601</v>
      </c>
      <c r="B24" s="32">
        <v>45670</v>
      </c>
      <c r="C24" s="32">
        <v>45646</v>
      </c>
      <c r="D24" s="31" t="s">
        <v>162</v>
      </c>
      <c r="E24" s="31" t="s">
        <v>163</v>
      </c>
      <c r="G24" s="31" t="s">
        <v>602</v>
      </c>
      <c r="H24" s="31" t="s">
        <v>599</v>
      </c>
      <c r="I24" s="31" t="s">
        <v>600</v>
      </c>
      <c r="J24" s="34" t="str">
        <f t="shared" si="0"/>
        <v>SCR-</v>
      </c>
      <c r="K24" s="31" t="s">
        <v>10</v>
      </c>
      <c r="L24" s="52">
        <v>2200</v>
      </c>
      <c r="M24" s="31" t="s">
        <v>1472</v>
      </c>
      <c r="N24" s="31" t="s">
        <v>11</v>
      </c>
      <c r="O24" s="53">
        <v>4.2000000000000003E-2</v>
      </c>
      <c r="P24" s="35">
        <f t="shared" si="1"/>
        <v>92.4</v>
      </c>
      <c r="Q24" s="36">
        <f t="shared" si="2"/>
        <v>7.3003400000000003</v>
      </c>
      <c r="R24" s="36">
        <f t="shared" si="3"/>
        <v>5.7999999999999996E-3</v>
      </c>
      <c r="S24" s="37">
        <f t="shared" si="4"/>
        <v>12.76</v>
      </c>
      <c r="T24" s="36" t="s">
        <v>349</v>
      </c>
      <c r="U24" s="31" t="s">
        <v>166</v>
      </c>
      <c r="V24" s="57">
        <v>7.1879</v>
      </c>
      <c r="W24" s="38">
        <f t="shared" si="5"/>
        <v>12.85493676873635</v>
      </c>
    </row>
    <row r="25" spans="1:23">
      <c r="A25" s="31" t="s">
        <v>547</v>
      </c>
      <c r="B25" s="32">
        <v>45670</v>
      </c>
      <c r="C25" s="32">
        <v>45660</v>
      </c>
      <c r="D25" s="31" t="s">
        <v>545</v>
      </c>
      <c r="E25" s="31" t="s">
        <v>546</v>
      </c>
      <c r="G25" s="31" t="s">
        <v>548</v>
      </c>
      <c r="H25" s="31" t="s">
        <v>543</v>
      </c>
      <c r="I25" s="31" t="s">
        <v>544</v>
      </c>
      <c r="J25" s="34" t="str">
        <f t="shared" si="0"/>
        <v>WHR-</v>
      </c>
      <c r="K25" s="31" t="s">
        <v>10</v>
      </c>
      <c r="L25" s="52">
        <v>1000</v>
      </c>
      <c r="M25" s="31" t="s">
        <v>1472</v>
      </c>
      <c r="N25" s="31" t="s">
        <v>11</v>
      </c>
      <c r="O25" s="53">
        <v>4.2999999999999997E-2</v>
      </c>
      <c r="P25" s="35">
        <f t="shared" si="1"/>
        <v>43</v>
      </c>
      <c r="Q25" s="36">
        <f t="shared" si="2"/>
        <v>7.3003400000000003</v>
      </c>
      <c r="R25" s="36">
        <f t="shared" si="3"/>
        <v>5.8999999999999999E-3</v>
      </c>
      <c r="S25" s="37">
        <f t="shared" si="4"/>
        <v>5.9</v>
      </c>
      <c r="T25" s="36" t="s">
        <v>349</v>
      </c>
      <c r="U25" s="31" t="s">
        <v>248</v>
      </c>
      <c r="V25" s="57">
        <v>7.1879</v>
      </c>
      <c r="W25" s="38">
        <f t="shared" si="5"/>
        <v>5.9822757690006814</v>
      </c>
    </row>
    <row r="26" spans="1:23">
      <c r="A26" s="31" t="s">
        <v>961</v>
      </c>
      <c r="B26" s="32">
        <v>45664</v>
      </c>
      <c r="C26" s="32">
        <v>45643</v>
      </c>
      <c r="D26" s="31" t="s">
        <v>128</v>
      </c>
      <c r="E26" s="31" t="s">
        <v>129</v>
      </c>
      <c r="G26" s="31" t="s">
        <v>953</v>
      </c>
      <c r="H26" s="31" t="s">
        <v>958</v>
      </c>
      <c r="I26" s="31" t="s">
        <v>959</v>
      </c>
      <c r="J26" s="34" t="str">
        <f t="shared" si="0"/>
        <v>RIV-</v>
      </c>
      <c r="K26" s="31" t="s">
        <v>10</v>
      </c>
      <c r="L26" s="52">
        <v>4300</v>
      </c>
      <c r="M26" s="31" t="s">
        <v>1472</v>
      </c>
      <c r="N26" s="31" t="s">
        <v>11</v>
      </c>
      <c r="O26" s="53">
        <v>4.8000000000000001E-2</v>
      </c>
      <c r="P26" s="35">
        <f t="shared" si="1"/>
        <v>206.4</v>
      </c>
      <c r="Q26" s="36">
        <f t="shared" si="2"/>
        <v>7.3003400000000003</v>
      </c>
      <c r="R26" s="36">
        <f t="shared" si="3"/>
        <v>6.6E-3</v>
      </c>
      <c r="S26" s="37">
        <f t="shared" si="4"/>
        <v>28.38</v>
      </c>
      <c r="T26" s="36" t="s">
        <v>349</v>
      </c>
      <c r="U26" s="31" t="s">
        <v>132</v>
      </c>
      <c r="V26" s="57">
        <v>7.1879</v>
      </c>
      <c r="W26" s="38">
        <f t="shared" si="5"/>
        <v>28.714923691203271</v>
      </c>
    </row>
    <row r="27" spans="1:23">
      <c r="A27" s="31" t="s">
        <v>960</v>
      </c>
      <c r="B27" s="32">
        <v>45664</v>
      </c>
      <c r="C27" s="32">
        <v>45653</v>
      </c>
      <c r="D27" s="31" t="s">
        <v>128</v>
      </c>
      <c r="E27" s="31" t="s">
        <v>129</v>
      </c>
      <c r="G27" s="31" t="s">
        <v>953</v>
      </c>
      <c r="H27" s="31" t="s">
        <v>958</v>
      </c>
      <c r="I27" s="31" t="s">
        <v>959</v>
      </c>
      <c r="J27" s="34" t="str">
        <f t="shared" si="0"/>
        <v>RIV-</v>
      </c>
      <c r="K27" s="31" t="s">
        <v>10</v>
      </c>
      <c r="L27" s="52">
        <v>1000</v>
      </c>
      <c r="M27" s="31" t="s">
        <v>1472</v>
      </c>
      <c r="N27" s="31" t="s">
        <v>11</v>
      </c>
      <c r="O27" s="53">
        <v>4.8000000000000001E-2</v>
      </c>
      <c r="P27" s="35">
        <f t="shared" si="1"/>
        <v>48</v>
      </c>
      <c r="Q27" s="36">
        <f t="shared" si="2"/>
        <v>7.3003400000000003</v>
      </c>
      <c r="R27" s="36">
        <f t="shared" si="3"/>
        <v>6.6E-3</v>
      </c>
      <c r="S27" s="37">
        <f t="shared" si="4"/>
        <v>6.6</v>
      </c>
      <c r="T27" s="36" t="s">
        <v>349</v>
      </c>
      <c r="U27" s="31" t="s">
        <v>132</v>
      </c>
      <c r="V27" s="57">
        <v>7.1879</v>
      </c>
      <c r="W27" s="38">
        <f t="shared" si="5"/>
        <v>6.6778892305123891</v>
      </c>
    </row>
    <row r="28" spans="1:23">
      <c r="A28" s="31" t="s">
        <v>1322</v>
      </c>
      <c r="B28" s="32">
        <v>45660</v>
      </c>
      <c r="C28" s="32">
        <v>45622</v>
      </c>
      <c r="D28" s="31" t="s">
        <v>169</v>
      </c>
      <c r="E28" s="31" t="s">
        <v>170</v>
      </c>
      <c r="G28" s="31" t="s">
        <v>1323</v>
      </c>
      <c r="H28" s="31" t="s">
        <v>1320</v>
      </c>
      <c r="I28" s="31" t="s">
        <v>1321</v>
      </c>
      <c r="J28" s="34" t="str">
        <f t="shared" si="0"/>
        <v>STKR</v>
      </c>
      <c r="K28" s="31" t="s">
        <v>10</v>
      </c>
      <c r="L28" s="52">
        <v>3020</v>
      </c>
      <c r="M28" s="31" t="s">
        <v>1472</v>
      </c>
      <c r="N28" s="31" t="s">
        <v>11</v>
      </c>
      <c r="O28" s="53">
        <v>0.05</v>
      </c>
      <c r="P28" s="35">
        <f t="shared" si="1"/>
        <v>151</v>
      </c>
      <c r="Q28" s="36">
        <f t="shared" si="2"/>
        <v>7.3003400000000003</v>
      </c>
      <c r="R28" s="36">
        <f t="shared" si="3"/>
        <v>6.7999999999999996E-3</v>
      </c>
      <c r="S28" s="37">
        <f t="shared" si="4"/>
        <v>20.54</v>
      </c>
      <c r="T28" s="36" t="s">
        <v>349</v>
      </c>
      <c r="U28" s="31" t="s">
        <v>18</v>
      </c>
      <c r="V28" s="57">
        <v>7.1879</v>
      </c>
      <c r="W28" s="38">
        <f t="shared" si="5"/>
        <v>21.007526537653558</v>
      </c>
    </row>
    <row r="29" spans="1:23">
      <c r="A29" s="31" t="s">
        <v>113</v>
      </c>
      <c r="B29" s="32">
        <v>45678</v>
      </c>
      <c r="C29" s="32">
        <v>45643</v>
      </c>
      <c r="D29" s="31" t="s">
        <v>101</v>
      </c>
      <c r="E29" s="31" t="s">
        <v>102</v>
      </c>
      <c r="G29" s="31" t="s">
        <v>104</v>
      </c>
      <c r="H29" s="31" t="s">
        <v>111</v>
      </c>
      <c r="I29" s="31" t="s">
        <v>112</v>
      </c>
      <c r="J29" s="34" t="str">
        <f t="shared" si="0"/>
        <v>STKR</v>
      </c>
      <c r="K29" s="31" t="s">
        <v>10</v>
      </c>
      <c r="L29" s="52">
        <v>2270</v>
      </c>
      <c r="M29" s="31" t="s">
        <v>1472</v>
      </c>
      <c r="N29" s="31" t="s">
        <v>11</v>
      </c>
      <c r="O29" s="53">
        <v>0.05</v>
      </c>
      <c r="P29" s="35">
        <f t="shared" si="1"/>
        <v>113.5</v>
      </c>
      <c r="Q29" s="36">
        <f t="shared" si="2"/>
        <v>7.3003400000000003</v>
      </c>
      <c r="R29" s="36">
        <f t="shared" si="3"/>
        <v>6.7999999999999996E-3</v>
      </c>
      <c r="S29" s="37">
        <f t="shared" si="4"/>
        <v>15.44</v>
      </c>
      <c r="T29" s="36" t="s">
        <v>349</v>
      </c>
      <c r="U29" s="31" t="s">
        <v>18</v>
      </c>
      <c r="V29" s="57">
        <v>7.1879</v>
      </c>
      <c r="W29" s="38">
        <f t="shared" si="5"/>
        <v>15.790425576315753</v>
      </c>
    </row>
    <row r="30" spans="1:23">
      <c r="A30" s="31" t="s">
        <v>110</v>
      </c>
      <c r="B30" s="32">
        <v>45678</v>
      </c>
      <c r="C30" s="32">
        <v>45643</v>
      </c>
      <c r="D30" s="31" t="s">
        <v>101</v>
      </c>
      <c r="E30" s="31" t="s">
        <v>102</v>
      </c>
      <c r="G30" s="31" t="s">
        <v>104</v>
      </c>
      <c r="H30" s="31" t="s">
        <v>108</v>
      </c>
      <c r="I30" s="31" t="s">
        <v>109</v>
      </c>
      <c r="J30" s="34" t="str">
        <f t="shared" si="0"/>
        <v>STKR</v>
      </c>
      <c r="K30" s="31" t="s">
        <v>10</v>
      </c>
      <c r="L30" s="52">
        <v>1880</v>
      </c>
      <c r="M30" s="31" t="s">
        <v>1472</v>
      </c>
      <c r="N30" s="31" t="s">
        <v>11</v>
      </c>
      <c r="O30" s="53">
        <v>0.05</v>
      </c>
      <c r="P30" s="35">
        <f t="shared" si="1"/>
        <v>94</v>
      </c>
      <c r="Q30" s="36">
        <f t="shared" si="2"/>
        <v>7.3003400000000003</v>
      </c>
      <c r="R30" s="36">
        <f t="shared" si="3"/>
        <v>6.7999999999999996E-3</v>
      </c>
      <c r="S30" s="37">
        <f t="shared" si="4"/>
        <v>12.78</v>
      </c>
      <c r="T30" s="36" t="s">
        <v>349</v>
      </c>
      <c r="U30" s="31" t="s">
        <v>18</v>
      </c>
      <c r="V30" s="57">
        <v>7.1879</v>
      </c>
      <c r="W30" s="38">
        <f t="shared" si="5"/>
        <v>13.077533076420096</v>
      </c>
    </row>
    <row r="31" spans="1:23">
      <c r="A31" s="31" t="s">
        <v>107</v>
      </c>
      <c r="B31" s="32">
        <v>45678</v>
      </c>
      <c r="C31" s="32">
        <v>45643</v>
      </c>
      <c r="D31" s="31" t="s">
        <v>101</v>
      </c>
      <c r="E31" s="31" t="s">
        <v>102</v>
      </c>
      <c r="G31" s="31" t="s">
        <v>104</v>
      </c>
      <c r="H31" s="31" t="s">
        <v>105</v>
      </c>
      <c r="I31" s="31" t="s">
        <v>106</v>
      </c>
      <c r="J31" s="34" t="str">
        <f t="shared" si="0"/>
        <v>STKR</v>
      </c>
      <c r="K31" s="31" t="s">
        <v>10</v>
      </c>
      <c r="L31" s="52">
        <v>1200</v>
      </c>
      <c r="M31" s="31" t="s">
        <v>1472</v>
      </c>
      <c r="N31" s="31" t="s">
        <v>11</v>
      </c>
      <c r="O31" s="53">
        <v>0.05</v>
      </c>
      <c r="P31" s="35">
        <f t="shared" si="1"/>
        <v>60</v>
      </c>
      <c r="Q31" s="36">
        <f t="shared" si="2"/>
        <v>7.3003400000000003</v>
      </c>
      <c r="R31" s="36">
        <f t="shared" si="3"/>
        <v>6.7999999999999996E-3</v>
      </c>
      <c r="S31" s="37">
        <f t="shared" si="4"/>
        <v>8.16</v>
      </c>
      <c r="T31" s="36" t="s">
        <v>349</v>
      </c>
      <c r="U31" s="31" t="s">
        <v>18</v>
      </c>
      <c r="V31" s="57">
        <v>7.1879</v>
      </c>
      <c r="W31" s="38">
        <f t="shared" si="5"/>
        <v>8.3473615381404862</v>
      </c>
    </row>
    <row r="32" spans="1:23">
      <c r="A32" s="31" t="s">
        <v>1264</v>
      </c>
      <c r="B32" s="32">
        <v>45663</v>
      </c>
      <c r="C32" s="32">
        <v>45651</v>
      </c>
      <c r="D32" s="31" t="s">
        <v>101</v>
      </c>
      <c r="E32" s="31" t="s">
        <v>102</v>
      </c>
      <c r="G32" s="31" t="s">
        <v>1248</v>
      </c>
      <c r="H32" s="31" t="s">
        <v>1245</v>
      </c>
      <c r="I32" s="31" t="s">
        <v>1246</v>
      </c>
      <c r="J32" s="34" t="str">
        <f t="shared" si="0"/>
        <v>STKR</v>
      </c>
      <c r="K32" s="31" t="s">
        <v>10</v>
      </c>
      <c r="L32" s="52">
        <v>1010</v>
      </c>
      <c r="M32" s="31" t="s">
        <v>1472</v>
      </c>
      <c r="N32" s="31" t="s">
        <v>11</v>
      </c>
      <c r="O32" s="53">
        <v>0.05</v>
      </c>
      <c r="P32" s="35">
        <f t="shared" si="1"/>
        <v>50.5</v>
      </c>
      <c r="Q32" s="36">
        <f t="shared" si="2"/>
        <v>7.3003400000000003</v>
      </c>
      <c r="R32" s="36">
        <f t="shared" si="3"/>
        <v>6.7999999999999996E-3</v>
      </c>
      <c r="S32" s="37">
        <f t="shared" si="4"/>
        <v>6.87</v>
      </c>
      <c r="T32" s="36" t="s">
        <v>349</v>
      </c>
      <c r="U32" s="31" t="s">
        <v>18</v>
      </c>
      <c r="V32" s="57">
        <v>7.1879</v>
      </c>
      <c r="W32" s="38">
        <f t="shared" si="5"/>
        <v>7.0256959612682426</v>
      </c>
    </row>
    <row r="33" spans="1:23">
      <c r="A33" s="31" t="s">
        <v>1263</v>
      </c>
      <c r="B33" s="32">
        <v>45663</v>
      </c>
      <c r="C33" s="32">
        <v>45651</v>
      </c>
      <c r="D33" s="31" t="s">
        <v>101</v>
      </c>
      <c r="E33" s="31" t="s">
        <v>102</v>
      </c>
      <c r="G33" s="31" t="s">
        <v>1248</v>
      </c>
      <c r="H33" s="31" t="s">
        <v>1261</v>
      </c>
      <c r="I33" s="31" t="s">
        <v>1262</v>
      </c>
      <c r="J33" s="34" t="str">
        <f t="shared" si="0"/>
        <v>STKR</v>
      </c>
      <c r="K33" s="31" t="s">
        <v>10</v>
      </c>
      <c r="L33" s="52">
        <v>1010</v>
      </c>
      <c r="M33" s="31" t="s">
        <v>1472</v>
      </c>
      <c r="N33" s="31" t="s">
        <v>11</v>
      </c>
      <c r="O33" s="53">
        <v>0.05</v>
      </c>
      <c r="P33" s="35">
        <f t="shared" si="1"/>
        <v>50.5</v>
      </c>
      <c r="Q33" s="36">
        <f t="shared" si="2"/>
        <v>7.3003400000000003</v>
      </c>
      <c r="R33" s="36">
        <f t="shared" si="3"/>
        <v>6.7999999999999996E-3</v>
      </c>
      <c r="S33" s="37">
        <f t="shared" si="4"/>
        <v>6.87</v>
      </c>
      <c r="T33" s="36" t="s">
        <v>349</v>
      </c>
      <c r="U33" s="31" t="s">
        <v>18</v>
      </c>
      <c r="V33" s="57">
        <v>7.1879</v>
      </c>
      <c r="W33" s="38">
        <f t="shared" si="5"/>
        <v>7.0256959612682426</v>
      </c>
    </row>
    <row r="34" spans="1:23">
      <c r="A34" s="31" t="s">
        <v>1260</v>
      </c>
      <c r="B34" s="32">
        <v>45663</v>
      </c>
      <c r="C34" s="32">
        <v>45651</v>
      </c>
      <c r="D34" s="31" t="s">
        <v>101</v>
      </c>
      <c r="E34" s="31" t="s">
        <v>102</v>
      </c>
      <c r="G34" s="31" t="s">
        <v>1248</v>
      </c>
      <c r="H34" s="31" t="s">
        <v>1258</v>
      </c>
      <c r="I34" s="31" t="s">
        <v>1259</v>
      </c>
      <c r="J34" s="34" t="str">
        <f t="shared" si="0"/>
        <v>STKR</v>
      </c>
      <c r="K34" s="31" t="s">
        <v>10</v>
      </c>
      <c r="L34" s="52">
        <v>510</v>
      </c>
      <c r="M34" s="31" t="s">
        <v>1472</v>
      </c>
      <c r="N34" s="31" t="s">
        <v>11</v>
      </c>
      <c r="O34" s="53">
        <v>0.05</v>
      </c>
      <c r="P34" s="35">
        <f t="shared" si="1"/>
        <v>25.5</v>
      </c>
      <c r="Q34" s="36">
        <f t="shared" si="2"/>
        <v>7.3003400000000003</v>
      </c>
      <c r="R34" s="36">
        <f t="shared" si="3"/>
        <v>6.7999999999999996E-3</v>
      </c>
      <c r="S34" s="37">
        <f t="shared" si="4"/>
        <v>3.47</v>
      </c>
      <c r="T34" s="36" t="s">
        <v>349</v>
      </c>
      <c r="U34" s="31" t="s">
        <v>18</v>
      </c>
      <c r="V34" s="57">
        <v>7.1879</v>
      </c>
      <c r="W34" s="38">
        <f t="shared" si="5"/>
        <v>3.5476286537097068</v>
      </c>
    </row>
    <row r="35" spans="1:23">
      <c r="A35" s="31" t="s">
        <v>1257</v>
      </c>
      <c r="B35" s="32">
        <v>45663</v>
      </c>
      <c r="C35" s="32">
        <v>45651</v>
      </c>
      <c r="D35" s="31" t="s">
        <v>101</v>
      </c>
      <c r="E35" s="31" t="s">
        <v>102</v>
      </c>
      <c r="G35" s="31" t="s">
        <v>1248</v>
      </c>
      <c r="H35" s="31" t="s">
        <v>1255</v>
      </c>
      <c r="I35" s="31" t="s">
        <v>1256</v>
      </c>
      <c r="J35" s="34" t="str">
        <f t="shared" si="0"/>
        <v>STKR</v>
      </c>
      <c r="K35" s="31" t="s">
        <v>10</v>
      </c>
      <c r="L35" s="52">
        <v>1010</v>
      </c>
      <c r="M35" s="31" t="s">
        <v>1472</v>
      </c>
      <c r="N35" s="31" t="s">
        <v>11</v>
      </c>
      <c r="O35" s="53">
        <v>0.05</v>
      </c>
      <c r="P35" s="35">
        <f t="shared" si="1"/>
        <v>50.5</v>
      </c>
      <c r="Q35" s="36">
        <f t="shared" si="2"/>
        <v>7.3003400000000003</v>
      </c>
      <c r="R35" s="36">
        <f t="shared" si="3"/>
        <v>6.7999999999999996E-3</v>
      </c>
      <c r="S35" s="37">
        <f t="shared" si="4"/>
        <v>6.87</v>
      </c>
      <c r="T35" s="36" t="s">
        <v>349</v>
      </c>
      <c r="U35" s="31" t="s">
        <v>18</v>
      </c>
      <c r="V35" s="57">
        <v>7.1879</v>
      </c>
      <c r="W35" s="38">
        <f t="shared" si="5"/>
        <v>7.0256959612682426</v>
      </c>
    </row>
    <row r="36" spans="1:23">
      <c r="A36" s="31" t="s">
        <v>1251</v>
      </c>
      <c r="B36" s="32">
        <v>45663</v>
      </c>
      <c r="C36" s="32">
        <v>45651</v>
      </c>
      <c r="D36" s="31" t="s">
        <v>101</v>
      </c>
      <c r="E36" s="31" t="s">
        <v>102</v>
      </c>
      <c r="G36" s="31" t="s">
        <v>1248</v>
      </c>
      <c r="H36" s="31" t="s">
        <v>1249</v>
      </c>
      <c r="I36" s="31" t="s">
        <v>1250</v>
      </c>
      <c r="J36" s="34" t="str">
        <f t="shared" si="0"/>
        <v>STKR</v>
      </c>
      <c r="K36" s="31" t="s">
        <v>10</v>
      </c>
      <c r="L36" s="52">
        <v>1010</v>
      </c>
      <c r="M36" s="31" t="s">
        <v>1472</v>
      </c>
      <c r="N36" s="31" t="s">
        <v>11</v>
      </c>
      <c r="O36" s="53">
        <v>0.05</v>
      </c>
      <c r="P36" s="35">
        <f t="shared" si="1"/>
        <v>50.5</v>
      </c>
      <c r="Q36" s="36">
        <f t="shared" si="2"/>
        <v>7.3003400000000003</v>
      </c>
      <c r="R36" s="36">
        <f t="shared" si="3"/>
        <v>6.7999999999999996E-3</v>
      </c>
      <c r="S36" s="37">
        <f t="shared" si="4"/>
        <v>6.87</v>
      </c>
      <c r="T36" s="36" t="s">
        <v>349</v>
      </c>
      <c r="U36" s="31" t="s">
        <v>18</v>
      </c>
      <c r="V36" s="57">
        <v>7.1879</v>
      </c>
      <c r="W36" s="38">
        <f t="shared" si="5"/>
        <v>7.0256959612682426</v>
      </c>
    </row>
    <row r="37" spans="1:23">
      <c r="A37" s="31" t="s">
        <v>1247</v>
      </c>
      <c r="B37" s="32">
        <v>45663</v>
      </c>
      <c r="C37" s="32">
        <v>45651</v>
      </c>
      <c r="D37" s="31" t="s">
        <v>101</v>
      </c>
      <c r="E37" s="31" t="s">
        <v>102</v>
      </c>
      <c r="G37" s="31" t="s">
        <v>1248</v>
      </c>
      <c r="H37" s="31" t="s">
        <v>1245</v>
      </c>
      <c r="I37" s="31" t="s">
        <v>1246</v>
      </c>
      <c r="J37" s="34" t="str">
        <f t="shared" si="0"/>
        <v>STKR</v>
      </c>
      <c r="K37" s="31" t="s">
        <v>10</v>
      </c>
      <c r="L37" s="52">
        <v>1010</v>
      </c>
      <c r="M37" s="31" t="s">
        <v>1472</v>
      </c>
      <c r="N37" s="31" t="s">
        <v>11</v>
      </c>
      <c r="O37" s="53">
        <v>0.05</v>
      </c>
      <c r="P37" s="35">
        <f t="shared" si="1"/>
        <v>50.5</v>
      </c>
      <c r="Q37" s="36">
        <f t="shared" si="2"/>
        <v>7.3003400000000003</v>
      </c>
      <c r="R37" s="36">
        <f t="shared" si="3"/>
        <v>6.7999999999999996E-3</v>
      </c>
      <c r="S37" s="37">
        <f t="shared" si="4"/>
        <v>6.87</v>
      </c>
      <c r="T37" s="36" t="s">
        <v>349</v>
      </c>
      <c r="U37" s="31" t="s">
        <v>18</v>
      </c>
      <c r="V37" s="57">
        <v>7.1879</v>
      </c>
      <c r="W37" s="38">
        <f t="shared" si="5"/>
        <v>7.0256959612682426</v>
      </c>
    </row>
    <row r="38" spans="1:23">
      <c r="A38" s="31" t="s">
        <v>231</v>
      </c>
      <c r="B38" s="32">
        <v>45674</v>
      </c>
      <c r="C38" s="32">
        <v>45653</v>
      </c>
      <c r="D38" s="31" t="s">
        <v>101</v>
      </c>
      <c r="E38" s="31" t="s">
        <v>102</v>
      </c>
      <c r="G38" s="31" t="s">
        <v>232</v>
      </c>
      <c r="H38" s="31" t="s">
        <v>229</v>
      </c>
      <c r="I38" s="31" t="s">
        <v>230</v>
      </c>
      <c r="J38" s="34" t="str">
        <f t="shared" si="0"/>
        <v>STKR</v>
      </c>
      <c r="K38" s="31" t="s">
        <v>10</v>
      </c>
      <c r="L38" s="52">
        <v>1010</v>
      </c>
      <c r="M38" s="31" t="s">
        <v>1472</v>
      </c>
      <c r="N38" s="31" t="s">
        <v>11</v>
      </c>
      <c r="O38" s="53">
        <v>0.05</v>
      </c>
      <c r="P38" s="35">
        <f t="shared" si="1"/>
        <v>50.5</v>
      </c>
      <c r="Q38" s="36">
        <f t="shared" si="2"/>
        <v>7.3003400000000003</v>
      </c>
      <c r="R38" s="36">
        <f t="shared" si="3"/>
        <v>6.7999999999999996E-3</v>
      </c>
      <c r="S38" s="37">
        <f t="shared" si="4"/>
        <v>6.87</v>
      </c>
      <c r="T38" s="36" t="s">
        <v>349</v>
      </c>
      <c r="U38" s="31" t="s">
        <v>18</v>
      </c>
      <c r="V38" s="57">
        <v>7.1879</v>
      </c>
      <c r="W38" s="38">
        <f t="shared" si="5"/>
        <v>7.0256959612682426</v>
      </c>
    </row>
    <row r="39" spans="1:23">
      <c r="A39" s="31" t="s">
        <v>1254</v>
      </c>
      <c r="B39" s="32">
        <v>45663</v>
      </c>
      <c r="C39" s="32">
        <v>45651</v>
      </c>
      <c r="D39" s="31" t="s">
        <v>101</v>
      </c>
      <c r="E39" s="31" t="s">
        <v>102</v>
      </c>
      <c r="G39" s="31" t="s">
        <v>1248</v>
      </c>
      <c r="H39" s="31" t="s">
        <v>1252</v>
      </c>
      <c r="I39" s="31" t="s">
        <v>1253</v>
      </c>
      <c r="J39" s="34" t="str">
        <f t="shared" si="0"/>
        <v>STKR</v>
      </c>
      <c r="K39" s="31" t="s">
        <v>10</v>
      </c>
      <c r="L39" s="52">
        <v>505</v>
      </c>
      <c r="M39" s="31" t="s">
        <v>1472</v>
      </c>
      <c r="N39" s="31" t="s">
        <v>11</v>
      </c>
      <c r="O39" s="53">
        <v>0.06</v>
      </c>
      <c r="P39" s="35">
        <f t="shared" si="1"/>
        <v>30.3</v>
      </c>
      <c r="Q39" s="36">
        <f t="shared" si="2"/>
        <v>7.3003400000000003</v>
      </c>
      <c r="R39" s="36">
        <f t="shared" si="3"/>
        <v>8.2000000000000007E-3</v>
      </c>
      <c r="S39" s="37">
        <f t="shared" si="4"/>
        <v>4.1399999999999997</v>
      </c>
      <c r="T39" s="36" t="s">
        <v>349</v>
      </c>
      <c r="U39" s="31" t="s">
        <v>18</v>
      </c>
      <c r="V39" s="57">
        <v>7.1879</v>
      </c>
      <c r="W39" s="38">
        <f t="shared" si="5"/>
        <v>4.2154175767609452</v>
      </c>
    </row>
    <row r="40" spans="1:23">
      <c r="A40" s="31" t="s">
        <v>1267</v>
      </c>
      <c r="B40" s="32">
        <v>45663</v>
      </c>
      <c r="C40" s="32">
        <v>45652</v>
      </c>
      <c r="D40" s="31" t="s">
        <v>101</v>
      </c>
      <c r="E40" s="31" t="s">
        <v>102</v>
      </c>
      <c r="G40" s="31" t="s">
        <v>1248</v>
      </c>
      <c r="H40" s="31" t="s">
        <v>1265</v>
      </c>
      <c r="I40" s="31" t="s">
        <v>1266</v>
      </c>
      <c r="J40" s="34" t="str">
        <f t="shared" si="0"/>
        <v>STKR</v>
      </c>
      <c r="K40" s="31" t="s">
        <v>10</v>
      </c>
      <c r="L40" s="52">
        <v>1010</v>
      </c>
      <c r="M40" s="31" t="s">
        <v>1472</v>
      </c>
      <c r="N40" s="31" t="s">
        <v>11</v>
      </c>
      <c r="O40" s="53">
        <v>0.06</v>
      </c>
      <c r="P40" s="35">
        <f t="shared" si="1"/>
        <v>60.6</v>
      </c>
      <c r="Q40" s="36">
        <f t="shared" si="2"/>
        <v>7.3003400000000003</v>
      </c>
      <c r="R40" s="36">
        <f t="shared" si="3"/>
        <v>8.2000000000000007E-3</v>
      </c>
      <c r="S40" s="37">
        <f t="shared" si="4"/>
        <v>8.2799999999999994</v>
      </c>
      <c r="T40" s="36" t="s">
        <v>349</v>
      </c>
      <c r="U40" s="31" t="s">
        <v>18</v>
      </c>
      <c r="V40" s="57">
        <v>7.1879</v>
      </c>
      <c r="W40" s="38">
        <f t="shared" si="5"/>
        <v>8.4308351535218904</v>
      </c>
    </row>
    <row r="41" spans="1:23">
      <c r="A41" s="31" t="s">
        <v>69</v>
      </c>
      <c r="B41" s="32">
        <v>45678</v>
      </c>
      <c r="C41" s="32">
        <v>45678</v>
      </c>
      <c r="D41" s="31" t="s">
        <v>67</v>
      </c>
      <c r="E41" s="31" t="s">
        <v>68</v>
      </c>
      <c r="G41" s="31" t="s">
        <v>70</v>
      </c>
      <c r="H41" s="31" t="s">
        <v>65</v>
      </c>
      <c r="I41" s="31" t="s">
        <v>66</v>
      </c>
      <c r="J41" s="34" t="str">
        <f t="shared" si="0"/>
        <v>MISC</v>
      </c>
      <c r="K41" s="31" t="s">
        <v>10</v>
      </c>
      <c r="L41" s="52">
        <v>1000</v>
      </c>
      <c r="M41" s="31" t="s">
        <v>1472</v>
      </c>
      <c r="N41" s="31" t="s">
        <v>11</v>
      </c>
      <c r="O41" s="53">
        <v>6.1100000000000002E-2</v>
      </c>
      <c r="P41" s="35">
        <f t="shared" si="1"/>
        <v>61.1</v>
      </c>
      <c r="Q41" s="36">
        <f t="shared" si="2"/>
        <v>7.3003400000000003</v>
      </c>
      <c r="R41" s="36">
        <f t="shared" si="3"/>
        <v>8.3999999999999995E-3</v>
      </c>
      <c r="S41" s="37">
        <f t="shared" si="4"/>
        <v>8.4</v>
      </c>
      <c r="T41" s="36" t="s">
        <v>349</v>
      </c>
      <c r="U41" s="31" t="s">
        <v>25</v>
      </c>
      <c r="V41" s="57">
        <v>7.1879</v>
      </c>
      <c r="W41" s="38">
        <f t="shared" si="5"/>
        <v>8.5003964996730623</v>
      </c>
    </row>
    <row r="42" spans="1:23">
      <c r="A42" s="31" t="s">
        <v>1392</v>
      </c>
      <c r="B42" s="32">
        <v>45659</v>
      </c>
      <c r="C42" s="32">
        <v>45609</v>
      </c>
      <c r="D42" s="31" t="s">
        <v>143</v>
      </c>
      <c r="E42" s="31" t="s">
        <v>144</v>
      </c>
      <c r="G42" s="31" t="s">
        <v>1389</v>
      </c>
      <c r="H42" s="31" t="s">
        <v>939</v>
      </c>
      <c r="I42" s="31" t="s">
        <v>940</v>
      </c>
      <c r="J42" s="34" t="str">
        <f t="shared" si="0"/>
        <v>WHR-</v>
      </c>
      <c r="K42" s="31" t="s">
        <v>10</v>
      </c>
      <c r="L42" s="52">
        <v>4000</v>
      </c>
      <c r="M42" s="31" t="s">
        <v>1472</v>
      </c>
      <c r="N42" s="31" t="s">
        <v>11</v>
      </c>
      <c r="O42" s="53">
        <v>6.2E-2</v>
      </c>
      <c r="P42" s="35">
        <f t="shared" si="1"/>
        <v>248</v>
      </c>
      <c r="Q42" s="36">
        <f t="shared" si="2"/>
        <v>7.3003400000000003</v>
      </c>
      <c r="R42" s="36">
        <f t="shared" si="3"/>
        <v>8.5000000000000006E-3</v>
      </c>
      <c r="S42" s="37">
        <f t="shared" si="4"/>
        <v>34</v>
      </c>
      <c r="T42" s="36" t="s">
        <v>349</v>
      </c>
      <c r="U42" s="31" t="s">
        <v>248</v>
      </c>
      <c r="V42" s="57">
        <v>7.1879</v>
      </c>
      <c r="W42" s="38">
        <f t="shared" si="5"/>
        <v>34.502427690980674</v>
      </c>
    </row>
    <row r="43" spans="1:23">
      <c r="A43" s="31" t="s">
        <v>1391</v>
      </c>
      <c r="B43" s="32">
        <v>45659</v>
      </c>
      <c r="C43" s="32">
        <v>45622</v>
      </c>
      <c r="D43" s="31" t="s">
        <v>143</v>
      </c>
      <c r="E43" s="31" t="s">
        <v>144</v>
      </c>
      <c r="G43" s="31" t="s">
        <v>1389</v>
      </c>
      <c r="H43" s="31" t="s">
        <v>939</v>
      </c>
      <c r="I43" s="31" t="s">
        <v>940</v>
      </c>
      <c r="J43" s="34" t="str">
        <f t="shared" si="0"/>
        <v>WHR-</v>
      </c>
      <c r="K43" s="31" t="s">
        <v>10</v>
      </c>
      <c r="L43" s="52">
        <v>2000</v>
      </c>
      <c r="M43" s="31" t="s">
        <v>1472</v>
      </c>
      <c r="N43" s="31" t="s">
        <v>11</v>
      </c>
      <c r="O43" s="53">
        <v>6.2E-2</v>
      </c>
      <c r="P43" s="35">
        <f t="shared" si="1"/>
        <v>124</v>
      </c>
      <c r="Q43" s="36">
        <f t="shared" si="2"/>
        <v>7.3003400000000003</v>
      </c>
      <c r="R43" s="36">
        <f t="shared" si="3"/>
        <v>8.5000000000000006E-3</v>
      </c>
      <c r="S43" s="37">
        <f t="shared" si="4"/>
        <v>17</v>
      </c>
      <c r="T43" s="36" t="s">
        <v>349</v>
      </c>
      <c r="U43" s="31" t="s">
        <v>248</v>
      </c>
      <c r="V43" s="57">
        <v>7.1879</v>
      </c>
      <c r="W43" s="38">
        <f t="shared" si="5"/>
        <v>17.251213845490337</v>
      </c>
    </row>
    <row r="44" spans="1:23">
      <c r="A44" s="31" t="s">
        <v>943</v>
      </c>
      <c r="B44" s="32">
        <v>45664</v>
      </c>
      <c r="C44" s="32">
        <v>45629</v>
      </c>
      <c r="D44" s="31" t="s">
        <v>143</v>
      </c>
      <c r="E44" s="31" t="s">
        <v>144</v>
      </c>
      <c r="G44" s="31" t="s">
        <v>942</v>
      </c>
      <c r="H44" s="31" t="s">
        <v>939</v>
      </c>
      <c r="I44" s="31" t="s">
        <v>940</v>
      </c>
      <c r="J44" s="34" t="str">
        <f t="shared" si="0"/>
        <v>WHR-</v>
      </c>
      <c r="K44" s="31" t="s">
        <v>10</v>
      </c>
      <c r="L44" s="52">
        <v>1000</v>
      </c>
      <c r="M44" s="31" t="s">
        <v>1472</v>
      </c>
      <c r="N44" s="31" t="s">
        <v>11</v>
      </c>
      <c r="O44" s="53">
        <v>6.2E-2</v>
      </c>
      <c r="P44" s="35">
        <f t="shared" si="1"/>
        <v>62</v>
      </c>
      <c r="Q44" s="36">
        <f t="shared" si="2"/>
        <v>7.3003400000000003</v>
      </c>
      <c r="R44" s="36">
        <f t="shared" si="3"/>
        <v>8.5000000000000006E-3</v>
      </c>
      <c r="S44" s="37">
        <f t="shared" si="4"/>
        <v>8.5</v>
      </c>
      <c r="T44" s="36" t="s">
        <v>349</v>
      </c>
      <c r="U44" s="31" t="s">
        <v>248</v>
      </c>
      <c r="V44" s="57">
        <v>7.1879</v>
      </c>
      <c r="W44" s="38">
        <f t="shared" si="5"/>
        <v>8.6256069227451686</v>
      </c>
    </row>
    <row r="45" spans="1:23">
      <c r="A45" s="31" t="s">
        <v>1390</v>
      </c>
      <c r="B45" s="32">
        <v>45659</v>
      </c>
      <c r="C45" s="32">
        <v>45643</v>
      </c>
      <c r="D45" s="31" t="s">
        <v>143</v>
      </c>
      <c r="E45" s="31" t="s">
        <v>144</v>
      </c>
      <c r="G45" s="31" t="s">
        <v>1389</v>
      </c>
      <c r="H45" s="31" t="s">
        <v>939</v>
      </c>
      <c r="I45" s="31" t="s">
        <v>940</v>
      </c>
      <c r="J45" s="34" t="str">
        <f t="shared" si="0"/>
        <v>WHR-</v>
      </c>
      <c r="K45" s="31" t="s">
        <v>10</v>
      </c>
      <c r="L45" s="52">
        <v>2000</v>
      </c>
      <c r="M45" s="31" t="s">
        <v>1472</v>
      </c>
      <c r="N45" s="31" t="s">
        <v>11</v>
      </c>
      <c r="O45" s="53">
        <v>6.2E-2</v>
      </c>
      <c r="P45" s="35">
        <f t="shared" si="1"/>
        <v>124</v>
      </c>
      <c r="Q45" s="36">
        <f t="shared" si="2"/>
        <v>7.3003400000000003</v>
      </c>
      <c r="R45" s="36">
        <f t="shared" si="3"/>
        <v>8.5000000000000006E-3</v>
      </c>
      <c r="S45" s="37">
        <f t="shared" si="4"/>
        <v>17</v>
      </c>
      <c r="T45" s="36" t="s">
        <v>349</v>
      </c>
      <c r="U45" s="31" t="s">
        <v>248</v>
      </c>
      <c r="V45" s="57">
        <v>7.1879</v>
      </c>
      <c r="W45" s="38">
        <f t="shared" si="5"/>
        <v>17.251213845490337</v>
      </c>
    </row>
    <row r="46" spans="1:23">
      <c r="A46" s="31" t="s">
        <v>941</v>
      </c>
      <c r="B46" s="32">
        <v>45664</v>
      </c>
      <c r="C46" s="32">
        <v>45646</v>
      </c>
      <c r="D46" s="31" t="s">
        <v>143</v>
      </c>
      <c r="E46" s="31" t="s">
        <v>144</v>
      </c>
      <c r="G46" s="31" t="s">
        <v>942</v>
      </c>
      <c r="H46" s="31" t="s">
        <v>939</v>
      </c>
      <c r="I46" s="31" t="s">
        <v>940</v>
      </c>
      <c r="J46" s="34" t="str">
        <f t="shared" si="0"/>
        <v>WHR-</v>
      </c>
      <c r="K46" s="31" t="s">
        <v>10</v>
      </c>
      <c r="L46" s="52">
        <v>9800</v>
      </c>
      <c r="M46" s="31" t="s">
        <v>1472</v>
      </c>
      <c r="N46" s="31" t="s">
        <v>11</v>
      </c>
      <c r="O46" s="53">
        <v>6.2E-2</v>
      </c>
      <c r="P46" s="35">
        <f t="shared" si="1"/>
        <v>607.6</v>
      </c>
      <c r="Q46" s="36">
        <f t="shared" si="2"/>
        <v>7.3003400000000003</v>
      </c>
      <c r="R46" s="36">
        <f t="shared" si="3"/>
        <v>8.5000000000000006E-3</v>
      </c>
      <c r="S46" s="37">
        <f t="shared" si="4"/>
        <v>83.3</v>
      </c>
      <c r="T46" s="36" t="s">
        <v>349</v>
      </c>
      <c r="U46" s="31" t="s">
        <v>248</v>
      </c>
      <c r="V46" s="57">
        <v>7.1879</v>
      </c>
      <c r="W46" s="38">
        <f t="shared" si="5"/>
        <v>84.530947842902663</v>
      </c>
    </row>
    <row r="47" spans="1:23">
      <c r="A47" s="31" t="s">
        <v>633</v>
      </c>
      <c r="B47" s="32">
        <v>45670</v>
      </c>
      <c r="C47" s="32">
        <v>45643</v>
      </c>
      <c r="D47" s="31" t="s">
        <v>169</v>
      </c>
      <c r="E47" s="31" t="s">
        <v>170</v>
      </c>
      <c r="G47" s="31" t="s">
        <v>634</v>
      </c>
      <c r="H47" s="31" t="s">
        <v>631</v>
      </c>
      <c r="I47" s="31" t="s">
        <v>632</v>
      </c>
      <c r="J47" s="34" t="str">
        <f t="shared" si="0"/>
        <v>WACD</v>
      </c>
      <c r="K47" s="31" t="s">
        <v>10</v>
      </c>
      <c r="L47" s="52">
        <v>2010</v>
      </c>
      <c r="M47" s="31" t="s">
        <v>1472</v>
      </c>
      <c r="N47" s="31" t="s">
        <v>11</v>
      </c>
      <c r="O47" s="53">
        <v>6.5000000000000002E-2</v>
      </c>
      <c r="P47" s="35">
        <f t="shared" si="1"/>
        <v>130.65</v>
      </c>
      <c r="Q47" s="36">
        <f t="shared" si="2"/>
        <v>7.3003400000000003</v>
      </c>
      <c r="R47" s="36">
        <f t="shared" si="3"/>
        <v>8.8999999999999999E-3</v>
      </c>
      <c r="S47" s="37">
        <f t="shared" si="4"/>
        <v>17.89</v>
      </c>
      <c r="T47" s="36" t="s">
        <v>349</v>
      </c>
      <c r="U47" s="31" t="s">
        <v>635</v>
      </c>
      <c r="V47" s="57">
        <v>7.1879</v>
      </c>
      <c r="W47" s="38">
        <f t="shared" si="5"/>
        <v>18.176379749300906</v>
      </c>
    </row>
    <row r="48" spans="1:23">
      <c r="A48" s="31" t="s">
        <v>595</v>
      </c>
      <c r="B48" s="32">
        <v>45670</v>
      </c>
      <c r="C48" s="32">
        <v>45630</v>
      </c>
      <c r="D48" s="31" t="s">
        <v>162</v>
      </c>
      <c r="E48" s="31" t="s">
        <v>163</v>
      </c>
      <c r="G48" s="31" t="s">
        <v>590</v>
      </c>
      <c r="H48" s="31" t="s">
        <v>592</v>
      </c>
      <c r="I48" s="31" t="s">
        <v>593</v>
      </c>
      <c r="J48" s="34" t="str">
        <f t="shared" si="0"/>
        <v>SCR-</v>
      </c>
      <c r="K48" s="31" t="s">
        <v>10</v>
      </c>
      <c r="L48" s="52">
        <v>21000</v>
      </c>
      <c r="M48" s="31" t="s">
        <v>1472</v>
      </c>
      <c r="N48" s="31" t="s">
        <v>11</v>
      </c>
      <c r="O48" s="53">
        <v>6.8599999999999994E-2</v>
      </c>
      <c r="P48" s="35">
        <f t="shared" si="1"/>
        <v>1440.6</v>
      </c>
      <c r="Q48" s="36">
        <f t="shared" si="2"/>
        <v>7.3003400000000003</v>
      </c>
      <c r="R48" s="36">
        <f t="shared" si="3"/>
        <v>9.4000000000000004E-3</v>
      </c>
      <c r="S48" s="37">
        <f t="shared" si="4"/>
        <v>197.4</v>
      </c>
      <c r="T48" s="36" t="s">
        <v>349</v>
      </c>
      <c r="U48" s="31" t="s">
        <v>166</v>
      </c>
      <c r="V48" s="57">
        <v>7.1879</v>
      </c>
      <c r="W48" s="38">
        <f t="shared" si="5"/>
        <v>200.42015053075303</v>
      </c>
    </row>
    <row r="49" spans="1:23">
      <c r="A49" s="31" t="s">
        <v>609</v>
      </c>
      <c r="B49" s="32">
        <v>45670</v>
      </c>
      <c r="C49" s="32">
        <v>45636</v>
      </c>
      <c r="D49" s="31" t="s">
        <v>162</v>
      </c>
      <c r="E49" s="31" t="s">
        <v>163</v>
      </c>
      <c r="G49" s="31" t="s">
        <v>602</v>
      </c>
      <c r="H49" s="31" t="s">
        <v>606</v>
      </c>
      <c r="I49" s="31" t="s">
        <v>607</v>
      </c>
      <c r="J49" s="34" t="str">
        <f t="shared" si="0"/>
        <v>SCR-</v>
      </c>
      <c r="K49" s="31" t="s">
        <v>10</v>
      </c>
      <c r="L49" s="52">
        <v>1100</v>
      </c>
      <c r="M49" s="31" t="s">
        <v>1472</v>
      </c>
      <c r="N49" s="31" t="s">
        <v>11</v>
      </c>
      <c r="O49" s="53">
        <v>6.9000000000000006E-2</v>
      </c>
      <c r="P49" s="35">
        <f t="shared" si="1"/>
        <v>75.900000000000006</v>
      </c>
      <c r="Q49" s="36">
        <f t="shared" si="2"/>
        <v>7.3003400000000003</v>
      </c>
      <c r="R49" s="36">
        <f t="shared" si="3"/>
        <v>9.4999999999999998E-3</v>
      </c>
      <c r="S49" s="37">
        <f t="shared" si="4"/>
        <v>10.45</v>
      </c>
      <c r="T49" s="36" t="s">
        <v>349</v>
      </c>
      <c r="U49" s="31" t="s">
        <v>166</v>
      </c>
      <c r="V49" s="57">
        <v>7.1879</v>
      </c>
      <c r="W49" s="38">
        <f t="shared" si="5"/>
        <v>10.559412345747715</v>
      </c>
    </row>
    <row r="50" spans="1:23">
      <c r="A50" s="31" t="s">
        <v>608</v>
      </c>
      <c r="B50" s="32">
        <v>45670</v>
      </c>
      <c r="C50" s="32">
        <v>45653</v>
      </c>
      <c r="D50" s="31" t="s">
        <v>162</v>
      </c>
      <c r="E50" s="31" t="s">
        <v>163</v>
      </c>
      <c r="G50" s="31" t="s">
        <v>602</v>
      </c>
      <c r="H50" s="31" t="s">
        <v>606</v>
      </c>
      <c r="I50" s="31" t="s">
        <v>607</v>
      </c>
      <c r="J50" s="34" t="str">
        <f t="shared" si="0"/>
        <v>SCR-</v>
      </c>
      <c r="K50" s="31" t="s">
        <v>10</v>
      </c>
      <c r="L50" s="52">
        <v>1000</v>
      </c>
      <c r="M50" s="31" t="s">
        <v>1472</v>
      </c>
      <c r="N50" s="31" t="s">
        <v>11</v>
      </c>
      <c r="O50" s="53">
        <v>6.9000000000000006E-2</v>
      </c>
      <c r="P50" s="35">
        <f t="shared" si="1"/>
        <v>69</v>
      </c>
      <c r="Q50" s="36">
        <f t="shared" si="2"/>
        <v>7.3003400000000003</v>
      </c>
      <c r="R50" s="36">
        <f t="shared" si="3"/>
        <v>9.4999999999999998E-3</v>
      </c>
      <c r="S50" s="37">
        <f t="shared" si="4"/>
        <v>9.5</v>
      </c>
      <c r="T50" s="36" t="s">
        <v>349</v>
      </c>
      <c r="U50" s="31" t="s">
        <v>166</v>
      </c>
      <c r="V50" s="57">
        <v>7.1879</v>
      </c>
      <c r="W50" s="38">
        <f t="shared" si="5"/>
        <v>9.5994657688615597</v>
      </c>
    </row>
    <row r="51" spans="1:23">
      <c r="A51" s="31" t="s">
        <v>598</v>
      </c>
      <c r="B51" s="32">
        <v>45670</v>
      </c>
      <c r="C51" s="32">
        <v>45636</v>
      </c>
      <c r="D51" s="31" t="s">
        <v>162</v>
      </c>
      <c r="E51" s="31" t="s">
        <v>163</v>
      </c>
      <c r="G51" s="31" t="s">
        <v>590</v>
      </c>
      <c r="H51" s="31" t="s">
        <v>592</v>
      </c>
      <c r="I51" s="31" t="s">
        <v>593</v>
      </c>
      <c r="J51" s="34" t="str">
        <f t="shared" si="0"/>
        <v>SCR-</v>
      </c>
      <c r="K51" s="31" t="s">
        <v>10</v>
      </c>
      <c r="L51" s="52">
        <v>2100</v>
      </c>
      <c r="M51" s="31" t="s">
        <v>1472</v>
      </c>
      <c r="N51" s="31" t="s">
        <v>11</v>
      </c>
      <c r="O51" s="53">
        <v>7.0000000000000007E-2</v>
      </c>
      <c r="P51" s="35">
        <f t="shared" si="1"/>
        <v>147</v>
      </c>
      <c r="Q51" s="36">
        <f t="shared" si="2"/>
        <v>7.3003400000000003</v>
      </c>
      <c r="R51" s="36">
        <f t="shared" si="3"/>
        <v>9.5999999999999992E-3</v>
      </c>
      <c r="S51" s="37">
        <f t="shared" si="4"/>
        <v>20.16</v>
      </c>
      <c r="T51" s="36" t="s">
        <v>349</v>
      </c>
      <c r="U51" s="31" t="s">
        <v>166</v>
      </c>
      <c r="V51" s="57">
        <v>7.1879</v>
      </c>
      <c r="W51" s="38">
        <f t="shared" si="5"/>
        <v>20.451035768444193</v>
      </c>
    </row>
    <row r="52" spans="1:23">
      <c r="A52" s="31" t="s">
        <v>597</v>
      </c>
      <c r="B52" s="32">
        <v>45670</v>
      </c>
      <c r="C52" s="32">
        <v>45639</v>
      </c>
      <c r="D52" s="31" t="s">
        <v>162</v>
      </c>
      <c r="E52" s="31" t="s">
        <v>163</v>
      </c>
      <c r="G52" s="31" t="s">
        <v>590</v>
      </c>
      <c r="H52" s="31" t="s">
        <v>592</v>
      </c>
      <c r="I52" s="31" t="s">
        <v>593</v>
      </c>
      <c r="J52" s="34" t="str">
        <f t="shared" si="0"/>
        <v>SCR-</v>
      </c>
      <c r="K52" s="31" t="s">
        <v>10</v>
      </c>
      <c r="L52" s="52">
        <v>3100</v>
      </c>
      <c r="M52" s="31" t="s">
        <v>1472</v>
      </c>
      <c r="N52" s="31" t="s">
        <v>11</v>
      </c>
      <c r="O52" s="53">
        <v>7.0000000000000007E-2</v>
      </c>
      <c r="P52" s="35">
        <f t="shared" si="1"/>
        <v>217</v>
      </c>
      <c r="Q52" s="36">
        <f t="shared" si="2"/>
        <v>7.3003400000000003</v>
      </c>
      <c r="R52" s="36">
        <f t="shared" si="3"/>
        <v>9.5999999999999992E-3</v>
      </c>
      <c r="S52" s="37">
        <f t="shared" si="4"/>
        <v>29.76</v>
      </c>
      <c r="T52" s="36" t="s">
        <v>349</v>
      </c>
      <c r="U52" s="31" t="s">
        <v>166</v>
      </c>
      <c r="V52" s="57">
        <v>7.1879</v>
      </c>
      <c r="W52" s="38">
        <f t="shared" si="5"/>
        <v>30.189624229608096</v>
      </c>
    </row>
    <row r="53" spans="1:23">
      <c r="A53" s="31" t="s">
        <v>596</v>
      </c>
      <c r="B53" s="32">
        <v>45670</v>
      </c>
      <c r="C53" s="32">
        <v>45643</v>
      </c>
      <c r="D53" s="31" t="s">
        <v>162</v>
      </c>
      <c r="E53" s="31" t="s">
        <v>163</v>
      </c>
      <c r="G53" s="31" t="s">
        <v>590</v>
      </c>
      <c r="H53" s="31" t="s">
        <v>592</v>
      </c>
      <c r="I53" s="31" t="s">
        <v>593</v>
      </c>
      <c r="J53" s="34" t="str">
        <f t="shared" si="0"/>
        <v>SCR-</v>
      </c>
      <c r="K53" s="31" t="s">
        <v>10</v>
      </c>
      <c r="L53" s="52">
        <v>3100</v>
      </c>
      <c r="M53" s="31" t="s">
        <v>1472</v>
      </c>
      <c r="N53" s="31" t="s">
        <v>11</v>
      </c>
      <c r="O53" s="53">
        <v>7.0000000000000007E-2</v>
      </c>
      <c r="P53" s="35">
        <f t="shared" si="1"/>
        <v>217</v>
      </c>
      <c r="Q53" s="36">
        <f t="shared" si="2"/>
        <v>7.3003400000000003</v>
      </c>
      <c r="R53" s="36">
        <f t="shared" si="3"/>
        <v>9.5999999999999992E-3</v>
      </c>
      <c r="S53" s="37">
        <f t="shared" si="4"/>
        <v>29.76</v>
      </c>
      <c r="T53" s="36" t="s">
        <v>349</v>
      </c>
      <c r="U53" s="31" t="s">
        <v>166</v>
      </c>
      <c r="V53" s="57">
        <v>7.1879</v>
      </c>
      <c r="W53" s="38">
        <f t="shared" si="5"/>
        <v>30.189624229608096</v>
      </c>
    </row>
    <row r="54" spans="1:23">
      <c r="A54" s="31" t="s">
        <v>594</v>
      </c>
      <c r="B54" s="32">
        <v>45670</v>
      </c>
      <c r="C54" s="32">
        <v>45646</v>
      </c>
      <c r="D54" s="31" t="s">
        <v>162</v>
      </c>
      <c r="E54" s="31" t="s">
        <v>163</v>
      </c>
      <c r="G54" s="31" t="s">
        <v>590</v>
      </c>
      <c r="H54" s="31" t="s">
        <v>592</v>
      </c>
      <c r="I54" s="31" t="s">
        <v>593</v>
      </c>
      <c r="J54" s="34" t="str">
        <f t="shared" si="0"/>
        <v>SCR-</v>
      </c>
      <c r="K54" s="31" t="s">
        <v>10</v>
      </c>
      <c r="L54" s="52">
        <v>13500</v>
      </c>
      <c r="M54" s="31" t="s">
        <v>1472</v>
      </c>
      <c r="N54" s="31" t="s">
        <v>11</v>
      </c>
      <c r="O54" s="53">
        <v>7.0000000000000007E-2</v>
      </c>
      <c r="P54" s="35">
        <f t="shared" si="1"/>
        <v>945</v>
      </c>
      <c r="Q54" s="36">
        <f t="shared" si="2"/>
        <v>7.3003400000000003</v>
      </c>
      <c r="R54" s="36">
        <f t="shared" si="3"/>
        <v>9.5999999999999992E-3</v>
      </c>
      <c r="S54" s="37">
        <f t="shared" si="4"/>
        <v>129.6</v>
      </c>
      <c r="T54" s="36" t="s">
        <v>349</v>
      </c>
      <c r="U54" s="31" t="s">
        <v>166</v>
      </c>
      <c r="V54" s="57">
        <v>7.1879</v>
      </c>
      <c r="W54" s="38">
        <f t="shared" si="5"/>
        <v>131.47094422571269</v>
      </c>
    </row>
    <row r="55" spans="1:23">
      <c r="A55" s="31" t="s">
        <v>1383</v>
      </c>
      <c r="B55" s="32">
        <v>45659</v>
      </c>
      <c r="C55" s="32">
        <v>45610</v>
      </c>
      <c r="D55" s="31" t="s">
        <v>128</v>
      </c>
      <c r="E55" s="31" t="s">
        <v>129</v>
      </c>
      <c r="G55" s="31" t="s">
        <v>1377</v>
      </c>
      <c r="H55" s="31" t="s">
        <v>954</v>
      </c>
      <c r="I55" s="31" t="s">
        <v>955</v>
      </c>
      <c r="J55" s="34" t="str">
        <f t="shared" si="0"/>
        <v>RIV-</v>
      </c>
      <c r="K55" s="31" t="s">
        <v>10</v>
      </c>
      <c r="L55" s="52">
        <v>3000</v>
      </c>
      <c r="M55" s="31" t="s">
        <v>1472</v>
      </c>
      <c r="N55" s="31" t="s">
        <v>11</v>
      </c>
      <c r="O55" s="53">
        <v>7.0099999999999996E-2</v>
      </c>
      <c r="P55" s="35">
        <f t="shared" si="1"/>
        <v>210.3</v>
      </c>
      <c r="Q55" s="36">
        <f t="shared" si="2"/>
        <v>7.3003400000000003</v>
      </c>
      <c r="R55" s="36">
        <f t="shared" si="3"/>
        <v>9.5999999999999992E-3</v>
      </c>
      <c r="S55" s="37">
        <f t="shared" si="4"/>
        <v>28.8</v>
      </c>
      <c r="T55" s="36" t="s">
        <v>349</v>
      </c>
      <c r="U55" s="31" t="s">
        <v>132</v>
      </c>
      <c r="V55" s="57">
        <v>7.1879</v>
      </c>
      <c r="W55" s="38">
        <f t="shared" si="5"/>
        <v>29.257502191182404</v>
      </c>
    </row>
    <row r="56" spans="1:23">
      <c r="A56" s="31" t="s">
        <v>1382</v>
      </c>
      <c r="B56" s="32">
        <v>45659</v>
      </c>
      <c r="C56" s="32">
        <v>45622</v>
      </c>
      <c r="D56" s="31" t="s">
        <v>128</v>
      </c>
      <c r="E56" s="31" t="s">
        <v>129</v>
      </c>
      <c r="G56" s="31" t="s">
        <v>1377</v>
      </c>
      <c r="H56" s="31" t="s">
        <v>954</v>
      </c>
      <c r="I56" s="31" t="s">
        <v>955</v>
      </c>
      <c r="J56" s="34" t="str">
        <f t="shared" si="0"/>
        <v>RIV-</v>
      </c>
      <c r="K56" s="31" t="s">
        <v>10</v>
      </c>
      <c r="L56" s="52">
        <v>8000</v>
      </c>
      <c r="M56" s="31" t="s">
        <v>1472</v>
      </c>
      <c r="N56" s="31" t="s">
        <v>11</v>
      </c>
      <c r="O56" s="53">
        <v>7.0099999999999996E-2</v>
      </c>
      <c r="P56" s="35">
        <f t="shared" si="1"/>
        <v>560.79999999999995</v>
      </c>
      <c r="Q56" s="36">
        <f t="shared" si="2"/>
        <v>7.3003400000000003</v>
      </c>
      <c r="R56" s="36">
        <f t="shared" si="3"/>
        <v>9.5999999999999992E-3</v>
      </c>
      <c r="S56" s="37">
        <f t="shared" si="4"/>
        <v>76.8</v>
      </c>
      <c r="T56" s="36" t="s">
        <v>349</v>
      </c>
      <c r="U56" s="31" t="s">
        <v>132</v>
      </c>
      <c r="V56" s="57">
        <v>7.1879</v>
      </c>
      <c r="W56" s="38">
        <f t="shared" si="5"/>
        <v>78.020005843153072</v>
      </c>
    </row>
    <row r="57" spans="1:23">
      <c r="A57" s="31" t="s">
        <v>1381</v>
      </c>
      <c r="B57" s="32">
        <v>45659</v>
      </c>
      <c r="C57" s="32">
        <v>45622</v>
      </c>
      <c r="D57" s="31" t="s">
        <v>128</v>
      </c>
      <c r="E57" s="31" t="s">
        <v>129</v>
      </c>
      <c r="G57" s="31" t="s">
        <v>1377</v>
      </c>
      <c r="H57" s="31" t="s">
        <v>954</v>
      </c>
      <c r="I57" s="31" t="s">
        <v>955</v>
      </c>
      <c r="J57" s="34" t="str">
        <f t="shared" si="0"/>
        <v>RIV-</v>
      </c>
      <c r="K57" s="31" t="s">
        <v>10</v>
      </c>
      <c r="L57" s="52">
        <v>12000</v>
      </c>
      <c r="M57" s="31" t="s">
        <v>1472</v>
      </c>
      <c r="N57" s="31" t="s">
        <v>11</v>
      </c>
      <c r="O57" s="53">
        <v>7.0099999999999996E-2</v>
      </c>
      <c r="P57" s="35">
        <f t="shared" si="1"/>
        <v>841.2</v>
      </c>
      <c r="Q57" s="36">
        <f t="shared" si="2"/>
        <v>7.3003400000000003</v>
      </c>
      <c r="R57" s="36">
        <f t="shared" si="3"/>
        <v>9.5999999999999992E-3</v>
      </c>
      <c r="S57" s="37">
        <f t="shared" si="4"/>
        <v>115.2</v>
      </c>
      <c r="T57" s="36" t="s">
        <v>349</v>
      </c>
      <c r="U57" s="31" t="s">
        <v>132</v>
      </c>
      <c r="V57" s="57">
        <v>7.1879</v>
      </c>
      <c r="W57" s="38">
        <f t="shared" si="5"/>
        <v>117.03000876472962</v>
      </c>
    </row>
    <row r="58" spans="1:23">
      <c r="A58" s="31" t="s">
        <v>1380</v>
      </c>
      <c r="B58" s="32">
        <v>45659</v>
      </c>
      <c r="C58" s="32">
        <v>45636</v>
      </c>
      <c r="D58" s="31" t="s">
        <v>128</v>
      </c>
      <c r="E58" s="31" t="s">
        <v>129</v>
      </c>
      <c r="G58" s="31" t="s">
        <v>1377</v>
      </c>
      <c r="H58" s="31" t="s">
        <v>954</v>
      </c>
      <c r="I58" s="31" t="s">
        <v>955</v>
      </c>
      <c r="J58" s="34" t="str">
        <f t="shared" si="0"/>
        <v>RIV-</v>
      </c>
      <c r="K58" s="31" t="s">
        <v>10</v>
      </c>
      <c r="L58" s="52">
        <v>6500</v>
      </c>
      <c r="M58" s="31" t="s">
        <v>1472</v>
      </c>
      <c r="N58" s="31" t="s">
        <v>11</v>
      </c>
      <c r="O58" s="53">
        <v>7.0099999999999996E-2</v>
      </c>
      <c r="P58" s="35">
        <f t="shared" si="1"/>
        <v>455.65</v>
      </c>
      <c r="Q58" s="36">
        <f t="shared" si="2"/>
        <v>7.3003400000000003</v>
      </c>
      <c r="R58" s="36">
        <f t="shared" si="3"/>
        <v>9.5999999999999992E-3</v>
      </c>
      <c r="S58" s="37">
        <f t="shared" si="4"/>
        <v>62.4</v>
      </c>
      <c r="T58" s="36" t="s">
        <v>349</v>
      </c>
      <c r="U58" s="31" t="s">
        <v>132</v>
      </c>
      <c r="V58" s="57">
        <v>7.1879</v>
      </c>
      <c r="W58" s="38">
        <f t="shared" si="5"/>
        <v>63.391254747561874</v>
      </c>
    </row>
    <row r="59" spans="1:23">
      <c r="A59" s="31" t="s">
        <v>956</v>
      </c>
      <c r="B59" s="32">
        <v>45664</v>
      </c>
      <c r="C59" s="32">
        <v>45653</v>
      </c>
      <c r="D59" s="31" t="s">
        <v>128</v>
      </c>
      <c r="E59" s="31" t="s">
        <v>129</v>
      </c>
      <c r="G59" s="31" t="s">
        <v>953</v>
      </c>
      <c r="H59" s="31" t="s">
        <v>954</v>
      </c>
      <c r="I59" s="31" t="s">
        <v>955</v>
      </c>
      <c r="J59" s="34" t="str">
        <f t="shared" si="0"/>
        <v>RIV-</v>
      </c>
      <c r="K59" s="31" t="s">
        <v>10</v>
      </c>
      <c r="L59" s="52">
        <v>2100</v>
      </c>
      <c r="M59" s="31" t="s">
        <v>1472</v>
      </c>
      <c r="N59" s="31" t="s">
        <v>11</v>
      </c>
      <c r="O59" s="53">
        <v>7.0099999999999996E-2</v>
      </c>
      <c r="P59" s="35">
        <f t="shared" si="1"/>
        <v>147.21</v>
      </c>
      <c r="Q59" s="36">
        <f t="shared" si="2"/>
        <v>7.3003400000000003</v>
      </c>
      <c r="R59" s="36">
        <f t="shared" si="3"/>
        <v>9.5999999999999992E-3</v>
      </c>
      <c r="S59" s="37">
        <f t="shared" si="4"/>
        <v>20.16</v>
      </c>
      <c r="T59" s="36" t="s">
        <v>349</v>
      </c>
      <c r="U59" s="31" t="s">
        <v>132</v>
      </c>
      <c r="V59" s="57">
        <v>7.1879</v>
      </c>
      <c r="W59" s="38">
        <f t="shared" si="5"/>
        <v>20.480251533827683</v>
      </c>
    </row>
    <row r="60" spans="1:23">
      <c r="A60" s="31" t="s">
        <v>1332</v>
      </c>
      <c r="B60" s="32">
        <v>45660</v>
      </c>
      <c r="C60" s="32">
        <v>45622</v>
      </c>
      <c r="D60" s="31" t="s">
        <v>169</v>
      </c>
      <c r="E60" s="31" t="s">
        <v>170</v>
      </c>
      <c r="G60" s="31" t="s">
        <v>1323</v>
      </c>
      <c r="H60" s="31" t="s">
        <v>1330</v>
      </c>
      <c r="I60" s="31" t="s">
        <v>1331</v>
      </c>
      <c r="J60" s="34" t="str">
        <f t="shared" si="0"/>
        <v>STKR</v>
      </c>
      <c r="K60" s="31" t="s">
        <v>10</v>
      </c>
      <c r="L60" s="52">
        <v>2020</v>
      </c>
      <c r="M60" s="31" t="s">
        <v>1472</v>
      </c>
      <c r="N60" s="31" t="s">
        <v>11</v>
      </c>
      <c r="O60" s="53">
        <v>0.08</v>
      </c>
      <c r="P60" s="35">
        <f t="shared" si="1"/>
        <v>161.6</v>
      </c>
      <c r="Q60" s="36">
        <f t="shared" si="2"/>
        <v>7.3003400000000003</v>
      </c>
      <c r="R60" s="36">
        <f t="shared" si="3"/>
        <v>1.0999999999999999E-2</v>
      </c>
      <c r="S60" s="37">
        <f t="shared" si="4"/>
        <v>22.22</v>
      </c>
      <c r="T60" s="36" t="s">
        <v>349</v>
      </c>
      <c r="U60" s="31" t="s">
        <v>18</v>
      </c>
      <c r="V60" s="57">
        <v>7.1879</v>
      </c>
      <c r="W60" s="38">
        <f t="shared" si="5"/>
        <v>22.482227076058376</v>
      </c>
    </row>
    <row r="61" spans="1:23">
      <c r="A61" s="31" t="s">
        <v>1329</v>
      </c>
      <c r="B61" s="32">
        <v>45660</v>
      </c>
      <c r="C61" s="32">
        <v>45622</v>
      </c>
      <c r="D61" s="31" t="s">
        <v>169</v>
      </c>
      <c r="E61" s="31" t="s">
        <v>170</v>
      </c>
      <c r="G61" s="31" t="s">
        <v>1323</v>
      </c>
      <c r="H61" s="31" t="s">
        <v>1327</v>
      </c>
      <c r="I61" s="31" t="s">
        <v>1328</v>
      </c>
      <c r="J61" s="34" t="str">
        <f t="shared" si="0"/>
        <v>STKR</v>
      </c>
      <c r="K61" s="31" t="s">
        <v>10</v>
      </c>
      <c r="L61" s="52">
        <v>1010</v>
      </c>
      <c r="M61" s="31" t="s">
        <v>1472</v>
      </c>
      <c r="N61" s="31" t="s">
        <v>11</v>
      </c>
      <c r="O61" s="53">
        <v>0.08</v>
      </c>
      <c r="P61" s="35">
        <f t="shared" si="1"/>
        <v>80.8</v>
      </c>
      <c r="Q61" s="36">
        <f t="shared" si="2"/>
        <v>7.3003400000000003</v>
      </c>
      <c r="R61" s="36">
        <f t="shared" si="3"/>
        <v>1.0999999999999999E-2</v>
      </c>
      <c r="S61" s="37">
        <f t="shared" si="4"/>
        <v>11.11</v>
      </c>
      <c r="T61" s="36" t="s">
        <v>349</v>
      </c>
      <c r="U61" s="31" t="s">
        <v>18</v>
      </c>
      <c r="V61" s="57">
        <v>7.1879</v>
      </c>
      <c r="W61" s="38">
        <f t="shared" si="5"/>
        <v>11.241113538029188</v>
      </c>
    </row>
    <row r="62" spans="1:23">
      <c r="A62" s="31" t="s">
        <v>1326</v>
      </c>
      <c r="B62" s="32">
        <v>45660</v>
      </c>
      <c r="C62" s="32">
        <v>45622</v>
      </c>
      <c r="D62" s="31" t="s">
        <v>169</v>
      </c>
      <c r="E62" s="31" t="s">
        <v>170</v>
      </c>
      <c r="G62" s="31" t="s">
        <v>1323</v>
      </c>
      <c r="H62" s="31" t="s">
        <v>1324</v>
      </c>
      <c r="I62" s="31" t="s">
        <v>1325</v>
      </c>
      <c r="J62" s="34" t="str">
        <f t="shared" si="0"/>
        <v>STKR</v>
      </c>
      <c r="K62" s="31" t="s">
        <v>10</v>
      </c>
      <c r="L62" s="52">
        <v>1010</v>
      </c>
      <c r="M62" s="31" t="s">
        <v>1472</v>
      </c>
      <c r="N62" s="31" t="s">
        <v>11</v>
      </c>
      <c r="O62" s="53">
        <v>0.08</v>
      </c>
      <c r="P62" s="35">
        <f t="shared" si="1"/>
        <v>80.8</v>
      </c>
      <c r="Q62" s="36">
        <f t="shared" si="2"/>
        <v>7.3003400000000003</v>
      </c>
      <c r="R62" s="36">
        <f t="shared" si="3"/>
        <v>1.0999999999999999E-2</v>
      </c>
      <c r="S62" s="37">
        <f t="shared" si="4"/>
        <v>11.11</v>
      </c>
      <c r="T62" s="36" t="s">
        <v>349</v>
      </c>
      <c r="U62" s="31" t="s">
        <v>18</v>
      </c>
      <c r="V62" s="57">
        <v>7.1879</v>
      </c>
      <c r="W62" s="38">
        <f t="shared" si="5"/>
        <v>11.241113538029188</v>
      </c>
    </row>
    <row r="63" spans="1:23">
      <c r="A63" s="31" t="s">
        <v>823</v>
      </c>
      <c r="B63" s="32">
        <v>45666</v>
      </c>
      <c r="C63" s="32">
        <v>45650</v>
      </c>
      <c r="D63" s="31" t="s">
        <v>806</v>
      </c>
      <c r="E63" s="31" t="s">
        <v>807</v>
      </c>
      <c r="G63" s="31" t="s">
        <v>809</v>
      </c>
      <c r="H63" s="31" t="s">
        <v>821</v>
      </c>
      <c r="I63" s="31" t="s">
        <v>822</v>
      </c>
      <c r="J63" s="34" t="str">
        <f t="shared" si="0"/>
        <v>BAG-</v>
      </c>
      <c r="K63" s="31" t="s">
        <v>10</v>
      </c>
      <c r="L63" s="52">
        <v>5000</v>
      </c>
      <c r="M63" s="31" t="s">
        <v>1472</v>
      </c>
      <c r="N63" s="31" t="s">
        <v>11</v>
      </c>
      <c r="O63" s="53">
        <v>0.08</v>
      </c>
      <c r="P63" s="35">
        <f t="shared" si="1"/>
        <v>400</v>
      </c>
      <c r="Q63" s="36">
        <f t="shared" si="2"/>
        <v>7.3003400000000003</v>
      </c>
      <c r="R63" s="36">
        <f t="shared" si="3"/>
        <v>1.0999999999999999E-2</v>
      </c>
      <c r="S63" s="37">
        <f t="shared" si="4"/>
        <v>55</v>
      </c>
      <c r="T63" s="36" t="s">
        <v>349</v>
      </c>
      <c r="U63" s="31" t="s">
        <v>810</v>
      </c>
      <c r="V63" s="57">
        <v>7.1879</v>
      </c>
      <c r="W63" s="38">
        <f t="shared" si="5"/>
        <v>55.649076920936572</v>
      </c>
    </row>
    <row r="64" spans="1:23">
      <c r="A64" s="31" t="s">
        <v>556</v>
      </c>
      <c r="B64" s="32">
        <v>45670</v>
      </c>
      <c r="C64" s="32">
        <v>45639</v>
      </c>
      <c r="D64" s="31" t="s">
        <v>545</v>
      </c>
      <c r="E64" s="31" t="s">
        <v>546</v>
      </c>
      <c r="G64" s="31" t="s">
        <v>548</v>
      </c>
      <c r="H64" s="31" t="s">
        <v>553</v>
      </c>
      <c r="I64" s="31" t="s">
        <v>554</v>
      </c>
      <c r="J64" s="34" t="str">
        <f t="shared" si="0"/>
        <v>WHR-</v>
      </c>
      <c r="K64" s="31" t="s">
        <v>10</v>
      </c>
      <c r="L64" s="52">
        <v>2300</v>
      </c>
      <c r="M64" s="31" t="s">
        <v>1472</v>
      </c>
      <c r="N64" s="31" t="s">
        <v>11</v>
      </c>
      <c r="O64" s="53">
        <v>8.5000000000000006E-2</v>
      </c>
      <c r="P64" s="35">
        <f t="shared" si="1"/>
        <v>195.5</v>
      </c>
      <c r="Q64" s="36">
        <f t="shared" si="2"/>
        <v>7.3003400000000003</v>
      </c>
      <c r="R64" s="36">
        <f t="shared" si="3"/>
        <v>1.1599999999999999E-2</v>
      </c>
      <c r="S64" s="37">
        <f t="shared" si="4"/>
        <v>26.68</v>
      </c>
      <c r="T64" s="36" t="s">
        <v>349</v>
      </c>
      <c r="U64" s="31" t="s">
        <v>248</v>
      </c>
      <c r="V64" s="57">
        <v>7.1879</v>
      </c>
      <c r="W64" s="38">
        <f t="shared" si="5"/>
        <v>27.198486345107753</v>
      </c>
    </row>
    <row r="65" spans="1:23">
      <c r="A65" s="31" t="s">
        <v>555</v>
      </c>
      <c r="B65" s="32">
        <v>45670</v>
      </c>
      <c r="C65" s="32">
        <v>45643</v>
      </c>
      <c r="D65" s="31" t="s">
        <v>545</v>
      </c>
      <c r="E65" s="31" t="s">
        <v>546</v>
      </c>
      <c r="G65" s="31" t="s">
        <v>548</v>
      </c>
      <c r="H65" s="31" t="s">
        <v>553</v>
      </c>
      <c r="I65" s="31" t="s">
        <v>554</v>
      </c>
      <c r="J65" s="34" t="str">
        <f t="shared" si="0"/>
        <v>WHR-</v>
      </c>
      <c r="K65" s="31" t="s">
        <v>10</v>
      </c>
      <c r="L65" s="52">
        <v>4100</v>
      </c>
      <c r="M65" s="31" t="s">
        <v>1472</v>
      </c>
      <c r="N65" s="31" t="s">
        <v>11</v>
      </c>
      <c r="O65" s="53">
        <v>8.5000000000000006E-2</v>
      </c>
      <c r="P65" s="35">
        <f t="shared" si="1"/>
        <v>348.5</v>
      </c>
      <c r="Q65" s="36">
        <f t="shared" si="2"/>
        <v>7.3003400000000003</v>
      </c>
      <c r="R65" s="36">
        <f t="shared" si="3"/>
        <v>1.1599999999999999E-2</v>
      </c>
      <c r="S65" s="37">
        <f t="shared" si="4"/>
        <v>47.56</v>
      </c>
      <c r="T65" s="36" t="s">
        <v>349</v>
      </c>
      <c r="U65" s="31" t="s">
        <v>248</v>
      </c>
      <c r="V65" s="57">
        <v>7.1879</v>
      </c>
      <c r="W65" s="38">
        <f t="shared" si="5"/>
        <v>48.484258267365995</v>
      </c>
    </row>
    <row r="66" spans="1:23">
      <c r="A66" s="31" t="s">
        <v>819</v>
      </c>
      <c r="B66" s="32">
        <v>45666</v>
      </c>
      <c r="C66" s="32">
        <v>45650</v>
      </c>
      <c r="D66" s="31" t="s">
        <v>806</v>
      </c>
      <c r="E66" s="31" t="s">
        <v>807</v>
      </c>
      <c r="G66" s="31" t="s">
        <v>809</v>
      </c>
      <c r="H66" s="31" t="s">
        <v>817</v>
      </c>
      <c r="I66" s="31" t="s">
        <v>818</v>
      </c>
      <c r="J66" s="34" t="str">
        <f t="shared" ref="J66:J129" si="6">+LEFT(U66,4)</f>
        <v>BAG-</v>
      </c>
      <c r="K66" s="31" t="s">
        <v>10</v>
      </c>
      <c r="L66" s="52">
        <v>5000</v>
      </c>
      <c r="M66" s="31" t="s">
        <v>1472</v>
      </c>
      <c r="N66" s="31" t="s">
        <v>11</v>
      </c>
      <c r="O66" s="53">
        <v>8.5000000000000006E-2</v>
      </c>
      <c r="P66" s="35">
        <f t="shared" ref="P66:P129" si="7">ROUND(O66*L66,2)</f>
        <v>425</v>
      </c>
      <c r="Q66" s="36">
        <f t="shared" ref="Q66:Q129" si="8">IF(N66="HKD",7.8,IF(N66="CNY",7.30034,1))</f>
        <v>7.3003400000000003</v>
      </c>
      <c r="R66" s="36">
        <f t="shared" ref="R66:R129" si="9">+ROUND(O66/Q66,4)</f>
        <v>1.1599999999999999E-2</v>
      </c>
      <c r="S66" s="37">
        <f t="shared" ref="S66:S129" si="10">ROUND(R66*L66,2)</f>
        <v>58</v>
      </c>
      <c r="T66" s="36" t="s">
        <v>349</v>
      </c>
      <c r="U66" s="31" t="s">
        <v>810</v>
      </c>
      <c r="V66" s="57">
        <v>7.1879</v>
      </c>
      <c r="W66" s="38">
        <f t="shared" ref="W66:W129" si="11">IF(N66="CNY",O66/V66*L66,1)</f>
        <v>59.127144228495119</v>
      </c>
    </row>
    <row r="67" spans="1:23">
      <c r="A67" s="31" t="s">
        <v>130</v>
      </c>
      <c r="B67" s="32">
        <v>45677</v>
      </c>
      <c r="C67" s="32">
        <v>45664</v>
      </c>
      <c r="D67" s="31" t="s">
        <v>128</v>
      </c>
      <c r="E67" s="31" t="s">
        <v>129</v>
      </c>
      <c r="G67" s="31" t="s">
        <v>131</v>
      </c>
      <c r="H67" s="31" t="s">
        <v>126</v>
      </c>
      <c r="I67" s="31" t="s">
        <v>127</v>
      </c>
      <c r="J67" s="34" t="str">
        <f t="shared" si="6"/>
        <v>RIV-</v>
      </c>
      <c r="K67" s="31" t="s">
        <v>10</v>
      </c>
      <c r="L67" s="52">
        <v>1000</v>
      </c>
      <c r="M67" s="31" t="s">
        <v>1472</v>
      </c>
      <c r="N67" s="31" t="s">
        <v>11</v>
      </c>
      <c r="O67" s="53">
        <v>8.7300000000000003E-2</v>
      </c>
      <c r="P67" s="35">
        <f t="shared" si="7"/>
        <v>87.3</v>
      </c>
      <c r="Q67" s="36">
        <f t="shared" si="8"/>
        <v>7.3003400000000003</v>
      </c>
      <c r="R67" s="36">
        <f t="shared" si="9"/>
        <v>1.2E-2</v>
      </c>
      <c r="S67" s="37">
        <f t="shared" si="10"/>
        <v>12</v>
      </c>
      <c r="T67" s="36" t="s">
        <v>349</v>
      </c>
      <c r="U67" s="31" t="s">
        <v>132</v>
      </c>
      <c r="V67" s="57">
        <v>7.1879</v>
      </c>
      <c r="W67" s="38">
        <f t="shared" si="11"/>
        <v>12.145411037994409</v>
      </c>
    </row>
    <row r="68" spans="1:23">
      <c r="A68" s="31" t="s">
        <v>1399</v>
      </c>
      <c r="B68" s="32">
        <v>45659</v>
      </c>
      <c r="C68" s="32">
        <v>45643</v>
      </c>
      <c r="D68" s="31" t="s">
        <v>143</v>
      </c>
      <c r="E68" s="31" t="s">
        <v>144</v>
      </c>
      <c r="G68" s="31" t="s">
        <v>1396</v>
      </c>
      <c r="H68" s="31" t="s">
        <v>1397</v>
      </c>
      <c r="I68" s="31" t="s">
        <v>1398</v>
      </c>
      <c r="J68" s="34" t="str">
        <f t="shared" si="6"/>
        <v>WHR-</v>
      </c>
      <c r="K68" s="31" t="s">
        <v>10</v>
      </c>
      <c r="L68" s="52">
        <v>2500</v>
      </c>
      <c r="M68" s="31" t="s">
        <v>1472</v>
      </c>
      <c r="N68" s="31" t="s">
        <v>11</v>
      </c>
      <c r="O68" s="53">
        <v>8.9499999999999996E-2</v>
      </c>
      <c r="P68" s="35">
        <f t="shared" si="7"/>
        <v>223.75</v>
      </c>
      <c r="Q68" s="36">
        <f t="shared" si="8"/>
        <v>7.3003400000000003</v>
      </c>
      <c r="R68" s="36">
        <f t="shared" si="9"/>
        <v>1.23E-2</v>
      </c>
      <c r="S68" s="37">
        <f t="shared" si="10"/>
        <v>30.75</v>
      </c>
      <c r="T68" s="36" t="s">
        <v>349</v>
      </c>
      <c r="U68" s="31" t="s">
        <v>248</v>
      </c>
      <c r="V68" s="57">
        <v>7.1879</v>
      </c>
      <c r="W68" s="38">
        <f t="shared" si="11"/>
        <v>31.128702402648894</v>
      </c>
    </row>
    <row r="69" spans="1:23">
      <c r="A69" s="31" t="s">
        <v>1400</v>
      </c>
      <c r="B69" s="32">
        <v>45659</v>
      </c>
      <c r="C69" s="32">
        <v>45644</v>
      </c>
      <c r="D69" s="31" t="s">
        <v>143</v>
      </c>
      <c r="E69" s="31" t="s">
        <v>144</v>
      </c>
      <c r="G69" s="31" t="s">
        <v>1396</v>
      </c>
      <c r="H69" s="31" t="s">
        <v>1397</v>
      </c>
      <c r="I69" s="31" t="s">
        <v>1398</v>
      </c>
      <c r="J69" s="34" t="str">
        <f t="shared" si="6"/>
        <v>WHR-</v>
      </c>
      <c r="K69" s="31" t="s">
        <v>10</v>
      </c>
      <c r="L69" s="52">
        <v>9000</v>
      </c>
      <c r="M69" s="31" t="s">
        <v>1472</v>
      </c>
      <c r="N69" s="31" t="s">
        <v>11</v>
      </c>
      <c r="O69" s="53">
        <v>8.9499999999999996E-2</v>
      </c>
      <c r="P69" s="35">
        <f t="shared" si="7"/>
        <v>805.5</v>
      </c>
      <c r="Q69" s="36">
        <f t="shared" si="8"/>
        <v>7.3003400000000003</v>
      </c>
      <c r="R69" s="36">
        <f t="shared" si="9"/>
        <v>1.23E-2</v>
      </c>
      <c r="S69" s="37">
        <f t="shared" si="10"/>
        <v>110.7</v>
      </c>
      <c r="T69" s="36" t="s">
        <v>349</v>
      </c>
      <c r="U69" s="31" t="s">
        <v>248</v>
      </c>
      <c r="V69" s="57">
        <v>7.1879</v>
      </c>
      <c r="W69" s="38">
        <f t="shared" si="11"/>
        <v>112.06332864953602</v>
      </c>
    </row>
    <row r="70" spans="1:23">
      <c r="A70" s="31" t="s">
        <v>586</v>
      </c>
      <c r="B70" s="32">
        <v>45670</v>
      </c>
      <c r="C70" s="32">
        <v>45643</v>
      </c>
      <c r="D70" s="31" t="s">
        <v>162</v>
      </c>
      <c r="E70" s="31" t="s">
        <v>163</v>
      </c>
      <c r="G70" s="31" t="s">
        <v>576</v>
      </c>
      <c r="H70" s="31" t="s">
        <v>583</v>
      </c>
      <c r="I70" s="31" t="s">
        <v>584</v>
      </c>
      <c r="J70" s="34" t="str">
        <f t="shared" si="6"/>
        <v>SCR-</v>
      </c>
      <c r="K70" s="31" t="s">
        <v>10</v>
      </c>
      <c r="L70" s="52">
        <v>2000</v>
      </c>
      <c r="M70" s="31" t="s">
        <v>1472</v>
      </c>
      <c r="N70" s="31" t="s">
        <v>11</v>
      </c>
      <c r="O70" s="53">
        <v>9.2999999999999999E-2</v>
      </c>
      <c r="P70" s="35">
        <f t="shared" si="7"/>
        <v>186</v>
      </c>
      <c r="Q70" s="36">
        <f t="shared" si="8"/>
        <v>7.3003400000000003</v>
      </c>
      <c r="R70" s="36">
        <f t="shared" si="9"/>
        <v>1.2699999999999999E-2</v>
      </c>
      <c r="S70" s="37">
        <f t="shared" si="10"/>
        <v>25.4</v>
      </c>
      <c r="T70" s="36" t="s">
        <v>349</v>
      </c>
      <c r="U70" s="31" t="s">
        <v>166</v>
      </c>
      <c r="V70" s="57">
        <v>7.1879</v>
      </c>
      <c r="W70" s="38">
        <f t="shared" si="11"/>
        <v>25.876820768235508</v>
      </c>
    </row>
    <row r="71" spans="1:23">
      <c r="A71" s="31" t="s">
        <v>585</v>
      </c>
      <c r="B71" s="32">
        <v>45670</v>
      </c>
      <c r="C71" s="32">
        <v>45646</v>
      </c>
      <c r="D71" s="31" t="s">
        <v>162</v>
      </c>
      <c r="E71" s="31" t="s">
        <v>163</v>
      </c>
      <c r="G71" s="31" t="s">
        <v>576</v>
      </c>
      <c r="H71" s="31" t="s">
        <v>583</v>
      </c>
      <c r="I71" s="31" t="s">
        <v>584</v>
      </c>
      <c r="J71" s="34" t="str">
        <f t="shared" si="6"/>
        <v>SCR-</v>
      </c>
      <c r="K71" s="31" t="s">
        <v>10</v>
      </c>
      <c r="L71" s="52">
        <v>9250</v>
      </c>
      <c r="M71" s="31" t="s">
        <v>1472</v>
      </c>
      <c r="N71" s="31" t="s">
        <v>11</v>
      </c>
      <c r="O71" s="53">
        <v>9.2999999999999999E-2</v>
      </c>
      <c r="P71" s="35">
        <f t="shared" si="7"/>
        <v>860.25</v>
      </c>
      <c r="Q71" s="36">
        <f t="shared" si="8"/>
        <v>7.3003400000000003</v>
      </c>
      <c r="R71" s="36">
        <f t="shared" si="9"/>
        <v>1.2699999999999999E-2</v>
      </c>
      <c r="S71" s="37">
        <f t="shared" si="10"/>
        <v>117.48</v>
      </c>
      <c r="T71" s="36" t="s">
        <v>349</v>
      </c>
      <c r="U71" s="31" t="s">
        <v>166</v>
      </c>
      <c r="V71" s="57">
        <v>7.1879</v>
      </c>
      <c r="W71" s="38">
        <f t="shared" si="11"/>
        <v>119.68029605308922</v>
      </c>
    </row>
    <row r="72" spans="1:23">
      <c r="A72" s="31" t="s">
        <v>582</v>
      </c>
      <c r="B72" s="32">
        <v>45670</v>
      </c>
      <c r="C72" s="32">
        <v>45629</v>
      </c>
      <c r="D72" s="31" t="s">
        <v>162</v>
      </c>
      <c r="E72" s="31" t="s">
        <v>163</v>
      </c>
      <c r="G72" s="31" t="s">
        <v>576</v>
      </c>
      <c r="H72" s="31" t="s">
        <v>578</v>
      </c>
      <c r="I72" s="31" t="s">
        <v>579</v>
      </c>
      <c r="J72" s="34" t="str">
        <f t="shared" si="6"/>
        <v>SCR-</v>
      </c>
      <c r="K72" s="31" t="s">
        <v>10</v>
      </c>
      <c r="L72" s="52">
        <v>6000</v>
      </c>
      <c r="M72" s="31" t="s">
        <v>1472</v>
      </c>
      <c r="N72" s="31" t="s">
        <v>11</v>
      </c>
      <c r="O72" s="53">
        <v>9.8000000000000004E-2</v>
      </c>
      <c r="P72" s="35">
        <f t="shared" si="7"/>
        <v>588</v>
      </c>
      <c r="Q72" s="36">
        <f t="shared" si="8"/>
        <v>7.3003400000000003</v>
      </c>
      <c r="R72" s="36">
        <f t="shared" si="9"/>
        <v>1.34E-2</v>
      </c>
      <c r="S72" s="37">
        <f t="shared" si="10"/>
        <v>80.400000000000006</v>
      </c>
      <c r="T72" s="36" t="s">
        <v>349</v>
      </c>
      <c r="U72" s="31" t="s">
        <v>166</v>
      </c>
      <c r="V72" s="57">
        <v>7.1879</v>
      </c>
      <c r="W72" s="38">
        <f t="shared" si="11"/>
        <v>81.804143073776771</v>
      </c>
    </row>
    <row r="73" spans="1:23">
      <c r="A73" s="31" t="s">
        <v>581</v>
      </c>
      <c r="B73" s="32">
        <v>45670</v>
      </c>
      <c r="C73" s="32">
        <v>45643</v>
      </c>
      <c r="D73" s="31" t="s">
        <v>162</v>
      </c>
      <c r="E73" s="31" t="s">
        <v>163</v>
      </c>
      <c r="G73" s="31" t="s">
        <v>576</v>
      </c>
      <c r="H73" s="31" t="s">
        <v>578</v>
      </c>
      <c r="I73" s="31" t="s">
        <v>579</v>
      </c>
      <c r="J73" s="34" t="str">
        <f t="shared" si="6"/>
        <v>SCR-</v>
      </c>
      <c r="K73" s="31" t="s">
        <v>10</v>
      </c>
      <c r="L73" s="52">
        <v>4200</v>
      </c>
      <c r="M73" s="31" t="s">
        <v>1472</v>
      </c>
      <c r="N73" s="31" t="s">
        <v>11</v>
      </c>
      <c r="O73" s="53">
        <v>9.8000000000000004E-2</v>
      </c>
      <c r="P73" s="35">
        <f t="shared" si="7"/>
        <v>411.6</v>
      </c>
      <c r="Q73" s="36">
        <f t="shared" si="8"/>
        <v>7.3003400000000003</v>
      </c>
      <c r="R73" s="36">
        <f t="shared" si="9"/>
        <v>1.34E-2</v>
      </c>
      <c r="S73" s="37">
        <f t="shared" si="10"/>
        <v>56.28</v>
      </c>
      <c r="T73" s="36" t="s">
        <v>349</v>
      </c>
      <c r="U73" s="31" t="s">
        <v>166</v>
      </c>
      <c r="V73" s="57">
        <v>7.1879</v>
      </c>
      <c r="W73" s="38">
        <f t="shared" si="11"/>
        <v>57.262900151643734</v>
      </c>
    </row>
    <row r="74" spans="1:23">
      <c r="A74" s="31" t="s">
        <v>580</v>
      </c>
      <c r="B74" s="32">
        <v>45670</v>
      </c>
      <c r="C74" s="32">
        <v>45653</v>
      </c>
      <c r="D74" s="31" t="s">
        <v>162</v>
      </c>
      <c r="E74" s="31" t="s">
        <v>163</v>
      </c>
      <c r="G74" s="31" t="s">
        <v>576</v>
      </c>
      <c r="H74" s="31" t="s">
        <v>578</v>
      </c>
      <c r="I74" s="31" t="s">
        <v>579</v>
      </c>
      <c r="J74" s="34" t="str">
        <f t="shared" si="6"/>
        <v>SCR-</v>
      </c>
      <c r="K74" s="31" t="s">
        <v>10</v>
      </c>
      <c r="L74" s="52">
        <v>1000</v>
      </c>
      <c r="M74" s="31" t="s">
        <v>1472</v>
      </c>
      <c r="N74" s="31" t="s">
        <v>11</v>
      </c>
      <c r="O74" s="53">
        <v>9.8000000000000004E-2</v>
      </c>
      <c r="P74" s="35">
        <f t="shared" si="7"/>
        <v>98</v>
      </c>
      <c r="Q74" s="36">
        <f t="shared" si="8"/>
        <v>7.3003400000000003</v>
      </c>
      <c r="R74" s="36">
        <f t="shared" si="9"/>
        <v>1.34E-2</v>
      </c>
      <c r="S74" s="37">
        <f t="shared" si="10"/>
        <v>13.4</v>
      </c>
      <c r="T74" s="36" t="s">
        <v>349</v>
      </c>
      <c r="U74" s="31" t="s">
        <v>166</v>
      </c>
      <c r="V74" s="57">
        <v>7.1879</v>
      </c>
      <c r="W74" s="38">
        <f t="shared" si="11"/>
        <v>13.634023845629461</v>
      </c>
    </row>
    <row r="75" spans="1:23">
      <c r="A75" s="31" t="s">
        <v>1103</v>
      </c>
      <c r="B75" s="32">
        <v>45663</v>
      </c>
      <c r="C75" s="32">
        <v>45653</v>
      </c>
      <c r="D75" s="31" t="s">
        <v>169</v>
      </c>
      <c r="E75" s="31" t="s">
        <v>170</v>
      </c>
      <c r="G75" s="31" t="s">
        <v>1093</v>
      </c>
      <c r="H75" s="31" t="s">
        <v>1101</v>
      </c>
      <c r="I75" s="31" t="s">
        <v>1102</v>
      </c>
      <c r="J75" s="34" t="str">
        <f t="shared" si="6"/>
        <v>PAP-</v>
      </c>
      <c r="K75" s="31" t="s">
        <v>10</v>
      </c>
      <c r="L75" s="52">
        <v>10000</v>
      </c>
      <c r="M75" s="31" t="s">
        <v>1472</v>
      </c>
      <c r="N75" s="31" t="s">
        <v>11</v>
      </c>
      <c r="O75" s="53">
        <v>0.1</v>
      </c>
      <c r="P75" s="35">
        <f t="shared" si="7"/>
        <v>1000</v>
      </c>
      <c r="Q75" s="36">
        <f t="shared" si="8"/>
        <v>7.3003400000000003</v>
      </c>
      <c r="R75" s="36">
        <f t="shared" si="9"/>
        <v>1.37E-2</v>
      </c>
      <c r="S75" s="37">
        <f t="shared" si="10"/>
        <v>137</v>
      </c>
      <c r="T75" s="36" t="s">
        <v>349</v>
      </c>
      <c r="U75" s="31" t="s">
        <v>1094</v>
      </c>
      <c r="V75" s="57">
        <v>7.1879</v>
      </c>
      <c r="W75" s="38">
        <f t="shared" si="11"/>
        <v>139.12269230234145</v>
      </c>
    </row>
    <row r="76" spans="1:23">
      <c r="A76" s="31" t="s">
        <v>957</v>
      </c>
      <c r="B76" s="32">
        <v>45664</v>
      </c>
      <c r="C76" s="32">
        <v>45610</v>
      </c>
      <c r="D76" s="31" t="s">
        <v>128</v>
      </c>
      <c r="E76" s="31" t="s">
        <v>129</v>
      </c>
      <c r="G76" s="31" t="s">
        <v>953</v>
      </c>
      <c r="H76" s="31" t="s">
        <v>950</v>
      </c>
      <c r="I76" s="31" t="s">
        <v>951</v>
      </c>
      <c r="J76" s="34" t="str">
        <f t="shared" si="6"/>
        <v>RIV-</v>
      </c>
      <c r="K76" s="31" t="s">
        <v>10</v>
      </c>
      <c r="L76" s="52">
        <v>2000</v>
      </c>
      <c r="M76" s="31" t="s">
        <v>1472</v>
      </c>
      <c r="N76" s="31" t="s">
        <v>11</v>
      </c>
      <c r="O76" s="53">
        <v>0.1016</v>
      </c>
      <c r="P76" s="35">
        <f t="shared" si="7"/>
        <v>203.2</v>
      </c>
      <c r="Q76" s="36">
        <f t="shared" si="8"/>
        <v>7.3003400000000003</v>
      </c>
      <c r="R76" s="36">
        <f t="shared" si="9"/>
        <v>1.3899999999999999E-2</v>
      </c>
      <c r="S76" s="37">
        <f t="shared" si="10"/>
        <v>27.8</v>
      </c>
      <c r="T76" s="36" t="s">
        <v>349</v>
      </c>
      <c r="U76" s="31" t="s">
        <v>132</v>
      </c>
      <c r="V76" s="57">
        <v>7.1879</v>
      </c>
      <c r="W76" s="38">
        <f t="shared" si="11"/>
        <v>28.269731075835779</v>
      </c>
    </row>
    <row r="77" spans="1:23">
      <c r="A77" s="31" t="s">
        <v>1385</v>
      </c>
      <c r="B77" s="32">
        <v>45659</v>
      </c>
      <c r="C77" s="32">
        <v>45643</v>
      </c>
      <c r="D77" s="31" t="s">
        <v>128</v>
      </c>
      <c r="E77" s="31" t="s">
        <v>129</v>
      </c>
      <c r="G77" s="31" t="s">
        <v>1377</v>
      </c>
      <c r="H77" s="31" t="s">
        <v>950</v>
      </c>
      <c r="I77" s="31" t="s">
        <v>951</v>
      </c>
      <c r="J77" s="34" t="str">
        <f t="shared" si="6"/>
        <v>RIV-</v>
      </c>
      <c r="K77" s="31" t="s">
        <v>10</v>
      </c>
      <c r="L77" s="52">
        <v>2050</v>
      </c>
      <c r="M77" s="31" t="s">
        <v>1472</v>
      </c>
      <c r="N77" s="31" t="s">
        <v>11</v>
      </c>
      <c r="O77" s="53">
        <v>0.1016</v>
      </c>
      <c r="P77" s="35">
        <f t="shared" si="7"/>
        <v>208.28</v>
      </c>
      <c r="Q77" s="36">
        <f t="shared" si="8"/>
        <v>7.3003400000000003</v>
      </c>
      <c r="R77" s="36">
        <f t="shared" si="9"/>
        <v>1.3899999999999999E-2</v>
      </c>
      <c r="S77" s="37">
        <f t="shared" si="10"/>
        <v>28.5</v>
      </c>
      <c r="T77" s="36" t="s">
        <v>349</v>
      </c>
      <c r="U77" s="31" t="s">
        <v>132</v>
      </c>
      <c r="V77" s="57">
        <v>7.1879</v>
      </c>
      <c r="W77" s="38">
        <f t="shared" si="11"/>
        <v>28.976474352731671</v>
      </c>
    </row>
    <row r="78" spans="1:23">
      <c r="A78" s="31" t="s">
        <v>952</v>
      </c>
      <c r="B78" s="32">
        <v>45664</v>
      </c>
      <c r="C78" s="32">
        <v>45644</v>
      </c>
      <c r="D78" s="31" t="s">
        <v>128</v>
      </c>
      <c r="E78" s="31" t="s">
        <v>129</v>
      </c>
      <c r="G78" s="31" t="s">
        <v>953</v>
      </c>
      <c r="H78" s="31" t="s">
        <v>950</v>
      </c>
      <c r="I78" s="31" t="s">
        <v>951</v>
      </c>
      <c r="J78" s="34" t="str">
        <f t="shared" si="6"/>
        <v>RIV-</v>
      </c>
      <c r="K78" s="31" t="s">
        <v>10</v>
      </c>
      <c r="L78" s="52">
        <v>600</v>
      </c>
      <c r="M78" s="31" t="s">
        <v>1472</v>
      </c>
      <c r="N78" s="31" t="s">
        <v>11</v>
      </c>
      <c r="O78" s="53">
        <v>0.1016</v>
      </c>
      <c r="P78" s="35">
        <f t="shared" si="7"/>
        <v>60.96</v>
      </c>
      <c r="Q78" s="36">
        <f t="shared" si="8"/>
        <v>7.3003400000000003</v>
      </c>
      <c r="R78" s="36">
        <f t="shared" si="9"/>
        <v>1.3899999999999999E-2</v>
      </c>
      <c r="S78" s="37">
        <f t="shared" si="10"/>
        <v>8.34</v>
      </c>
      <c r="T78" s="36" t="s">
        <v>349</v>
      </c>
      <c r="U78" s="31" t="s">
        <v>132</v>
      </c>
      <c r="V78" s="57">
        <v>7.1879</v>
      </c>
      <c r="W78" s="38">
        <f t="shared" si="11"/>
        <v>8.4809193227507329</v>
      </c>
    </row>
    <row r="79" spans="1:23">
      <c r="A79" s="31" t="s">
        <v>952</v>
      </c>
      <c r="B79" s="32">
        <v>45660</v>
      </c>
      <c r="C79" s="32">
        <v>45644</v>
      </c>
      <c r="D79" s="31" t="s">
        <v>128</v>
      </c>
      <c r="E79" s="31" t="s">
        <v>129</v>
      </c>
      <c r="G79" s="31" t="s">
        <v>1377</v>
      </c>
      <c r="H79" s="31" t="s">
        <v>950</v>
      </c>
      <c r="I79" s="31" t="s">
        <v>951</v>
      </c>
      <c r="J79" s="34" t="str">
        <f t="shared" si="6"/>
        <v>RIV-</v>
      </c>
      <c r="K79" s="31" t="s">
        <v>10</v>
      </c>
      <c r="L79" s="52">
        <v>6000</v>
      </c>
      <c r="M79" s="31" t="s">
        <v>1472</v>
      </c>
      <c r="N79" s="31" t="s">
        <v>11</v>
      </c>
      <c r="O79" s="53">
        <v>0.1016</v>
      </c>
      <c r="P79" s="35">
        <f t="shared" si="7"/>
        <v>609.6</v>
      </c>
      <c r="Q79" s="36">
        <f t="shared" si="8"/>
        <v>7.3003400000000003</v>
      </c>
      <c r="R79" s="36">
        <f t="shared" si="9"/>
        <v>1.3899999999999999E-2</v>
      </c>
      <c r="S79" s="37">
        <f t="shared" si="10"/>
        <v>83.4</v>
      </c>
      <c r="T79" s="36" t="s">
        <v>349</v>
      </c>
      <c r="U79" s="31" t="s">
        <v>132</v>
      </c>
      <c r="V79" s="57">
        <v>7.1879</v>
      </c>
      <c r="W79" s="38">
        <f t="shared" si="11"/>
        <v>84.809193227507336</v>
      </c>
    </row>
    <row r="80" spans="1:23">
      <c r="A80" s="31" t="s">
        <v>952</v>
      </c>
      <c r="B80" s="32">
        <v>45660</v>
      </c>
      <c r="C80" s="32">
        <v>45644</v>
      </c>
      <c r="D80" s="31" t="s">
        <v>128</v>
      </c>
      <c r="E80" s="31" t="s">
        <v>129</v>
      </c>
      <c r="G80" s="31" t="s">
        <v>1378</v>
      </c>
      <c r="H80" s="31" t="s">
        <v>950</v>
      </c>
      <c r="I80" s="31" t="s">
        <v>951</v>
      </c>
      <c r="J80" s="34" t="str">
        <f t="shared" si="6"/>
        <v>RIV-</v>
      </c>
      <c r="K80" s="31" t="s">
        <v>10</v>
      </c>
      <c r="L80" s="52">
        <v>-6600</v>
      </c>
      <c r="M80" s="31" t="s">
        <v>1472</v>
      </c>
      <c r="N80" s="31" t="s">
        <v>11</v>
      </c>
      <c r="O80" s="53">
        <v>0.1016</v>
      </c>
      <c r="P80" s="35">
        <f t="shared" si="7"/>
        <v>-670.56</v>
      </c>
      <c r="Q80" s="36">
        <f t="shared" si="8"/>
        <v>7.3003400000000003</v>
      </c>
      <c r="R80" s="36">
        <f t="shared" si="9"/>
        <v>1.3899999999999999E-2</v>
      </c>
      <c r="S80" s="37">
        <f t="shared" si="10"/>
        <v>-91.74</v>
      </c>
      <c r="T80" s="36" t="s">
        <v>349</v>
      </c>
      <c r="U80" s="31" t="s">
        <v>132</v>
      </c>
      <c r="V80" s="57">
        <v>7.1879</v>
      </c>
      <c r="W80" s="38">
        <f t="shared" si="11"/>
        <v>-93.290112550258073</v>
      </c>
    </row>
    <row r="81" spans="1:23">
      <c r="A81" s="31" t="s">
        <v>952</v>
      </c>
      <c r="B81" s="32">
        <v>45659</v>
      </c>
      <c r="C81" s="32">
        <v>45644</v>
      </c>
      <c r="D81" s="31" t="s">
        <v>128</v>
      </c>
      <c r="E81" s="31" t="s">
        <v>129</v>
      </c>
      <c r="G81" s="31" t="s">
        <v>1377</v>
      </c>
      <c r="H81" s="31" t="s">
        <v>950</v>
      </c>
      <c r="I81" s="31" t="s">
        <v>951</v>
      </c>
      <c r="J81" s="34" t="str">
        <f t="shared" si="6"/>
        <v>RIV-</v>
      </c>
      <c r="K81" s="31" t="s">
        <v>10</v>
      </c>
      <c r="L81" s="52">
        <v>6600</v>
      </c>
      <c r="M81" s="31" t="s">
        <v>1472</v>
      </c>
      <c r="N81" s="31" t="s">
        <v>11</v>
      </c>
      <c r="O81" s="53">
        <v>0.1016</v>
      </c>
      <c r="P81" s="35">
        <f t="shared" si="7"/>
        <v>670.56</v>
      </c>
      <c r="Q81" s="36">
        <f t="shared" si="8"/>
        <v>7.3003400000000003</v>
      </c>
      <c r="R81" s="36">
        <f t="shared" si="9"/>
        <v>1.3899999999999999E-2</v>
      </c>
      <c r="S81" s="37">
        <f t="shared" si="10"/>
        <v>91.74</v>
      </c>
      <c r="T81" s="36" t="s">
        <v>349</v>
      </c>
      <c r="U81" s="31" t="s">
        <v>132</v>
      </c>
      <c r="V81" s="57">
        <v>7.1879</v>
      </c>
      <c r="W81" s="38">
        <f t="shared" si="11"/>
        <v>93.290112550258073</v>
      </c>
    </row>
    <row r="82" spans="1:23">
      <c r="A82" s="31" t="s">
        <v>1384</v>
      </c>
      <c r="B82" s="32">
        <v>45659</v>
      </c>
      <c r="C82" s="32">
        <v>45646</v>
      </c>
      <c r="D82" s="31" t="s">
        <v>128</v>
      </c>
      <c r="E82" s="31" t="s">
        <v>129</v>
      </c>
      <c r="G82" s="31" t="s">
        <v>1377</v>
      </c>
      <c r="H82" s="31" t="s">
        <v>950</v>
      </c>
      <c r="I82" s="31" t="s">
        <v>951</v>
      </c>
      <c r="J82" s="34" t="str">
        <f t="shared" si="6"/>
        <v>RIV-</v>
      </c>
      <c r="K82" s="31" t="s">
        <v>10</v>
      </c>
      <c r="L82" s="52">
        <v>2100</v>
      </c>
      <c r="M82" s="31" t="s">
        <v>1472</v>
      </c>
      <c r="N82" s="31" t="s">
        <v>11</v>
      </c>
      <c r="O82" s="53">
        <v>0.1016</v>
      </c>
      <c r="P82" s="35">
        <f t="shared" si="7"/>
        <v>213.36</v>
      </c>
      <c r="Q82" s="36">
        <f t="shared" si="8"/>
        <v>7.3003400000000003</v>
      </c>
      <c r="R82" s="36">
        <f t="shared" si="9"/>
        <v>1.3899999999999999E-2</v>
      </c>
      <c r="S82" s="37">
        <f t="shared" si="10"/>
        <v>29.19</v>
      </c>
      <c r="T82" s="36" t="s">
        <v>349</v>
      </c>
      <c r="U82" s="31" t="s">
        <v>132</v>
      </c>
      <c r="V82" s="57">
        <v>7.1879</v>
      </c>
      <c r="W82" s="38">
        <f t="shared" si="11"/>
        <v>29.683217629627567</v>
      </c>
    </row>
    <row r="83" spans="1:23">
      <c r="A83" s="31" t="s">
        <v>1401</v>
      </c>
      <c r="B83" s="32">
        <v>45659</v>
      </c>
      <c r="C83" s="32">
        <v>45609</v>
      </c>
      <c r="D83" s="31" t="s">
        <v>143</v>
      </c>
      <c r="E83" s="31" t="s">
        <v>144</v>
      </c>
      <c r="G83" s="31" t="s">
        <v>1396</v>
      </c>
      <c r="H83" s="31" t="s">
        <v>245</v>
      </c>
      <c r="I83" s="31" t="s">
        <v>246</v>
      </c>
      <c r="J83" s="34" t="str">
        <f t="shared" si="6"/>
        <v>WHR-</v>
      </c>
      <c r="K83" s="31" t="s">
        <v>10</v>
      </c>
      <c r="L83" s="52">
        <v>2300</v>
      </c>
      <c r="M83" s="31" t="s">
        <v>1472</v>
      </c>
      <c r="N83" s="31" t="s">
        <v>11</v>
      </c>
      <c r="O83" s="53">
        <v>0.1096</v>
      </c>
      <c r="P83" s="35">
        <f t="shared" si="7"/>
        <v>252.08</v>
      </c>
      <c r="Q83" s="36">
        <f t="shared" si="8"/>
        <v>7.3003400000000003</v>
      </c>
      <c r="R83" s="36">
        <f t="shared" si="9"/>
        <v>1.4999999999999999E-2</v>
      </c>
      <c r="S83" s="37">
        <f t="shared" si="10"/>
        <v>34.5</v>
      </c>
      <c r="T83" s="36" t="s">
        <v>349</v>
      </c>
      <c r="U83" s="31" t="s">
        <v>248</v>
      </c>
      <c r="V83" s="57">
        <v>7.1879</v>
      </c>
      <c r="W83" s="38">
        <f t="shared" si="11"/>
        <v>35.07004827557423</v>
      </c>
    </row>
    <row r="84" spans="1:23">
      <c r="A84" s="31" t="s">
        <v>247</v>
      </c>
      <c r="B84" s="32">
        <v>45674</v>
      </c>
      <c r="C84" s="32">
        <v>45664</v>
      </c>
      <c r="D84" s="31" t="s">
        <v>143</v>
      </c>
      <c r="E84" s="31" t="s">
        <v>144</v>
      </c>
      <c r="G84" s="31" t="s">
        <v>182</v>
      </c>
      <c r="H84" s="31" t="s">
        <v>245</v>
      </c>
      <c r="I84" s="31" t="s">
        <v>246</v>
      </c>
      <c r="J84" s="34" t="str">
        <f t="shared" si="6"/>
        <v>WHR-</v>
      </c>
      <c r="K84" s="31" t="s">
        <v>10</v>
      </c>
      <c r="L84" s="52">
        <v>9000</v>
      </c>
      <c r="M84" s="31" t="s">
        <v>1472</v>
      </c>
      <c r="N84" s="31" t="s">
        <v>11</v>
      </c>
      <c r="O84" s="53">
        <v>0.1096</v>
      </c>
      <c r="P84" s="35">
        <f t="shared" si="7"/>
        <v>986.4</v>
      </c>
      <c r="Q84" s="36">
        <f t="shared" si="8"/>
        <v>7.3003400000000003</v>
      </c>
      <c r="R84" s="36">
        <f t="shared" si="9"/>
        <v>1.4999999999999999E-2</v>
      </c>
      <c r="S84" s="37">
        <f t="shared" si="10"/>
        <v>135</v>
      </c>
      <c r="T84" s="36" t="s">
        <v>349</v>
      </c>
      <c r="U84" s="31" t="s">
        <v>248</v>
      </c>
      <c r="V84" s="57">
        <v>7.1879</v>
      </c>
      <c r="W84" s="38">
        <f t="shared" si="11"/>
        <v>137.23062368702958</v>
      </c>
    </row>
    <row r="85" spans="1:23">
      <c r="A85" s="31" t="s">
        <v>103</v>
      </c>
      <c r="B85" s="32">
        <v>45678</v>
      </c>
      <c r="C85" s="32">
        <v>45643</v>
      </c>
      <c r="D85" s="31" t="s">
        <v>101</v>
      </c>
      <c r="E85" s="31" t="s">
        <v>102</v>
      </c>
      <c r="G85" s="31" t="s">
        <v>104</v>
      </c>
      <c r="H85" s="31" t="s">
        <v>99</v>
      </c>
      <c r="I85" s="31" t="s">
        <v>100</v>
      </c>
      <c r="J85" s="34" t="str">
        <f t="shared" si="6"/>
        <v>STKR</v>
      </c>
      <c r="K85" s="31" t="s">
        <v>10</v>
      </c>
      <c r="L85" s="52">
        <v>1010</v>
      </c>
      <c r="M85" s="31" t="s">
        <v>1472</v>
      </c>
      <c r="N85" s="31" t="s">
        <v>11</v>
      </c>
      <c r="O85" s="53">
        <v>0.11</v>
      </c>
      <c r="P85" s="35">
        <f t="shared" si="7"/>
        <v>111.1</v>
      </c>
      <c r="Q85" s="36">
        <f t="shared" si="8"/>
        <v>7.3003400000000003</v>
      </c>
      <c r="R85" s="36">
        <f t="shared" si="9"/>
        <v>1.5100000000000001E-2</v>
      </c>
      <c r="S85" s="37">
        <f t="shared" si="10"/>
        <v>15.25</v>
      </c>
      <c r="T85" s="36" t="s">
        <v>349</v>
      </c>
      <c r="U85" s="31" t="s">
        <v>18</v>
      </c>
      <c r="V85" s="57">
        <v>7.1879</v>
      </c>
      <c r="W85" s="38">
        <f t="shared" si="11"/>
        <v>15.456531114790133</v>
      </c>
    </row>
    <row r="86" spans="1:23">
      <c r="A86" s="31" t="s">
        <v>551</v>
      </c>
      <c r="B86" s="32">
        <v>45670</v>
      </c>
      <c r="C86" s="32">
        <v>45639</v>
      </c>
      <c r="D86" s="31" t="s">
        <v>545</v>
      </c>
      <c r="E86" s="31" t="s">
        <v>546</v>
      </c>
      <c r="G86" s="31" t="s">
        <v>548</v>
      </c>
      <c r="H86" s="31" t="s">
        <v>549</v>
      </c>
      <c r="I86" s="31" t="s">
        <v>550</v>
      </c>
      <c r="J86" s="34" t="str">
        <f t="shared" si="6"/>
        <v>MISC</v>
      </c>
      <c r="K86" s="31" t="s">
        <v>10</v>
      </c>
      <c r="L86" s="52">
        <v>13000</v>
      </c>
      <c r="M86" s="31" t="s">
        <v>1472</v>
      </c>
      <c r="N86" s="31" t="s">
        <v>11</v>
      </c>
      <c r="O86" s="53">
        <v>0.115</v>
      </c>
      <c r="P86" s="35">
        <f t="shared" si="7"/>
        <v>1495</v>
      </c>
      <c r="Q86" s="36">
        <f t="shared" si="8"/>
        <v>7.3003400000000003</v>
      </c>
      <c r="R86" s="36">
        <f t="shared" si="9"/>
        <v>1.5800000000000002E-2</v>
      </c>
      <c r="S86" s="37">
        <f t="shared" si="10"/>
        <v>205.4</v>
      </c>
      <c r="T86" s="36" t="s">
        <v>349</v>
      </c>
      <c r="U86" s="31" t="s">
        <v>25</v>
      </c>
      <c r="V86" s="57">
        <v>7.1879</v>
      </c>
      <c r="W86" s="38">
        <f t="shared" si="11"/>
        <v>207.98842499200043</v>
      </c>
    </row>
    <row r="87" spans="1:23">
      <c r="A87" s="31" t="s">
        <v>551</v>
      </c>
      <c r="B87" s="32">
        <v>45670</v>
      </c>
      <c r="C87" s="32">
        <v>45639</v>
      </c>
      <c r="D87" s="31" t="s">
        <v>545</v>
      </c>
      <c r="E87" s="31" t="s">
        <v>546</v>
      </c>
      <c r="G87" s="31" t="s">
        <v>562</v>
      </c>
      <c r="H87" s="31" t="s">
        <v>549</v>
      </c>
      <c r="I87" s="31" t="s">
        <v>550</v>
      </c>
      <c r="J87" s="34" t="str">
        <f t="shared" si="6"/>
        <v>MISC</v>
      </c>
      <c r="K87" s="31" t="s">
        <v>10</v>
      </c>
      <c r="L87" s="52">
        <v>500</v>
      </c>
      <c r="M87" s="31" t="s">
        <v>1472</v>
      </c>
      <c r="N87" s="31" t="s">
        <v>11</v>
      </c>
      <c r="O87" s="53">
        <v>0.115</v>
      </c>
      <c r="P87" s="35">
        <f t="shared" si="7"/>
        <v>57.5</v>
      </c>
      <c r="Q87" s="36">
        <f t="shared" si="8"/>
        <v>7.3003400000000003</v>
      </c>
      <c r="R87" s="36">
        <f t="shared" si="9"/>
        <v>1.5800000000000002E-2</v>
      </c>
      <c r="S87" s="37">
        <f t="shared" si="10"/>
        <v>7.9</v>
      </c>
      <c r="T87" s="36" t="s">
        <v>349</v>
      </c>
      <c r="U87" s="31" t="s">
        <v>25</v>
      </c>
      <c r="V87" s="57">
        <v>7.1879</v>
      </c>
      <c r="W87" s="38">
        <f t="shared" si="11"/>
        <v>7.9995548073846319</v>
      </c>
    </row>
    <row r="88" spans="1:23">
      <c r="A88" s="31" t="s">
        <v>552</v>
      </c>
      <c r="B88" s="32">
        <v>45670</v>
      </c>
      <c r="C88" s="32">
        <v>45644</v>
      </c>
      <c r="D88" s="31" t="s">
        <v>545</v>
      </c>
      <c r="E88" s="31" t="s">
        <v>546</v>
      </c>
      <c r="G88" s="31" t="s">
        <v>548</v>
      </c>
      <c r="H88" s="31" t="s">
        <v>549</v>
      </c>
      <c r="I88" s="31" t="s">
        <v>550</v>
      </c>
      <c r="J88" s="34" t="str">
        <f t="shared" si="6"/>
        <v>MISC</v>
      </c>
      <c r="K88" s="31" t="s">
        <v>10</v>
      </c>
      <c r="L88" s="52">
        <v>9800</v>
      </c>
      <c r="M88" s="31" t="s">
        <v>1472</v>
      </c>
      <c r="N88" s="31" t="s">
        <v>11</v>
      </c>
      <c r="O88" s="53">
        <v>0.115</v>
      </c>
      <c r="P88" s="35">
        <f t="shared" si="7"/>
        <v>1127</v>
      </c>
      <c r="Q88" s="36">
        <f t="shared" si="8"/>
        <v>7.3003400000000003</v>
      </c>
      <c r="R88" s="36">
        <f t="shared" si="9"/>
        <v>1.5800000000000002E-2</v>
      </c>
      <c r="S88" s="37">
        <f t="shared" si="10"/>
        <v>154.84</v>
      </c>
      <c r="T88" s="36" t="s">
        <v>349</v>
      </c>
      <c r="U88" s="31" t="s">
        <v>25</v>
      </c>
      <c r="V88" s="57">
        <v>7.1879</v>
      </c>
      <c r="W88" s="38">
        <f t="shared" si="11"/>
        <v>156.7912742247388</v>
      </c>
    </row>
    <row r="89" spans="1:23">
      <c r="A89" s="31" t="s">
        <v>577</v>
      </c>
      <c r="B89" s="32">
        <v>45670</v>
      </c>
      <c r="C89" s="32">
        <v>45646</v>
      </c>
      <c r="D89" s="31" t="s">
        <v>162</v>
      </c>
      <c r="E89" s="31" t="s">
        <v>163</v>
      </c>
      <c r="G89" s="31" t="s">
        <v>576</v>
      </c>
      <c r="H89" s="31" t="s">
        <v>573</v>
      </c>
      <c r="I89" s="31" t="s">
        <v>574</v>
      </c>
      <c r="J89" s="34" t="str">
        <f t="shared" si="6"/>
        <v>SCR-</v>
      </c>
      <c r="K89" s="31" t="s">
        <v>10</v>
      </c>
      <c r="L89" s="52">
        <v>400</v>
      </c>
      <c r="M89" s="31" t="s">
        <v>1472</v>
      </c>
      <c r="N89" s="31" t="s">
        <v>11</v>
      </c>
      <c r="O89" s="53">
        <v>0.11700000000000001</v>
      </c>
      <c r="P89" s="35">
        <f t="shared" si="7"/>
        <v>46.8</v>
      </c>
      <c r="Q89" s="36">
        <f t="shared" si="8"/>
        <v>7.3003400000000003</v>
      </c>
      <c r="R89" s="36">
        <f t="shared" si="9"/>
        <v>1.6E-2</v>
      </c>
      <c r="S89" s="37">
        <f t="shared" si="10"/>
        <v>6.4</v>
      </c>
      <c r="T89" s="36" t="s">
        <v>349</v>
      </c>
      <c r="U89" s="31" t="s">
        <v>166</v>
      </c>
      <c r="V89" s="57">
        <v>7.1879</v>
      </c>
      <c r="W89" s="38">
        <f t="shared" si="11"/>
        <v>6.5109419997495799</v>
      </c>
    </row>
    <row r="90" spans="1:23">
      <c r="A90" s="31" t="s">
        <v>575</v>
      </c>
      <c r="B90" s="32">
        <v>45670</v>
      </c>
      <c r="C90" s="32">
        <v>45664</v>
      </c>
      <c r="D90" s="31" t="s">
        <v>162</v>
      </c>
      <c r="E90" s="31" t="s">
        <v>163</v>
      </c>
      <c r="G90" s="31" t="s">
        <v>576</v>
      </c>
      <c r="H90" s="31" t="s">
        <v>573</v>
      </c>
      <c r="I90" s="31" t="s">
        <v>574</v>
      </c>
      <c r="J90" s="34" t="str">
        <f t="shared" si="6"/>
        <v>SCR-</v>
      </c>
      <c r="K90" s="31" t="s">
        <v>10</v>
      </c>
      <c r="L90" s="52">
        <v>1500</v>
      </c>
      <c r="M90" s="31" t="s">
        <v>1472</v>
      </c>
      <c r="N90" s="31" t="s">
        <v>11</v>
      </c>
      <c r="O90" s="53">
        <v>0.11700000000000001</v>
      </c>
      <c r="P90" s="35">
        <f t="shared" si="7"/>
        <v>175.5</v>
      </c>
      <c r="Q90" s="36">
        <f t="shared" si="8"/>
        <v>7.3003400000000003</v>
      </c>
      <c r="R90" s="36">
        <f t="shared" si="9"/>
        <v>1.6E-2</v>
      </c>
      <c r="S90" s="37">
        <f t="shared" si="10"/>
        <v>24</v>
      </c>
      <c r="T90" s="36" t="s">
        <v>349</v>
      </c>
      <c r="U90" s="31" t="s">
        <v>166</v>
      </c>
      <c r="V90" s="57">
        <v>7.1879</v>
      </c>
      <c r="W90" s="38">
        <f t="shared" si="11"/>
        <v>24.416032499060922</v>
      </c>
    </row>
    <row r="91" spans="1:23">
      <c r="A91" s="31" t="s">
        <v>1414</v>
      </c>
      <c r="B91" s="32">
        <v>45659</v>
      </c>
      <c r="C91" s="32">
        <v>45639</v>
      </c>
      <c r="D91" s="31" t="s">
        <v>569</v>
      </c>
      <c r="E91" s="31" t="s">
        <v>570</v>
      </c>
      <c r="G91" s="31" t="s">
        <v>1403</v>
      </c>
      <c r="H91" s="31" t="s">
        <v>1412</v>
      </c>
      <c r="I91" s="31" t="s">
        <v>1413</v>
      </c>
      <c r="J91" s="34" t="str">
        <f t="shared" si="6"/>
        <v>WHR-</v>
      </c>
      <c r="K91" s="31" t="s">
        <v>10</v>
      </c>
      <c r="L91" s="52">
        <v>2560</v>
      </c>
      <c r="M91" s="31" t="s">
        <v>1472</v>
      </c>
      <c r="N91" s="31" t="s">
        <v>11</v>
      </c>
      <c r="O91" s="53">
        <v>0.1176</v>
      </c>
      <c r="P91" s="35">
        <f t="shared" si="7"/>
        <v>301.06</v>
      </c>
      <c r="Q91" s="36">
        <f t="shared" si="8"/>
        <v>7.3003400000000003</v>
      </c>
      <c r="R91" s="36">
        <f t="shared" si="9"/>
        <v>1.61E-2</v>
      </c>
      <c r="S91" s="37">
        <f t="shared" si="10"/>
        <v>41.22</v>
      </c>
      <c r="T91" s="36" t="s">
        <v>349</v>
      </c>
      <c r="U91" s="31" t="s">
        <v>248</v>
      </c>
      <c r="V91" s="57">
        <v>7.1879</v>
      </c>
      <c r="W91" s="38">
        <f t="shared" si="11"/>
        <v>41.8837212537737</v>
      </c>
    </row>
    <row r="92" spans="1:23">
      <c r="A92" s="31" t="s">
        <v>641</v>
      </c>
      <c r="B92" s="32">
        <v>45670</v>
      </c>
      <c r="C92" s="32">
        <v>45643</v>
      </c>
      <c r="D92" s="31" t="s">
        <v>169</v>
      </c>
      <c r="E92" s="31" t="s">
        <v>170</v>
      </c>
      <c r="G92" s="31" t="s">
        <v>634</v>
      </c>
      <c r="H92" s="31" t="s">
        <v>639</v>
      </c>
      <c r="I92" s="31" t="s">
        <v>640</v>
      </c>
      <c r="J92" s="34" t="str">
        <f t="shared" si="6"/>
        <v>U&amp;C-</v>
      </c>
      <c r="K92" s="31" t="s">
        <v>10</v>
      </c>
      <c r="L92" s="52">
        <v>2020</v>
      </c>
      <c r="M92" s="31" t="s">
        <v>1472</v>
      </c>
      <c r="N92" s="31" t="s">
        <v>11</v>
      </c>
      <c r="O92" s="53">
        <v>0.1244</v>
      </c>
      <c r="P92" s="35">
        <f t="shared" si="7"/>
        <v>251.29</v>
      </c>
      <c r="Q92" s="36">
        <f t="shared" si="8"/>
        <v>7.3003400000000003</v>
      </c>
      <c r="R92" s="36">
        <f t="shared" si="9"/>
        <v>1.7000000000000001E-2</v>
      </c>
      <c r="S92" s="37">
        <f t="shared" si="10"/>
        <v>34.340000000000003</v>
      </c>
      <c r="T92" s="36" t="s">
        <v>349</v>
      </c>
      <c r="U92" s="31" t="s">
        <v>177</v>
      </c>
      <c r="V92" s="57">
        <v>7.1879</v>
      </c>
      <c r="W92" s="38">
        <f t="shared" si="11"/>
        <v>34.959863103270777</v>
      </c>
    </row>
    <row r="93" spans="1:23">
      <c r="A93" s="31" t="s">
        <v>1376</v>
      </c>
      <c r="B93" s="32">
        <v>45660</v>
      </c>
      <c r="C93" s="32">
        <v>45609</v>
      </c>
      <c r="D93" s="31" t="s">
        <v>235</v>
      </c>
      <c r="E93" s="31" t="s">
        <v>236</v>
      </c>
      <c r="G93" s="31" t="s">
        <v>1369</v>
      </c>
      <c r="H93" s="31" t="s">
        <v>1374</v>
      </c>
      <c r="I93" s="31" t="s">
        <v>1375</v>
      </c>
      <c r="J93" s="34" t="str">
        <f t="shared" si="6"/>
        <v>SCR-</v>
      </c>
      <c r="K93" s="31" t="s">
        <v>10</v>
      </c>
      <c r="L93" s="52">
        <v>1000</v>
      </c>
      <c r="M93" s="31" t="s">
        <v>1472</v>
      </c>
      <c r="N93" s="31" t="s">
        <v>11</v>
      </c>
      <c r="O93" s="53">
        <v>0.12939999999999999</v>
      </c>
      <c r="P93" s="35">
        <f t="shared" si="7"/>
        <v>129.4</v>
      </c>
      <c r="Q93" s="36">
        <f t="shared" si="8"/>
        <v>7.3003400000000003</v>
      </c>
      <c r="R93" s="36">
        <f t="shared" si="9"/>
        <v>1.77E-2</v>
      </c>
      <c r="S93" s="37">
        <f t="shared" si="10"/>
        <v>17.7</v>
      </c>
      <c r="T93" s="36" t="s">
        <v>349</v>
      </c>
      <c r="U93" s="31" t="s">
        <v>166</v>
      </c>
      <c r="V93" s="57">
        <v>7.1879</v>
      </c>
      <c r="W93" s="38">
        <f t="shared" si="11"/>
        <v>18.002476383922978</v>
      </c>
    </row>
    <row r="94" spans="1:23">
      <c r="A94" s="31" t="s">
        <v>1370</v>
      </c>
      <c r="B94" s="32">
        <v>45660</v>
      </c>
      <c r="C94" s="32">
        <v>45618</v>
      </c>
      <c r="D94" s="31" t="s">
        <v>235</v>
      </c>
      <c r="E94" s="31" t="s">
        <v>236</v>
      </c>
      <c r="G94" s="31" t="s">
        <v>1369</v>
      </c>
      <c r="H94" s="31" t="s">
        <v>1352</v>
      </c>
      <c r="I94" s="31" t="s">
        <v>1353</v>
      </c>
      <c r="J94" s="34" t="str">
        <f t="shared" si="6"/>
        <v>RIV-</v>
      </c>
      <c r="K94" s="31" t="s">
        <v>10</v>
      </c>
      <c r="L94" s="52">
        <v>5600</v>
      </c>
      <c r="M94" s="31" t="s">
        <v>1472</v>
      </c>
      <c r="N94" s="31" t="s">
        <v>11</v>
      </c>
      <c r="O94" s="53">
        <v>0.13550000000000001</v>
      </c>
      <c r="P94" s="35">
        <f t="shared" si="7"/>
        <v>758.8</v>
      </c>
      <c r="Q94" s="36">
        <f t="shared" si="8"/>
        <v>7.3003400000000003</v>
      </c>
      <c r="R94" s="36">
        <f t="shared" si="9"/>
        <v>1.8599999999999998E-2</v>
      </c>
      <c r="S94" s="37">
        <f t="shared" si="10"/>
        <v>104.16</v>
      </c>
      <c r="T94" s="36" t="s">
        <v>349</v>
      </c>
      <c r="U94" s="31" t="s">
        <v>132</v>
      </c>
      <c r="V94" s="57">
        <v>7.1879</v>
      </c>
      <c r="W94" s="38">
        <f t="shared" si="11"/>
        <v>105.56629891901667</v>
      </c>
    </row>
    <row r="95" spans="1:23">
      <c r="A95" s="31" t="s">
        <v>1355</v>
      </c>
      <c r="B95" s="32">
        <v>45660</v>
      </c>
      <c r="C95" s="32">
        <v>45636</v>
      </c>
      <c r="D95" s="31" t="s">
        <v>235</v>
      </c>
      <c r="E95" s="31" t="s">
        <v>236</v>
      </c>
      <c r="G95" s="31" t="s">
        <v>1356</v>
      </c>
      <c r="H95" s="31" t="s">
        <v>1352</v>
      </c>
      <c r="I95" s="31" t="s">
        <v>1353</v>
      </c>
      <c r="J95" s="34" t="str">
        <f t="shared" si="6"/>
        <v>RIV-</v>
      </c>
      <c r="K95" s="31" t="s">
        <v>10</v>
      </c>
      <c r="L95" s="52">
        <v>10500</v>
      </c>
      <c r="M95" s="31" t="s">
        <v>1472</v>
      </c>
      <c r="N95" s="31" t="s">
        <v>11</v>
      </c>
      <c r="O95" s="53">
        <v>0.13550000000000001</v>
      </c>
      <c r="P95" s="35">
        <f t="shared" si="7"/>
        <v>1422.75</v>
      </c>
      <c r="Q95" s="36">
        <f t="shared" si="8"/>
        <v>7.3003400000000003</v>
      </c>
      <c r="R95" s="36">
        <f t="shared" si="9"/>
        <v>1.8599999999999998E-2</v>
      </c>
      <c r="S95" s="37">
        <f t="shared" si="10"/>
        <v>195.3</v>
      </c>
      <c r="T95" s="36" t="s">
        <v>349</v>
      </c>
      <c r="U95" s="31" t="s">
        <v>132</v>
      </c>
      <c r="V95" s="57">
        <v>7.1879</v>
      </c>
      <c r="W95" s="38">
        <f t="shared" si="11"/>
        <v>197.93681047315627</v>
      </c>
    </row>
    <row r="96" spans="1:23">
      <c r="A96" s="31" t="s">
        <v>1354</v>
      </c>
      <c r="B96" s="32">
        <v>45660</v>
      </c>
      <c r="C96" s="32">
        <v>45638</v>
      </c>
      <c r="D96" s="31" t="s">
        <v>235</v>
      </c>
      <c r="E96" s="31" t="s">
        <v>236</v>
      </c>
      <c r="G96" s="31" t="s">
        <v>1347</v>
      </c>
      <c r="H96" s="31" t="s">
        <v>1352</v>
      </c>
      <c r="I96" s="31" t="s">
        <v>1353</v>
      </c>
      <c r="J96" s="34" t="str">
        <f t="shared" si="6"/>
        <v>RIV-</v>
      </c>
      <c r="K96" s="31" t="s">
        <v>10</v>
      </c>
      <c r="L96" s="52">
        <v>1600</v>
      </c>
      <c r="M96" s="31" t="s">
        <v>1472</v>
      </c>
      <c r="N96" s="31" t="s">
        <v>11</v>
      </c>
      <c r="O96" s="53">
        <v>0.13550000000000001</v>
      </c>
      <c r="P96" s="35">
        <f t="shared" si="7"/>
        <v>216.8</v>
      </c>
      <c r="Q96" s="36">
        <f t="shared" si="8"/>
        <v>7.3003400000000003</v>
      </c>
      <c r="R96" s="36">
        <f t="shared" si="9"/>
        <v>1.8599999999999998E-2</v>
      </c>
      <c r="S96" s="37">
        <f t="shared" si="10"/>
        <v>29.76</v>
      </c>
      <c r="T96" s="36" t="s">
        <v>349</v>
      </c>
      <c r="U96" s="31" t="s">
        <v>132</v>
      </c>
      <c r="V96" s="57">
        <v>7.1879</v>
      </c>
      <c r="W96" s="38">
        <f t="shared" si="11"/>
        <v>30.161799691147621</v>
      </c>
    </row>
    <row r="97" spans="1:23">
      <c r="A97" s="31" t="s">
        <v>1388</v>
      </c>
      <c r="B97" s="32">
        <v>45659</v>
      </c>
      <c r="C97" s="32">
        <v>45629</v>
      </c>
      <c r="D97" s="31" t="s">
        <v>143</v>
      </c>
      <c r="E97" s="31" t="s">
        <v>144</v>
      </c>
      <c r="G97" s="31" t="s">
        <v>1389</v>
      </c>
      <c r="H97" s="31" t="s">
        <v>1386</v>
      </c>
      <c r="I97" s="31" t="s">
        <v>1387</v>
      </c>
      <c r="J97" s="34" t="str">
        <f t="shared" si="6"/>
        <v>WHR-</v>
      </c>
      <c r="K97" s="31" t="s">
        <v>10</v>
      </c>
      <c r="L97" s="52">
        <v>500</v>
      </c>
      <c r="M97" s="31" t="s">
        <v>1472</v>
      </c>
      <c r="N97" s="31" t="s">
        <v>11</v>
      </c>
      <c r="O97" s="53">
        <v>0.14000000000000001</v>
      </c>
      <c r="P97" s="35">
        <f t="shared" si="7"/>
        <v>70</v>
      </c>
      <c r="Q97" s="36">
        <f t="shared" si="8"/>
        <v>7.3003400000000003</v>
      </c>
      <c r="R97" s="36">
        <f t="shared" si="9"/>
        <v>1.9199999999999998E-2</v>
      </c>
      <c r="S97" s="37">
        <f t="shared" si="10"/>
        <v>9.6</v>
      </c>
      <c r="T97" s="36" t="s">
        <v>349</v>
      </c>
      <c r="U97" s="31" t="s">
        <v>248</v>
      </c>
      <c r="V97" s="57">
        <v>7.1879</v>
      </c>
      <c r="W97" s="38">
        <f t="shared" si="11"/>
        <v>9.7385884611639018</v>
      </c>
    </row>
    <row r="98" spans="1:23">
      <c r="A98" s="31" t="s">
        <v>605</v>
      </c>
      <c r="B98" s="32">
        <v>45670</v>
      </c>
      <c r="C98" s="32">
        <v>45643</v>
      </c>
      <c r="D98" s="31" t="s">
        <v>162</v>
      </c>
      <c r="E98" s="31" t="s">
        <v>163</v>
      </c>
      <c r="G98" s="31" t="s">
        <v>602</v>
      </c>
      <c r="H98" s="31" t="s">
        <v>160</v>
      </c>
      <c r="I98" s="31" t="s">
        <v>161</v>
      </c>
      <c r="J98" s="34" t="str">
        <f t="shared" si="6"/>
        <v>SCR-</v>
      </c>
      <c r="K98" s="31" t="s">
        <v>10</v>
      </c>
      <c r="L98" s="52">
        <v>7200</v>
      </c>
      <c r="M98" s="31" t="s">
        <v>1472</v>
      </c>
      <c r="N98" s="31" t="s">
        <v>11</v>
      </c>
      <c r="O98" s="53">
        <v>0.14199999999999999</v>
      </c>
      <c r="P98" s="35">
        <f t="shared" si="7"/>
        <v>1022.4</v>
      </c>
      <c r="Q98" s="36">
        <f t="shared" si="8"/>
        <v>7.3003400000000003</v>
      </c>
      <c r="R98" s="36">
        <f t="shared" si="9"/>
        <v>1.95E-2</v>
      </c>
      <c r="S98" s="37">
        <f t="shared" si="10"/>
        <v>140.4</v>
      </c>
      <c r="T98" s="36" t="s">
        <v>349</v>
      </c>
      <c r="U98" s="31" t="s">
        <v>166</v>
      </c>
      <c r="V98" s="57">
        <v>7.1879</v>
      </c>
      <c r="W98" s="38">
        <f t="shared" si="11"/>
        <v>142.23904060991387</v>
      </c>
    </row>
    <row r="99" spans="1:23">
      <c r="A99" s="31" t="s">
        <v>164</v>
      </c>
      <c r="B99" s="32">
        <v>45675</v>
      </c>
      <c r="C99" s="32">
        <v>45670</v>
      </c>
      <c r="D99" s="31" t="s">
        <v>162</v>
      </c>
      <c r="E99" s="31" t="s">
        <v>163</v>
      </c>
      <c r="G99" s="31" t="s">
        <v>165</v>
      </c>
      <c r="H99" s="31" t="s">
        <v>160</v>
      </c>
      <c r="I99" s="31" t="s">
        <v>161</v>
      </c>
      <c r="J99" s="34" t="str">
        <f t="shared" si="6"/>
        <v>SCR-</v>
      </c>
      <c r="K99" s="31" t="s">
        <v>10</v>
      </c>
      <c r="L99" s="52">
        <v>3200</v>
      </c>
      <c r="M99" s="31" t="s">
        <v>1472</v>
      </c>
      <c r="N99" s="31" t="s">
        <v>11</v>
      </c>
      <c r="O99" s="53">
        <v>0.14199999999999999</v>
      </c>
      <c r="P99" s="35">
        <f t="shared" si="7"/>
        <v>454.4</v>
      </c>
      <c r="Q99" s="36">
        <f t="shared" si="8"/>
        <v>7.3003400000000003</v>
      </c>
      <c r="R99" s="36">
        <f t="shared" si="9"/>
        <v>1.95E-2</v>
      </c>
      <c r="S99" s="37">
        <f t="shared" si="10"/>
        <v>62.4</v>
      </c>
      <c r="T99" s="36" t="s">
        <v>349</v>
      </c>
      <c r="U99" s="31" t="s">
        <v>166</v>
      </c>
      <c r="V99" s="57">
        <v>7.1879</v>
      </c>
      <c r="W99" s="38">
        <f t="shared" si="11"/>
        <v>63.217351382183942</v>
      </c>
    </row>
    <row r="100" spans="1:23">
      <c r="A100" s="31" t="s">
        <v>808</v>
      </c>
      <c r="B100" s="32">
        <v>45666</v>
      </c>
      <c r="C100" s="32">
        <v>45650</v>
      </c>
      <c r="D100" s="31" t="s">
        <v>806</v>
      </c>
      <c r="E100" s="31" t="s">
        <v>807</v>
      </c>
      <c r="G100" s="31" t="s">
        <v>809</v>
      </c>
      <c r="H100" s="31" t="s">
        <v>804</v>
      </c>
      <c r="I100" s="31" t="s">
        <v>805</v>
      </c>
      <c r="J100" s="34" t="str">
        <f t="shared" si="6"/>
        <v>BAG-</v>
      </c>
      <c r="K100" s="31" t="s">
        <v>10</v>
      </c>
      <c r="L100" s="52">
        <v>7000</v>
      </c>
      <c r="M100" s="31" t="s">
        <v>1472</v>
      </c>
      <c r="N100" s="31" t="s">
        <v>11</v>
      </c>
      <c r="O100" s="53">
        <v>0.152</v>
      </c>
      <c r="P100" s="35">
        <f t="shared" si="7"/>
        <v>1064</v>
      </c>
      <c r="Q100" s="36">
        <f t="shared" si="8"/>
        <v>7.3003400000000003</v>
      </c>
      <c r="R100" s="36">
        <f t="shared" si="9"/>
        <v>2.0799999999999999E-2</v>
      </c>
      <c r="S100" s="37">
        <f t="shared" si="10"/>
        <v>145.6</v>
      </c>
      <c r="T100" s="36" t="s">
        <v>349</v>
      </c>
      <c r="U100" s="31" t="s">
        <v>810</v>
      </c>
      <c r="V100" s="57">
        <v>7.1879</v>
      </c>
      <c r="W100" s="38">
        <f t="shared" si="11"/>
        <v>148.02654460969129</v>
      </c>
    </row>
    <row r="101" spans="1:23">
      <c r="A101" s="31" t="s">
        <v>589</v>
      </c>
      <c r="B101" s="32">
        <v>45670</v>
      </c>
      <c r="C101" s="32">
        <v>45639</v>
      </c>
      <c r="D101" s="31" t="s">
        <v>162</v>
      </c>
      <c r="E101" s="31" t="s">
        <v>163</v>
      </c>
      <c r="G101" s="31" t="s">
        <v>590</v>
      </c>
      <c r="H101" s="31" t="s">
        <v>587</v>
      </c>
      <c r="I101" s="31" t="s">
        <v>588</v>
      </c>
      <c r="J101" s="34" t="str">
        <f t="shared" si="6"/>
        <v>SCR-</v>
      </c>
      <c r="K101" s="31" t="s">
        <v>10</v>
      </c>
      <c r="L101" s="52">
        <v>13000</v>
      </c>
      <c r="M101" s="31" t="s">
        <v>1472</v>
      </c>
      <c r="N101" s="31" t="s">
        <v>11</v>
      </c>
      <c r="O101" s="53">
        <v>0.153</v>
      </c>
      <c r="P101" s="35">
        <f t="shared" si="7"/>
        <v>1989</v>
      </c>
      <c r="Q101" s="36">
        <f t="shared" si="8"/>
        <v>7.3003400000000003</v>
      </c>
      <c r="R101" s="36">
        <f t="shared" si="9"/>
        <v>2.1000000000000001E-2</v>
      </c>
      <c r="S101" s="37">
        <f t="shared" si="10"/>
        <v>273</v>
      </c>
      <c r="T101" s="36" t="s">
        <v>349</v>
      </c>
      <c r="U101" s="31" t="s">
        <v>166</v>
      </c>
      <c r="V101" s="57">
        <v>7.1879</v>
      </c>
      <c r="W101" s="38">
        <f t="shared" si="11"/>
        <v>276.71503498935715</v>
      </c>
    </row>
    <row r="102" spans="1:23">
      <c r="A102" s="31" t="s">
        <v>591</v>
      </c>
      <c r="B102" s="32">
        <v>45670</v>
      </c>
      <c r="C102" s="32">
        <v>45644</v>
      </c>
      <c r="D102" s="31" t="s">
        <v>162</v>
      </c>
      <c r="E102" s="31" t="s">
        <v>163</v>
      </c>
      <c r="G102" s="31" t="s">
        <v>590</v>
      </c>
      <c r="H102" s="31" t="s">
        <v>587</v>
      </c>
      <c r="I102" s="31" t="s">
        <v>588</v>
      </c>
      <c r="J102" s="34" t="str">
        <f t="shared" si="6"/>
        <v>SCR-</v>
      </c>
      <c r="K102" s="31" t="s">
        <v>10</v>
      </c>
      <c r="L102" s="52">
        <v>9800</v>
      </c>
      <c r="M102" s="31" t="s">
        <v>1472</v>
      </c>
      <c r="N102" s="31" t="s">
        <v>11</v>
      </c>
      <c r="O102" s="53">
        <v>0.153</v>
      </c>
      <c r="P102" s="35">
        <f t="shared" si="7"/>
        <v>1499.4</v>
      </c>
      <c r="Q102" s="36">
        <f t="shared" si="8"/>
        <v>7.3003400000000003</v>
      </c>
      <c r="R102" s="36">
        <f t="shared" si="9"/>
        <v>2.1000000000000001E-2</v>
      </c>
      <c r="S102" s="37">
        <f t="shared" si="10"/>
        <v>205.8</v>
      </c>
      <c r="T102" s="36" t="s">
        <v>349</v>
      </c>
      <c r="U102" s="31" t="s">
        <v>166</v>
      </c>
      <c r="V102" s="57">
        <v>7.1879</v>
      </c>
      <c r="W102" s="38">
        <f t="shared" si="11"/>
        <v>208.60056483813077</v>
      </c>
    </row>
    <row r="103" spans="1:23">
      <c r="A103" s="31" t="s">
        <v>1367</v>
      </c>
      <c r="B103" s="32">
        <v>45660</v>
      </c>
      <c r="C103" s="32">
        <v>45611</v>
      </c>
      <c r="D103" s="31" t="s">
        <v>235</v>
      </c>
      <c r="E103" s="31" t="s">
        <v>236</v>
      </c>
      <c r="G103" s="31" t="s">
        <v>1365</v>
      </c>
      <c r="H103" s="31" t="s">
        <v>239</v>
      </c>
      <c r="I103" s="31" t="s">
        <v>240</v>
      </c>
      <c r="J103" s="34" t="str">
        <f t="shared" si="6"/>
        <v>RIV-</v>
      </c>
      <c r="K103" s="31" t="s">
        <v>10</v>
      </c>
      <c r="L103" s="52">
        <v>5000</v>
      </c>
      <c r="M103" s="31" t="s">
        <v>1472</v>
      </c>
      <c r="N103" s="31" t="s">
        <v>11</v>
      </c>
      <c r="O103" s="53">
        <v>0.16120000000000001</v>
      </c>
      <c r="P103" s="35">
        <f t="shared" si="7"/>
        <v>806</v>
      </c>
      <c r="Q103" s="36">
        <f t="shared" si="8"/>
        <v>7.3003400000000003</v>
      </c>
      <c r="R103" s="36">
        <f t="shared" si="9"/>
        <v>2.2100000000000002E-2</v>
      </c>
      <c r="S103" s="37">
        <f t="shared" si="10"/>
        <v>110.5</v>
      </c>
      <c r="T103" s="36" t="s">
        <v>349</v>
      </c>
      <c r="U103" s="31" t="s">
        <v>132</v>
      </c>
      <c r="V103" s="57">
        <v>7.1879</v>
      </c>
      <c r="W103" s="38">
        <f t="shared" si="11"/>
        <v>112.13288999568721</v>
      </c>
    </row>
    <row r="104" spans="1:23">
      <c r="A104" s="31" t="s">
        <v>1368</v>
      </c>
      <c r="B104" s="32">
        <v>45660</v>
      </c>
      <c r="C104" s="32">
        <v>45618</v>
      </c>
      <c r="D104" s="31" t="s">
        <v>235</v>
      </c>
      <c r="E104" s="31" t="s">
        <v>236</v>
      </c>
      <c r="G104" s="31" t="s">
        <v>1369</v>
      </c>
      <c r="H104" s="31" t="s">
        <v>239</v>
      </c>
      <c r="I104" s="31" t="s">
        <v>240</v>
      </c>
      <c r="J104" s="34" t="str">
        <f t="shared" si="6"/>
        <v>RIV-</v>
      </c>
      <c r="K104" s="31" t="s">
        <v>10</v>
      </c>
      <c r="L104" s="52">
        <v>17000</v>
      </c>
      <c r="M104" s="31" t="s">
        <v>1472</v>
      </c>
      <c r="N104" s="31" t="s">
        <v>11</v>
      </c>
      <c r="O104" s="53">
        <v>0.16120000000000001</v>
      </c>
      <c r="P104" s="35">
        <f t="shared" si="7"/>
        <v>2740.4</v>
      </c>
      <c r="Q104" s="36">
        <f t="shared" si="8"/>
        <v>7.3003400000000003</v>
      </c>
      <c r="R104" s="36">
        <f t="shared" si="9"/>
        <v>2.2100000000000002E-2</v>
      </c>
      <c r="S104" s="37">
        <f t="shared" si="10"/>
        <v>375.7</v>
      </c>
      <c r="T104" s="36" t="s">
        <v>349</v>
      </c>
      <c r="U104" s="31" t="s">
        <v>132</v>
      </c>
      <c r="V104" s="57">
        <v>7.1879</v>
      </c>
      <c r="W104" s="38">
        <f t="shared" si="11"/>
        <v>381.2518259853365</v>
      </c>
    </row>
    <row r="105" spans="1:23">
      <c r="A105" s="31" t="s">
        <v>1336</v>
      </c>
      <c r="B105" s="32">
        <v>45660</v>
      </c>
      <c r="C105" s="32">
        <v>45622</v>
      </c>
      <c r="D105" s="31" t="s">
        <v>235</v>
      </c>
      <c r="E105" s="31" t="s">
        <v>236</v>
      </c>
      <c r="G105" s="31" t="s">
        <v>1335</v>
      </c>
      <c r="H105" s="31" t="s">
        <v>239</v>
      </c>
      <c r="I105" s="31" t="s">
        <v>240</v>
      </c>
      <c r="J105" s="34" t="str">
        <f t="shared" si="6"/>
        <v>RIV-</v>
      </c>
      <c r="K105" s="31" t="s">
        <v>10</v>
      </c>
      <c r="L105" s="52">
        <v>10000</v>
      </c>
      <c r="M105" s="31" t="s">
        <v>1472</v>
      </c>
      <c r="N105" s="31" t="s">
        <v>11</v>
      </c>
      <c r="O105" s="53">
        <v>0.16120000000000001</v>
      </c>
      <c r="P105" s="35">
        <f t="shared" si="7"/>
        <v>1612</v>
      </c>
      <c r="Q105" s="36">
        <f t="shared" si="8"/>
        <v>7.3003400000000003</v>
      </c>
      <c r="R105" s="36">
        <f t="shared" si="9"/>
        <v>2.2100000000000002E-2</v>
      </c>
      <c r="S105" s="37">
        <f t="shared" si="10"/>
        <v>221</v>
      </c>
      <c r="T105" s="36" t="s">
        <v>349</v>
      </c>
      <c r="U105" s="31" t="s">
        <v>132</v>
      </c>
      <c r="V105" s="57">
        <v>7.1879</v>
      </c>
      <c r="W105" s="38">
        <f t="shared" si="11"/>
        <v>224.26577999137442</v>
      </c>
    </row>
    <row r="106" spans="1:23">
      <c r="A106" s="31" t="s">
        <v>1342</v>
      </c>
      <c r="B106" s="32">
        <v>45660</v>
      </c>
      <c r="C106" s="32">
        <v>45643</v>
      </c>
      <c r="D106" s="31" t="s">
        <v>235</v>
      </c>
      <c r="E106" s="31" t="s">
        <v>236</v>
      </c>
      <c r="G106" s="31" t="s">
        <v>1340</v>
      </c>
      <c r="H106" s="31" t="s">
        <v>239</v>
      </c>
      <c r="I106" s="31" t="s">
        <v>240</v>
      </c>
      <c r="J106" s="34" t="str">
        <f t="shared" si="6"/>
        <v>RIV-</v>
      </c>
      <c r="K106" s="31" t="s">
        <v>10</v>
      </c>
      <c r="L106" s="52">
        <v>9200</v>
      </c>
      <c r="M106" s="31" t="s">
        <v>1472</v>
      </c>
      <c r="N106" s="31" t="s">
        <v>11</v>
      </c>
      <c r="O106" s="53">
        <v>0.16120000000000001</v>
      </c>
      <c r="P106" s="35">
        <f t="shared" si="7"/>
        <v>1483.04</v>
      </c>
      <c r="Q106" s="36">
        <f t="shared" si="8"/>
        <v>7.3003400000000003</v>
      </c>
      <c r="R106" s="36">
        <f t="shared" si="9"/>
        <v>2.2100000000000002E-2</v>
      </c>
      <c r="S106" s="37">
        <f t="shared" si="10"/>
        <v>203.32</v>
      </c>
      <c r="T106" s="36" t="s">
        <v>349</v>
      </c>
      <c r="U106" s="31" t="s">
        <v>132</v>
      </c>
      <c r="V106" s="57">
        <v>7.1879</v>
      </c>
      <c r="W106" s="38">
        <f t="shared" si="11"/>
        <v>206.32451759206447</v>
      </c>
    </row>
    <row r="107" spans="1:23">
      <c r="A107" s="31" t="s">
        <v>241</v>
      </c>
      <c r="B107" s="32">
        <v>45674</v>
      </c>
      <c r="C107" s="32">
        <v>45646</v>
      </c>
      <c r="D107" s="31" t="s">
        <v>235</v>
      </c>
      <c r="E107" s="31" t="s">
        <v>236</v>
      </c>
      <c r="G107" s="31" t="s">
        <v>238</v>
      </c>
      <c r="H107" s="31" t="s">
        <v>239</v>
      </c>
      <c r="I107" s="31" t="s">
        <v>240</v>
      </c>
      <c r="J107" s="34" t="str">
        <f t="shared" si="6"/>
        <v>RIV-</v>
      </c>
      <c r="K107" s="31" t="s">
        <v>10</v>
      </c>
      <c r="L107" s="52">
        <v>18400</v>
      </c>
      <c r="M107" s="31" t="s">
        <v>1472</v>
      </c>
      <c r="N107" s="31" t="s">
        <v>11</v>
      </c>
      <c r="O107" s="53">
        <v>0.16120000000000001</v>
      </c>
      <c r="P107" s="35">
        <f t="shared" si="7"/>
        <v>2966.08</v>
      </c>
      <c r="Q107" s="36">
        <f t="shared" si="8"/>
        <v>7.3003400000000003</v>
      </c>
      <c r="R107" s="36">
        <f t="shared" si="9"/>
        <v>2.2100000000000002E-2</v>
      </c>
      <c r="S107" s="37">
        <f t="shared" si="10"/>
        <v>406.64</v>
      </c>
      <c r="T107" s="36" t="s">
        <v>349</v>
      </c>
      <c r="U107" s="31" t="s">
        <v>132</v>
      </c>
      <c r="V107" s="57">
        <v>7.1879</v>
      </c>
      <c r="W107" s="38">
        <f t="shared" si="11"/>
        <v>412.64903518412893</v>
      </c>
    </row>
    <row r="108" spans="1:23">
      <c r="A108" s="31" t="s">
        <v>1339</v>
      </c>
      <c r="B108" s="32">
        <v>45660</v>
      </c>
      <c r="C108" s="32">
        <v>45643</v>
      </c>
      <c r="D108" s="31" t="s">
        <v>235</v>
      </c>
      <c r="E108" s="31" t="s">
        <v>236</v>
      </c>
      <c r="G108" s="31" t="s">
        <v>1340</v>
      </c>
      <c r="H108" s="31" t="s">
        <v>1337</v>
      </c>
      <c r="I108" s="31" t="s">
        <v>1338</v>
      </c>
      <c r="J108" s="34" t="str">
        <f t="shared" si="6"/>
        <v>RIV-</v>
      </c>
      <c r="K108" s="31" t="s">
        <v>10</v>
      </c>
      <c r="L108" s="52">
        <v>2000</v>
      </c>
      <c r="M108" s="31" t="s">
        <v>1472</v>
      </c>
      <c r="N108" s="31" t="s">
        <v>11</v>
      </c>
      <c r="O108" s="53">
        <v>0.17180000000000001</v>
      </c>
      <c r="P108" s="35">
        <f t="shared" si="7"/>
        <v>343.6</v>
      </c>
      <c r="Q108" s="36">
        <f t="shared" si="8"/>
        <v>7.3003400000000003</v>
      </c>
      <c r="R108" s="36">
        <f t="shared" si="9"/>
        <v>2.35E-2</v>
      </c>
      <c r="S108" s="37">
        <f t="shared" si="10"/>
        <v>47</v>
      </c>
      <c r="T108" s="36" t="s">
        <v>349</v>
      </c>
      <c r="U108" s="31" t="s">
        <v>132</v>
      </c>
      <c r="V108" s="57">
        <v>7.1879</v>
      </c>
      <c r="W108" s="38">
        <f t="shared" si="11"/>
        <v>47.802557075084515</v>
      </c>
    </row>
    <row r="109" spans="1:23">
      <c r="A109" s="31" t="s">
        <v>826</v>
      </c>
      <c r="B109" s="32">
        <v>45666</v>
      </c>
      <c r="C109" s="32">
        <v>45660</v>
      </c>
      <c r="D109" s="31" t="s">
        <v>21</v>
      </c>
      <c r="E109" s="31" t="s">
        <v>22</v>
      </c>
      <c r="G109" s="31" t="s">
        <v>827</v>
      </c>
      <c r="H109" s="31" t="s">
        <v>824</v>
      </c>
      <c r="I109" s="31" t="s">
        <v>825</v>
      </c>
      <c r="J109" s="34" t="str">
        <f t="shared" si="6"/>
        <v>BRKT</v>
      </c>
      <c r="K109" s="31" t="s">
        <v>10</v>
      </c>
      <c r="L109" s="52">
        <v>1500</v>
      </c>
      <c r="M109" s="31" t="s">
        <v>1472</v>
      </c>
      <c r="N109" s="31" t="s">
        <v>11</v>
      </c>
      <c r="O109" s="53">
        <v>0.17269999999999999</v>
      </c>
      <c r="P109" s="35">
        <f t="shared" si="7"/>
        <v>259.05</v>
      </c>
      <c r="Q109" s="36">
        <f t="shared" si="8"/>
        <v>7.3003400000000003</v>
      </c>
      <c r="R109" s="36">
        <f t="shared" si="9"/>
        <v>2.3699999999999999E-2</v>
      </c>
      <c r="S109" s="37">
        <f t="shared" si="10"/>
        <v>35.549999999999997</v>
      </c>
      <c r="T109" s="36" t="s">
        <v>349</v>
      </c>
      <c r="U109" s="31" t="s">
        <v>442</v>
      </c>
      <c r="V109" s="57">
        <v>7.1879</v>
      </c>
      <c r="W109" s="38">
        <f t="shared" si="11"/>
        <v>36.039733440921545</v>
      </c>
    </row>
    <row r="110" spans="1:23">
      <c r="A110" s="31" t="s">
        <v>1366</v>
      </c>
      <c r="B110" s="32">
        <v>45660</v>
      </c>
      <c r="C110" s="32">
        <v>45611</v>
      </c>
      <c r="D110" s="31" t="s">
        <v>235</v>
      </c>
      <c r="E110" s="31" t="s">
        <v>236</v>
      </c>
      <c r="G110" s="31" t="s">
        <v>1365</v>
      </c>
      <c r="H110" s="31" t="s">
        <v>1361</v>
      </c>
      <c r="I110" s="31" t="s">
        <v>1362</v>
      </c>
      <c r="J110" s="34" t="str">
        <f t="shared" si="6"/>
        <v>RIV-</v>
      </c>
      <c r="K110" s="31" t="s">
        <v>10</v>
      </c>
      <c r="L110" s="52">
        <v>6000</v>
      </c>
      <c r="M110" s="31" t="s">
        <v>1472</v>
      </c>
      <c r="N110" s="31" t="s">
        <v>11</v>
      </c>
      <c r="O110" s="53">
        <v>0.17649999999999999</v>
      </c>
      <c r="P110" s="35">
        <f t="shared" si="7"/>
        <v>1059</v>
      </c>
      <c r="Q110" s="36">
        <f t="shared" si="8"/>
        <v>7.3003400000000003</v>
      </c>
      <c r="R110" s="36">
        <f t="shared" si="9"/>
        <v>2.4199999999999999E-2</v>
      </c>
      <c r="S110" s="37">
        <f t="shared" si="10"/>
        <v>145.19999999999999</v>
      </c>
      <c r="T110" s="36" t="s">
        <v>349</v>
      </c>
      <c r="U110" s="31" t="s">
        <v>132</v>
      </c>
      <c r="V110" s="57">
        <v>7.1879</v>
      </c>
      <c r="W110" s="38">
        <f t="shared" si="11"/>
        <v>147.33093114817956</v>
      </c>
    </row>
    <row r="111" spans="1:23">
      <c r="A111" s="31" t="s">
        <v>1363</v>
      </c>
      <c r="B111" s="32">
        <v>45660</v>
      </c>
      <c r="C111" s="32">
        <v>45629</v>
      </c>
      <c r="D111" s="31" t="s">
        <v>235</v>
      </c>
      <c r="E111" s="31" t="s">
        <v>236</v>
      </c>
      <c r="G111" s="31" t="s">
        <v>1356</v>
      </c>
      <c r="H111" s="31" t="s">
        <v>1361</v>
      </c>
      <c r="I111" s="31" t="s">
        <v>1362</v>
      </c>
      <c r="J111" s="34" t="str">
        <f t="shared" si="6"/>
        <v>RIV-</v>
      </c>
      <c r="K111" s="31" t="s">
        <v>10</v>
      </c>
      <c r="L111" s="52">
        <v>8000</v>
      </c>
      <c r="M111" s="31" t="s">
        <v>1472</v>
      </c>
      <c r="N111" s="31" t="s">
        <v>11</v>
      </c>
      <c r="O111" s="53">
        <v>0.17649999999999999</v>
      </c>
      <c r="P111" s="35">
        <f t="shared" si="7"/>
        <v>1412</v>
      </c>
      <c r="Q111" s="36">
        <f t="shared" si="8"/>
        <v>7.3003400000000003</v>
      </c>
      <c r="R111" s="36">
        <f t="shared" si="9"/>
        <v>2.4199999999999999E-2</v>
      </c>
      <c r="S111" s="37">
        <f t="shared" si="10"/>
        <v>193.6</v>
      </c>
      <c r="T111" s="36" t="s">
        <v>349</v>
      </c>
      <c r="U111" s="31" t="s">
        <v>132</v>
      </c>
      <c r="V111" s="57">
        <v>7.1879</v>
      </c>
      <c r="W111" s="38">
        <f t="shared" si="11"/>
        <v>196.4412415309061</v>
      </c>
    </row>
    <row r="112" spans="1:23">
      <c r="A112" s="31" t="s">
        <v>1177</v>
      </c>
      <c r="B112" s="32">
        <v>45663</v>
      </c>
      <c r="C112" s="32">
        <v>45610</v>
      </c>
      <c r="D112" s="31" t="s">
        <v>28</v>
      </c>
      <c r="E112" s="31" t="s">
        <v>29</v>
      </c>
      <c r="G112" s="31" t="s">
        <v>1173</v>
      </c>
      <c r="H112" s="31" t="s">
        <v>1175</v>
      </c>
      <c r="I112" s="31" t="s">
        <v>1176</v>
      </c>
      <c r="J112" s="34" t="str">
        <f t="shared" si="6"/>
        <v>MISC</v>
      </c>
      <c r="K112" s="31" t="s">
        <v>10</v>
      </c>
      <c r="L112" s="52">
        <v>13000</v>
      </c>
      <c r="M112" s="31" t="s">
        <v>1472</v>
      </c>
      <c r="N112" s="31" t="s">
        <v>11</v>
      </c>
      <c r="O112" s="53">
        <v>0.18160000000000001</v>
      </c>
      <c r="P112" s="35">
        <f t="shared" si="7"/>
        <v>2360.8000000000002</v>
      </c>
      <c r="Q112" s="36">
        <f t="shared" si="8"/>
        <v>7.3003400000000003</v>
      </c>
      <c r="R112" s="36">
        <f t="shared" si="9"/>
        <v>2.4899999999999999E-2</v>
      </c>
      <c r="S112" s="37">
        <f t="shared" si="10"/>
        <v>323.7</v>
      </c>
      <c r="T112" s="36" t="s">
        <v>349</v>
      </c>
      <c r="U112" s="31" t="s">
        <v>25</v>
      </c>
      <c r="V112" s="57">
        <v>7.1879</v>
      </c>
      <c r="W112" s="38">
        <f t="shared" si="11"/>
        <v>328.44085198736769</v>
      </c>
    </row>
    <row r="113" spans="1:23">
      <c r="A113" s="31" t="s">
        <v>1178</v>
      </c>
      <c r="B113" s="32">
        <v>45663</v>
      </c>
      <c r="C113" s="32">
        <v>45646</v>
      </c>
      <c r="D113" s="31" t="s">
        <v>28</v>
      </c>
      <c r="E113" s="31" t="s">
        <v>29</v>
      </c>
      <c r="G113" s="31" t="s">
        <v>1173</v>
      </c>
      <c r="H113" s="31" t="s">
        <v>1175</v>
      </c>
      <c r="I113" s="31" t="s">
        <v>1176</v>
      </c>
      <c r="J113" s="34" t="str">
        <f t="shared" si="6"/>
        <v>MISC</v>
      </c>
      <c r="K113" s="31" t="s">
        <v>10</v>
      </c>
      <c r="L113" s="52">
        <v>11000</v>
      </c>
      <c r="M113" s="31" t="s">
        <v>1472</v>
      </c>
      <c r="N113" s="31" t="s">
        <v>11</v>
      </c>
      <c r="O113" s="53">
        <v>0.18160000000000001</v>
      </c>
      <c r="P113" s="35">
        <f t="shared" si="7"/>
        <v>1997.6</v>
      </c>
      <c r="Q113" s="36">
        <f t="shared" si="8"/>
        <v>7.3003400000000003</v>
      </c>
      <c r="R113" s="36">
        <f t="shared" si="9"/>
        <v>2.4899999999999999E-2</v>
      </c>
      <c r="S113" s="37">
        <f t="shared" si="10"/>
        <v>273.89999999999998</v>
      </c>
      <c r="T113" s="36" t="s">
        <v>349</v>
      </c>
      <c r="U113" s="31" t="s">
        <v>25</v>
      </c>
      <c r="V113" s="57">
        <v>7.1879</v>
      </c>
      <c r="W113" s="38">
        <f t="shared" si="11"/>
        <v>277.91149014315727</v>
      </c>
    </row>
    <row r="114" spans="1:23">
      <c r="A114" s="31" t="s">
        <v>244</v>
      </c>
      <c r="B114" s="32">
        <v>45674</v>
      </c>
      <c r="C114" s="32">
        <v>45611</v>
      </c>
      <c r="D114" s="31" t="s">
        <v>235</v>
      </c>
      <c r="E114" s="31" t="s">
        <v>236</v>
      </c>
      <c r="G114" s="31" t="s">
        <v>238</v>
      </c>
      <c r="H114" s="31" t="s">
        <v>242</v>
      </c>
      <c r="I114" s="31" t="s">
        <v>243</v>
      </c>
      <c r="J114" s="34" t="str">
        <f t="shared" si="6"/>
        <v>RIV-</v>
      </c>
      <c r="K114" s="31" t="s">
        <v>10</v>
      </c>
      <c r="L114" s="52">
        <v>4100</v>
      </c>
      <c r="M114" s="31" t="s">
        <v>1472</v>
      </c>
      <c r="N114" s="31" t="s">
        <v>11</v>
      </c>
      <c r="O114" s="53">
        <v>0.1865</v>
      </c>
      <c r="P114" s="35">
        <f t="shared" si="7"/>
        <v>764.65</v>
      </c>
      <c r="Q114" s="36">
        <f t="shared" si="8"/>
        <v>7.3003400000000003</v>
      </c>
      <c r="R114" s="36">
        <f t="shared" si="9"/>
        <v>2.5499999999999998E-2</v>
      </c>
      <c r="S114" s="37">
        <f t="shared" si="10"/>
        <v>104.55</v>
      </c>
      <c r="T114" s="36" t="s">
        <v>349</v>
      </c>
      <c r="U114" s="31" t="s">
        <v>132</v>
      </c>
      <c r="V114" s="57">
        <v>7.1879</v>
      </c>
      <c r="W114" s="38">
        <f t="shared" si="11"/>
        <v>106.38016666898538</v>
      </c>
    </row>
    <row r="115" spans="1:23">
      <c r="A115" s="31" t="s">
        <v>1357</v>
      </c>
      <c r="B115" s="32">
        <v>45660</v>
      </c>
      <c r="C115" s="32">
        <v>45636</v>
      </c>
      <c r="D115" s="31" t="s">
        <v>235</v>
      </c>
      <c r="E115" s="31" t="s">
        <v>236</v>
      </c>
      <c r="G115" s="31" t="s">
        <v>1356</v>
      </c>
      <c r="H115" s="31" t="s">
        <v>242</v>
      </c>
      <c r="I115" s="31" t="s">
        <v>243</v>
      </c>
      <c r="J115" s="34" t="str">
        <f t="shared" si="6"/>
        <v>RIV-</v>
      </c>
      <c r="K115" s="31" t="s">
        <v>10</v>
      </c>
      <c r="L115" s="52">
        <v>2000</v>
      </c>
      <c r="M115" s="31" t="s">
        <v>1472</v>
      </c>
      <c r="N115" s="31" t="s">
        <v>11</v>
      </c>
      <c r="O115" s="53">
        <v>0.1865</v>
      </c>
      <c r="P115" s="35">
        <f t="shared" si="7"/>
        <v>373</v>
      </c>
      <c r="Q115" s="36">
        <f t="shared" si="8"/>
        <v>7.3003400000000003</v>
      </c>
      <c r="R115" s="36">
        <f t="shared" si="9"/>
        <v>2.5499999999999998E-2</v>
      </c>
      <c r="S115" s="37">
        <f t="shared" si="10"/>
        <v>51</v>
      </c>
      <c r="T115" s="36" t="s">
        <v>349</v>
      </c>
      <c r="U115" s="31" t="s">
        <v>132</v>
      </c>
      <c r="V115" s="57">
        <v>7.1879</v>
      </c>
      <c r="W115" s="38">
        <f t="shared" si="11"/>
        <v>51.892764228773352</v>
      </c>
    </row>
    <row r="116" spans="1:23">
      <c r="A116" s="31" t="s">
        <v>1341</v>
      </c>
      <c r="B116" s="32">
        <v>45660</v>
      </c>
      <c r="C116" s="32">
        <v>45643</v>
      </c>
      <c r="D116" s="31" t="s">
        <v>235</v>
      </c>
      <c r="E116" s="31" t="s">
        <v>236</v>
      </c>
      <c r="G116" s="31" t="s">
        <v>1340</v>
      </c>
      <c r="H116" s="31" t="s">
        <v>242</v>
      </c>
      <c r="I116" s="31" t="s">
        <v>243</v>
      </c>
      <c r="J116" s="34" t="str">
        <f t="shared" si="6"/>
        <v>RIV-</v>
      </c>
      <c r="K116" s="31" t="s">
        <v>10</v>
      </c>
      <c r="L116" s="52">
        <v>4100</v>
      </c>
      <c r="M116" s="31" t="s">
        <v>1472</v>
      </c>
      <c r="N116" s="31" t="s">
        <v>11</v>
      </c>
      <c r="O116" s="53">
        <v>0.1865</v>
      </c>
      <c r="P116" s="35">
        <f t="shared" si="7"/>
        <v>764.65</v>
      </c>
      <c r="Q116" s="36">
        <f t="shared" si="8"/>
        <v>7.3003400000000003</v>
      </c>
      <c r="R116" s="36">
        <f t="shared" si="9"/>
        <v>2.5499999999999998E-2</v>
      </c>
      <c r="S116" s="37">
        <f t="shared" si="10"/>
        <v>104.55</v>
      </c>
      <c r="T116" s="36" t="s">
        <v>349</v>
      </c>
      <c r="U116" s="31" t="s">
        <v>132</v>
      </c>
      <c r="V116" s="57">
        <v>7.1879</v>
      </c>
      <c r="W116" s="38">
        <f t="shared" si="11"/>
        <v>106.38016666898538</v>
      </c>
    </row>
    <row r="117" spans="1:23">
      <c r="A117" s="31" t="s">
        <v>1334</v>
      </c>
      <c r="B117" s="32">
        <v>45660</v>
      </c>
      <c r="C117" s="32">
        <v>45643</v>
      </c>
      <c r="D117" s="31" t="s">
        <v>235</v>
      </c>
      <c r="E117" s="31" t="s">
        <v>236</v>
      </c>
      <c r="G117" s="31" t="s">
        <v>1335</v>
      </c>
      <c r="H117" s="31" t="s">
        <v>242</v>
      </c>
      <c r="I117" s="31" t="s">
        <v>243</v>
      </c>
      <c r="J117" s="34" t="str">
        <f t="shared" si="6"/>
        <v>RIV-</v>
      </c>
      <c r="K117" s="31" t="s">
        <v>10</v>
      </c>
      <c r="L117" s="52">
        <v>5000</v>
      </c>
      <c r="M117" s="31" t="s">
        <v>1472</v>
      </c>
      <c r="N117" s="31" t="s">
        <v>11</v>
      </c>
      <c r="O117" s="53">
        <v>0.1865</v>
      </c>
      <c r="P117" s="35">
        <f t="shared" si="7"/>
        <v>932.5</v>
      </c>
      <c r="Q117" s="36">
        <f t="shared" si="8"/>
        <v>7.3003400000000003</v>
      </c>
      <c r="R117" s="36">
        <f t="shared" si="9"/>
        <v>2.5499999999999998E-2</v>
      </c>
      <c r="S117" s="37">
        <f t="shared" si="10"/>
        <v>127.5</v>
      </c>
      <c r="T117" s="36" t="s">
        <v>349</v>
      </c>
      <c r="U117" s="31" t="s">
        <v>132</v>
      </c>
      <c r="V117" s="57">
        <v>7.1879</v>
      </c>
      <c r="W117" s="38">
        <f t="shared" si="11"/>
        <v>129.73191057193338</v>
      </c>
    </row>
    <row r="118" spans="1:23">
      <c r="A118" s="31" t="s">
        <v>1360</v>
      </c>
      <c r="B118" s="32">
        <v>45660</v>
      </c>
      <c r="C118" s="32">
        <v>45629</v>
      </c>
      <c r="D118" s="31" t="s">
        <v>235</v>
      </c>
      <c r="E118" s="31" t="s">
        <v>236</v>
      </c>
      <c r="G118" s="31" t="s">
        <v>1356</v>
      </c>
      <c r="H118" s="31" t="s">
        <v>1358</v>
      </c>
      <c r="I118" s="31" t="s">
        <v>1359</v>
      </c>
      <c r="J118" s="34" t="str">
        <f t="shared" si="6"/>
        <v>RIV-</v>
      </c>
      <c r="K118" s="31" t="s">
        <v>10</v>
      </c>
      <c r="L118" s="52">
        <v>20000</v>
      </c>
      <c r="M118" s="31" t="s">
        <v>1472</v>
      </c>
      <c r="N118" s="31" t="s">
        <v>11</v>
      </c>
      <c r="O118" s="53">
        <v>0.22839999999999999</v>
      </c>
      <c r="P118" s="35">
        <f t="shared" si="7"/>
        <v>4568</v>
      </c>
      <c r="Q118" s="36">
        <f t="shared" si="8"/>
        <v>7.3003400000000003</v>
      </c>
      <c r="R118" s="36">
        <f t="shared" si="9"/>
        <v>3.1300000000000001E-2</v>
      </c>
      <c r="S118" s="37">
        <f t="shared" si="10"/>
        <v>626</v>
      </c>
      <c r="T118" s="36" t="s">
        <v>349</v>
      </c>
      <c r="U118" s="31" t="s">
        <v>132</v>
      </c>
      <c r="V118" s="57">
        <v>7.1879</v>
      </c>
      <c r="W118" s="38">
        <f t="shared" si="11"/>
        <v>635.51245843709569</v>
      </c>
    </row>
    <row r="119" spans="1:23">
      <c r="A119" s="31" t="s">
        <v>1100</v>
      </c>
      <c r="B119" s="32">
        <v>45663</v>
      </c>
      <c r="C119" s="32">
        <v>45653</v>
      </c>
      <c r="D119" s="31" t="s">
        <v>169</v>
      </c>
      <c r="E119" s="31" t="s">
        <v>170</v>
      </c>
      <c r="G119" s="31" t="s">
        <v>1093</v>
      </c>
      <c r="H119" s="31" t="s">
        <v>1098</v>
      </c>
      <c r="I119" s="31" t="s">
        <v>1099</v>
      </c>
      <c r="J119" s="34" t="str">
        <f t="shared" si="6"/>
        <v>PAP-</v>
      </c>
      <c r="K119" s="31" t="s">
        <v>10</v>
      </c>
      <c r="L119" s="52">
        <v>15000</v>
      </c>
      <c r="M119" s="31" t="s">
        <v>1472</v>
      </c>
      <c r="N119" s="31" t="s">
        <v>11</v>
      </c>
      <c r="O119" s="53">
        <v>0.23</v>
      </c>
      <c r="P119" s="35">
        <f t="shared" si="7"/>
        <v>3450</v>
      </c>
      <c r="Q119" s="36">
        <f t="shared" si="8"/>
        <v>7.3003400000000003</v>
      </c>
      <c r="R119" s="36">
        <f t="shared" si="9"/>
        <v>3.15E-2</v>
      </c>
      <c r="S119" s="37">
        <f t="shared" si="10"/>
        <v>472.5</v>
      </c>
      <c r="T119" s="36" t="s">
        <v>349</v>
      </c>
      <c r="U119" s="31" t="s">
        <v>1094</v>
      </c>
      <c r="V119" s="57">
        <v>7.1879</v>
      </c>
      <c r="W119" s="38">
        <f t="shared" si="11"/>
        <v>479.97328844307793</v>
      </c>
    </row>
    <row r="120" spans="1:23">
      <c r="A120" s="31" t="s">
        <v>542</v>
      </c>
      <c r="B120" s="32">
        <v>45670</v>
      </c>
      <c r="C120" s="32">
        <v>45657</v>
      </c>
      <c r="D120" s="31" t="s">
        <v>530</v>
      </c>
      <c r="E120" s="31" t="s">
        <v>531</v>
      </c>
      <c r="G120" s="31" t="s">
        <v>533</v>
      </c>
      <c r="H120" s="31" t="s">
        <v>540</v>
      </c>
      <c r="I120" s="31" t="s">
        <v>541</v>
      </c>
      <c r="J120" s="34" t="str">
        <f t="shared" si="6"/>
        <v>MISC</v>
      </c>
      <c r="K120" s="31" t="s">
        <v>10</v>
      </c>
      <c r="L120" s="52">
        <v>20000</v>
      </c>
      <c r="M120" s="31" t="s">
        <v>1472</v>
      </c>
      <c r="N120" s="31" t="s">
        <v>11</v>
      </c>
      <c r="O120" s="53">
        <v>0.24829999999999999</v>
      </c>
      <c r="P120" s="35">
        <f t="shared" si="7"/>
        <v>4966</v>
      </c>
      <c r="Q120" s="36">
        <f t="shared" si="8"/>
        <v>7.3003400000000003</v>
      </c>
      <c r="R120" s="36">
        <f t="shared" si="9"/>
        <v>3.4000000000000002E-2</v>
      </c>
      <c r="S120" s="37">
        <f t="shared" si="10"/>
        <v>680</v>
      </c>
      <c r="T120" s="36" t="s">
        <v>349</v>
      </c>
      <c r="U120" s="31" t="s">
        <v>25</v>
      </c>
      <c r="V120" s="57">
        <v>7.1879</v>
      </c>
      <c r="W120" s="38">
        <f t="shared" si="11"/>
        <v>690.88328997342751</v>
      </c>
    </row>
    <row r="121" spans="1:23">
      <c r="A121" s="31" t="s">
        <v>23</v>
      </c>
      <c r="B121" s="32">
        <v>45680</v>
      </c>
      <c r="C121" s="32">
        <v>45670</v>
      </c>
      <c r="D121" s="31" t="s">
        <v>21</v>
      </c>
      <c r="E121" s="31" t="s">
        <v>22</v>
      </c>
      <c r="G121" s="31" t="s">
        <v>24</v>
      </c>
      <c r="H121" s="31" t="s">
        <v>19</v>
      </c>
      <c r="I121" s="31" t="s">
        <v>20</v>
      </c>
      <c r="J121" s="34" t="str">
        <f t="shared" si="6"/>
        <v>MISC</v>
      </c>
      <c r="K121" s="31" t="s">
        <v>10</v>
      </c>
      <c r="L121" s="52">
        <v>500</v>
      </c>
      <c r="M121" s="31" t="s">
        <v>1472</v>
      </c>
      <c r="N121" s="31" t="s">
        <v>11</v>
      </c>
      <c r="O121" s="53">
        <v>0.25180000000000002</v>
      </c>
      <c r="P121" s="35">
        <f t="shared" si="7"/>
        <v>125.9</v>
      </c>
      <c r="Q121" s="36">
        <f t="shared" si="8"/>
        <v>7.3003400000000003</v>
      </c>
      <c r="R121" s="36">
        <f t="shared" si="9"/>
        <v>3.4500000000000003E-2</v>
      </c>
      <c r="S121" s="37">
        <f t="shared" si="10"/>
        <v>17.25</v>
      </c>
      <c r="T121" s="36" t="s">
        <v>349</v>
      </c>
      <c r="U121" s="31" t="s">
        <v>25</v>
      </c>
      <c r="V121" s="57">
        <v>7.1879</v>
      </c>
      <c r="W121" s="38">
        <f t="shared" si="11"/>
        <v>17.515546960864786</v>
      </c>
    </row>
    <row r="122" spans="1:23">
      <c r="A122" s="31" t="s">
        <v>1113</v>
      </c>
      <c r="B122" s="32">
        <v>45663</v>
      </c>
      <c r="C122" s="32">
        <v>45643</v>
      </c>
      <c r="D122" s="31" t="s">
        <v>169</v>
      </c>
      <c r="E122" s="31" t="s">
        <v>170</v>
      </c>
      <c r="G122" s="31" t="s">
        <v>1107</v>
      </c>
      <c r="H122" s="31" t="s">
        <v>1111</v>
      </c>
      <c r="I122" s="31" t="s">
        <v>1112</v>
      </c>
      <c r="J122" s="34" t="str">
        <f t="shared" si="6"/>
        <v>U&amp;C-</v>
      </c>
      <c r="K122" s="31" t="s">
        <v>10</v>
      </c>
      <c r="L122" s="52">
        <v>7100</v>
      </c>
      <c r="M122" s="31" t="s">
        <v>1472</v>
      </c>
      <c r="N122" s="31" t="s">
        <v>11</v>
      </c>
      <c r="O122" s="53">
        <v>0.252</v>
      </c>
      <c r="P122" s="35">
        <f t="shared" si="7"/>
        <v>1789.2</v>
      </c>
      <c r="Q122" s="36">
        <f t="shared" si="8"/>
        <v>7.3003400000000003</v>
      </c>
      <c r="R122" s="36">
        <f t="shared" si="9"/>
        <v>3.4500000000000003E-2</v>
      </c>
      <c r="S122" s="37">
        <f t="shared" si="10"/>
        <v>244.95</v>
      </c>
      <c r="T122" s="36" t="s">
        <v>349</v>
      </c>
      <c r="U122" s="31" t="s">
        <v>177</v>
      </c>
      <c r="V122" s="57">
        <v>7.1879</v>
      </c>
      <c r="W122" s="38">
        <f t="shared" si="11"/>
        <v>248.9183210673493</v>
      </c>
    </row>
    <row r="123" spans="1:23">
      <c r="A123" s="31" t="s">
        <v>1116</v>
      </c>
      <c r="B123" s="32">
        <v>45663</v>
      </c>
      <c r="C123" s="32">
        <v>45643</v>
      </c>
      <c r="D123" s="31" t="s">
        <v>169</v>
      </c>
      <c r="E123" s="31" t="s">
        <v>170</v>
      </c>
      <c r="G123" s="31" t="s">
        <v>1107</v>
      </c>
      <c r="H123" s="31" t="s">
        <v>1114</v>
      </c>
      <c r="I123" s="31" t="s">
        <v>1115</v>
      </c>
      <c r="J123" s="34" t="str">
        <f t="shared" si="6"/>
        <v>U&amp;C-</v>
      </c>
      <c r="K123" s="31" t="s">
        <v>10</v>
      </c>
      <c r="L123" s="52">
        <v>2020</v>
      </c>
      <c r="M123" s="31" t="s">
        <v>1472</v>
      </c>
      <c r="N123" s="31" t="s">
        <v>11</v>
      </c>
      <c r="O123" s="53">
        <v>0.26700000000000002</v>
      </c>
      <c r="P123" s="35">
        <f t="shared" si="7"/>
        <v>539.34</v>
      </c>
      <c r="Q123" s="36">
        <f t="shared" si="8"/>
        <v>7.3003400000000003</v>
      </c>
      <c r="R123" s="36">
        <f t="shared" si="9"/>
        <v>3.6600000000000001E-2</v>
      </c>
      <c r="S123" s="37">
        <f t="shared" si="10"/>
        <v>73.930000000000007</v>
      </c>
      <c r="T123" s="36" t="s">
        <v>349</v>
      </c>
      <c r="U123" s="31" t="s">
        <v>177</v>
      </c>
      <c r="V123" s="57">
        <v>7.1879</v>
      </c>
      <c r="W123" s="38">
        <f t="shared" si="11"/>
        <v>75.034432866344829</v>
      </c>
    </row>
    <row r="124" spans="1:23">
      <c r="A124" s="31" t="s">
        <v>1110</v>
      </c>
      <c r="B124" s="32">
        <v>45663</v>
      </c>
      <c r="C124" s="32">
        <v>45643</v>
      </c>
      <c r="D124" s="31" t="s">
        <v>169</v>
      </c>
      <c r="E124" s="31" t="s">
        <v>170</v>
      </c>
      <c r="G124" s="31" t="s">
        <v>1107</v>
      </c>
      <c r="H124" s="31" t="s">
        <v>1108</v>
      </c>
      <c r="I124" s="31" t="s">
        <v>1109</v>
      </c>
      <c r="J124" s="34" t="str">
        <f t="shared" si="6"/>
        <v>U&amp;C-</v>
      </c>
      <c r="K124" s="31" t="s">
        <v>10</v>
      </c>
      <c r="L124" s="52">
        <v>1010</v>
      </c>
      <c r="M124" s="31" t="s">
        <v>1472</v>
      </c>
      <c r="N124" s="31" t="s">
        <v>11</v>
      </c>
      <c r="O124" s="53">
        <v>0.26700000000000002</v>
      </c>
      <c r="P124" s="35">
        <f t="shared" si="7"/>
        <v>269.67</v>
      </c>
      <c r="Q124" s="36">
        <f t="shared" si="8"/>
        <v>7.3003400000000003</v>
      </c>
      <c r="R124" s="36">
        <f t="shared" si="9"/>
        <v>3.6600000000000001E-2</v>
      </c>
      <c r="S124" s="37">
        <f t="shared" si="10"/>
        <v>36.97</v>
      </c>
      <c r="T124" s="36" t="s">
        <v>349</v>
      </c>
      <c r="U124" s="31" t="s">
        <v>177</v>
      </c>
      <c r="V124" s="57">
        <v>7.1879</v>
      </c>
      <c r="W124" s="38">
        <f t="shared" si="11"/>
        <v>37.517216433172415</v>
      </c>
    </row>
    <row r="125" spans="1:23">
      <c r="A125" s="31" t="s">
        <v>1106</v>
      </c>
      <c r="B125" s="32">
        <v>45663</v>
      </c>
      <c r="C125" s="32">
        <v>45650</v>
      </c>
      <c r="D125" s="31" t="s">
        <v>169</v>
      </c>
      <c r="E125" s="31" t="s">
        <v>170</v>
      </c>
      <c r="G125" s="31" t="s">
        <v>1107</v>
      </c>
      <c r="H125" s="31" t="s">
        <v>1104</v>
      </c>
      <c r="I125" s="31" t="s">
        <v>1105</v>
      </c>
      <c r="J125" s="34" t="str">
        <f t="shared" si="6"/>
        <v>WACD</v>
      </c>
      <c r="K125" s="31" t="s">
        <v>10</v>
      </c>
      <c r="L125" s="52">
        <v>1000</v>
      </c>
      <c r="M125" s="31" t="s">
        <v>1472</v>
      </c>
      <c r="N125" s="31" t="s">
        <v>11</v>
      </c>
      <c r="O125" s="53">
        <v>0.26800000000000002</v>
      </c>
      <c r="P125" s="35">
        <f t="shared" si="7"/>
        <v>268</v>
      </c>
      <c r="Q125" s="36">
        <f t="shared" si="8"/>
        <v>7.3003400000000003</v>
      </c>
      <c r="R125" s="36">
        <f t="shared" si="9"/>
        <v>3.6700000000000003E-2</v>
      </c>
      <c r="S125" s="37">
        <f t="shared" si="10"/>
        <v>36.700000000000003</v>
      </c>
      <c r="T125" s="36" t="s">
        <v>349</v>
      </c>
      <c r="U125" s="31" t="s">
        <v>635</v>
      </c>
      <c r="V125" s="57">
        <v>7.1879</v>
      </c>
      <c r="W125" s="38">
        <f t="shared" si="11"/>
        <v>37.284881537027502</v>
      </c>
    </row>
    <row r="126" spans="1:23">
      <c r="A126" s="31" t="s">
        <v>176</v>
      </c>
      <c r="B126" s="32">
        <v>45674</v>
      </c>
      <c r="C126" s="32">
        <v>45660</v>
      </c>
      <c r="D126" s="31" t="s">
        <v>169</v>
      </c>
      <c r="E126" s="31" t="s">
        <v>170</v>
      </c>
      <c r="G126" s="31" t="s">
        <v>172</v>
      </c>
      <c r="H126" s="31" t="s">
        <v>174</v>
      </c>
      <c r="I126" s="31" t="s">
        <v>175</v>
      </c>
      <c r="J126" s="34" t="str">
        <f t="shared" si="6"/>
        <v>U&amp;C-</v>
      </c>
      <c r="K126" s="31" t="s">
        <v>10</v>
      </c>
      <c r="L126" s="52">
        <v>1000</v>
      </c>
      <c r="M126" s="31" t="s">
        <v>1472</v>
      </c>
      <c r="N126" s="31" t="s">
        <v>11</v>
      </c>
      <c r="O126" s="53">
        <v>0.28000000000000003</v>
      </c>
      <c r="P126" s="35">
        <f t="shared" si="7"/>
        <v>280</v>
      </c>
      <c r="Q126" s="36">
        <f t="shared" si="8"/>
        <v>7.3003400000000003</v>
      </c>
      <c r="R126" s="36">
        <f t="shared" si="9"/>
        <v>3.8399999999999997E-2</v>
      </c>
      <c r="S126" s="37">
        <f t="shared" si="10"/>
        <v>38.4</v>
      </c>
      <c r="T126" s="36" t="s">
        <v>349</v>
      </c>
      <c r="U126" s="31" t="s">
        <v>177</v>
      </c>
      <c r="V126" s="57">
        <v>7.1879</v>
      </c>
      <c r="W126" s="38">
        <f t="shared" si="11"/>
        <v>38.954353844655607</v>
      </c>
    </row>
    <row r="127" spans="1:23">
      <c r="A127" s="31" t="s">
        <v>176</v>
      </c>
      <c r="B127" s="32">
        <v>45670</v>
      </c>
      <c r="C127" s="32">
        <v>45660</v>
      </c>
      <c r="D127" s="31" t="s">
        <v>169</v>
      </c>
      <c r="E127" s="31" t="s">
        <v>170</v>
      </c>
      <c r="G127" s="31" t="s">
        <v>634</v>
      </c>
      <c r="H127" s="31" t="s">
        <v>174</v>
      </c>
      <c r="I127" s="31" t="s">
        <v>175</v>
      </c>
      <c r="J127" s="34" t="str">
        <f t="shared" si="6"/>
        <v>U&amp;C-</v>
      </c>
      <c r="K127" s="31" t="s">
        <v>10</v>
      </c>
      <c r="L127" s="52">
        <v>1000</v>
      </c>
      <c r="M127" s="31" t="s">
        <v>1472</v>
      </c>
      <c r="N127" s="31" t="s">
        <v>11</v>
      </c>
      <c r="O127" s="53">
        <v>0.28000000000000003</v>
      </c>
      <c r="P127" s="35">
        <f t="shared" si="7"/>
        <v>280</v>
      </c>
      <c r="Q127" s="36">
        <f t="shared" si="8"/>
        <v>7.3003400000000003</v>
      </c>
      <c r="R127" s="36">
        <f t="shared" si="9"/>
        <v>3.8399999999999997E-2</v>
      </c>
      <c r="S127" s="37">
        <f t="shared" si="10"/>
        <v>38.4</v>
      </c>
      <c r="T127" s="36" t="s">
        <v>349</v>
      </c>
      <c r="U127" s="31" t="s">
        <v>177</v>
      </c>
      <c r="V127" s="57">
        <v>7.1879</v>
      </c>
      <c r="W127" s="38">
        <f t="shared" si="11"/>
        <v>38.954353844655607</v>
      </c>
    </row>
    <row r="128" spans="1:23">
      <c r="A128" s="31" t="s">
        <v>644</v>
      </c>
      <c r="B128" s="32">
        <v>45670</v>
      </c>
      <c r="C128" s="32">
        <v>45638</v>
      </c>
      <c r="D128" s="31" t="s">
        <v>169</v>
      </c>
      <c r="E128" s="31" t="s">
        <v>170</v>
      </c>
      <c r="G128" s="31" t="s">
        <v>645</v>
      </c>
      <c r="H128" s="31" t="s">
        <v>642</v>
      </c>
      <c r="I128" s="31" t="s">
        <v>643</v>
      </c>
      <c r="J128" s="34" t="str">
        <f t="shared" si="6"/>
        <v>U&amp;C-</v>
      </c>
      <c r="K128" s="31" t="s">
        <v>10</v>
      </c>
      <c r="L128" s="52">
        <v>1000</v>
      </c>
      <c r="M128" s="31" t="s">
        <v>1472</v>
      </c>
      <c r="N128" s="31" t="s">
        <v>11</v>
      </c>
      <c r="O128" s="53">
        <v>1.29</v>
      </c>
      <c r="P128" s="35">
        <f t="shared" si="7"/>
        <v>1290</v>
      </c>
      <c r="Q128" s="36">
        <f t="shared" si="8"/>
        <v>7.3003400000000003</v>
      </c>
      <c r="R128" s="36">
        <f t="shared" si="9"/>
        <v>0.1767</v>
      </c>
      <c r="S128" s="37">
        <f t="shared" si="10"/>
        <v>176.7</v>
      </c>
      <c r="T128" s="36" t="s">
        <v>349</v>
      </c>
      <c r="U128" s="31" t="s">
        <v>177</v>
      </c>
      <c r="V128" s="57">
        <v>7.1879</v>
      </c>
      <c r="W128" s="38">
        <f t="shared" si="11"/>
        <v>179.46827307002044</v>
      </c>
    </row>
    <row r="129" spans="1:23">
      <c r="A129" s="31" t="s">
        <v>1119</v>
      </c>
      <c r="B129" s="32">
        <v>45663</v>
      </c>
      <c r="C129" s="32">
        <v>45643</v>
      </c>
      <c r="D129" s="31" t="s">
        <v>169</v>
      </c>
      <c r="E129" s="31" t="s">
        <v>170</v>
      </c>
      <c r="G129" s="31" t="s">
        <v>1107</v>
      </c>
      <c r="H129" s="31" t="s">
        <v>1117</v>
      </c>
      <c r="I129" s="31" t="s">
        <v>1118</v>
      </c>
      <c r="J129" s="34" t="str">
        <f t="shared" si="6"/>
        <v>U&amp;C-</v>
      </c>
      <c r="K129" s="31" t="s">
        <v>10</v>
      </c>
      <c r="L129" s="52">
        <v>2020</v>
      </c>
      <c r="M129" s="31" t="s">
        <v>1472</v>
      </c>
      <c r="N129" s="31" t="s">
        <v>11</v>
      </c>
      <c r="O129" s="53">
        <v>0.28499999999999998</v>
      </c>
      <c r="P129" s="35">
        <f t="shared" si="7"/>
        <v>575.70000000000005</v>
      </c>
      <c r="Q129" s="36">
        <f t="shared" si="8"/>
        <v>7.3003400000000003</v>
      </c>
      <c r="R129" s="36">
        <f t="shared" si="9"/>
        <v>3.9E-2</v>
      </c>
      <c r="S129" s="37">
        <f t="shared" si="10"/>
        <v>78.78</v>
      </c>
      <c r="T129" s="36" t="s">
        <v>349</v>
      </c>
      <c r="U129" s="31" t="s">
        <v>177</v>
      </c>
      <c r="V129" s="57">
        <v>7.1879</v>
      </c>
      <c r="W129" s="38">
        <f t="shared" si="11"/>
        <v>80.092933958457962</v>
      </c>
    </row>
    <row r="130" spans="1:23">
      <c r="A130" s="31" t="s">
        <v>1373</v>
      </c>
      <c r="B130" s="32">
        <v>45660</v>
      </c>
      <c r="C130" s="32">
        <v>45609</v>
      </c>
      <c r="D130" s="31" t="s">
        <v>235</v>
      </c>
      <c r="E130" s="31" t="s">
        <v>236</v>
      </c>
      <c r="G130" s="31" t="s">
        <v>1369</v>
      </c>
      <c r="H130" s="31" t="s">
        <v>1371</v>
      </c>
      <c r="I130" s="31" t="s">
        <v>1372</v>
      </c>
      <c r="J130" s="34" t="str">
        <f t="shared" ref="J130:J193" si="12">+LEFT(U130,4)</f>
        <v>SCR-</v>
      </c>
      <c r="K130" s="31" t="s">
        <v>10</v>
      </c>
      <c r="L130" s="52">
        <v>250</v>
      </c>
      <c r="M130" s="31" t="s">
        <v>1472</v>
      </c>
      <c r="N130" s="31" t="s">
        <v>11</v>
      </c>
      <c r="O130" s="53">
        <v>0.28810000000000002</v>
      </c>
      <c r="P130" s="35">
        <f t="shared" ref="P130:P193" si="13">ROUND(O130*L130,2)</f>
        <v>72.03</v>
      </c>
      <c r="Q130" s="36">
        <f t="shared" ref="Q130:Q193" si="14">IF(N130="HKD",7.8,IF(N130="CNY",7.30034,1))</f>
        <v>7.3003400000000003</v>
      </c>
      <c r="R130" s="36">
        <f t="shared" ref="R130:R193" si="15">+ROUND(O130/Q130,4)</f>
        <v>3.95E-2</v>
      </c>
      <c r="S130" s="37">
        <f t="shared" ref="S130:S193" si="16">ROUND(R130*L130,2)</f>
        <v>9.8800000000000008</v>
      </c>
      <c r="T130" s="36" t="s">
        <v>349</v>
      </c>
      <c r="U130" s="31" t="s">
        <v>166</v>
      </c>
      <c r="V130" s="57">
        <v>7.1879</v>
      </c>
      <c r="W130" s="38">
        <f t="shared" ref="W130:W193" si="17">IF(N130="CNY",O130/V130*L130,1)</f>
        <v>10.020311913076142</v>
      </c>
    </row>
    <row r="131" spans="1:23">
      <c r="A131" s="31" t="s">
        <v>1097</v>
      </c>
      <c r="B131" s="32">
        <v>45663</v>
      </c>
      <c r="C131" s="32">
        <v>45653</v>
      </c>
      <c r="D131" s="31" t="s">
        <v>169</v>
      </c>
      <c r="E131" s="31" t="s">
        <v>170</v>
      </c>
      <c r="G131" s="31" t="s">
        <v>1093</v>
      </c>
      <c r="H131" s="31" t="s">
        <v>1095</v>
      </c>
      <c r="I131" s="31" t="s">
        <v>1096</v>
      </c>
      <c r="J131" s="34" t="str">
        <f t="shared" si="12"/>
        <v>PAP-</v>
      </c>
      <c r="K131" s="31" t="s">
        <v>10</v>
      </c>
      <c r="L131" s="52">
        <v>10000</v>
      </c>
      <c r="M131" s="31" t="s">
        <v>1472</v>
      </c>
      <c r="N131" s="31" t="s">
        <v>11</v>
      </c>
      <c r="O131" s="53">
        <v>0.28999999999999998</v>
      </c>
      <c r="P131" s="35">
        <f t="shared" si="13"/>
        <v>2900</v>
      </c>
      <c r="Q131" s="36">
        <f t="shared" si="14"/>
        <v>7.3003400000000003</v>
      </c>
      <c r="R131" s="36">
        <f t="shared" si="15"/>
        <v>3.9699999999999999E-2</v>
      </c>
      <c r="S131" s="37">
        <f t="shared" si="16"/>
        <v>397</v>
      </c>
      <c r="T131" s="36" t="s">
        <v>349</v>
      </c>
      <c r="U131" s="31" t="s">
        <v>1094</v>
      </c>
      <c r="V131" s="57">
        <v>7.1879</v>
      </c>
      <c r="W131" s="38">
        <f t="shared" si="17"/>
        <v>403.45580767679019</v>
      </c>
    </row>
    <row r="132" spans="1:23">
      <c r="A132" s="31" t="s">
        <v>927</v>
      </c>
      <c r="B132" s="32">
        <v>45665</v>
      </c>
      <c r="C132" s="32">
        <v>45660</v>
      </c>
      <c r="D132" s="31" t="s">
        <v>925</v>
      </c>
      <c r="E132" s="31" t="s">
        <v>926</v>
      </c>
      <c r="G132" s="31" t="s">
        <v>451</v>
      </c>
      <c r="H132" s="31" t="s">
        <v>923</v>
      </c>
      <c r="I132" s="31" t="s">
        <v>924</v>
      </c>
      <c r="J132" s="34" t="str">
        <f t="shared" si="12"/>
        <v>FG--</v>
      </c>
      <c r="K132" s="31" t="s">
        <v>10</v>
      </c>
      <c r="L132" s="52">
        <v>530</v>
      </c>
      <c r="M132" s="31" t="s">
        <v>1472</v>
      </c>
      <c r="N132" s="31" t="s">
        <v>11</v>
      </c>
      <c r="O132" s="53">
        <v>0.30170000000000002</v>
      </c>
      <c r="P132" s="35">
        <f t="shared" si="13"/>
        <v>159.9</v>
      </c>
      <c r="Q132" s="36">
        <f t="shared" si="14"/>
        <v>7.3003400000000003</v>
      </c>
      <c r="R132" s="36">
        <f t="shared" si="15"/>
        <v>4.1300000000000003E-2</v>
      </c>
      <c r="S132" s="37">
        <f t="shared" si="16"/>
        <v>21.89</v>
      </c>
      <c r="T132" s="36" t="s">
        <v>349</v>
      </c>
      <c r="U132" s="31" t="s">
        <v>64</v>
      </c>
      <c r="V132" s="57">
        <v>7.1879</v>
      </c>
      <c r="W132" s="38">
        <f t="shared" si="17"/>
        <v>22.245857621836699</v>
      </c>
    </row>
    <row r="133" spans="1:23">
      <c r="A133" s="31" t="s">
        <v>539</v>
      </c>
      <c r="B133" s="32">
        <v>45670</v>
      </c>
      <c r="C133" s="32">
        <v>45657</v>
      </c>
      <c r="D133" s="31" t="s">
        <v>530</v>
      </c>
      <c r="E133" s="31" t="s">
        <v>531</v>
      </c>
      <c r="G133" s="31" t="s">
        <v>533</v>
      </c>
      <c r="H133" s="31" t="s">
        <v>537</v>
      </c>
      <c r="I133" s="31" t="s">
        <v>538</v>
      </c>
      <c r="J133" s="34" t="str">
        <f t="shared" si="12"/>
        <v>MISC</v>
      </c>
      <c r="K133" s="31" t="s">
        <v>10</v>
      </c>
      <c r="L133" s="52">
        <v>10000</v>
      </c>
      <c r="M133" s="31" t="s">
        <v>1472</v>
      </c>
      <c r="N133" s="31" t="s">
        <v>11</v>
      </c>
      <c r="O133" s="53">
        <v>0.3085</v>
      </c>
      <c r="P133" s="35">
        <f t="shared" si="13"/>
        <v>3085</v>
      </c>
      <c r="Q133" s="36">
        <f t="shared" si="14"/>
        <v>7.3003400000000003</v>
      </c>
      <c r="R133" s="36">
        <f t="shared" si="15"/>
        <v>4.2299999999999997E-2</v>
      </c>
      <c r="S133" s="37">
        <f t="shared" si="16"/>
        <v>423</v>
      </c>
      <c r="T133" s="36" t="s">
        <v>349</v>
      </c>
      <c r="U133" s="31" t="s">
        <v>25</v>
      </c>
      <c r="V133" s="57">
        <v>7.1879</v>
      </c>
      <c r="W133" s="38">
        <f t="shared" si="17"/>
        <v>429.1935057527233</v>
      </c>
    </row>
    <row r="134" spans="1:23">
      <c r="A134" s="31" t="s">
        <v>539</v>
      </c>
      <c r="B134" s="32">
        <v>45664</v>
      </c>
      <c r="C134" s="32">
        <v>45657</v>
      </c>
      <c r="D134" s="31" t="s">
        <v>530</v>
      </c>
      <c r="E134" s="31" t="s">
        <v>531</v>
      </c>
      <c r="G134" s="31" t="s">
        <v>968</v>
      </c>
      <c r="H134" s="31" t="s">
        <v>537</v>
      </c>
      <c r="I134" s="31" t="s">
        <v>538</v>
      </c>
      <c r="J134" s="34" t="str">
        <f t="shared" si="12"/>
        <v>MISC</v>
      </c>
      <c r="K134" s="31" t="s">
        <v>10</v>
      </c>
      <c r="L134" s="52">
        <v>10000</v>
      </c>
      <c r="M134" s="31" t="s">
        <v>1472</v>
      </c>
      <c r="N134" s="31" t="s">
        <v>11</v>
      </c>
      <c r="O134" s="53">
        <v>0.3085</v>
      </c>
      <c r="P134" s="35">
        <f t="shared" si="13"/>
        <v>3085</v>
      </c>
      <c r="Q134" s="36">
        <f t="shared" si="14"/>
        <v>7.3003400000000003</v>
      </c>
      <c r="R134" s="36">
        <f t="shared" si="15"/>
        <v>4.2299999999999997E-2</v>
      </c>
      <c r="S134" s="37">
        <f t="shared" si="16"/>
        <v>423</v>
      </c>
      <c r="T134" s="36" t="s">
        <v>349</v>
      </c>
      <c r="U134" s="31" t="s">
        <v>25</v>
      </c>
      <c r="V134" s="57">
        <v>7.1879</v>
      </c>
      <c r="W134" s="38">
        <f t="shared" si="17"/>
        <v>429.1935057527233</v>
      </c>
    </row>
    <row r="135" spans="1:23">
      <c r="A135" s="31" t="s">
        <v>638</v>
      </c>
      <c r="B135" s="32">
        <v>45670</v>
      </c>
      <c r="C135" s="32">
        <v>45643</v>
      </c>
      <c r="D135" s="31" t="s">
        <v>169</v>
      </c>
      <c r="E135" s="31" t="s">
        <v>170</v>
      </c>
      <c r="G135" s="31" t="s">
        <v>634</v>
      </c>
      <c r="H135" s="31" t="s">
        <v>636</v>
      </c>
      <c r="I135" s="31" t="s">
        <v>637</v>
      </c>
      <c r="J135" s="34" t="str">
        <f t="shared" si="12"/>
        <v>WACD</v>
      </c>
      <c r="K135" s="31" t="s">
        <v>10</v>
      </c>
      <c r="L135" s="52">
        <v>710</v>
      </c>
      <c r="M135" s="31" t="s">
        <v>1472</v>
      </c>
      <c r="N135" s="31" t="s">
        <v>11</v>
      </c>
      <c r="O135" s="53">
        <v>0.315</v>
      </c>
      <c r="P135" s="35">
        <f t="shared" si="13"/>
        <v>223.65</v>
      </c>
      <c r="Q135" s="36">
        <f t="shared" si="14"/>
        <v>7.3003400000000003</v>
      </c>
      <c r="R135" s="36">
        <f t="shared" si="15"/>
        <v>4.3099999999999999E-2</v>
      </c>
      <c r="S135" s="37">
        <f t="shared" si="16"/>
        <v>30.6</v>
      </c>
      <c r="T135" s="36" t="s">
        <v>349</v>
      </c>
      <c r="U135" s="31" t="s">
        <v>635</v>
      </c>
      <c r="V135" s="57">
        <v>7.1879</v>
      </c>
      <c r="W135" s="38">
        <f t="shared" si="17"/>
        <v>31.114790133418662</v>
      </c>
    </row>
    <row r="136" spans="1:23">
      <c r="A136" s="31" t="s">
        <v>1284</v>
      </c>
      <c r="B136" s="32">
        <v>45660</v>
      </c>
      <c r="C136" s="32">
        <v>45659</v>
      </c>
      <c r="D136" s="31" t="s">
        <v>709</v>
      </c>
      <c r="E136" s="31" t="s">
        <v>710</v>
      </c>
      <c r="G136" s="31" t="s">
        <v>1285</v>
      </c>
      <c r="H136" s="31" t="s">
        <v>1282</v>
      </c>
      <c r="I136" s="31" t="s">
        <v>1283</v>
      </c>
      <c r="J136" s="34" t="str">
        <f t="shared" si="12"/>
        <v>MISC</v>
      </c>
      <c r="K136" s="31" t="s">
        <v>10</v>
      </c>
      <c r="L136" s="52">
        <v>1050</v>
      </c>
      <c r="M136" s="31" t="s">
        <v>1472</v>
      </c>
      <c r="N136" s="31" t="s">
        <v>11</v>
      </c>
      <c r="O136" s="53">
        <v>0.39100000000000001</v>
      </c>
      <c r="P136" s="35">
        <f t="shared" si="13"/>
        <v>410.55</v>
      </c>
      <c r="Q136" s="36">
        <f t="shared" si="14"/>
        <v>7.3003400000000003</v>
      </c>
      <c r="R136" s="36">
        <f t="shared" si="15"/>
        <v>5.3600000000000002E-2</v>
      </c>
      <c r="S136" s="37">
        <f t="shared" si="16"/>
        <v>56.28</v>
      </c>
      <c r="T136" s="36" t="s">
        <v>349</v>
      </c>
      <c r="U136" s="31" t="s">
        <v>25</v>
      </c>
      <c r="V136" s="57">
        <v>7.1879</v>
      </c>
      <c r="W136" s="38">
        <f t="shared" si="17"/>
        <v>57.116821324726281</v>
      </c>
    </row>
    <row r="137" spans="1:23">
      <c r="A137" s="31" t="s">
        <v>737</v>
      </c>
      <c r="B137" s="32">
        <v>45667</v>
      </c>
      <c r="C137" s="32">
        <v>45653</v>
      </c>
      <c r="D137" s="31" t="s">
        <v>709</v>
      </c>
      <c r="E137" s="31" t="s">
        <v>710</v>
      </c>
      <c r="G137" s="31" t="s">
        <v>712</v>
      </c>
      <c r="H137" s="31" t="s">
        <v>735</v>
      </c>
      <c r="I137" s="31" t="s">
        <v>736</v>
      </c>
      <c r="J137" s="34" t="str">
        <f t="shared" si="12"/>
        <v>KNOB</v>
      </c>
      <c r="K137" s="31" t="s">
        <v>10</v>
      </c>
      <c r="L137" s="52">
        <v>750</v>
      </c>
      <c r="M137" s="31" t="s">
        <v>1472</v>
      </c>
      <c r="N137" s="31" t="s">
        <v>11</v>
      </c>
      <c r="O137" s="53">
        <v>0.39329999999999998</v>
      </c>
      <c r="P137" s="35">
        <f t="shared" si="13"/>
        <v>294.98</v>
      </c>
      <c r="Q137" s="36">
        <f t="shared" si="14"/>
        <v>7.3003400000000003</v>
      </c>
      <c r="R137" s="36">
        <f t="shared" si="15"/>
        <v>5.3900000000000003E-2</v>
      </c>
      <c r="S137" s="37">
        <f t="shared" si="16"/>
        <v>40.43</v>
      </c>
      <c r="T137" s="36" t="s">
        <v>349</v>
      </c>
      <c r="U137" s="31" t="s">
        <v>32</v>
      </c>
      <c r="V137" s="57">
        <v>7.1879</v>
      </c>
      <c r="W137" s="38">
        <f t="shared" si="17"/>
        <v>41.037716161883161</v>
      </c>
    </row>
    <row r="138" spans="1:23">
      <c r="A138" s="31" t="s">
        <v>532</v>
      </c>
      <c r="B138" s="32">
        <v>45670</v>
      </c>
      <c r="C138" s="32">
        <v>45657</v>
      </c>
      <c r="D138" s="31" t="s">
        <v>530</v>
      </c>
      <c r="E138" s="31" t="s">
        <v>531</v>
      </c>
      <c r="G138" s="31" t="s">
        <v>533</v>
      </c>
      <c r="H138" s="31" t="s">
        <v>528</v>
      </c>
      <c r="I138" s="31" t="s">
        <v>529</v>
      </c>
      <c r="J138" s="34" t="str">
        <f t="shared" si="12"/>
        <v>MISC</v>
      </c>
      <c r="K138" s="31" t="s">
        <v>10</v>
      </c>
      <c r="L138" s="52">
        <v>2000</v>
      </c>
      <c r="M138" s="31" t="s">
        <v>1472</v>
      </c>
      <c r="N138" s="31" t="s">
        <v>11</v>
      </c>
      <c r="O138" s="53">
        <v>0.39500000000000002</v>
      </c>
      <c r="P138" s="35">
        <f t="shared" si="13"/>
        <v>790</v>
      </c>
      <c r="Q138" s="36">
        <f t="shared" si="14"/>
        <v>7.3003400000000003</v>
      </c>
      <c r="R138" s="36">
        <f t="shared" si="15"/>
        <v>5.4100000000000002E-2</v>
      </c>
      <c r="S138" s="37">
        <f t="shared" si="16"/>
        <v>108.2</v>
      </c>
      <c r="T138" s="36" t="s">
        <v>349</v>
      </c>
      <c r="U138" s="31" t="s">
        <v>25</v>
      </c>
      <c r="V138" s="57">
        <v>7.1879</v>
      </c>
      <c r="W138" s="38">
        <f t="shared" si="17"/>
        <v>109.90692691884973</v>
      </c>
    </row>
    <row r="139" spans="1:23">
      <c r="A139" s="31" t="s">
        <v>532</v>
      </c>
      <c r="B139" s="32">
        <v>45664</v>
      </c>
      <c r="C139" s="32">
        <v>45657</v>
      </c>
      <c r="D139" s="31" t="s">
        <v>530</v>
      </c>
      <c r="E139" s="31" t="s">
        <v>531</v>
      </c>
      <c r="G139" s="31" t="s">
        <v>968</v>
      </c>
      <c r="H139" s="31" t="s">
        <v>528</v>
      </c>
      <c r="I139" s="31" t="s">
        <v>529</v>
      </c>
      <c r="J139" s="34" t="str">
        <f t="shared" si="12"/>
        <v>MISC</v>
      </c>
      <c r="K139" s="31" t="s">
        <v>10</v>
      </c>
      <c r="L139" s="52">
        <v>8000</v>
      </c>
      <c r="M139" s="31" t="s">
        <v>1472</v>
      </c>
      <c r="N139" s="31" t="s">
        <v>11</v>
      </c>
      <c r="O139" s="53">
        <v>0.39500000000000002</v>
      </c>
      <c r="P139" s="35">
        <f t="shared" si="13"/>
        <v>3160</v>
      </c>
      <c r="Q139" s="36">
        <f t="shared" si="14"/>
        <v>7.3003400000000003</v>
      </c>
      <c r="R139" s="36">
        <f t="shared" si="15"/>
        <v>5.4100000000000002E-2</v>
      </c>
      <c r="S139" s="37">
        <f t="shared" si="16"/>
        <v>432.8</v>
      </c>
      <c r="T139" s="36" t="s">
        <v>349</v>
      </c>
      <c r="U139" s="31" t="s">
        <v>25</v>
      </c>
      <c r="V139" s="57">
        <v>7.1879</v>
      </c>
      <c r="W139" s="38">
        <f t="shared" si="17"/>
        <v>439.62770767539894</v>
      </c>
    </row>
    <row r="140" spans="1:23">
      <c r="A140" s="31" t="s">
        <v>774</v>
      </c>
      <c r="B140" s="32">
        <v>45666</v>
      </c>
      <c r="C140" s="32">
        <v>45646</v>
      </c>
      <c r="D140" s="31" t="s">
        <v>569</v>
      </c>
      <c r="E140" s="31" t="s">
        <v>570</v>
      </c>
      <c r="G140" s="31" t="s">
        <v>762</v>
      </c>
      <c r="H140" s="31" t="s">
        <v>772</v>
      </c>
      <c r="I140" s="31" t="s">
        <v>773</v>
      </c>
      <c r="J140" s="34" t="str">
        <f t="shared" si="12"/>
        <v>WHR-</v>
      </c>
      <c r="K140" s="31" t="s">
        <v>10</v>
      </c>
      <c r="L140" s="52">
        <v>9200</v>
      </c>
      <c r="M140" s="31" t="s">
        <v>1472</v>
      </c>
      <c r="N140" s="31" t="s">
        <v>11</v>
      </c>
      <c r="O140" s="53">
        <v>0.4365</v>
      </c>
      <c r="P140" s="35">
        <f t="shared" si="13"/>
        <v>4015.8</v>
      </c>
      <c r="Q140" s="36">
        <f t="shared" si="14"/>
        <v>7.3003400000000003</v>
      </c>
      <c r="R140" s="36">
        <f t="shared" si="15"/>
        <v>5.9799999999999999E-2</v>
      </c>
      <c r="S140" s="37">
        <f t="shared" si="16"/>
        <v>550.16</v>
      </c>
      <c r="T140" s="36" t="s">
        <v>349</v>
      </c>
      <c r="U140" s="31" t="s">
        <v>248</v>
      </c>
      <c r="V140" s="57">
        <v>7.1879</v>
      </c>
      <c r="W140" s="38">
        <f t="shared" si="17"/>
        <v>558.68890774774275</v>
      </c>
    </row>
    <row r="141" spans="1:23">
      <c r="A141" s="31" t="s">
        <v>1402</v>
      </c>
      <c r="B141" s="32">
        <v>45659</v>
      </c>
      <c r="C141" s="32">
        <v>45644</v>
      </c>
      <c r="D141" s="31" t="s">
        <v>569</v>
      </c>
      <c r="E141" s="31" t="s">
        <v>570</v>
      </c>
      <c r="G141" s="31" t="s">
        <v>1403</v>
      </c>
      <c r="H141" s="31" t="s">
        <v>772</v>
      </c>
      <c r="I141" s="31" t="s">
        <v>773</v>
      </c>
      <c r="J141" s="34" t="str">
        <f t="shared" si="12"/>
        <v>WHR-</v>
      </c>
      <c r="K141" s="31" t="s">
        <v>10</v>
      </c>
      <c r="L141" s="52">
        <v>2100</v>
      </c>
      <c r="M141" s="31" t="s">
        <v>1472</v>
      </c>
      <c r="N141" s="31" t="s">
        <v>11</v>
      </c>
      <c r="O141" s="53">
        <v>0.441</v>
      </c>
      <c r="P141" s="35">
        <f t="shared" si="13"/>
        <v>926.1</v>
      </c>
      <c r="Q141" s="36">
        <f t="shared" si="14"/>
        <v>7.3003400000000003</v>
      </c>
      <c r="R141" s="36">
        <f t="shared" si="15"/>
        <v>6.0400000000000002E-2</v>
      </c>
      <c r="S141" s="37">
        <f t="shared" si="16"/>
        <v>126.84</v>
      </c>
      <c r="T141" s="36" t="s">
        <v>349</v>
      </c>
      <c r="U141" s="31" t="s">
        <v>248</v>
      </c>
      <c r="V141" s="57">
        <v>7.1879</v>
      </c>
      <c r="W141" s="38">
        <f t="shared" si="17"/>
        <v>128.84152534119841</v>
      </c>
    </row>
    <row r="142" spans="1:23">
      <c r="A142" s="31" t="s">
        <v>1346</v>
      </c>
      <c r="B142" s="32">
        <v>45660</v>
      </c>
      <c r="C142" s="32">
        <v>45639</v>
      </c>
      <c r="D142" s="31" t="s">
        <v>235</v>
      </c>
      <c r="E142" s="31" t="s">
        <v>236</v>
      </c>
      <c r="G142" s="31" t="s">
        <v>1347</v>
      </c>
      <c r="H142" s="31" t="s">
        <v>1344</v>
      </c>
      <c r="I142" s="31" t="s">
        <v>1345</v>
      </c>
      <c r="J142" s="34" t="str">
        <f t="shared" si="12"/>
        <v>SCR-</v>
      </c>
      <c r="K142" s="31" t="s">
        <v>10</v>
      </c>
      <c r="L142" s="52">
        <v>3000</v>
      </c>
      <c r="M142" s="31" t="s">
        <v>1472</v>
      </c>
      <c r="N142" s="31" t="s">
        <v>11</v>
      </c>
      <c r="O142" s="53">
        <v>0.47449999999999998</v>
      </c>
      <c r="P142" s="35">
        <f t="shared" si="13"/>
        <v>1423.5</v>
      </c>
      <c r="Q142" s="36">
        <f t="shared" si="14"/>
        <v>7.3003400000000003</v>
      </c>
      <c r="R142" s="36">
        <f t="shared" si="15"/>
        <v>6.5000000000000002E-2</v>
      </c>
      <c r="S142" s="37">
        <f t="shared" si="16"/>
        <v>195</v>
      </c>
      <c r="T142" s="36" t="s">
        <v>349</v>
      </c>
      <c r="U142" s="31" t="s">
        <v>166</v>
      </c>
      <c r="V142" s="57">
        <v>7.1879</v>
      </c>
      <c r="W142" s="38">
        <f t="shared" si="17"/>
        <v>198.04115249238302</v>
      </c>
    </row>
    <row r="143" spans="1:23">
      <c r="A143" s="31" t="s">
        <v>1092</v>
      </c>
      <c r="B143" s="32">
        <v>45663</v>
      </c>
      <c r="C143" s="32">
        <v>45653</v>
      </c>
      <c r="D143" s="31" t="s">
        <v>169</v>
      </c>
      <c r="E143" s="31" t="s">
        <v>170</v>
      </c>
      <c r="G143" s="31" t="s">
        <v>1093</v>
      </c>
      <c r="H143" s="31" t="s">
        <v>1090</v>
      </c>
      <c r="I143" s="31" t="s">
        <v>1091</v>
      </c>
      <c r="J143" s="34" t="str">
        <f t="shared" si="12"/>
        <v>PAP-</v>
      </c>
      <c r="K143" s="31" t="s">
        <v>10</v>
      </c>
      <c r="L143" s="52">
        <v>16000</v>
      </c>
      <c r="M143" s="31" t="s">
        <v>1472</v>
      </c>
      <c r="N143" s="31" t="s">
        <v>11</v>
      </c>
      <c r="O143" s="53">
        <v>0.47789999999999999</v>
      </c>
      <c r="P143" s="35">
        <f t="shared" si="13"/>
        <v>7646.4</v>
      </c>
      <c r="Q143" s="36">
        <f t="shared" si="14"/>
        <v>7.3003400000000003</v>
      </c>
      <c r="R143" s="36">
        <f t="shared" si="15"/>
        <v>6.5500000000000003E-2</v>
      </c>
      <c r="S143" s="37">
        <f t="shared" si="16"/>
        <v>1048</v>
      </c>
      <c r="T143" s="36" t="s">
        <v>349</v>
      </c>
      <c r="U143" s="31" t="s">
        <v>1094</v>
      </c>
      <c r="V143" s="57">
        <v>7.1879</v>
      </c>
      <c r="W143" s="38">
        <f t="shared" si="17"/>
        <v>1063.7877544206235</v>
      </c>
    </row>
    <row r="144" spans="1:23">
      <c r="A144" s="31" t="s">
        <v>536</v>
      </c>
      <c r="B144" s="32">
        <v>45670</v>
      </c>
      <c r="C144" s="32">
        <v>45657</v>
      </c>
      <c r="D144" s="31" t="s">
        <v>530</v>
      </c>
      <c r="E144" s="31" t="s">
        <v>531</v>
      </c>
      <c r="G144" s="31" t="s">
        <v>533</v>
      </c>
      <c r="H144" s="31" t="s">
        <v>534</v>
      </c>
      <c r="I144" s="31" t="s">
        <v>535</v>
      </c>
      <c r="J144" s="34" t="str">
        <f t="shared" si="12"/>
        <v>MISC</v>
      </c>
      <c r="K144" s="31" t="s">
        <v>10</v>
      </c>
      <c r="L144" s="52">
        <v>10000</v>
      </c>
      <c r="M144" s="31" t="s">
        <v>1472</v>
      </c>
      <c r="N144" s="31" t="s">
        <v>11</v>
      </c>
      <c r="O144" s="53">
        <v>0.53669999999999995</v>
      </c>
      <c r="P144" s="35">
        <f t="shared" si="13"/>
        <v>5367</v>
      </c>
      <c r="Q144" s="36">
        <f t="shared" si="14"/>
        <v>7.3003400000000003</v>
      </c>
      <c r="R144" s="36">
        <f t="shared" si="15"/>
        <v>7.3499999999999996E-2</v>
      </c>
      <c r="S144" s="37">
        <f t="shared" si="16"/>
        <v>735</v>
      </c>
      <c r="T144" s="36" t="s">
        <v>349</v>
      </c>
      <c r="U144" s="31" t="s">
        <v>25</v>
      </c>
      <c r="V144" s="57">
        <v>7.1879</v>
      </c>
      <c r="W144" s="38">
        <f t="shared" si="17"/>
        <v>746.67148958666644</v>
      </c>
    </row>
    <row r="145" spans="1:23">
      <c r="A145" s="31" t="s">
        <v>441</v>
      </c>
      <c r="B145" s="32">
        <v>45670</v>
      </c>
      <c r="C145" s="32">
        <v>45660</v>
      </c>
      <c r="D145" s="31" t="s">
        <v>128</v>
      </c>
      <c r="E145" s="31" t="s">
        <v>129</v>
      </c>
      <c r="G145" s="31" t="s">
        <v>437</v>
      </c>
      <c r="H145" s="31" t="s">
        <v>439</v>
      </c>
      <c r="I145" s="31" t="s">
        <v>440</v>
      </c>
      <c r="J145" s="34" t="str">
        <f t="shared" si="12"/>
        <v>BRKT</v>
      </c>
      <c r="K145" s="31" t="s">
        <v>10</v>
      </c>
      <c r="L145" s="52">
        <v>520</v>
      </c>
      <c r="M145" s="31" t="s">
        <v>1472</v>
      </c>
      <c r="N145" s="31" t="s">
        <v>11</v>
      </c>
      <c r="O145" s="53">
        <v>0.53990000000000005</v>
      </c>
      <c r="P145" s="35">
        <f t="shared" si="13"/>
        <v>280.75</v>
      </c>
      <c r="Q145" s="36">
        <f t="shared" si="14"/>
        <v>7.3003400000000003</v>
      </c>
      <c r="R145" s="36">
        <f t="shared" si="15"/>
        <v>7.3999999999999996E-2</v>
      </c>
      <c r="S145" s="37">
        <f t="shared" si="16"/>
        <v>38.479999999999997</v>
      </c>
      <c r="T145" s="36" t="s">
        <v>349</v>
      </c>
      <c r="U145" s="31" t="s">
        <v>442</v>
      </c>
      <c r="V145" s="57">
        <v>7.1879</v>
      </c>
      <c r="W145" s="38">
        <f t="shared" si="17"/>
        <v>39.058417618497757</v>
      </c>
    </row>
    <row r="146" spans="1:23">
      <c r="A146" s="31" t="s">
        <v>728</v>
      </c>
      <c r="B146" s="32">
        <v>45667</v>
      </c>
      <c r="C146" s="32">
        <v>45646</v>
      </c>
      <c r="D146" s="31" t="s">
        <v>709</v>
      </c>
      <c r="E146" s="31" t="s">
        <v>710</v>
      </c>
      <c r="G146" s="31" t="s">
        <v>712</v>
      </c>
      <c r="H146" s="31" t="s">
        <v>726</v>
      </c>
      <c r="I146" s="31" t="s">
        <v>727</v>
      </c>
      <c r="J146" s="34" t="str">
        <f t="shared" si="12"/>
        <v>KNOB</v>
      </c>
      <c r="K146" s="31" t="s">
        <v>10</v>
      </c>
      <c r="L146" s="52">
        <v>6750</v>
      </c>
      <c r="M146" s="31" t="s">
        <v>1472</v>
      </c>
      <c r="N146" s="31" t="s">
        <v>11</v>
      </c>
      <c r="O146" s="53">
        <v>0.54969999999999997</v>
      </c>
      <c r="P146" s="35">
        <f t="shared" si="13"/>
        <v>3710.48</v>
      </c>
      <c r="Q146" s="36">
        <f t="shared" si="14"/>
        <v>7.3003400000000003</v>
      </c>
      <c r="R146" s="36">
        <f t="shared" si="15"/>
        <v>7.5300000000000006E-2</v>
      </c>
      <c r="S146" s="37">
        <f t="shared" si="16"/>
        <v>508.28</v>
      </c>
      <c r="T146" s="36" t="s">
        <v>349</v>
      </c>
      <c r="U146" s="31" t="s">
        <v>32</v>
      </c>
      <c r="V146" s="57">
        <v>7.1879</v>
      </c>
      <c r="W146" s="38">
        <f t="shared" si="17"/>
        <v>516.21127172053036</v>
      </c>
    </row>
    <row r="147" spans="1:23">
      <c r="A147" s="31" t="s">
        <v>1440</v>
      </c>
      <c r="B147" s="32">
        <v>45659</v>
      </c>
      <c r="C147" s="32">
        <v>45629</v>
      </c>
      <c r="D147" s="31" t="s">
        <v>21</v>
      </c>
      <c r="E147" s="31" t="s">
        <v>22</v>
      </c>
      <c r="G147" s="31" t="s">
        <v>1431</v>
      </c>
      <c r="H147" s="31" t="s">
        <v>801</v>
      </c>
      <c r="I147" s="31" t="s">
        <v>802</v>
      </c>
      <c r="J147" s="34" t="str">
        <f t="shared" si="12"/>
        <v>BRKT</v>
      </c>
      <c r="K147" s="31" t="s">
        <v>10</v>
      </c>
      <c r="L147" s="52">
        <v>2600</v>
      </c>
      <c r="M147" s="31" t="s">
        <v>1472</v>
      </c>
      <c r="N147" s="31" t="s">
        <v>11</v>
      </c>
      <c r="O147" s="53">
        <v>0.56430000000000002</v>
      </c>
      <c r="P147" s="35">
        <f t="shared" si="13"/>
        <v>1467.18</v>
      </c>
      <c r="Q147" s="36">
        <f t="shared" si="14"/>
        <v>7.3003400000000003</v>
      </c>
      <c r="R147" s="36">
        <f t="shared" si="15"/>
        <v>7.7299999999999994E-2</v>
      </c>
      <c r="S147" s="37">
        <f t="shared" si="16"/>
        <v>200.98</v>
      </c>
      <c r="T147" s="36" t="s">
        <v>349</v>
      </c>
      <c r="U147" s="31" t="s">
        <v>442</v>
      </c>
      <c r="V147" s="57">
        <v>7.1879</v>
      </c>
      <c r="W147" s="38">
        <f t="shared" si="17"/>
        <v>204.11803169214932</v>
      </c>
    </row>
    <row r="148" spans="1:23">
      <c r="A148" s="31" t="s">
        <v>803</v>
      </c>
      <c r="B148" s="32">
        <v>45666</v>
      </c>
      <c r="C148" s="32">
        <v>45653</v>
      </c>
      <c r="D148" s="31" t="s">
        <v>21</v>
      </c>
      <c r="E148" s="31" t="s">
        <v>22</v>
      </c>
      <c r="G148" s="31" t="s">
        <v>796</v>
      </c>
      <c r="H148" s="31" t="s">
        <v>801</v>
      </c>
      <c r="I148" s="31" t="s">
        <v>802</v>
      </c>
      <c r="J148" s="34" t="str">
        <f t="shared" si="12"/>
        <v>BRKT</v>
      </c>
      <c r="K148" s="31" t="s">
        <v>10</v>
      </c>
      <c r="L148" s="52">
        <v>970</v>
      </c>
      <c r="M148" s="31" t="s">
        <v>1472</v>
      </c>
      <c r="N148" s="31" t="s">
        <v>11</v>
      </c>
      <c r="O148" s="53">
        <v>0.57579999999999998</v>
      </c>
      <c r="P148" s="35">
        <f t="shared" si="13"/>
        <v>558.53</v>
      </c>
      <c r="Q148" s="36">
        <f t="shared" si="14"/>
        <v>7.3003400000000003</v>
      </c>
      <c r="R148" s="36">
        <f t="shared" si="15"/>
        <v>7.8899999999999998E-2</v>
      </c>
      <c r="S148" s="37">
        <f t="shared" si="16"/>
        <v>76.53</v>
      </c>
      <c r="T148" s="36" t="s">
        <v>349</v>
      </c>
      <c r="U148" s="31" t="s">
        <v>442</v>
      </c>
      <c r="V148" s="57">
        <v>7.1879</v>
      </c>
      <c r="W148" s="38">
        <f t="shared" si="17"/>
        <v>77.703640840857545</v>
      </c>
    </row>
    <row r="149" spans="1:23">
      <c r="A149" s="31" t="s">
        <v>1151</v>
      </c>
      <c r="B149" s="32">
        <v>45663</v>
      </c>
      <c r="C149" s="32">
        <v>45639</v>
      </c>
      <c r="D149" s="31" t="s">
        <v>28</v>
      </c>
      <c r="E149" s="31" t="s">
        <v>29</v>
      </c>
      <c r="G149" s="31" t="s">
        <v>1144</v>
      </c>
      <c r="H149" s="31" t="s">
        <v>1149</v>
      </c>
      <c r="I149" s="31" t="s">
        <v>1150</v>
      </c>
      <c r="J149" s="34" t="str">
        <f t="shared" si="12"/>
        <v>BRKT</v>
      </c>
      <c r="K149" s="31" t="s">
        <v>10</v>
      </c>
      <c r="L149" s="52">
        <v>3000</v>
      </c>
      <c r="M149" s="31" t="s">
        <v>1472</v>
      </c>
      <c r="N149" s="31" t="s">
        <v>11</v>
      </c>
      <c r="O149" s="53">
        <v>0.57750000000000001</v>
      </c>
      <c r="P149" s="35">
        <f t="shared" si="13"/>
        <v>1732.5</v>
      </c>
      <c r="Q149" s="36">
        <f t="shared" si="14"/>
        <v>7.3003400000000003</v>
      </c>
      <c r="R149" s="36">
        <f t="shared" si="15"/>
        <v>7.9100000000000004E-2</v>
      </c>
      <c r="S149" s="37">
        <f t="shared" si="16"/>
        <v>237.3</v>
      </c>
      <c r="T149" s="36" t="s">
        <v>349</v>
      </c>
      <c r="U149" s="31" t="s">
        <v>442</v>
      </c>
      <c r="V149" s="57">
        <v>7.1879</v>
      </c>
      <c r="W149" s="38">
        <f t="shared" si="17"/>
        <v>241.03006441380654</v>
      </c>
    </row>
    <row r="150" spans="1:23">
      <c r="A150" s="31" t="s">
        <v>1450</v>
      </c>
      <c r="B150" s="32">
        <v>45659</v>
      </c>
      <c r="C150" s="32">
        <v>45609</v>
      </c>
      <c r="D150" s="31" t="s">
        <v>21</v>
      </c>
      <c r="E150" s="31" t="s">
        <v>22</v>
      </c>
      <c r="G150" s="31" t="s">
        <v>1431</v>
      </c>
      <c r="H150" s="31" t="s">
        <v>1448</v>
      </c>
      <c r="I150" s="31" t="s">
        <v>1449</v>
      </c>
      <c r="J150" s="34" t="str">
        <f t="shared" si="12"/>
        <v>BRKT</v>
      </c>
      <c r="K150" s="31" t="s">
        <v>10</v>
      </c>
      <c r="L150" s="52">
        <v>1030</v>
      </c>
      <c r="M150" s="31" t="s">
        <v>1472</v>
      </c>
      <c r="N150" s="31" t="s">
        <v>11</v>
      </c>
      <c r="O150" s="53">
        <v>0.57969999999999999</v>
      </c>
      <c r="P150" s="35">
        <f t="shared" si="13"/>
        <v>597.09</v>
      </c>
      <c r="Q150" s="36">
        <f t="shared" si="14"/>
        <v>7.3003400000000003</v>
      </c>
      <c r="R150" s="36">
        <f t="shared" si="15"/>
        <v>7.9399999999999998E-2</v>
      </c>
      <c r="S150" s="37">
        <f t="shared" si="16"/>
        <v>81.78</v>
      </c>
      <c r="T150" s="36" t="s">
        <v>349</v>
      </c>
      <c r="U150" s="31" t="s">
        <v>442</v>
      </c>
      <c r="V150" s="57">
        <v>7.1879</v>
      </c>
      <c r="W150" s="38">
        <f t="shared" si="17"/>
        <v>83.068907469497347</v>
      </c>
    </row>
    <row r="151" spans="1:23">
      <c r="A151" s="31" t="s">
        <v>1172</v>
      </c>
      <c r="B151" s="32">
        <v>45663</v>
      </c>
      <c r="C151" s="32">
        <v>45615</v>
      </c>
      <c r="D151" s="31" t="s">
        <v>28</v>
      </c>
      <c r="E151" s="31" t="s">
        <v>29</v>
      </c>
      <c r="G151" s="31" t="s">
        <v>1173</v>
      </c>
      <c r="H151" s="31" t="s">
        <v>1170</v>
      </c>
      <c r="I151" s="31" t="s">
        <v>1171</v>
      </c>
      <c r="J151" s="34" t="str">
        <f t="shared" si="12"/>
        <v>BRKT</v>
      </c>
      <c r="K151" s="31" t="s">
        <v>10</v>
      </c>
      <c r="L151" s="52">
        <v>16500</v>
      </c>
      <c r="M151" s="31" t="s">
        <v>1472</v>
      </c>
      <c r="N151" s="31" t="s">
        <v>11</v>
      </c>
      <c r="O151" s="53">
        <v>0.5877</v>
      </c>
      <c r="P151" s="35">
        <f t="shared" si="13"/>
        <v>9697.0499999999993</v>
      </c>
      <c r="Q151" s="36">
        <f t="shared" si="14"/>
        <v>7.3003400000000003</v>
      </c>
      <c r="R151" s="36">
        <f t="shared" si="15"/>
        <v>8.0500000000000002E-2</v>
      </c>
      <c r="S151" s="37">
        <f t="shared" si="16"/>
        <v>1328.25</v>
      </c>
      <c r="T151" s="36" t="s">
        <v>349</v>
      </c>
      <c r="U151" s="31" t="s">
        <v>442</v>
      </c>
      <c r="V151" s="57">
        <v>7.1879</v>
      </c>
      <c r="W151" s="38">
        <f t="shared" si="17"/>
        <v>1349.07970339042</v>
      </c>
    </row>
    <row r="152" spans="1:23">
      <c r="A152" s="31" t="s">
        <v>1174</v>
      </c>
      <c r="B152" s="32">
        <v>45663</v>
      </c>
      <c r="C152" s="32">
        <v>45646</v>
      </c>
      <c r="D152" s="31" t="s">
        <v>28</v>
      </c>
      <c r="E152" s="31" t="s">
        <v>29</v>
      </c>
      <c r="G152" s="31" t="s">
        <v>1173</v>
      </c>
      <c r="H152" s="31" t="s">
        <v>1170</v>
      </c>
      <c r="I152" s="31" t="s">
        <v>1171</v>
      </c>
      <c r="J152" s="34" t="str">
        <f t="shared" si="12"/>
        <v>BRKT</v>
      </c>
      <c r="K152" s="31" t="s">
        <v>10</v>
      </c>
      <c r="L152" s="52">
        <v>3650</v>
      </c>
      <c r="M152" s="31" t="s">
        <v>1472</v>
      </c>
      <c r="N152" s="31" t="s">
        <v>11</v>
      </c>
      <c r="O152" s="53">
        <v>0.59379999999999999</v>
      </c>
      <c r="P152" s="35">
        <f t="shared" si="13"/>
        <v>2167.37</v>
      </c>
      <c r="Q152" s="36">
        <f t="shared" si="14"/>
        <v>7.3003400000000003</v>
      </c>
      <c r="R152" s="36">
        <f t="shared" si="15"/>
        <v>8.1299999999999997E-2</v>
      </c>
      <c r="S152" s="37">
        <f t="shared" si="16"/>
        <v>296.75</v>
      </c>
      <c r="T152" s="36" t="s">
        <v>349</v>
      </c>
      <c r="U152" s="31" t="s">
        <v>442</v>
      </c>
      <c r="V152" s="57">
        <v>7.1879</v>
      </c>
      <c r="W152" s="38">
        <f t="shared" si="17"/>
        <v>301.53034961532575</v>
      </c>
    </row>
    <row r="153" spans="1:23">
      <c r="A153" s="31" t="s">
        <v>1148</v>
      </c>
      <c r="B153" s="32">
        <v>45663</v>
      </c>
      <c r="C153" s="32">
        <v>45639</v>
      </c>
      <c r="D153" s="31" t="s">
        <v>28</v>
      </c>
      <c r="E153" s="31" t="s">
        <v>29</v>
      </c>
      <c r="G153" s="31" t="s">
        <v>1144</v>
      </c>
      <c r="H153" s="31" t="s">
        <v>1145</v>
      </c>
      <c r="I153" s="31" t="s">
        <v>1146</v>
      </c>
      <c r="J153" s="34" t="str">
        <f t="shared" si="12"/>
        <v>BRKT</v>
      </c>
      <c r="K153" s="31" t="s">
        <v>10</v>
      </c>
      <c r="L153" s="52">
        <v>2550</v>
      </c>
      <c r="M153" s="31" t="s">
        <v>1472</v>
      </c>
      <c r="N153" s="31" t="s">
        <v>11</v>
      </c>
      <c r="O153" s="53">
        <v>0.59809999999999997</v>
      </c>
      <c r="P153" s="35">
        <f t="shared" si="13"/>
        <v>1525.16</v>
      </c>
      <c r="Q153" s="36">
        <f t="shared" si="14"/>
        <v>7.3003400000000003</v>
      </c>
      <c r="R153" s="36">
        <f t="shared" si="15"/>
        <v>8.1900000000000001E-2</v>
      </c>
      <c r="S153" s="37">
        <f t="shared" si="16"/>
        <v>208.85</v>
      </c>
      <c r="T153" s="36" t="s">
        <v>349</v>
      </c>
      <c r="U153" s="31" t="s">
        <v>442</v>
      </c>
      <c r="V153" s="57">
        <v>7.1879</v>
      </c>
      <c r="W153" s="38">
        <f t="shared" si="17"/>
        <v>212.18366977837752</v>
      </c>
    </row>
    <row r="154" spans="1:23">
      <c r="A154" s="31" t="s">
        <v>1444</v>
      </c>
      <c r="B154" s="32">
        <v>45659</v>
      </c>
      <c r="C154" s="32">
        <v>45609</v>
      </c>
      <c r="D154" s="31" t="s">
        <v>21</v>
      </c>
      <c r="E154" s="31" t="s">
        <v>22</v>
      </c>
      <c r="G154" s="31" t="s">
        <v>1431</v>
      </c>
      <c r="H154" s="31" t="s">
        <v>1441</v>
      </c>
      <c r="I154" s="31" t="s">
        <v>1442</v>
      </c>
      <c r="J154" s="34" t="str">
        <f t="shared" si="12"/>
        <v>BRKT</v>
      </c>
      <c r="K154" s="31" t="s">
        <v>10</v>
      </c>
      <c r="L154" s="52">
        <v>520</v>
      </c>
      <c r="M154" s="31" t="s">
        <v>1472</v>
      </c>
      <c r="N154" s="31" t="s">
        <v>11</v>
      </c>
      <c r="O154" s="53">
        <v>0.60340000000000005</v>
      </c>
      <c r="P154" s="35">
        <f t="shared" si="13"/>
        <v>313.77</v>
      </c>
      <c r="Q154" s="36">
        <f t="shared" si="14"/>
        <v>7.3003400000000003</v>
      </c>
      <c r="R154" s="36">
        <f t="shared" si="15"/>
        <v>8.2699999999999996E-2</v>
      </c>
      <c r="S154" s="37">
        <f t="shared" si="16"/>
        <v>43</v>
      </c>
      <c r="T154" s="36" t="s">
        <v>349</v>
      </c>
      <c r="U154" s="31" t="s">
        <v>442</v>
      </c>
      <c r="V154" s="57">
        <v>7.1879</v>
      </c>
      <c r="W154" s="38">
        <f t="shared" si="17"/>
        <v>43.652248918321071</v>
      </c>
    </row>
    <row r="155" spans="1:23">
      <c r="A155" s="31" t="s">
        <v>1443</v>
      </c>
      <c r="B155" s="32">
        <v>45659</v>
      </c>
      <c r="C155" s="32">
        <v>45629</v>
      </c>
      <c r="D155" s="31" t="s">
        <v>21</v>
      </c>
      <c r="E155" s="31" t="s">
        <v>22</v>
      </c>
      <c r="G155" s="31" t="s">
        <v>1431</v>
      </c>
      <c r="H155" s="31" t="s">
        <v>1441</v>
      </c>
      <c r="I155" s="31" t="s">
        <v>1442</v>
      </c>
      <c r="J155" s="34" t="str">
        <f t="shared" si="12"/>
        <v>BRKT</v>
      </c>
      <c r="K155" s="31" t="s">
        <v>10</v>
      </c>
      <c r="L155" s="52">
        <v>1030</v>
      </c>
      <c r="M155" s="31" t="s">
        <v>1472</v>
      </c>
      <c r="N155" s="31" t="s">
        <v>11</v>
      </c>
      <c r="O155" s="53">
        <v>0.60340000000000005</v>
      </c>
      <c r="P155" s="35">
        <f t="shared" si="13"/>
        <v>621.5</v>
      </c>
      <c r="Q155" s="36">
        <f t="shared" si="14"/>
        <v>7.3003400000000003</v>
      </c>
      <c r="R155" s="36">
        <f t="shared" si="15"/>
        <v>8.2699999999999996E-2</v>
      </c>
      <c r="S155" s="37">
        <f t="shared" si="16"/>
        <v>85.18</v>
      </c>
      <c r="T155" s="36" t="s">
        <v>349</v>
      </c>
      <c r="U155" s="31" t="s">
        <v>442</v>
      </c>
      <c r="V155" s="57">
        <v>7.1879</v>
      </c>
      <c r="W155" s="38">
        <f t="shared" si="17"/>
        <v>86.465031511289808</v>
      </c>
    </row>
    <row r="156" spans="1:23">
      <c r="A156" s="31" t="s">
        <v>820</v>
      </c>
      <c r="B156" s="32">
        <v>45666</v>
      </c>
      <c r="C156" s="32">
        <v>45609</v>
      </c>
      <c r="D156" s="31" t="s">
        <v>21</v>
      </c>
      <c r="E156" s="31" t="s">
        <v>22</v>
      </c>
      <c r="G156" s="31" t="s">
        <v>796</v>
      </c>
      <c r="H156" s="31" t="s">
        <v>814</v>
      </c>
      <c r="I156" s="31" t="s">
        <v>815</v>
      </c>
      <c r="J156" s="34" t="str">
        <f t="shared" si="12"/>
        <v>BRKT</v>
      </c>
      <c r="K156" s="31" t="s">
        <v>10</v>
      </c>
      <c r="L156" s="52">
        <v>520</v>
      </c>
      <c r="M156" s="31" t="s">
        <v>1472</v>
      </c>
      <c r="N156" s="31" t="s">
        <v>11</v>
      </c>
      <c r="O156" s="53">
        <v>0.60570000000000002</v>
      </c>
      <c r="P156" s="35">
        <f t="shared" si="13"/>
        <v>314.95999999999998</v>
      </c>
      <c r="Q156" s="36">
        <f t="shared" si="14"/>
        <v>7.3003400000000003</v>
      </c>
      <c r="R156" s="36">
        <f t="shared" si="15"/>
        <v>8.3000000000000004E-2</v>
      </c>
      <c r="S156" s="37">
        <f t="shared" si="16"/>
        <v>43.16</v>
      </c>
      <c r="T156" s="36" t="s">
        <v>349</v>
      </c>
      <c r="U156" s="31" t="s">
        <v>442</v>
      </c>
      <c r="V156" s="57">
        <v>7.1879</v>
      </c>
      <c r="W156" s="38">
        <f t="shared" si="17"/>
        <v>43.818639658314666</v>
      </c>
    </row>
    <row r="157" spans="1:23">
      <c r="A157" s="31" t="s">
        <v>816</v>
      </c>
      <c r="B157" s="32">
        <v>45666</v>
      </c>
      <c r="C157" s="32">
        <v>45650</v>
      </c>
      <c r="D157" s="31" t="s">
        <v>21</v>
      </c>
      <c r="E157" s="31" t="s">
        <v>22</v>
      </c>
      <c r="G157" s="31" t="s">
        <v>796</v>
      </c>
      <c r="H157" s="31" t="s">
        <v>814</v>
      </c>
      <c r="I157" s="31" t="s">
        <v>815</v>
      </c>
      <c r="J157" s="34" t="str">
        <f t="shared" si="12"/>
        <v>BRKT</v>
      </c>
      <c r="K157" s="31" t="s">
        <v>10</v>
      </c>
      <c r="L157" s="52">
        <v>510</v>
      </c>
      <c r="M157" s="31" t="s">
        <v>1472</v>
      </c>
      <c r="N157" s="31" t="s">
        <v>11</v>
      </c>
      <c r="O157" s="53">
        <v>0.60570000000000002</v>
      </c>
      <c r="P157" s="35">
        <f t="shared" si="13"/>
        <v>308.91000000000003</v>
      </c>
      <c r="Q157" s="36">
        <f t="shared" si="14"/>
        <v>7.3003400000000003</v>
      </c>
      <c r="R157" s="36">
        <f t="shared" si="15"/>
        <v>8.3000000000000004E-2</v>
      </c>
      <c r="S157" s="37">
        <f t="shared" si="16"/>
        <v>42.33</v>
      </c>
      <c r="T157" s="36" t="s">
        <v>349</v>
      </c>
      <c r="U157" s="31" t="s">
        <v>442</v>
      </c>
      <c r="V157" s="57">
        <v>7.1879</v>
      </c>
      <c r="W157" s="38">
        <f t="shared" si="17"/>
        <v>42.975973511039385</v>
      </c>
    </row>
    <row r="158" spans="1:23">
      <c r="A158" s="31" t="s">
        <v>1147</v>
      </c>
      <c r="B158" s="32">
        <v>45663</v>
      </c>
      <c r="C158" s="32">
        <v>45653</v>
      </c>
      <c r="D158" s="31" t="s">
        <v>28</v>
      </c>
      <c r="E158" s="31" t="s">
        <v>29</v>
      </c>
      <c r="G158" s="31" t="s">
        <v>1144</v>
      </c>
      <c r="H158" s="31" t="s">
        <v>1145</v>
      </c>
      <c r="I158" s="31" t="s">
        <v>1146</v>
      </c>
      <c r="J158" s="34" t="str">
        <f t="shared" si="12"/>
        <v>BRKT</v>
      </c>
      <c r="K158" s="31" t="s">
        <v>10</v>
      </c>
      <c r="L158" s="52">
        <v>100</v>
      </c>
      <c r="M158" s="31" t="s">
        <v>1472</v>
      </c>
      <c r="N158" s="31" t="s">
        <v>11</v>
      </c>
      <c r="O158" s="53">
        <v>0.61029999999999995</v>
      </c>
      <c r="P158" s="35">
        <f t="shared" si="13"/>
        <v>61.03</v>
      </c>
      <c r="Q158" s="36">
        <f t="shared" si="14"/>
        <v>7.3003400000000003</v>
      </c>
      <c r="R158" s="36">
        <f t="shared" si="15"/>
        <v>8.3599999999999994E-2</v>
      </c>
      <c r="S158" s="37">
        <f t="shared" si="16"/>
        <v>8.36</v>
      </c>
      <c r="T158" s="36" t="s">
        <v>349</v>
      </c>
      <c r="U158" s="31" t="s">
        <v>442</v>
      </c>
      <c r="V158" s="57">
        <v>7.1879</v>
      </c>
      <c r="W158" s="38">
        <f t="shared" si="17"/>
        <v>8.4906579112118976</v>
      </c>
    </row>
    <row r="159" spans="1:23">
      <c r="A159" s="31" t="s">
        <v>1447</v>
      </c>
      <c r="B159" s="32">
        <v>45659</v>
      </c>
      <c r="C159" s="32">
        <v>45609</v>
      </c>
      <c r="D159" s="31" t="s">
        <v>21</v>
      </c>
      <c r="E159" s="31" t="s">
        <v>22</v>
      </c>
      <c r="G159" s="31" t="s">
        <v>1431</v>
      </c>
      <c r="H159" s="31" t="s">
        <v>1445</v>
      </c>
      <c r="I159" s="31" t="s">
        <v>1446</v>
      </c>
      <c r="J159" s="34" t="str">
        <f t="shared" si="12"/>
        <v>BRKT</v>
      </c>
      <c r="K159" s="31" t="s">
        <v>10</v>
      </c>
      <c r="L159" s="52">
        <v>520</v>
      </c>
      <c r="M159" s="31" t="s">
        <v>1472</v>
      </c>
      <c r="N159" s="31" t="s">
        <v>11</v>
      </c>
      <c r="O159" s="53">
        <v>0.62309999999999999</v>
      </c>
      <c r="P159" s="35">
        <f t="shared" si="13"/>
        <v>324.01</v>
      </c>
      <c r="Q159" s="36">
        <f t="shared" si="14"/>
        <v>7.3003400000000003</v>
      </c>
      <c r="R159" s="36">
        <f t="shared" si="15"/>
        <v>8.5400000000000004E-2</v>
      </c>
      <c r="S159" s="37">
        <f t="shared" si="16"/>
        <v>44.41</v>
      </c>
      <c r="T159" s="36" t="s">
        <v>349</v>
      </c>
      <c r="U159" s="31" t="s">
        <v>442</v>
      </c>
      <c r="V159" s="57">
        <v>7.1879</v>
      </c>
      <c r="W159" s="38">
        <f t="shared" si="17"/>
        <v>45.077421778266256</v>
      </c>
    </row>
    <row r="160" spans="1:23">
      <c r="A160" s="31" t="s">
        <v>797</v>
      </c>
      <c r="B160" s="32">
        <v>45666</v>
      </c>
      <c r="C160" s="32">
        <v>45609</v>
      </c>
      <c r="D160" s="31" t="s">
        <v>21</v>
      </c>
      <c r="E160" s="31" t="s">
        <v>22</v>
      </c>
      <c r="G160" s="31" t="s">
        <v>796</v>
      </c>
      <c r="H160" s="31" t="s">
        <v>793</v>
      </c>
      <c r="I160" s="31" t="s">
        <v>794</v>
      </c>
      <c r="J160" s="34" t="str">
        <f t="shared" si="12"/>
        <v>FG--</v>
      </c>
      <c r="K160" s="31" t="s">
        <v>10</v>
      </c>
      <c r="L160" s="52">
        <v>500</v>
      </c>
      <c r="M160" s="31" t="s">
        <v>1472</v>
      </c>
      <c r="N160" s="31" t="s">
        <v>11</v>
      </c>
      <c r="O160" s="53">
        <v>0.62919999999999998</v>
      </c>
      <c r="P160" s="35">
        <f t="shared" si="13"/>
        <v>314.60000000000002</v>
      </c>
      <c r="Q160" s="36">
        <f t="shared" si="14"/>
        <v>7.3003400000000003</v>
      </c>
      <c r="R160" s="36">
        <f t="shared" si="15"/>
        <v>8.6199999999999999E-2</v>
      </c>
      <c r="S160" s="37">
        <f t="shared" si="16"/>
        <v>43.1</v>
      </c>
      <c r="T160" s="36" t="s">
        <v>349</v>
      </c>
      <c r="U160" s="31" t="s">
        <v>64</v>
      </c>
      <c r="V160" s="57">
        <v>7.1879</v>
      </c>
      <c r="W160" s="38">
        <f t="shared" si="17"/>
        <v>43.767998998316614</v>
      </c>
    </row>
    <row r="161" spans="1:23">
      <c r="A161" s="31" t="s">
        <v>795</v>
      </c>
      <c r="B161" s="32">
        <v>45666</v>
      </c>
      <c r="C161" s="32">
        <v>45650</v>
      </c>
      <c r="D161" s="31" t="s">
        <v>21</v>
      </c>
      <c r="E161" s="31" t="s">
        <v>22</v>
      </c>
      <c r="G161" s="31" t="s">
        <v>796</v>
      </c>
      <c r="H161" s="31" t="s">
        <v>793</v>
      </c>
      <c r="I161" s="31" t="s">
        <v>794</v>
      </c>
      <c r="J161" s="34" t="str">
        <f t="shared" si="12"/>
        <v>FG--</v>
      </c>
      <c r="K161" s="31" t="s">
        <v>10</v>
      </c>
      <c r="L161" s="52">
        <v>520</v>
      </c>
      <c r="M161" s="31" t="s">
        <v>1472</v>
      </c>
      <c r="N161" s="31" t="s">
        <v>11</v>
      </c>
      <c r="O161" s="53">
        <v>0.62919999999999998</v>
      </c>
      <c r="P161" s="35">
        <f t="shared" si="13"/>
        <v>327.18</v>
      </c>
      <c r="Q161" s="36">
        <f t="shared" si="14"/>
        <v>7.3003400000000003</v>
      </c>
      <c r="R161" s="36">
        <f t="shared" si="15"/>
        <v>8.6199999999999999E-2</v>
      </c>
      <c r="S161" s="37">
        <f t="shared" si="16"/>
        <v>44.82</v>
      </c>
      <c r="T161" s="36" t="s">
        <v>349</v>
      </c>
      <c r="U161" s="31" t="s">
        <v>64</v>
      </c>
      <c r="V161" s="57">
        <v>7.1879</v>
      </c>
      <c r="W161" s="38">
        <f t="shared" si="17"/>
        <v>45.518718958249273</v>
      </c>
    </row>
    <row r="162" spans="1:23">
      <c r="A162" s="31" t="s">
        <v>715</v>
      </c>
      <c r="B162" s="32">
        <v>45667</v>
      </c>
      <c r="C162" s="32">
        <v>45659</v>
      </c>
      <c r="D162" s="31" t="s">
        <v>709</v>
      </c>
      <c r="E162" s="31" t="s">
        <v>710</v>
      </c>
      <c r="G162" s="31" t="s">
        <v>712</v>
      </c>
      <c r="H162" s="31" t="s">
        <v>713</v>
      </c>
      <c r="I162" s="31" t="s">
        <v>714</v>
      </c>
      <c r="J162" s="34" t="str">
        <f t="shared" si="12"/>
        <v>KNOB</v>
      </c>
      <c r="K162" s="31" t="s">
        <v>10</v>
      </c>
      <c r="L162" s="52">
        <v>500</v>
      </c>
      <c r="M162" s="31" t="s">
        <v>1472</v>
      </c>
      <c r="N162" s="31" t="s">
        <v>11</v>
      </c>
      <c r="O162" s="53">
        <v>0.63100000000000001</v>
      </c>
      <c r="P162" s="35">
        <f t="shared" si="13"/>
        <v>315.5</v>
      </c>
      <c r="Q162" s="36">
        <f t="shared" si="14"/>
        <v>7.3003400000000003</v>
      </c>
      <c r="R162" s="36">
        <f t="shared" si="15"/>
        <v>8.6400000000000005E-2</v>
      </c>
      <c r="S162" s="37">
        <f t="shared" si="16"/>
        <v>43.2</v>
      </c>
      <c r="T162" s="36" t="s">
        <v>349</v>
      </c>
      <c r="U162" s="31" t="s">
        <v>32</v>
      </c>
      <c r="V162" s="57">
        <v>7.1879</v>
      </c>
      <c r="W162" s="38">
        <f t="shared" si="17"/>
        <v>43.893209421388725</v>
      </c>
    </row>
    <row r="163" spans="1:23">
      <c r="A163" s="31" t="s">
        <v>1048</v>
      </c>
      <c r="B163" s="32">
        <v>45663</v>
      </c>
      <c r="C163" s="32">
        <v>45629</v>
      </c>
      <c r="D163" s="31" t="s">
        <v>372</v>
      </c>
      <c r="E163" s="31" t="s">
        <v>373</v>
      </c>
      <c r="G163" s="31" t="s">
        <v>1036</v>
      </c>
      <c r="H163" s="31" t="s">
        <v>1046</v>
      </c>
      <c r="I163" s="31" t="s">
        <v>1047</v>
      </c>
      <c r="J163" s="34" t="str">
        <f t="shared" si="12"/>
        <v>KNOB</v>
      </c>
      <c r="K163" s="31" t="s">
        <v>98</v>
      </c>
      <c r="L163" s="52">
        <v>3000</v>
      </c>
      <c r="M163" s="31" t="s">
        <v>1472</v>
      </c>
      <c r="N163" s="31" t="s">
        <v>11</v>
      </c>
      <c r="O163" s="53">
        <v>0.6411</v>
      </c>
      <c r="P163" s="35">
        <f t="shared" si="13"/>
        <v>1923.3</v>
      </c>
      <c r="Q163" s="36">
        <f t="shared" si="14"/>
        <v>7.3003400000000003</v>
      </c>
      <c r="R163" s="36">
        <f t="shared" si="15"/>
        <v>8.7800000000000003E-2</v>
      </c>
      <c r="S163" s="37">
        <f t="shared" si="16"/>
        <v>263.39999999999998</v>
      </c>
      <c r="T163" s="36" t="s">
        <v>349</v>
      </c>
      <c r="U163" s="31" t="s">
        <v>32</v>
      </c>
      <c r="V163" s="57">
        <v>7.1879</v>
      </c>
      <c r="W163" s="38">
        <f t="shared" si="17"/>
        <v>267.57467410509327</v>
      </c>
    </row>
    <row r="164" spans="1:23">
      <c r="A164" s="31" t="s">
        <v>1154</v>
      </c>
      <c r="B164" s="32">
        <v>45663</v>
      </c>
      <c r="C164" s="32">
        <v>45609</v>
      </c>
      <c r="D164" s="31" t="s">
        <v>28</v>
      </c>
      <c r="E164" s="31" t="s">
        <v>29</v>
      </c>
      <c r="G164" s="31" t="s">
        <v>1144</v>
      </c>
      <c r="H164" s="31" t="s">
        <v>1152</v>
      </c>
      <c r="I164" s="31" t="s">
        <v>1153</v>
      </c>
      <c r="J164" s="34" t="str">
        <f t="shared" si="12"/>
        <v>BRKT</v>
      </c>
      <c r="K164" s="31" t="s">
        <v>10</v>
      </c>
      <c r="L164" s="52">
        <v>1040</v>
      </c>
      <c r="M164" s="31" t="s">
        <v>1472</v>
      </c>
      <c r="N164" s="31" t="s">
        <v>11</v>
      </c>
      <c r="O164" s="53">
        <v>0.6522</v>
      </c>
      <c r="P164" s="35">
        <f t="shared" si="13"/>
        <v>678.29</v>
      </c>
      <c r="Q164" s="36">
        <f t="shared" si="14"/>
        <v>7.3003400000000003</v>
      </c>
      <c r="R164" s="36">
        <f t="shared" si="15"/>
        <v>8.9300000000000004E-2</v>
      </c>
      <c r="S164" s="37">
        <f t="shared" si="16"/>
        <v>92.87</v>
      </c>
      <c r="T164" s="36" t="s">
        <v>349</v>
      </c>
      <c r="U164" s="31" t="s">
        <v>442</v>
      </c>
      <c r="V164" s="57">
        <v>7.1879</v>
      </c>
      <c r="W164" s="38">
        <f t="shared" si="17"/>
        <v>94.365252716370563</v>
      </c>
    </row>
    <row r="165" spans="1:23">
      <c r="A165" s="31" t="s">
        <v>1434</v>
      </c>
      <c r="B165" s="32">
        <v>45659</v>
      </c>
      <c r="C165" s="32">
        <v>45609</v>
      </c>
      <c r="D165" s="31" t="s">
        <v>21</v>
      </c>
      <c r="E165" s="31" t="s">
        <v>22</v>
      </c>
      <c r="G165" s="31" t="s">
        <v>1435</v>
      </c>
      <c r="H165" s="31" t="s">
        <v>1432</v>
      </c>
      <c r="I165" s="31" t="s">
        <v>1433</v>
      </c>
      <c r="J165" s="34" t="str">
        <f t="shared" si="12"/>
        <v>FG--</v>
      </c>
      <c r="K165" s="31" t="s">
        <v>10</v>
      </c>
      <c r="L165" s="52">
        <v>1020</v>
      </c>
      <c r="M165" s="31" t="s">
        <v>1472</v>
      </c>
      <c r="N165" s="31" t="s">
        <v>11</v>
      </c>
      <c r="O165" s="53">
        <v>0.65390000000000004</v>
      </c>
      <c r="P165" s="35">
        <f t="shared" si="13"/>
        <v>666.98</v>
      </c>
      <c r="Q165" s="36">
        <f t="shared" si="14"/>
        <v>7.3003400000000003</v>
      </c>
      <c r="R165" s="36">
        <f t="shared" si="15"/>
        <v>8.9599999999999999E-2</v>
      </c>
      <c r="S165" s="37">
        <f t="shared" si="16"/>
        <v>91.39</v>
      </c>
      <c r="T165" s="36" t="s">
        <v>349</v>
      </c>
      <c r="U165" s="31" t="s">
        <v>64</v>
      </c>
      <c r="V165" s="57">
        <v>7.1879</v>
      </c>
      <c r="W165" s="38">
        <f t="shared" si="17"/>
        <v>92.791775066431086</v>
      </c>
    </row>
    <row r="166" spans="1:23">
      <c r="A166" s="31" t="s">
        <v>1049</v>
      </c>
      <c r="B166" s="32">
        <v>45663</v>
      </c>
      <c r="C166" s="32">
        <v>45636</v>
      </c>
      <c r="D166" s="31" t="s">
        <v>372</v>
      </c>
      <c r="E166" s="31" t="s">
        <v>373</v>
      </c>
      <c r="G166" s="31" t="s">
        <v>1036</v>
      </c>
      <c r="H166" s="31" t="s">
        <v>1046</v>
      </c>
      <c r="I166" s="31" t="s">
        <v>1047</v>
      </c>
      <c r="J166" s="34" t="str">
        <f t="shared" si="12"/>
        <v>KNOB</v>
      </c>
      <c r="K166" s="31" t="s">
        <v>98</v>
      </c>
      <c r="L166" s="52">
        <v>1020</v>
      </c>
      <c r="M166" s="31" t="s">
        <v>1472</v>
      </c>
      <c r="N166" s="31" t="s">
        <v>11</v>
      </c>
      <c r="O166" s="53">
        <v>0.6542</v>
      </c>
      <c r="P166" s="35">
        <f t="shared" si="13"/>
        <v>667.28</v>
      </c>
      <c r="Q166" s="36">
        <f t="shared" si="14"/>
        <v>7.3003400000000003</v>
      </c>
      <c r="R166" s="36">
        <f t="shared" si="15"/>
        <v>8.9599999999999999E-2</v>
      </c>
      <c r="S166" s="37">
        <f t="shared" si="16"/>
        <v>91.39</v>
      </c>
      <c r="T166" s="36" t="s">
        <v>349</v>
      </c>
      <c r="U166" s="31" t="s">
        <v>32</v>
      </c>
      <c r="V166" s="57">
        <v>7.1879</v>
      </c>
      <c r="W166" s="38">
        <f t="shared" si="17"/>
        <v>92.834346610275603</v>
      </c>
    </row>
    <row r="167" spans="1:23">
      <c r="A167" s="31" t="s">
        <v>1439</v>
      </c>
      <c r="B167" s="32">
        <v>45659</v>
      </c>
      <c r="C167" s="32">
        <v>45609</v>
      </c>
      <c r="D167" s="31" t="s">
        <v>21</v>
      </c>
      <c r="E167" s="31" t="s">
        <v>22</v>
      </c>
      <c r="G167" s="31" t="s">
        <v>1431</v>
      </c>
      <c r="H167" s="31" t="s">
        <v>1437</v>
      </c>
      <c r="I167" s="31" t="s">
        <v>1438</v>
      </c>
      <c r="J167" s="34" t="str">
        <f t="shared" si="12"/>
        <v>FG--</v>
      </c>
      <c r="K167" s="31" t="s">
        <v>10</v>
      </c>
      <c r="L167" s="52">
        <v>1030</v>
      </c>
      <c r="M167" s="31" t="s">
        <v>1472</v>
      </c>
      <c r="N167" s="31" t="s">
        <v>11</v>
      </c>
      <c r="O167" s="53">
        <v>0.65839999999999999</v>
      </c>
      <c r="P167" s="35">
        <f t="shared" si="13"/>
        <v>678.15</v>
      </c>
      <c r="Q167" s="36">
        <f t="shared" si="14"/>
        <v>7.3003400000000003</v>
      </c>
      <c r="R167" s="36">
        <f t="shared" si="15"/>
        <v>9.0200000000000002E-2</v>
      </c>
      <c r="S167" s="37">
        <f t="shared" si="16"/>
        <v>92.91</v>
      </c>
      <c r="T167" s="36" t="s">
        <v>349</v>
      </c>
      <c r="U167" s="31" t="s">
        <v>64</v>
      </c>
      <c r="V167" s="57">
        <v>7.1879</v>
      </c>
      <c r="W167" s="38">
        <f t="shared" si="17"/>
        <v>94.34633203021744</v>
      </c>
    </row>
    <row r="168" spans="1:23">
      <c r="A168" s="31" t="s">
        <v>800</v>
      </c>
      <c r="B168" s="32">
        <v>45666</v>
      </c>
      <c r="C168" s="32">
        <v>45609</v>
      </c>
      <c r="D168" s="31" t="s">
        <v>21</v>
      </c>
      <c r="E168" s="31" t="s">
        <v>22</v>
      </c>
      <c r="G168" s="31" t="s">
        <v>796</v>
      </c>
      <c r="H168" s="31" t="s">
        <v>798</v>
      </c>
      <c r="I168" s="31" t="s">
        <v>799</v>
      </c>
      <c r="J168" s="34" t="str">
        <f t="shared" si="12"/>
        <v>FG--</v>
      </c>
      <c r="K168" s="31" t="s">
        <v>10</v>
      </c>
      <c r="L168" s="52">
        <v>1040</v>
      </c>
      <c r="M168" s="31" t="s">
        <v>1472</v>
      </c>
      <c r="N168" s="31" t="s">
        <v>11</v>
      </c>
      <c r="O168" s="53">
        <v>0.65839999999999999</v>
      </c>
      <c r="P168" s="35">
        <f t="shared" si="13"/>
        <v>684.74</v>
      </c>
      <c r="Q168" s="36">
        <f t="shared" si="14"/>
        <v>7.3003400000000003</v>
      </c>
      <c r="R168" s="36">
        <f t="shared" si="15"/>
        <v>9.0200000000000002E-2</v>
      </c>
      <c r="S168" s="37">
        <f t="shared" si="16"/>
        <v>93.81</v>
      </c>
      <c r="T168" s="36" t="s">
        <v>349</v>
      </c>
      <c r="U168" s="31" t="s">
        <v>64</v>
      </c>
      <c r="V168" s="57">
        <v>7.1879</v>
      </c>
      <c r="W168" s="38">
        <f t="shared" si="17"/>
        <v>95.262315836336057</v>
      </c>
    </row>
    <row r="169" spans="1:23">
      <c r="A169" s="31" t="s">
        <v>1430</v>
      </c>
      <c r="B169" s="32">
        <v>45659</v>
      </c>
      <c r="C169" s="32">
        <v>45609</v>
      </c>
      <c r="D169" s="31" t="s">
        <v>21</v>
      </c>
      <c r="E169" s="31" t="s">
        <v>22</v>
      </c>
      <c r="G169" s="31" t="s">
        <v>1431</v>
      </c>
      <c r="H169" s="31" t="s">
        <v>1428</v>
      </c>
      <c r="I169" s="31" t="s">
        <v>1429</v>
      </c>
      <c r="J169" s="34" t="str">
        <f t="shared" si="12"/>
        <v>FG--</v>
      </c>
      <c r="K169" s="31" t="s">
        <v>10</v>
      </c>
      <c r="L169" s="52">
        <v>530</v>
      </c>
      <c r="M169" s="31" t="s">
        <v>1472</v>
      </c>
      <c r="N169" s="31" t="s">
        <v>11</v>
      </c>
      <c r="O169" s="53">
        <v>0.65839999999999999</v>
      </c>
      <c r="P169" s="35">
        <f t="shared" si="13"/>
        <v>348.95</v>
      </c>
      <c r="Q169" s="36">
        <f t="shared" si="14"/>
        <v>7.3003400000000003</v>
      </c>
      <c r="R169" s="36">
        <f t="shared" si="15"/>
        <v>9.0200000000000002E-2</v>
      </c>
      <c r="S169" s="37">
        <f t="shared" si="16"/>
        <v>47.81</v>
      </c>
      <c r="T169" s="36" t="s">
        <v>349</v>
      </c>
      <c r="U169" s="31" t="s">
        <v>64</v>
      </c>
      <c r="V169" s="57">
        <v>7.1879</v>
      </c>
      <c r="W169" s="38">
        <f t="shared" si="17"/>
        <v>48.547141724286647</v>
      </c>
    </row>
    <row r="170" spans="1:23">
      <c r="A170" s="31" t="s">
        <v>1436</v>
      </c>
      <c r="B170" s="32">
        <v>45659</v>
      </c>
      <c r="C170" s="32">
        <v>45617</v>
      </c>
      <c r="D170" s="31" t="s">
        <v>21</v>
      </c>
      <c r="E170" s="31" t="s">
        <v>22</v>
      </c>
      <c r="G170" s="31" t="s">
        <v>1435</v>
      </c>
      <c r="H170" s="31" t="s">
        <v>1428</v>
      </c>
      <c r="I170" s="31" t="s">
        <v>1429</v>
      </c>
      <c r="J170" s="34" t="str">
        <f t="shared" si="12"/>
        <v>FG--</v>
      </c>
      <c r="K170" s="31" t="s">
        <v>10</v>
      </c>
      <c r="L170" s="52">
        <v>1020</v>
      </c>
      <c r="M170" s="31" t="s">
        <v>1472</v>
      </c>
      <c r="N170" s="31" t="s">
        <v>11</v>
      </c>
      <c r="O170" s="53">
        <v>0.65839999999999999</v>
      </c>
      <c r="P170" s="35">
        <f t="shared" si="13"/>
        <v>671.57</v>
      </c>
      <c r="Q170" s="36">
        <f t="shared" si="14"/>
        <v>7.3003400000000003</v>
      </c>
      <c r="R170" s="36">
        <f t="shared" si="15"/>
        <v>9.0200000000000002E-2</v>
      </c>
      <c r="S170" s="37">
        <f t="shared" si="16"/>
        <v>92</v>
      </c>
      <c r="T170" s="36" t="s">
        <v>349</v>
      </c>
      <c r="U170" s="31" t="s">
        <v>64</v>
      </c>
      <c r="V170" s="57">
        <v>7.1879</v>
      </c>
      <c r="W170" s="38">
        <f t="shared" si="17"/>
        <v>93.430348224098822</v>
      </c>
    </row>
    <row r="171" spans="1:23">
      <c r="A171" s="31" t="s">
        <v>813</v>
      </c>
      <c r="B171" s="32">
        <v>45666</v>
      </c>
      <c r="C171" s="32">
        <v>45609</v>
      </c>
      <c r="D171" s="31" t="s">
        <v>21</v>
      </c>
      <c r="E171" s="31" t="s">
        <v>22</v>
      </c>
      <c r="G171" s="31" t="s">
        <v>796</v>
      </c>
      <c r="H171" s="31" t="s">
        <v>811</v>
      </c>
      <c r="I171" s="31" t="s">
        <v>812</v>
      </c>
      <c r="J171" s="34" t="str">
        <f t="shared" si="12"/>
        <v>BRKT</v>
      </c>
      <c r="K171" s="31" t="s">
        <v>10</v>
      </c>
      <c r="L171" s="52">
        <v>1030</v>
      </c>
      <c r="M171" s="31" t="s">
        <v>1472</v>
      </c>
      <c r="N171" s="31" t="s">
        <v>11</v>
      </c>
      <c r="O171" s="53">
        <v>0.66110000000000002</v>
      </c>
      <c r="P171" s="35">
        <f t="shared" si="13"/>
        <v>680.93</v>
      </c>
      <c r="Q171" s="36">
        <f t="shared" si="14"/>
        <v>7.3003400000000003</v>
      </c>
      <c r="R171" s="36">
        <f t="shared" si="15"/>
        <v>9.06E-2</v>
      </c>
      <c r="S171" s="37">
        <f t="shared" si="16"/>
        <v>93.32</v>
      </c>
      <c r="T171" s="36" t="s">
        <v>349</v>
      </c>
      <c r="U171" s="31" t="s">
        <v>442</v>
      </c>
      <c r="V171" s="57">
        <v>7.1879</v>
      </c>
      <c r="W171" s="38">
        <f t="shared" si="17"/>
        <v>94.733232237510265</v>
      </c>
    </row>
    <row r="172" spans="1:23">
      <c r="A172" s="31" t="s">
        <v>1350</v>
      </c>
      <c r="B172" s="32">
        <v>45660</v>
      </c>
      <c r="C172" s="32">
        <v>45639</v>
      </c>
      <c r="D172" s="31" t="s">
        <v>235</v>
      </c>
      <c r="E172" s="31" t="s">
        <v>236</v>
      </c>
      <c r="G172" s="31" t="s">
        <v>1347</v>
      </c>
      <c r="H172" s="31" t="s">
        <v>1348</v>
      </c>
      <c r="I172" s="31" t="s">
        <v>1349</v>
      </c>
      <c r="J172" s="34" t="str">
        <f t="shared" si="12"/>
        <v>SCR-</v>
      </c>
      <c r="K172" s="31" t="s">
        <v>10</v>
      </c>
      <c r="L172" s="52">
        <v>2500</v>
      </c>
      <c r="M172" s="31" t="s">
        <v>1472</v>
      </c>
      <c r="N172" s="31" t="s">
        <v>11</v>
      </c>
      <c r="O172" s="53">
        <v>0.67030000000000001</v>
      </c>
      <c r="P172" s="35">
        <f t="shared" si="13"/>
        <v>1675.75</v>
      </c>
      <c r="Q172" s="36">
        <f t="shared" si="14"/>
        <v>7.3003400000000003</v>
      </c>
      <c r="R172" s="36">
        <f t="shared" si="15"/>
        <v>9.1800000000000007E-2</v>
      </c>
      <c r="S172" s="37">
        <f t="shared" si="16"/>
        <v>229.5</v>
      </c>
      <c r="T172" s="36" t="s">
        <v>349</v>
      </c>
      <c r="U172" s="31" t="s">
        <v>166</v>
      </c>
      <c r="V172" s="57">
        <v>7.1879</v>
      </c>
      <c r="W172" s="38">
        <f t="shared" si="17"/>
        <v>233.13485162564865</v>
      </c>
    </row>
    <row r="173" spans="1:23">
      <c r="A173" s="31" t="s">
        <v>1143</v>
      </c>
      <c r="B173" s="32">
        <v>45663</v>
      </c>
      <c r="C173" s="32">
        <v>45646</v>
      </c>
      <c r="D173" s="31" t="s">
        <v>28</v>
      </c>
      <c r="E173" s="31" t="s">
        <v>29</v>
      </c>
      <c r="G173" s="31" t="s">
        <v>1144</v>
      </c>
      <c r="H173" s="31" t="s">
        <v>1141</v>
      </c>
      <c r="I173" s="31" t="s">
        <v>1142</v>
      </c>
      <c r="J173" s="34" t="str">
        <f t="shared" si="12"/>
        <v>FG--</v>
      </c>
      <c r="K173" s="31" t="s">
        <v>10</v>
      </c>
      <c r="L173" s="52">
        <v>530</v>
      </c>
      <c r="M173" s="31" t="s">
        <v>1472</v>
      </c>
      <c r="N173" s="31" t="s">
        <v>11</v>
      </c>
      <c r="O173" s="53">
        <v>0.67430000000000001</v>
      </c>
      <c r="P173" s="35">
        <f t="shared" si="13"/>
        <v>357.38</v>
      </c>
      <c r="Q173" s="36">
        <f t="shared" si="14"/>
        <v>7.3003400000000003</v>
      </c>
      <c r="R173" s="36">
        <f t="shared" si="15"/>
        <v>9.2399999999999996E-2</v>
      </c>
      <c r="S173" s="37">
        <f t="shared" si="16"/>
        <v>48.97</v>
      </c>
      <c r="T173" s="36" t="s">
        <v>349</v>
      </c>
      <c r="U173" s="31" t="s">
        <v>64</v>
      </c>
      <c r="V173" s="57">
        <v>7.1879</v>
      </c>
      <c r="W173" s="38">
        <f t="shared" si="17"/>
        <v>49.719528652318481</v>
      </c>
    </row>
    <row r="174" spans="1:23">
      <c r="A174" s="31" t="s">
        <v>628</v>
      </c>
      <c r="B174" s="32">
        <v>45670</v>
      </c>
      <c r="C174" s="32">
        <v>45638</v>
      </c>
      <c r="D174" s="31" t="s">
        <v>169</v>
      </c>
      <c r="E174" s="31" t="s">
        <v>170</v>
      </c>
      <c r="G174" s="31" t="s">
        <v>629</v>
      </c>
      <c r="H174" s="31" t="s">
        <v>626</v>
      </c>
      <c r="I174" s="31" t="s">
        <v>627</v>
      </c>
      <c r="J174" s="34" t="str">
        <f t="shared" si="12"/>
        <v>LABL</v>
      </c>
      <c r="K174" s="31" t="s">
        <v>10</v>
      </c>
      <c r="L174" s="52">
        <v>1010</v>
      </c>
      <c r="M174" s="31" t="s">
        <v>1472</v>
      </c>
      <c r="N174" s="31" t="s">
        <v>11</v>
      </c>
      <c r="O174" s="53">
        <v>0.68</v>
      </c>
      <c r="P174" s="35">
        <f t="shared" si="13"/>
        <v>686.8</v>
      </c>
      <c r="Q174" s="36">
        <f t="shared" si="14"/>
        <v>7.3003400000000003</v>
      </c>
      <c r="R174" s="36">
        <f t="shared" si="15"/>
        <v>9.3100000000000002E-2</v>
      </c>
      <c r="S174" s="37">
        <f t="shared" si="16"/>
        <v>94.03</v>
      </c>
      <c r="T174" s="36" t="s">
        <v>349</v>
      </c>
      <c r="U174" s="31" t="s">
        <v>630</v>
      </c>
      <c r="V174" s="57">
        <v>7.1879</v>
      </c>
      <c r="W174" s="38">
        <f t="shared" si="17"/>
        <v>95.549465073248115</v>
      </c>
    </row>
    <row r="175" spans="1:23">
      <c r="A175" s="31" t="s">
        <v>1128</v>
      </c>
      <c r="B175" s="32">
        <v>45663</v>
      </c>
      <c r="C175" s="32">
        <v>45622</v>
      </c>
      <c r="D175" s="31" t="s">
        <v>169</v>
      </c>
      <c r="E175" s="31" t="s">
        <v>170</v>
      </c>
      <c r="G175" s="31" t="s">
        <v>1122</v>
      </c>
      <c r="H175" s="31" t="s">
        <v>1127</v>
      </c>
      <c r="I175" s="31" t="s">
        <v>647</v>
      </c>
      <c r="J175" s="34" t="str">
        <f t="shared" si="12"/>
        <v>U&amp;C-</v>
      </c>
      <c r="K175" s="31" t="s">
        <v>10</v>
      </c>
      <c r="L175" s="52">
        <v>3020</v>
      </c>
      <c r="M175" s="31" t="s">
        <v>1472</v>
      </c>
      <c r="N175" s="31" t="s">
        <v>11</v>
      </c>
      <c r="O175" s="53">
        <v>0.7</v>
      </c>
      <c r="P175" s="35">
        <f t="shared" si="13"/>
        <v>2114</v>
      </c>
      <c r="Q175" s="36">
        <f t="shared" si="14"/>
        <v>7.3003400000000003</v>
      </c>
      <c r="R175" s="36">
        <f t="shared" si="15"/>
        <v>9.5899999999999999E-2</v>
      </c>
      <c r="S175" s="37">
        <f t="shared" si="16"/>
        <v>289.62</v>
      </c>
      <c r="T175" s="36" t="s">
        <v>349</v>
      </c>
      <c r="U175" s="31" t="s">
        <v>177</v>
      </c>
      <c r="V175" s="57">
        <v>7.1879</v>
      </c>
      <c r="W175" s="38">
        <f t="shared" si="17"/>
        <v>294.10537152714977</v>
      </c>
    </row>
    <row r="176" spans="1:23">
      <c r="A176" s="31" t="s">
        <v>1139</v>
      </c>
      <c r="B176" s="32">
        <v>45663</v>
      </c>
      <c r="C176" s="32">
        <v>45643</v>
      </c>
      <c r="D176" s="31" t="s">
        <v>169</v>
      </c>
      <c r="E176" s="31" t="s">
        <v>170</v>
      </c>
      <c r="G176" s="31" t="s">
        <v>1140</v>
      </c>
      <c r="H176" s="31" t="s">
        <v>1127</v>
      </c>
      <c r="I176" s="31" t="s">
        <v>647</v>
      </c>
      <c r="J176" s="34" t="str">
        <f t="shared" si="12"/>
        <v>U&amp;C-</v>
      </c>
      <c r="K176" s="31" t="s">
        <v>10</v>
      </c>
      <c r="L176" s="52">
        <v>4000</v>
      </c>
      <c r="M176" s="31" t="s">
        <v>1472</v>
      </c>
      <c r="N176" s="31" t="s">
        <v>11</v>
      </c>
      <c r="O176" s="53">
        <v>0.7</v>
      </c>
      <c r="P176" s="35">
        <f t="shared" si="13"/>
        <v>2800</v>
      </c>
      <c r="Q176" s="36">
        <f t="shared" si="14"/>
        <v>7.3003400000000003</v>
      </c>
      <c r="R176" s="36">
        <f t="shared" si="15"/>
        <v>9.5899999999999999E-2</v>
      </c>
      <c r="S176" s="37">
        <f t="shared" si="16"/>
        <v>383.6</v>
      </c>
      <c r="T176" s="36" t="s">
        <v>349</v>
      </c>
      <c r="U176" s="31" t="s">
        <v>177</v>
      </c>
      <c r="V176" s="57">
        <v>7.1879</v>
      </c>
      <c r="W176" s="38">
        <f t="shared" si="17"/>
        <v>389.543538446556</v>
      </c>
    </row>
    <row r="177" spans="1:23">
      <c r="A177" s="31" t="s">
        <v>1031</v>
      </c>
      <c r="B177" s="32">
        <v>45663</v>
      </c>
      <c r="C177" s="32">
        <v>45639</v>
      </c>
      <c r="D177" s="31" t="s">
        <v>372</v>
      </c>
      <c r="E177" s="31" t="s">
        <v>373</v>
      </c>
      <c r="G177" s="31" t="s">
        <v>1032</v>
      </c>
      <c r="H177" s="31" t="s">
        <v>1029</v>
      </c>
      <c r="I177" s="31" t="s">
        <v>1030</v>
      </c>
      <c r="J177" s="34" t="str">
        <f t="shared" si="12"/>
        <v>LHDL</v>
      </c>
      <c r="K177" s="31" t="s">
        <v>98</v>
      </c>
      <c r="L177" s="52">
        <v>2040</v>
      </c>
      <c r="M177" s="31" t="s">
        <v>1472</v>
      </c>
      <c r="N177" s="31" t="s">
        <v>11</v>
      </c>
      <c r="O177" s="53">
        <v>0.76559999999999995</v>
      </c>
      <c r="P177" s="35">
        <f t="shared" si="13"/>
        <v>1561.82</v>
      </c>
      <c r="Q177" s="36">
        <f t="shared" si="14"/>
        <v>7.3003400000000003</v>
      </c>
      <c r="R177" s="36">
        <f t="shared" si="15"/>
        <v>0.10489999999999999</v>
      </c>
      <c r="S177" s="37">
        <f t="shared" si="16"/>
        <v>214</v>
      </c>
      <c r="T177" s="36" t="s">
        <v>349</v>
      </c>
      <c r="U177" s="31" t="s">
        <v>125</v>
      </c>
      <c r="V177" s="57">
        <v>7.1879</v>
      </c>
      <c r="W177" s="38">
        <f t="shared" si="17"/>
        <v>217.28515978241211</v>
      </c>
    </row>
    <row r="178" spans="1:23">
      <c r="A178" s="31" t="s">
        <v>1050</v>
      </c>
      <c r="B178" s="32">
        <v>45663</v>
      </c>
      <c r="C178" s="32">
        <v>45636</v>
      </c>
      <c r="D178" s="31" t="s">
        <v>372</v>
      </c>
      <c r="E178" s="31" t="s">
        <v>373</v>
      </c>
      <c r="G178" s="31" t="s">
        <v>1036</v>
      </c>
      <c r="H178" s="31" t="s">
        <v>1029</v>
      </c>
      <c r="I178" s="31" t="s">
        <v>1030</v>
      </c>
      <c r="J178" s="34" t="str">
        <f t="shared" si="12"/>
        <v>LHDL</v>
      </c>
      <c r="K178" s="31" t="s">
        <v>98</v>
      </c>
      <c r="L178" s="52">
        <v>1000</v>
      </c>
      <c r="M178" s="31" t="s">
        <v>1472</v>
      </c>
      <c r="N178" s="31" t="s">
        <v>11</v>
      </c>
      <c r="O178" s="53">
        <v>0.78120000000000001</v>
      </c>
      <c r="P178" s="35">
        <f t="shared" si="13"/>
        <v>781.2</v>
      </c>
      <c r="Q178" s="36">
        <f t="shared" si="14"/>
        <v>7.3003400000000003</v>
      </c>
      <c r="R178" s="36">
        <f t="shared" si="15"/>
        <v>0.107</v>
      </c>
      <c r="S178" s="37">
        <f t="shared" si="16"/>
        <v>107</v>
      </c>
      <c r="T178" s="36" t="s">
        <v>349</v>
      </c>
      <c r="U178" s="31" t="s">
        <v>125</v>
      </c>
      <c r="V178" s="57">
        <v>7.1879</v>
      </c>
      <c r="W178" s="38">
        <f t="shared" si="17"/>
        <v>108.68264722658913</v>
      </c>
    </row>
    <row r="179" spans="1:23">
      <c r="A179" s="31" t="s">
        <v>1308</v>
      </c>
      <c r="B179" s="32">
        <v>45660</v>
      </c>
      <c r="C179" s="32">
        <v>45646</v>
      </c>
      <c r="D179" s="31" t="s">
        <v>121</v>
      </c>
      <c r="E179" s="31" t="s">
        <v>122</v>
      </c>
      <c r="G179" s="31" t="s">
        <v>1302</v>
      </c>
      <c r="H179" s="31" t="s">
        <v>1306</v>
      </c>
      <c r="I179" s="31" t="s">
        <v>1307</v>
      </c>
      <c r="J179" s="34" t="str">
        <f t="shared" si="12"/>
        <v>ANYD</v>
      </c>
      <c r="K179" s="31" t="s">
        <v>10</v>
      </c>
      <c r="L179" s="52">
        <v>3000</v>
      </c>
      <c r="M179" s="31" t="s">
        <v>1472</v>
      </c>
      <c r="N179" s="31" t="s">
        <v>11</v>
      </c>
      <c r="O179" s="53">
        <v>0.8</v>
      </c>
      <c r="P179" s="35">
        <f t="shared" si="13"/>
        <v>2400</v>
      </c>
      <c r="Q179" s="36">
        <f t="shared" si="14"/>
        <v>7.3003400000000003</v>
      </c>
      <c r="R179" s="36">
        <f t="shared" si="15"/>
        <v>0.1096</v>
      </c>
      <c r="S179" s="37">
        <f t="shared" si="16"/>
        <v>328.8</v>
      </c>
      <c r="T179" s="36" t="s">
        <v>349</v>
      </c>
      <c r="U179" s="31" t="s">
        <v>36</v>
      </c>
      <c r="V179" s="57">
        <v>7.1879</v>
      </c>
      <c r="W179" s="38">
        <f t="shared" si="17"/>
        <v>333.89446152561948</v>
      </c>
    </row>
    <row r="180" spans="1:23">
      <c r="A180" s="31" t="s">
        <v>1126</v>
      </c>
      <c r="B180" s="32">
        <v>45663</v>
      </c>
      <c r="C180" s="32">
        <v>45622</v>
      </c>
      <c r="D180" s="31" t="s">
        <v>169</v>
      </c>
      <c r="E180" s="31" t="s">
        <v>170</v>
      </c>
      <c r="G180" s="31" t="s">
        <v>1122</v>
      </c>
      <c r="H180" s="31" t="s">
        <v>646</v>
      </c>
      <c r="I180" s="31" t="s">
        <v>647</v>
      </c>
      <c r="J180" s="34" t="str">
        <f t="shared" si="12"/>
        <v>PRIM</v>
      </c>
      <c r="K180" s="31" t="s">
        <v>10</v>
      </c>
      <c r="L180" s="52">
        <v>11600</v>
      </c>
      <c r="M180" s="31" t="s">
        <v>1472</v>
      </c>
      <c r="N180" s="31" t="s">
        <v>11</v>
      </c>
      <c r="O180" s="53">
        <v>0.82</v>
      </c>
      <c r="P180" s="35">
        <f t="shared" si="13"/>
        <v>9512</v>
      </c>
      <c r="Q180" s="36">
        <f t="shared" si="14"/>
        <v>7.3003400000000003</v>
      </c>
      <c r="R180" s="36">
        <f t="shared" si="15"/>
        <v>0.1123</v>
      </c>
      <c r="S180" s="37">
        <f t="shared" si="16"/>
        <v>1302.68</v>
      </c>
      <c r="T180" s="36" t="s">
        <v>349</v>
      </c>
      <c r="U180" s="31" t="s">
        <v>181</v>
      </c>
      <c r="V180" s="57">
        <v>7.1879</v>
      </c>
      <c r="W180" s="38">
        <f t="shared" si="17"/>
        <v>1323.3350491798717</v>
      </c>
    </row>
    <row r="181" spans="1:23">
      <c r="A181" s="31" t="s">
        <v>648</v>
      </c>
      <c r="B181" s="32">
        <v>45670</v>
      </c>
      <c r="C181" s="32">
        <v>45643</v>
      </c>
      <c r="D181" s="31" t="s">
        <v>169</v>
      </c>
      <c r="E181" s="31" t="s">
        <v>170</v>
      </c>
      <c r="G181" s="31" t="s">
        <v>645</v>
      </c>
      <c r="H181" s="31" t="s">
        <v>646</v>
      </c>
      <c r="I181" s="31" t="s">
        <v>647</v>
      </c>
      <c r="J181" s="34" t="str">
        <f t="shared" si="12"/>
        <v>PRIM</v>
      </c>
      <c r="K181" s="31" t="s">
        <v>10</v>
      </c>
      <c r="L181" s="52">
        <v>14000</v>
      </c>
      <c r="M181" s="31" t="s">
        <v>1472</v>
      </c>
      <c r="N181" s="31" t="s">
        <v>11</v>
      </c>
      <c r="O181" s="53">
        <v>0.82</v>
      </c>
      <c r="P181" s="35">
        <f t="shared" si="13"/>
        <v>11480</v>
      </c>
      <c r="Q181" s="36">
        <f t="shared" si="14"/>
        <v>7.3003400000000003</v>
      </c>
      <c r="R181" s="36">
        <f t="shared" si="15"/>
        <v>0.1123</v>
      </c>
      <c r="S181" s="37">
        <f t="shared" si="16"/>
        <v>1572.2</v>
      </c>
      <c r="T181" s="36" t="s">
        <v>349</v>
      </c>
      <c r="U181" s="31" t="s">
        <v>181</v>
      </c>
      <c r="V181" s="57">
        <v>7.1879</v>
      </c>
      <c r="W181" s="38">
        <f t="shared" si="17"/>
        <v>1597.1285076308795</v>
      </c>
    </row>
    <row r="182" spans="1:23">
      <c r="A182" s="31" t="s">
        <v>718</v>
      </c>
      <c r="B182" s="32">
        <v>45667</v>
      </c>
      <c r="C182" s="32">
        <v>45659</v>
      </c>
      <c r="D182" s="31" t="s">
        <v>709</v>
      </c>
      <c r="E182" s="31" t="s">
        <v>710</v>
      </c>
      <c r="G182" s="31" t="s">
        <v>712</v>
      </c>
      <c r="H182" s="31" t="s">
        <v>716</v>
      </c>
      <c r="I182" s="31" t="s">
        <v>717</v>
      </c>
      <c r="J182" s="34" t="str">
        <f t="shared" si="12"/>
        <v>KNOB</v>
      </c>
      <c r="K182" s="31" t="s">
        <v>10</v>
      </c>
      <c r="L182" s="52">
        <v>500</v>
      </c>
      <c r="M182" s="31" t="s">
        <v>1472</v>
      </c>
      <c r="N182" s="31" t="s">
        <v>11</v>
      </c>
      <c r="O182" s="53">
        <v>0.86950000000000005</v>
      </c>
      <c r="P182" s="35">
        <f t="shared" si="13"/>
        <v>434.75</v>
      </c>
      <c r="Q182" s="36">
        <f t="shared" si="14"/>
        <v>7.3003400000000003</v>
      </c>
      <c r="R182" s="36">
        <f t="shared" si="15"/>
        <v>0.1191</v>
      </c>
      <c r="S182" s="37">
        <f t="shared" si="16"/>
        <v>59.55</v>
      </c>
      <c r="T182" s="36" t="s">
        <v>349</v>
      </c>
      <c r="U182" s="31" t="s">
        <v>32</v>
      </c>
      <c r="V182" s="57">
        <v>7.1879</v>
      </c>
      <c r="W182" s="38">
        <f t="shared" si="17"/>
        <v>60.483590478442942</v>
      </c>
    </row>
    <row r="183" spans="1:23">
      <c r="A183" s="31" t="s">
        <v>690</v>
      </c>
      <c r="B183" s="32">
        <v>45667</v>
      </c>
      <c r="C183" s="32">
        <v>45638</v>
      </c>
      <c r="D183" s="31" t="s">
        <v>252</v>
      </c>
      <c r="E183" s="31" t="s">
        <v>253</v>
      </c>
      <c r="G183" s="31" t="s">
        <v>681</v>
      </c>
      <c r="H183" s="31" t="s">
        <v>688</v>
      </c>
      <c r="I183" s="31" t="s">
        <v>689</v>
      </c>
      <c r="J183" s="34" t="str">
        <f t="shared" si="12"/>
        <v>ANYD</v>
      </c>
      <c r="K183" s="31" t="s">
        <v>10</v>
      </c>
      <c r="L183" s="52">
        <v>5400</v>
      </c>
      <c r="M183" s="31" t="s">
        <v>1472</v>
      </c>
      <c r="N183" s="31" t="s">
        <v>11</v>
      </c>
      <c r="O183" s="53">
        <v>0.873</v>
      </c>
      <c r="P183" s="35">
        <f t="shared" si="13"/>
        <v>4714.2</v>
      </c>
      <c r="Q183" s="36">
        <f t="shared" si="14"/>
        <v>7.3003400000000003</v>
      </c>
      <c r="R183" s="36">
        <f t="shared" si="15"/>
        <v>0.1196</v>
      </c>
      <c r="S183" s="37">
        <f t="shared" si="16"/>
        <v>645.84</v>
      </c>
      <c r="T183" s="36" t="s">
        <v>349</v>
      </c>
      <c r="U183" s="31" t="s">
        <v>36</v>
      </c>
      <c r="V183" s="57">
        <v>7.1879</v>
      </c>
      <c r="W183" s="38">
        <f t="shared" si="17"/>
        <v>655.852196051698</v>
      </c>
    </row>
    <row r="184" spans="1:23">
      <c r="A184" s="31" t="s">
        <v>690</v>
      </c>
      <c r="B184" s="32">
        <v>45663</v>
      </c>
      <c r="C184" s="32">
        <v>45638</v>
      </c>
      <c r="D184" s="31" t="s">
        <v>252</v>
      </c>
      <c r="E184" s="31" t="s">
        <v>253</v>
      </c>
      <c r="G184" s="31" t="s">
        <v>1025</v>
      </c>
      <c r="H184" s="31" t="s">
        <v>688</v>
      </c>
      <c r="I184" s="31" t="s">
        <v>689</v>
      </c>
      <c r="J184" s="34" t="str">
        <f t="shared" si="12"/>
        <v>ANYD</v>
      </c>
      <c r="K184" s="31" t="s">
        <v>10</v>
      </c>
      <c r="L184" s="52">
        <v>10800</v>
      </c>
      <c r="M184" s="31" t="s">
        <v>1472</v>
      </c>
      <c r="N184" s="31" t="s">
        <v>11</v>
      </c>
      <c r="O184" s="53">
        <v>0.873</v>
      </c>
      <c r="P184" s="35">
        <f t="shared" si="13"/>
        <v>9428.4</v>
      </c>
      <c r="Q184" s="36">
        <f t="shared" si="14"/>
        <v>7.3003400000000003</v>
      </c>
      <c r="R184" s="36">
        <f t="shared" si="15"/>
        <v>0.1196</v>
      </c>
      <c r="S184" s="37">
        <f t="shared" si="16"/>
        <v>1291.68</v>
      </c>
      <c r="T184" s="36" t="s">
        <v>349</v>
      </c>
      <c r="U184" s="31" t="s">
        <v>36</v>
      </c>
      <c r="V184" s="57">
        <v>7.1879</v>
      </c>
      <c r="W184" s="38">
        <f t="shared" si="17"/>
        <v>1311.704392103396</v>
      </c>
    </row>
    <row r="185" spans="1:23">
      <c r="A185" s="31" t="s">
        <v>1028</v>
      </c>
      <c r="B185" s="32">
        <v>45663</v>
      </c>
      <c r="C185" s="32">
        <v>45638</v>
      </c>
      <c r="D185" s="31" t="s">
        <v>252</v>
      </c>
      <c r="E185" s="31" t="s">
        <v>253</v>
      </c>
      <c r="G185" s="31" t="s">
        <v>1025</v>
      </c>
      <c r="H185" s="31" t="s">
        <v>1026</v>
      </c>
      <c r="I185" s="31" t="s">
        <v>1027</v>
      </c>
      <c r="J185" s="34" t="str">
        <f t="shared" si="12"/>
        <v>ANYD</v>
      </c>
      <c r="K185" s="31" t="s">
        <v>10</v>
      </c>
      <c r="L185" s="52">
        <v>16200</v>
      </c>
      <c r="M185" s="31" t="s">
        <v>1472</v>
      </c>
      <c r="N185" s="31" t="s">
        <v>11</v>
      </c>
      <c r="O185" s="53">
        <v>0.873</v>
      </c>
      <c r="P185" s="35">
        <f t="shared" si="13"/>
        <v>14142.6</v>
      </c>
      <c r="Q185" s="36">
        <f t="shared" si="14"/>
        <v>7.3003400000000003</v>
      </c>
      <c r="R185" s="36">
        <f t="shared" si="15"/>
        <v>0.1196</v>
      </c>
      <c r="S185" s="37">
        <f t="shared" si="16"/>
        <v>1937.52</v>
      </c>
      <c r="T185" s="36" t="s">
        <v>349</v>
      </c>
      <c r="U185" s="31" t="s">
        <v>36</v>
      </c>
      <c r="V185" s="57">
        <v>7.1879</v>
      </c>
      <c r="W185" s="38">
        <f t="shared" si="17"/>
        <v>1967.5565881550938</v>
      </c>
    </row>
    <row r="186" spans="1:23">
      <c r="A186" s="31" t="s">
        <v>755</v>
      </c>
      <c r="B186" s="32">
        <v>45666</v>
      </c>
      <c r="C186" s="32">
        <v>45651</v>
      </c>
      <c r="D186" s="31" t="s">
        <v>746</v>
      </c>
      <c r="E186" s="31" t="s">
        <v>747</v>
      </c>
      <c r="G186" s="31" t="s">
        <v>756</v>
      </c>
      <c r="H186" s="31" t="s">
        <v>753</v>
      </c>
      <c r="I186" s="31" t="s">
        <v>754</v>
      </c>
      <c r="J186" s="34" t="str">
        <f t="shared" si="12"/>
        <v>SSM-</v>
      </c>
      <c r="K186" s="31" t="s">
        <v>10</v>
      </c>
      <c r="L186" s="52">
        <v>1500</v>
      </c>
      <c r="M186" s="31" t="s">
        <v>1472</v>
      </c>
      <c r="N186" s="31" t="s">
        <v>11</v>
      </c>
      <c r="O186" s="53">
        <v>0.94689999999999996</v>
      </c>
      <c r="P186" s="35">
        <f t="shared" si="13"/>
        <v>1420.35</v>
      </c>
      <c r="Q186" s="36">
        <f t="shared" si="14"/>
        <v>7.3003400000000003</v>
      </c>
      <c r="R186" s="36">
        <f t="shared" si="15"/>
        <v>0.12970000000000001</v>
      </c>
      <c r="S186" s="37">
        <f t="shared" si="16"/>
        <v>194.55</v>
      </c>
      <c r="T186" s="36" t="s">
        <v>349</v>
      </c>
      <c r="U186" s="31" t="s">
        <v>33</v>
      </c>
      <c r="V186" s="57">
        <v>7.1879</v>
      </c>
      <c r="W186" s="38">
        <f t="shared" si="17"/>
        <v>197.60291601163064</v>
      </c>
    </row>
    <row r="187" spans="1:23">
      <c r="A187" s="31" t="s">
        <v>1042</v>
      </c>
      <c r="B187" s="32">
        <v>45663</v>
      </c>
      <c r="C187" s="32">
        <v>45617</v>
      </c>
      <c r="D187" s="31" t="s">
        <v>372</v>
      </c>
      <c r="E187" s="31" t="s">
        <v>373</v>
      </c>
      <c r="G187" s="31" t="s">
        <v>1036</v>
      </c>
      <c r="H187" s="31" t="s">
        <v>1040</v>
      </c>
      <c r="I187" s="31" t="s">
        <v>1041</v>
      </c>
      <c r="J187" s="34" t="str">
        <f t="shared" si="12"/>
        <v>FG--</v>
      </c>
      <c r="K187" s="31" t="s">
        <v>98</v>
      </c>
      <c r="L187" s="52">
        <v>5250</v>
      </c>
      <c r="M187" s="31" t="s">
        <v>1472</v>
      </c>
      <c r="N187" s="31" t="s">
        <v>11</v>
      </c>
      <c r="O187" s="53">
        <v>0.96460000000000001</v>
      </c>
      <c r="P187" s="35">
        <f t="shared" si="13"/>
        <v>5064.1499999999996</v>
      </c>
      <c r="Q187" s="36">
        <f t="shared" si="14"/>
        <v>7.3003400000000003</v>
      </c>
      <c r="R187" s="36">
        <f t="shared" si="15"/>
        <v>0.1321</v>
      </c>
      <c r="S187" s="37">
        <f t="shared" si="16"/>
        <v>693.53</v>
      </c>
      <c r="T187" s="36" t="s">
        <v>349</v>
      </c>
      <c r="U187" s="31" t="s">
        <v>64</v>
      </c>
      <c r="V187" s="57">
        <v>7.1879</v>
      </c>
      <c r="W187" s="38">
        <f t="shared" si="17"/>
        <v>704.53818222290238</v>
      </c>
    </row>
    <row r="188" spans="1:23">
      <c r="A188" s="31" t="s">
        <v>1039</v>
      </c>
      <c r="B188" s="32">
        <v>45663</v>
      </c>
      <c r="C188" s="32">
        <v>45639</v>
      </c>
      <c r="D188" s="31" t="s">
        <v>372</v>
      </c>
      <c r="E188" s="31" t="s">
        <v>373</v>
      </c>
      <c r="G188" s="31" t="s">
        <v>1036</v>
      </c>
      <c r="H188" s="31" t="s">
        <v>1037</v>
      </c>
      <c r="I188" s="31" t="s">
        <v>1038</v>
      </c>
      <c r="J188" s="34" t="str">
        <f t="shared" si="12"/>
        <v>FG--</v>
      </c>
      <c r="K188" s="31" t="s">
        <v>98</v>
      </c>
      <c r="L188" s="52">
        <v>3050</v>
      </c>
      <c r="M188" s="31" t="s">
        <v>1472</v>
      </c>
      <c r="N188" s="31" t="s">
        <v>11</v>
      </c>
      <c r="O188" s="53">
        <v>0.97450000000000003</v>
      </c>
      <c r="P188" s="35">
        <f t="shared" si="13"/>
        <v>2972.23</v>
      </c>
      <c r="Q188" s="36">
        <f t="shared" si="14"/>
        <v>7.3003400000000003</v>
      </c>
      <c r="R188" s="36">
        <f t="shared" si="15"/>
        <v>0.13350000000000001</v>
      </c>
      <c r="S188" s="37">
        <f t="shared" si="16"/>
        <v>407.18</v>
      </c>
      <c r="T188" s="36" t="s">
        <v>349</v>
      </c>
      <c r="U188" s="31" t="s">
        <v>64</v>
      </c>
      <c r="V188" s="57">
        <v>7.1879</v>
      </c>
      <c r="W188" s="38">
        <f t="shared" si="17"/>
        <v>413.50394412832679</v>
      </c>
    </row>
    <row r="189" spans="1:23">
      <c r="A189" s="31" t="s">
        <v>1045</v>
      </c>
      <c r="B189" s="32">
        <v>45663</v>
      </c>
      <c r="C189" s="32">
        <v>45609</v>
      </c>
      <c r="D189" s="31" t="s">
        <v>372</v>
      </c>
      <c r="E189" s="31" t="s">
        <v>373</v>
      </c>
      <c r="G189" s="31" t="s">
        <v>1036</v>
      </c>
      <c r="H189" s="31" t="s">
        <v>1043</v>
      </c>
      <c r="I189" s="31" t="s">
        <v>1044</v>
      </c>
      <c r="J189" s="34" t="str">
        <f t="shared" si="12"/>
        <v>FG--</v>
      </c>
      <c r="K189" s="31" t="s">
        <v>98</v>
      </c>
      <c r="L189" s="52">
        <v>530</v>
      </c>
      <c r="M189" s="31" t="s">
        <v>1472</v>
      </c>
      <c r="N189" s="31" t="s">
        <v>11</v>
      </c>
      <c r="O189" s="53">
        <v>0.99439999999999995</v>
      </c>
      <c r="P189" s="35">
        <f t="shared" si="13"/>
        <v>527.03</v>
      </c>
      <c r="Q189" s="36">
        <f t="shared" si="14"/>
        <v>7.3003400000000003</v>
      </c>
      <c r="R189" s="36">
        <f t="shared" si="15"/>
        <v>0.13619999999999999</v>
      </c>
      <c r="S189" s="37">
        <f t="shared" si="16"/>
        <v>72.19</v>
      </c>
      <c r="T189" s="36" t="s">
        <v>349</v>
      </c>
      <c r="U189" s="31" t="s">
        <v>64</v>
      </c>
      <c r="V189" s="57">
        <v>7.1879</v>
      </c>
      <c r="W189" s="38">
        <f t="shared" si="17"/>
        <v>73.322110769487608</v>
      </c>
    </row>
    <row r="190" spans="1:23">
      <c r="A190" s="31" t="s">
        <v>1379</v>
      </c>
      <c r="B190" s="32">
        <v>45659</v>
      </c>
      <c r="C190" s="32">
        <v>45629</v>
      </c>
      <c r="D190" s="31" t="s">
        <v>128</v>
      </c>
      <c r="E190" s="31" t="s">
        <v>129</v>
      </c>
      <c r="G190" s="31" t="s">
        <v>1377</v>
      </c>
      <c r="H190" s="31" t="s">
        <v>443</v>
      </c>
      <c r="I190" s="31" t="s">
        <v>444</v>
      </c>
      <c r="J190" s="34" t="str">
        <f t="shared" si="12"/>
        <v>FG--</v>
      </c>
      <c r="K190" s="31" t="s">
        <v>10</v>
      </c>
      <c r="L190" s="52">
        <v>11000</v>
      </c>
      <c r="M190" s="31" t="s">
        <v>1472</v>
      </c>
      <c r="N190" s="31" t="s">
        <v>11</v>
      </c>
      <c r="O190" s="53">
        <v>1.0021</v>
      </c>
      <c r="P190" s="35">
        <f t="shared" si="13"/>
        <v>11023.1</v>
      </c>
      <c r="Q190" s="36">
        <f t="shared" si="14"/>
        <v>7.3003400000000003</v>
      </c>
      <c r="R190" s="36">
        <f t="shared" si="15"/>
        <v>0.13730000000000001</v>
      </c>
      <c r="S190" s="37">
        <f t="shared" si="16"/>
        <v>1510.3</v>
      </c>
      <c r="T190" s="36" t="s">
        <v>349</v>
      </c>
      <c r="U190" s="31" t="s">
        <v>64</v>
      </c>
      <c r="V190" s="57">
        <v>7.1879</v>
      </c>
      <c r="W190" s="38">
        <f t="shared" si="17"/>
        <v>1533.5633495179397</v>
      </c>
    </row>
    <row r="191" spans="1:23">
      <c r="A191" s="31" t="s">
        <v>445</v>
      </c>
      <c r="B191" s="32">
        <v>45670</v>
      </c>
      <c r="C191" s="32">
        <v>45646</v>
      </c>
      <c r="D191" s="31" t="s">
        <v>128</v>
      </c>
      <c r="E191" s="31" t="s">
        <v>129</v>
      </c>
      <c r="G191" s="31" t="s">
        <v>437</v>
      </c>
      <c r="H191" s="31" t="s">
        <v>443</v>
      </c>
      <c r="I191" s="31" t="s">
        <v>444</v>
      </c>
      <c r="J191" s="34" t="str">
        <f t="shared" si="12"/>
        <v>FG--</v>
      </c>
      <c r="K191" s="31" t="s">
        <v>10</v>
      </c>
      <c r="L191" s="52">
        <v>7100</v>
      </c>
      <c r="M191" s="31" t="s">
        <v>1472</v>
      </c>
      <c r="N191" s="31" t="s">
        <v>11</v>
      </c>
      <c r="O191" s="53">
        <v>1.0021</v>
      </c>
      <c r="P191" s="35">
        <f t="shared" si="13"/>
        <v>7114.91</v>
      </c>
      <c r="Q191" s="36">
        <f t="shared" si="14"/>
        <v>7.3003400000000003</v>
      </c>
      <c r="R191" s="36">
        <f t="shared" si="15"/>
        <v>0.13730000000000001</v>
      </c>
      <c r="S191" s="37">
        <f t="shared" si="16"/>
        <v>974.83</v>
      </c>
      <c r="T191" s="36" t="s">
        <v>349</v>
      </c>
      <c r="U191" s="31" t="s">
        <v>64</v>
      </c>
      <c r="V191" s="57">
        <v>7.1879</v>
      </c>
      <c r="W191" s="38">
        <f t="shared" si="17"/>
        <v>989.84543468885204</v>
      </c>
    </row>
    <row r="192" spans="1:23">
      <c r="A192" s="31" t="s">
        <v>308</v>
      </c>
      <c r="B192" s="32">
        <v>45672</v>
      </c>
      <c r="C192" s="32">
        <v>45670</v>
      </c>
      <c r="D192" s="31" t="s">
        <v>295</v>
      </c>
      <c r="E192" s="31" t="s">
        <v>296</v>
      </c>
      <c r="G192" s="31" t="s">
        <v>305</v>
      </c>
      <c r="H192" s="31" t="s">
        <v>306</v>
      </c>
      <c r="I192" s="31" t="s">
        <v>307</v>
      </c>
      <c r="J192" s="34" t="str">
        <f t="shared" si="12"/>
        <v>LHDL</v>
      </c>
      <c r="K192" s="31" t="s">
        <v>10</v>
      </c>
      <c r="L192" s="52">
        <v>52</v>
      </c>
      <c r="M192" s="31" t="s">
        <v>1472</v>
      </c>
      <c r="N192" s="31" t="s">
        <v>11</v>
      </c>
      <c r="O192" s="53">
        <v>1.0327</v>
      </c>
      <c r="P192" s="35">
        <f t="shared" si="13"/>
        <v>53.7</v>
      </c>
      <c r="Q192" s="36">
        <f t="shared" si="14"/>
        <v>7.3003400000000003</v>
      </c>
      <c r="R192" s="36">
        <f t="shared" si="15"/>
        <v>0.14149999999999999</v>
      </c>
      <c r="S192" s="37">
        <f t="shared" si="16"/>
        <v>7.36</v>
      </c>
      <c r="T192" s="36" t="s">
        <v>349</v>
      </c>
      <c r="U192" s="31" t="s">
        <v>125</v>
      </c>
      <c r="V192" s="57">
        <v>7.1879</v>
      </c>
      <c r="W192" s="38">
        <f t="shared" si="17"/>
        <v>7.470944225712655</v>
      </c>
    </row>
    <row r="193" spans="1:23">
      <c r="A193" s="31" t="s">
        <v>740</v>
      </c>
      <c r="B193" s="32">
        <v>45667</v>
      </c>
      <c r="C193" s="32">
        <v>45650</v>
      </c>
      <c r="D193" s="31" t="s">
        <v>709</v>
      </c>
      <c r="E193" s="31" t="s">
        <v>710</v>
      </c>
      <c r="G193" s="31" t="s">
        <v>712</v>
      </c>
      <c r="H193" s="31" t="s">
        <v>738</v>
      </c>
      <c r="I193" s="31" t="s">
        <v>739</v>
      </c>
      <c r="J193" s="34" t="str">
        <f t="shared" si="12"/>
        <v>KNOB</v>
      </c>
      <c r="K193" s="31" t="s">
        <v>10</v>
      </c>
      <c r="L193" s="52">
        <v>510</v>
      </c>
      <c r="M193" s="31" t="s">
        <v>1472</v>
      </c>
      <c r="N193" s="31" t="s">
        <v>11</v>
      </c>
      <c r="O193" s="53">
        <v>1.0463</v>
      </c>
      <c r="P193" s="35">
        <f t="shared" si="13"/>
        <v>533.61</v>
      </c>
      <c r="Q193" s="36">
        <f t="shared" si="14"/>
        <v>7.3003400000000003</v>
      </c>
      <c r="R193" s="36">
        <f t="shared" si="15"/>
        <v>0.14330000000000001</v>
      </c>
      <c r="S193" s="37">
        <f t="shared" si="16"/>
        <v>73.08</v>
      </c>
      <c r="T193" s="36" t="s">
        <v>349</v>
      </c>
      <c r="U193" s="31" t="s">
        <v>32</v>
      </c>
      <c r="V193" s="57">
        <v>7.1879</v>
      </c>
      <c r="W193" s="38">
        <f t="shared" si="17"/>
        <v>74.237677207529316</v>
      </c>
    </row>
    <row r="194" spans="1:23">
      <c r="A194" s="31" t="s">
        <v>752</v>
      </c>
      <c r="B194" s="32">
        <v>45666</v>
      </c>
      <c r="C194" s="32">
        <v>45664</v>
      </c>
      <c r="D194" s="31" t="s">
        <v>746</v>
      </c>
      <c r="E194" s="31" t="s">
        <v>747</v>
      </c>
      <c r="G194" s="31" t="s">
        <v>749</v>
      </c>
      <c r="H194" s="31" t="s">
        <v>750</v>
      </c>
      <c r="I194" s="31" t="s">
        <v>751</v>
      </c>
      <c r="J194" s="34" t="str">
        <f t="shared" ref="J194:J257" si="18">+LEFT(U194,4)</f>
        <v>SSM-</v>
      </c>
      <c r="K194" s="31" t="s">
        <v>10</v>
      </c>
      <c r="L194" s="52">
        <v>2500</v>
      </c>
      <c r="M194" s="31" t="s">
        <v>1472</v>
      </c>
      <c r="N194" s="31" t="s">
        <v>11</v>
      </c>
      <c r="O194" s="53">
        <v>1.0530999999999999</v>
      </c>
      <c r="P194" s="35">
        <f t="shared" ref="P194:P257" si="19">ROUND(O194*L194,2)</f>
        <v>2632.75</v>
      </c>
      <c r="Q194" s="36">
        <f t="shared" ref="Q194:Q257" si="20">IF(N194="HKD",7.8,IF(N194="CNY",7.30034,1))</f>
        <v>7.3003400000000003</v>
      </c>
      <c r="R194" s="36">
        <f t="shared" ref="R194:R257" si="21">+ROUND(O194/Q194,4)</f>
        <v>0.14430000000000001</v>
      </c>
      <c r="S194" s="37">
        <f t="shared" ref="S194:S257" si="22">ROUND(R194*L194,2)</f>
        <v>360.75</v>
      </c>
      <c r="T194" s="36" t="s">
        <v>349</v>
      </c>
      <c r="U194" s="31" t="s">
        <v>33</v>
      </c>
      <c r="V194" s="57">
        <v>7.1879</v>
      </c>
      <c r="W194" s="38">
        <f t="shared" ref="W194:W257" si="23">IF(N194="CNY",O194/V194*L194,1)</f>
        <v>366.27526815898938</v>
      </c>
    </row>
    <row r="195" spans="1:23">
      <c r="A195" s="31" t="s">
        <v>304</v>
      </c>
      <c r="B195" s="32">
        <v>45672</v>
      </c>
      <c r="C195" s="32">
        <v>45670</v>
      </c>
      <c r="D195" s="31" t="s">
        <v>295</v>
      </c>
      <c r="E195" s="31" t="s">
        <v>296</v>
      </c>
      <c r="G195" s="31" t="s">
        <v>305</v>
      </c>
      <c r="H195" s="31" t="s">
        <v>302</v>
      </c>
      <c r="I195" s="31" t="s">
        <v>303</v>
      </c>
      <c r="J195" s="34" t="str">
        <f t="shared" si="18"/>
        <v>LHDL</v>
      </c>
      <c r="K195" s="31" t="s">
        <v>10</v>
      </c>
      <c r="L195" s="52">
        <v>38</v>
      </c>
      <c r="M195" s="31" t="s">
        <v>1472</v>
      </c>
      <c r="N195" s="31" t="s">
        <v>11</v>
      </c>
      <c r="O195" s="53">
        <v>1.073</v>
      </c>
      <c r="P195" s="35">
        <f t="shared" si="19"/>
        <v>40.770000000000003</v>
      </c>
      <c r="Q195" s="36">
        <f t="shared" si="20"/>
        <v>7.3003400000000003</v>
      </c>
      <c r="R195" s="36">
        <f t="shared" si="21"/>
        <v>0.14699999999999999</v>
      </c>
      <c r="S195" s="37">
        <f t="shared" si="22"/>
        <v>5.59</v>
      </c>
      <c r="T195" s="36" t="s">
        <v>349</v>
      </c>
      <c r="U195" s="31" t="s">
        <v>125</v>
      </c>
      <c r="V195" s="57">
        <v>7.1879</v>
      </c>
      <c r="W195" s="38">
        <f t="shared" si="23"/>
        <v>5.6725886559356695</v>
      </c>
    </row>
    <row r="196" spans="1:23">
      <c r="A196" s="31" t="s">
        <v>301</v>
      </c>
      <c r="B196" s="32">
        <v>45672</v>
      </c>
      <c r="C196" s="32">
        <v>45670</v>
      </c>
      <c r="D196" s="31" t="s">
        <v>295</v>
      </c>
      <c r="E196" s="31" t="s">
        <v>296</v>
      </c>
      <c r="G196" s="31" t="s">
        <v>298</v>
      </c>
      <c r="H196" s="31" t="s">
        <v>299</v>
      </c>
      <c r="I196" s="31" t="s">
        <v>300</v>
      </c>
      <c r="J196" s="34" t="str">
        <f t="shared" si="18"/>
        <v>LHDL</v>
      </c>
      <c r="K196" s="31" t="s">
        <v>10</v>
      </c>
      <c r="L196" s="52">
        <v>75</v>
      </c>
      <c r="M196" s="31" t="s">
        <v>1472</v>
      </c>
      <c r="N196" s="31" t="s">
        <v>11</v>
      </c>
      <c r="O196" s="53">
        <v>1.073</v>
      </c>
      <c r="P196" s="35">
        <f t="shared" si="19"/>
        <v>80.48</v>
      </c>
      <c r="Q196" s="36">
        <f t="shared" si="20"/>
        <v>7.3003400000000003</v>
      </c>
      <c r="R196" s="36">
        <f t="shared" si="21"/>
        <v>0.14699999999999999</v>
      </c>
      <c r="S196" s="37">
        <f t="shared" si="22"/>
        <v>11.03</v>
      </c>
      <c r="T196" s="36" t="s">
        <v>349</v>
      </c>
      <c r="U196" s="31" t="s">
        <v>125</v>
      </c>
      <c r="V196" s="57">
        <v>7.1879</v>
      </c>
      <c r="W196" s="38">
        <f t="shared" si="23"/>
        <v>11.195898663030928</v>
      </c>
    </row>
    <row r="197" spans="1:23">
      <c r="A197" s="31" t="s">
        <v>297</v>
      </c>
      <c r="B197" s="32">
        <v>45672</v>
      </c>
      <c r="C197" s="32">
        <v>45670</v>
      </c>
      <c r="D197" s="31" t="s">
        <v>295</v>
      </c>
      <c r="E197" s="31" t="s">
        <v>296</v>
      </c>
      <c r="G197" s="31" t="s">
        <v>298</v>
      </c>
      <c r="H197" s="31" t="s">
        <v>293</v>
      </c>
      <c r="I197" s="31" t="s">
        <v>294</v>
      </c>
      <c r="J197" s="34" t="str">
        <f t="shared" si="18"/>
        <v>LHDL</v>
      </c>
      <c r="K197" s="31" t="s">
        <v>10</v>
      </c>
      <c r="L197" s="52">
        <v>58</v>
      </c>
      <c r="M197" s="31" t="s">
        <v>1472</v>
      </c>
      <c r="N197" s="31" t="s">
        <v>11</v>
      </c>
      <c r="O197" s="53">
        <v>1.073</v>
      </c>
      <c r="P197" s="35">
        <f t="shared" si="19"/>
        <v>62.23</v>
      </c>
      <c r="Q197" s="36">
        <f t="shared" si="20"/>
        <v>7.3003400000000003</v>
      </c>
      <c r="R197" s="36">
        <f t="shared" si="21"/>
        <v>0.14699999999999999</v>
      </c>
      <c r="S197" s="37">
        <f t="shared" si="22"/>
        <v>8.5299999999999994</v>
      </c>
      <c r="T197" s="36" t="s">
        <v>349</v>
      </c>
      <c r="U197" s="31" t="s">
        <v>125</v>
      </c>
      <c r="V197" s="57">
        <v>7.1879</v>
      </c>
      <c r="W197" s="38">
        <f t="shared" si="23"/>
        <v>8.6581616327439175</v>
      </c>
    </row>
    <row r="198" spans="1:23">
      <c r="A198" s="31" t="s">
        <v>1121</v>
      </c>
      <c r="B198" s="32">
        <v>45663</v>
      </c>
      <c r="C198" s="32">
        <v>45643</v>
      </c>
      <c r="D198" s="31" t="s">
        <v>169</v>
      </c>
      <c r="E198" s="31" t="s">
        <v>170</v>
      </c>
      <c r="G198" s="31" t="s">
        <v>1122</v>
      </c>
      <c r="H198" s="31" t="s">
        <v>1120</v>
      </c>
      <c r="I198" s="31" t="s">
        <v>643</v>
      </c>
      <c r="J198" s="34" t="str">
        <f t="shared" si="18"/>
        <v>U&amp;C-</v>
      </c>
      <c r="K198" s="31" t="s">
        <v>10</v>
      </c>
      <c r="L198" s="52">
        <v>2100</v>
      </c>
      <c r="M198" s="31" t="s">
        <v>1472</v>
      </c>
      <c r="N198" s="31" t="s">
        <v>11</v>
      </c>
      <c r="O198" s="53">
        <v>1.0900000000000001</v>
      </c>
      <c r="P198" s="35">
        <f t="shared" si="19"/>
        <v>2289</v>
      </c>
      <c r="Q198" s="36">
        <f t="shared" si="20"/>
        <v>7.3003400000000003</v>
      </c>
      <c r="R198" s="36">
        <f t="shared" si="21"/>
        <v>0.14929999999999999</v>
      </c>
      <c r="S198" s="37">
        <f t="shared" si="22"/>
        <v>313.52999999999997</v>
      </c>
      <c r="T198" s="36" t="s">
        <v>349</v>
      </c>
      <c r="U198" s="31" t="s">
        <v>177</v>
      </c>
      <c r="V198" s="57">
        <v>7.1879</v>
      </c>
      <c r="W198" s="38">
        <f t="shared" si="23"/>
        <v>318.4518426800596</v>
      </c>
    </row>
    <row r="199" spans="1:23">
      <c r="A199" s="31" t="s">
        <v>748</v>
      </c>
      <c r="B199" s="32">
        <v>45666</v>
      </c>
      <c r="C199" s="32">
        <v>45664</v>
      </c>
      <c r="D199" s="31" t="s">
        <v>746</v>
      </c>
      <c r="E199" s="31" t="s">
        <v>747</v>
      </c>
      <c r="G199" s="31" t="s">
        <v>749</v>
      </c>
      <c r="H199" s="31" t="s">
        <v>744</v>
      </c>
      <c r="I199" s="31" t="s">
        <v>745</v>
      </c>
      <c r="J199" s="34" t="str">
        <f t="shared" si="18"/>
        <v>SSM-</v>
      </c>
      <c r="K199" s="31" t="s">
        <v>10</v>
      </c>
      <c r="L199" s="52">
        <v>600</v>
      </c>
      <c r="M199" s="31" t="s">
        <v>1472</v>
      </c>
      <c r="N199" s="31" t="s">
        <v>11</v>
      </c>
      <c r="O199" s="53">
        <v>1.0972999999999999</v>
      </c>
      <c r="P199" s="35">
        <f t="shared" si="19"/>
        <v>658.38</v>
      </c>
      <c r="Q199" s="36">
        <f t="shared" si="20"/>
        <v>7.3003400000000003</v>
      </c>
      <c r="R199" s="36">
        <f t="shared" si="21"/>
        <v>0.15029999999999999</v>
      </c>
      <c r="S199" s="37">
        <f t="shared" si="22"/>
        <v>90.18</v>
      </c>
      <c r="T199" s="36" t="s">
        <v>349</v>
      </c>
      <c r="U199" s="31" t="s">
        <v>33</v>
      </c>
      <c r="V199" s="57">
        <v>7.1879</v>
      </c>
      <c r="W199" s="38">
        <f t="shared" si="23"/>
        <v>91.595598158015562</v>
      </c>
    </row>
    <row r="200" spans="1:23">
      <c r="A200" s="31" t="s">
        <v>1035</v>
      </c>
      <c r="B200" s="32">
        <v>45663</v>
      </c>
      <c r="C200" s="32">
        <v>45636</v>
      </c>
      <c r="D200" s="31" t="s">
        <v>372</v>
      </c>
      <c r="E200" s="31" t="s">
        <v>373</v>
      </c>
      <c r="G200" s="31" t="s">
        <v>1036</v>
      </c>
      <c r="H200" s="31" t="s">
        <v>1033</v>
      </c>
      <c r="I200" s="31" t="s">
        <v>1034</v>
      </c>
      <c r="J200" s="34" t="str">
        <f t="shared" si="18"/>
        <v>HDL-</v>
      </c>
      <c r="K200" s="31" t="s">
        <v>98</v>
      </c>
      <c r="L200" s="52">
        <v>1000</v>
      </c>
      <c r="M200" s="31" t="s">
        <v>1472</v>
      </c>
      <c r="N200" s="31" t="s">
        <v>11</v>
      </c>
      <c r="O200" s="53">
        <v>1.1168</v>
      </c>
      <c r="P200" s="35">
        <f t="shared" si="19"/>
        <v>1116.8</v>
      </c>
      <c r="Q200" s="36">
        <f t="shared" si="20"/>
        <v>7.3003400000000003</v>
      </c>
      <c r="R200" s="36">
        <f t="shared" si="21"/>
        <v>0.153</v>
      </c>
      <c r="S200" s="37">
        <f t="shared" si="22"/>
        <v>153</v>
      </c>
      <c r="T200" s="36" t="s">
        <v>349</v>
      </c>
      <c r="U200" s="31" t="s">
        <v>228</v>
      </c>
      <c r="V200" s="57">
        <v>7.1879</v>
      </c>
      <c r="W200" s="38">
        <f t="shared" si="23"/>
        <v>155.37222276325491</v>
      </c>
    </row>
    <row r="201" spans="1:23">
      <c r="A201" s="31" t="s">
        <v>1072</v>
      </c>
      <c r="B201" s="32">
        <v>45663</v>
      </c>
      <c r="C201" s="32">
        <v>45618</v>
      </c>
      <c r="D201" s="31" t="s">
        <v>372</v>
      </c>
      <c r="E201" s="31" t="s">
        <v>373</v>
      </c>
      <c r="G201" s="31" t="s">
        <v>1054</v>
      </c>
      <c r="H201" s="31" t="s">
        <v>1070</v>
      </c>
      <c r="I201" s="31" t="s">
        <v>1071</v>
      </c>
      <c r="J201" s="34" t="str">
        <f t="shared" si="18"/>
        <v>HDL-</v>
      </c>
      <c r="K201" s="31" t="s">
        <v>98</v>
      </c>
      <c r="L201" s="52">
        <v>610</v>
      </c>
      <c r="M201" s="31" t="s">
        <v>1472</v>
      </c>
      <c r="N201" s="31" t="s">
        <v>11</v>
      </c>
      <c r="O201" s="53">
        <v>1.1801999999999999</v>
      </c>
      <c r="P201" s="35">
        <f t="shared" si="19"/>
        <v>719.92</v>
      </c>
      <c r="Q201" s="36">
        <f t="shared" si="20"/>
        <v>7.3003400000000003</v>
      </c>
      <c r="R201" s="36">
        <f t="shared" si="21"/>
        <v>0.16170000000000001</v>
      </c>
      <c r="S201" s="37">
        <f t="shared" si="22"/>
        <v>98.64</v>
      </c>
      <c r="T201" s="36" t="s">
        <v>349</v>
      </c>
      <c r="U201" s="31" t="s">
        <v>228</v>
      </c>
      <c r="V201" s="57">
        <v>7.1879</v>
      </c>
      <c r="W201" s="38">
        <f t="shared" si="23"/>
        <v>100.15748688768625</v>
      </c>
    </row>
    <row r="202" spans="1:23">
      <c r="A202" s="31" t="s">
        <v>1069</v>
      </c>
      <c r="B202" s="32">
        <v>45663</v>
      </c>
      <c r="C202" s="32">
        <v>45618</v>
      </c>
      <c r="D202" s="31" t="s">
        <v>372</v>
      </c>
      <c r="E202" s="31" t="s">
        <v>373</v>
      </c>
      <c r="G202" s="31" t="s">
        <v>1054</v>
      </c>
      <c r="H202" s="31" t="s">
        <v>1067</v>
      </c>
      <c r="I202" s="31" t="s">
        <v>1068</v>
      </c>
      <c r="J202" s="34" t="str">
        <f t="shared" si="18"/>
        <v>HDL-</v>
      </c>
      <c r="K202" s="31" t="s">
        <v>98</v>
      </c>
      <c r="L202" s="52">
        <v>620</v>
      </c>
      <c r="M202" s="31" t="s">
        <v>1472</v>
      </c>
      <c r="N202" s="31" t="s">
        <v>11</v>
      </c>
      <c r="O202" s="53">
        <v>1.1801999999999999</v>
      </c>
      <c r="P202" s="35">
        <f t="shared" si="19"/>
        <v>731.72</v>
      </c>
      <c r="Q202" s="36">
        <f t="shared" si="20"/>
        <v>7.3003400000000003</v>
      </c>
      <c r="R202" s="36">
        <f t="shared" si="21"/>
        <v>0.16170000000000001</v>
      </c>
      <c r="S202" s="37">
        <f t="shared" si="22"/>
        <v>100.25</v>
      </c>
      <c r="T202" s="36" t="s">
        <v>349</v>
      </c>
      <c r="U202" s="31" t="s">
        <v>228</v>
      </c>
      <c r="V202" s="57">
        <v>7.1879</v>
      </c>
      <c r="W202" s="38">
        <f t="shared" si="23"/>
        <v>101.79941290223847</v>
      </c>
    </row>
    <row r="203" spans="1:23">
      <c r="A203" s="31" t="s">
        <v>1066</v>
      </c>
      <c r="B203" s="32">
        <v>45663</v>
      </c>
      <c r="C203" s="32">
        <v>45618</v>
      </c>
      <c r="D203" s="31" t="s">
        <v>372</v>
      </c>
      <c r="E203" s="31" t="s">
        <v>373</v>
      </c>
      <c r="G203" s="31" t="s">
        <v>1054</v>
      </c>
      <c r="H203" s="31" t="s">
        <v>1064</v>
      </c>
      <c r="I203" s="31" t="s">
        <v>1065</v>
      </c>
      <c r="J203" s="34" t="str">
        <f t="shared" si="18"/>
        <v>HDL-</v>
      </c>
      <c r="K203" s="31" t="s">
        <v>98</v>
      </c>
      <c r="L203" s="52">
        <v>620</v>
      </c>
      <c r="M203" s="31" t="s">
        <v>1472</v>
      </c>
      <c r="N203" s="31" t="s">
        <v>11</v>
      </c>
      <c r="O203" s="53">
        <v>1.1801999999999999</v>
      </c>
      <c r="P203" s="35">
        <f t="shared" si="19"/>
        <v>731.72</v>
      </c>
      <c r="Q203" s="36">
        <f t="shared" si="20"/>
        <v>7.3003400000000003</v>
      </c>
      <c r="R203" s="36">
        <f t="shared" si="21"/>
        <v>0.16170000000000001</v>
      </c>
      <c r="S203" s="37">
        <f t="shared" si="22"/>
        <v>100.25</v>
      </c>
      <c r="T203" s="36" t="s">
        <v>349</v>
      </c>
      <c r="U203" s="31" t="s">
        <v>228</v>
      </c>
      <c r="V203" s="57">
        <v>7.1879</v>
      </c>
      <c r="W203" s="38">
        <f t="shared" si="23"/>
        <v>101.79941290223847</v>
      </c>
    </row>
    <row r="204" spans="1:23">
      <c r="A204" s="31" t="s">
        <v>1063</v>
      </c>
      <c r="B204" s="32">
        <v>45663</v>
      </c>
      <c r="C204" s="32">
        <v>45618</v>
      </c>
      <c r="D204" s="31" t="s">
        <v>372</v>
      </c>
      <c r="E204" s="31" t="s">
        <v>373</v>
      </c>
      <c r="G204" s="31" t="s">
        <v>1054</v>
      </c>
      <c r="H204" s="31" t="s">
        <v>1061</v>
      </c>
      <c r="I204" s="31" t="s">
        <v>1062</v>
      </c>
      <c r="J204" s="34" t="str">
        <f t="shared" si="18"/>
        <v>HDL-</v>
      </c>
      <c r="K204" s="31" t="s">
        <v>98</v>
      </c>
      <c r="L204" s="52">
        <v>630</v>
      </c>
      <c r="M204" s="31" t="s">
        <v>1472</v>
      </c>
      <c r="N204" s="31" t="s">
        <v>11</v>
      </c>
      <c r="O204" s="53">
        <v>1.1801999999999999</v>
      </c>
      <c r="P204" s="35">
        <f t="shared" si="19"/>
        <v>743.53</v>
      </c>
      <c r="Q204" s="36">
        <f t="shared" si="20"/>
        <v>7.3003400000000003</v>
      </c>
      <c r="R204" s="36">
        <f t="shared" si="21"/>
        <v>0.16170000000000001</v>
      </c>
      <c r="S204" s="37">
        <f t="shared" si="22"/>
        <v>101.87</v>
      </c>
      <c r="T204" s="36" t="s">
        <v>349</v>
      </c>
      <c r="U204" s="31" t="s">
        <v>228</v>
      </c>
      <c r="V204" s="57">
        <v>7.1879</v>
      </c>
      <c r="W204" s="38">
        <f t="shared" si="23"/>
        <v>103.44133891679071</v>
      </c>
    </row>
    <row r="205" spans="1:23">
      <c r="A205" s="31" t="s">
        <v>223</v>
      </c>
      <c r="B205" s="32">
        <v>45674</v>
      </c>
      <c r="C205" s="32">
        <v>45653</v>
      </c>
      <c r="D205" s="31" t="s">
        <v>61</v>
      </c>
      <c r="E205" s="31" t="s">
        <v>61</v>
      </c>
      <c r="G205" s="31" t="s">
        <v>224</v>
      </c>
      <c r="H205" s="31" t="s">
        <v>221</v>
      </c>
      <c r="I205" s="31" t="s">
        <v>222</v>
      </c>
      <c r="J205" s="34" t="str">
        <f t="shared" si="18"/>
        <v>KNOB</v>
      </c>
      <c r="K205" s="31" t="s">
        <v>10</v>
      </c>
      <c r="L205" s="52">
        <v>1350</v>
      </c>
      <c r="M205" s="31" t="s">
        <v>1472</v>
      </c>
      <c r="N205" s="31" t="s">
        <v>11</v>
      </c>
      <c r="O205" s="53">
        <v>1.2455000000000001</v>
      </c>
      <c r="P205" s="35">
        <f t="shared" si="19"/>
        <v>1681.43</v>
      </c>
      <c r="Q205" s="36">
        <f t="shared" si="20"/>
        <v>7.3003400000000003</v>
      </c>
      <c r="R205" s="36">
        <f t="shared" si="21"/>
        <v>0.1706</v>
      </c>
      <c r="S205" s="37">
        <f t="shared" si="22"/>
        <v>230.31</v>
      </c>
      <c r="T205" s="36" t="s">
        <v>349</v>
      </c>
      <c r="U205" s="31" t="s">
        <v>32</v>
      </c>
      <c r="V205" s="57">
        <v>7.1879</v>
      </c>
      <c r="W205" s="38">
        <f t="shared" si="23"/>
        <v>233.92437290446446</v>
      </c>
    </row>
    <row r="206" spans="1:23">
      <c r="A206" s="31" t="s">
        <v>1169</v>
      </c>
      <c r="B206" s="32">
        <v>45663</v>
      </c>
      <c r="C206" s="32">
        <v>45629</v>
      </c>
      <c r="D206" s="31" t="s">
        <v>28</v>
      </c>
      <c r="E206" s="31" t="s">
        <v>29</v>
      </c>
      <c r="G206" s="31" t="s">
        <v>1161</v>
      </c>
      <c r="H206" s="31" t="s">
        <v>1167</v>
      </c>
      <c r="I206" s="31" t="s">
        <v>1168</v>
      </c>
      <c r="J206" s="34" t="str">
        <f t="shared" si="18"/>
        <v>FG--</v>
      </c>
      <c r="K206" s="31" t="s">
        <v>10</v>
      </c>
      <c r="L206" s="52">
        <v>2000</v>
      </c>
      <c r="M206" s="31" t="s">
        <v>1472</v>
      </c>
      <c r="N206" s="31" t="s">
        <v>11</v>
      </c>
      <c r="O206" s="53">
        <v>1.2692000000000001</v>
      </c>
      <c r="P206" s="35">
        <f t="shared" si="19"/>
        <v>2538.4</v>
      </c>
      <c r="Q206" s="36">
        <f t="shared" si="20"/>
        <v>7.3003400000000003</v>
      </c>
      <c r="R206" s="36">
        <f t="shared" si="21"/>
        <v>0.1739</v>
      </c>
      <c r="S206" s="37">
        <f t="shared" si="22"/>
        <v>347.8</v>
      </c>
      <c r="T206" s="36" t="s">
        <v>349</v>
      </c>
      <c r="U206" s="31" t="s">
        <v>64</v>
      </c>
      <c r="V206" s="57">
        <v>7.1879</v>
      </c>
      <c r="W206" s="38">
        <f t="shared" si="23"/>
        <v>353.14904214026353</v>
      </c>
    </row>
    <row r="207" spans="1:23">
      <c r="A207" s="31" t="s">
        <v>1060</v>
      </c>
      <c r="B207" s="32">
        <v>45663</v>
      </c>
      <c r="C207" s="32">
        <v>45618</v>
      </c>
      <c r="D207" s="31" t="s">
        <v>372</v>
      </c>
      <c r="E207" s="31" t="s">
        <v>373</v>
      </c>
      <c r="G207" s="31" t="s">
        <v>1054</v>
      </c>
      <c r="H207" s="31" t="s">
        <v>1058</v>
      </c>
      <c r="I207" s="31" t="s">
        <v>1059</v>
      </c>
      <c r="J207" s="34" t="str">
        <f t="shared" si="18"/>
        <v>HDL-</v>
      </c>
      <c r="K207" s="31" t="s">
        <v>98</v>
      </c>
      <c r="L207" s="52">
        <v>620</v>
      </c>
      <c r="M207" s="31" t="s">
        <v>1472</v>
      </c>
      <c r="N207" s="31" t="s">
        <v>11</v>
      </c>
      <c r="O207" s="53">
        <v>1.2863</v>
      </c>
      <c r="P207" s="35">
        <f t="shared" si="19"/>
        <v>797.51</v>
      </c>
      <c r="Q207" s="36">
        <f t="shared" si="20"/>
        <v>7.3003400000000003</v>
      </c>
      <c r="R207" s="36">
        <f t="shared" si="21"/>
        <v>0.1762</v>
      </c>
      <c r="S207" s="37">
        <f t="shared" si="22"/>
        <v>109.24</v>
      </c>
      <c r="T207" s="36" t="s">
        <v>349</v>
      </c>
      <c r="U207" s="31" t="s">
        <v>228</v>
      </c>
      <c r="V207" s="57">
        <v>7.1879</v>
      </c>
      <c r="W207" s="38">
        <f t="shared" si="23"/>
        <v>110.95118184727112</v>
      </c>
    </row>
    <row r="208" spans="1:23">
      <c r="A208" s="31" t="s">
        <v>1057</v>
      </c>
      <c r="B208" s="32">
        <v>45663</v>
      </c>
      <c r="C208" s="32">
        <v>45618</v>
      </c>
      <c r="D208" s="31" t="s">
        <v>372</v>
      </c>
      <c r="E208" s="31" t="s">
        <v>373</v>
      </c>
      <c r="G208" s="31" t="s">
        <v>1054</v>
      </c>
      <c r="H208" s="31" t="s">
        <v>1055</v>
      </c>
      <c r="I208" s="31" t="s">
        <v>1056</v>
      </c>
      <c r="J208" s="34" t="str">
        <f t="shared" si="18"/>
        <v>HDL-</v>
      </c>
      <c r="K208" s="31" t="s">
        <v>98</v>
      </c>
      <c r="L208" s="52">
        <v>620</v>
      </c>
      <c r="M208" s="31" t="s">
        <v>1472</v>
      </c>
      <c r="N208" s="31" t="s">
        <v>11</v>
      </c>
      <c r="O208" s="53">
        <v>1.2863</v>
      </c>
      <c r="P208" s="35">
        <f t="shared" si="19"/>
        <v>797.51</v>
      </c>
      <c r="Q208" s="36">
        <f t="shared" si="20"/>
        <v>7.3003400000000003</v>
      </c>
      <c r="R208" s="36">
        <f t="shared" si="21"/>
        <v>0.1762</v>
      </c>
      <c r="S208" s="37">
        <f t="shared" si="22"/>
        <v>109.24</v>
      </c>
      <c r="T208" s="36" t="s">
        <v>349</v>
      </c>
      <c r="U208" s="31" t="s">
        <v>228</v>
      </c>
      <c r="V208" s="57">
        <v>7.1879</v>
      </c>
      <c r="W208" s="38">
        <f t="shared" si="23"/>
        <v>110.95118184727112</v>
      </c>
    </row>
    <row r="209" spans="1:23">
      <c r="A209" s="31" t="s">
        <v>1053</v>
      </c>
      <c r="B209" s="32">
        <v>45663</v>
      </c>
      <c r="C209" s="32">
        <v>45618</v>
      </c>
      <c r="D209" s="31" t="s">
        <v>372</v>
      </c>
      <c r="E209" s="31" t="s">
        <v>373</v>
      </c>
      <c r="G209" s="31" t="s">
        <v>1054</v>
      </c>
      <c r="H209" s="31" t="s">
        <v>1051</v>
      </c>
      <c r="I209" s="31" t="s">
        <v>1052</v>
      </c>
      <c r="J209" s="34" t="str">
        <f t="shared" si="18"/>
        <v>HDL-</v>
      </c>
      <c r="K209" s="31" t="s">
        <v>98</v>
      </c>
      <c r="L209" s="52">
        <v>626</v>
      </c>
      <c r="M209" s="31" t="s">
        <v>1472</v>
      </c>
      <c r="N209" s="31" t="s">
        <v>11</v>
      </c>
      <c r="O209" s="53">
        <v>1.2863</v>
      </c>
      <c r="P209" s="35">
        <f t="shared" si="19"/>
        <v>805.22</v>
      </c>
      <c r="Q209" s="36">
        <f t="shared" si="20"/>
        <v>7.3003400000000003</v>
      </c>
      <c r="R209" s="36">
        <f t="shared" si="21"/>
        <v>0.1762</v>
      </c>
      <c r="S209" s="37">
        <f t="shared" si="22"/>
        <v>110.3</v>
      </c>
      <c r="T209" s="36" t="s">
        <v>349</v>
      </c>
      <c r="U209" s="31" t="s">
        <v>228</v>
      </c>
      <c r="V209" s="57">
        <v>7.1879</v>
      </c>
      <c r="W209" s="38">
        <f t="shared" si="23"/>
        <v>112.02490296192212</v>
      </c>
    </row>
    <row r="210" spans="1:23">
      <c r="A210" s="31" t="s">
        <v>1125</v>
      </c>
      <c r="B210" s="32">
        <v>45663</v>
      </c>
      <c r="C210" s="32">
        <v>45643</v>
      </c>
      <c r="D210" s="31" t="s">
        <v>169</v>
      </c>
      <c r="E210" s="31" t="s">
        <v>170</v>
      </c>
      <c r="G210" s="31" t="s">
        <v>1122</v>
      </c>
      <c r="H210" s="31" t="s">
        <v>1124</v>
      </c>
      <c r="I210" s="31" t="s">
        <v>643</v>
      </c>
      <c r="J210" s="34" t="str">
        <f t="shared" si="18"/>
        <v>U&amp;C-</v>
      </c>
      <c r="K210" s="31" t="s">
        <v>10</v>
      </c>
      <c r="L210" s="52">
        <v>2100</v>
      </c>
      <c r="M210" s="31" t="s">
        <v>1472</v>
      </c>
      <c r="N210" s="31" t="s">
        <v>11</v>
      </c>
      <c r="O210" s="53">
        <v>1.29</v>
      </c>
      <c r="P210" s="35">
        <f t="shared" si="19"/>
        <v>2709</v>
      </c>
      <c r="Q210" s="36">
        <f t="shared" si="20"/>
        <v>7.3003400000000003</v>
      </c>
      <c r="R210" s="36">
        <f t="shared" si="21"/>
        <v>0.1767</v>
      </c>
      <c r="S210" s="37">
        <f t="shared" si="22"/>
        <v>371.07</v>
      </c>
      <c r="T210" s="36" t="s">
        <v>349</v>
      </c>
      <c r="U210" s="31" t="s">
        <v>177</v>
      </c>
      <c r="V210" s="57">
        <v>7.1879</v>
      </c>
      <c r="W210" s="38">
        <f t="shared" si="23"/>
        <v>376.88337344704291</v>
      </c>
    </row>
    <row r="211" spans="1:23">
      <c r="A211" s="31" t="s">
        <v>1123</v>
      </c>
      <c r="B211" s="32">
        <v>45663</v>
      </c>
      <c r="C211" s="32">
        <v>45643</v>
      </c>
      <c r="D211" s="31" t="s">
        <v>169</v>
      </c>
      <c r="E211" s="31" t="s">
        <v>170</v>
      </c>
      <c r="G211" s="31" t="s">
        <v>1122</v>
      </c>
      <c r="H211" s="31" t="s">
        <v>642</v>
      </c>
      <c r="I211" s="31" t="s">
        <v>643</v>
      </c>
      <c r="J211" s="34" t="str">
        <f t="shared" si="18"/>
        <v>U&amp;C-</v>
      </c>
      <c r="K211" s="31" t="s">
        <v>10</v>
      </c>
      <c r="L211" s="52">
        <v>2100</v>
      </c>
      <c r="M211" s="31" t="s">
        <v>1472</v>
      </c>
      <c r="N211" s="31" t="s">
        <v>11</v>
      </c>
      <c r="O211" s="53">
        <v>1.29</v>
      </c>
      <c r="P211" s="35">
        <f t="shared" si="19"/>
        <v>2709</v>
      </c>
      <c r="Q211" s="36">
        <f t="shared" si="20"/>
        <v>7.3003400000000003</v>
      </c>
      <c r="R211" s="36">
        <f t="shared" si="21"/>
        <v>0.1767</v>
      </c>
      <c r="S211" s="37">
        <f t="shared" si="22"/>
        <v>371.07</v>
      </c>
      <c r="T211" s="36" t="s">
        <v>349</v>
      </c>
      <c r="U211" s="31" t="s">
        <v>177</v>
      </c>
      <c r="V211" s="57">
        <v>7.1879</v>
      </c>
      <c r="W211" s="38">
        <f t="shared" si="23"/>
        <v>376.88337344704291</v>
      </c>
    </row>
    <row r="212" spans="1:23">
      <c r="A212" s="31" t="s">
        <v>498</v>
      </c>
      <c r="B212" s="32">
        <v>45670</v>
      </c>
      <c r="C212" s="32">
        <v>45653</v>
      </c>
      <c r="D212" s="31" t="s">
        <v>5</v>
      </c>
      <c r="E212" s="31" t="s">
        <v>6</v>
      </c>
      <c r="G212" s="31" t="s">
        <v>492</v>
      </c>
      <c r="H212" s="31" t="s">
        <v>496</v>
      </c>
      <c r="I212" s="31" t="s">
        <v>497</v>
      </c>
      <c r="J212" s="34" t="str">
        <f t="shared" si="18"/>
        <v>SHTS</v>
      </c>
      <c r="K212" s="31" t="s">
        <v>10</v>
      </c>
      <c r="L212" s="52">
        <v>1010</v>
      </c>
      <c r="M212" s="31" t="s">
        <v>1472</v>
      </c>
      <c r="N212" s="31" t="s">
        <v>11</v>
      </c>
      <c r="O212" s="53">
        <v>1.3</v>
      </c>
      <c r="P212" s="35">
        <f t="shared" si="19"/>
        <v>1313</v>
      </c>
      <c r="Q212" s="36">
        <f t="shared" si="20"/>
        <v>7.3003400000000003</v>
      </c>
      <c r="R212" s="36">
        <f t="shared" si="21"/>
        <v>0.17810000000000001</v>
      </c>
      <c r="S212" s="37">
        <f t="shared" si="22"/>
        <v>179.88</v>
      </c>
      <c r="T212" s="36" t="s">
        <v>349</v>
      </c>
      <c r="U212" s="31" t="s">
        <v>9</v>
      </c>
      <c r="V212" s="57">
        <v>7.1879</v>
      </c>
      <c r="W212" s="38">
        <f t="shared" si="23"/>
        <v>182.66809499297432</v>
      </c>
    </row>
    <row r="213" spans="1:23">
      <c r="A213" s="31" t="s">
        <v>62</v>
      </c>
      <c r="B213" s="32">
        <v>45679</v>
      </c>
      <c r="C213" s="32">
        <v>45653</v>
      </c>
      <c r="D213" s="31" t="s">
        <v>61</v>
      </c>
      <c r="E213" s="31" t="s">
        <v>61</v>
      </c>
      <c r="G213" s="31" t="s">
        <v>63</v>
      </c>
      <c r="H213" s="31" t="s">
        <v>59</v>
      </c>
      <c r="I213" s="31" t="s">
        <v>60</v>
      </c>
      <c r="J213" s="34" t="str">
        <f t="shared" si="18"/>
        <v>FG--</v>
      </c>
      <c r="K213" s="31" t="s">
        <v>10</v>
      </c>
      <c r="L213" s="52">
        <v>1600</v>
      </c>
      <c r="M213" s="31" t="s">
        <v>1472</v>
      </c>
      <c r="N213" s="31" t="s">
        <v>11</v>
      </c>
      <c r="O213" s="53">
        <v>1.3002</v>
      </c>
      <c r="P213" s="35">
        <f t="shared" si="19"/>
        <v>2080.3200000000002</v>
      </c>
      <c r="Q213" s="36">
        <f t="shared" si="20"/>
        <v>7.3003400000000003</v>
      </c>
      <c r="R213" s="36">
        <f t="shared" si="21"/>
        <v>0.17810000000000001</v>
      </c>
      <c r="S213" s="37">
        <f t="shared" si="22"/>
        <v>284.95999999999998</v>
      </c>
      <c r="T213" s="36" t="s">
        <v>349</v>
      </c>
      <c r="U213" s="31" t="s">
        <v>64</v>
      </c>
      <c r="V213" s="57">
        <v>7.1879</v>
      </c>
      <c r="W213" s="38">
        <f t="shared" si="23"/>
        <v>289.4197192504069</v>
      </c>
    </row>
    <row r="214" spans="1:23">
      <c r="A214" s="31" t="s">
        <v>1024</v>
      </c>
      <c r="B214" s="32">
        <v>45663</v>
      </c>
      <c r="C214" s="32">
        <v>45646</v>
      </c>
      <c r="D214" s="31" t="s">
        <v>252</v>
      </c>
      <c r="E214" s="31" t="s">
        <v>253</v>
      </c>
      <c r="G214" s="31" t="s">
        <v>1025</v>
      </c>
      <c r="H214" s="31" t="s">
        <v>1022</v>
      </c>
      <c r="I214" s="31" t="s">
        <v>1023</v>
      </c>
      <c r="J214" s="34" t="str">
        <f t="shared" si="18"/>
        <v>ANYD</v>
      </c>
      <c r="K214" s="31" t="s">
        <v>10</v>
      </c>
      <c r="L214" s="52">
        <v>1000</v>
      </c>
      <c r="M214" s="31" t="s">
        <v>1472</v>
      </c>
      <c r="N214" s="31" t="s">
        <v>11</v>
      </c>
      <c r="O214" s="53">
        <v>1.31</v>
      </c>
      <c r="P214" s="35">
        <f t="shared" si="19"/>
        <v>1310</v>
      </c>
      <c r="Q214" s="36">
        <f t="shared" si="20"/>
        <v>7.3003400000000003</v>
      </c>
      <c r="R214" s="36">
        <f t="shared" si="21"/>
        <v>0.1794</v>
      </c>
      <c r="S214" s="37">
        <f t="shared" si="22"/>
        <v>179.4</v>
      </c>
      <c r="T214" s="36" t="s">
        <v>349</v>
      </c>
      <c r="U214" s="31" t="s">
        <v>36</v>
      </c>
      <c r="V214" s="57">
        <v>7.1879</v>
      </c>
      <c r="W214" s="38">
        <f t="shared" si="23"/>
        <v>182.25072691606729</v>
      </c>
    </row>
    <row r="215" spans="1:23">
      <c r="A215" s="31" t="s">
        <v>687</v>
      </c>
      <c r="B215" s="32">
        <v>45667</v>
      </c>
      <c r="C215" s="32">
        <v>45653</v>
      </c>
      <c r="D215" s="31" t="s">
        <v>252</v>
      </c>
      <c r="E215" s="31" t="s">
        <v>253</v>
      </c>
      <c r="G215" s="31" t="s">
        <v>681</v>
      </c>
      <c r="H215" s="31" t="s">
        <v>685</v>
      </c>
      <c r="I215" s="31" t="s">
        <v>686</v>
      </c>
      <c r="J215" s="34" t="str">
        <f t="shared" si="18"/>
        <v>ANYD</v>
      </c>
      <c r="K215" s="31" t="s">
        <v>10</v>
      </c>
      <c r="L215" s="52">
        <v>1000</v>
      </c>
      <c r="M215" s="31" t="s">
        <v>1472</v>
      </c>
      <c r="N215" s="31" t="s">
        <v>11</v>
      </c>
      <c r="O215" s="53">
        <v>1.31</v>
      </c>
      <c r="P215" s="35">
        <f t="shared" si="19"/>
        <v>1310</v>
      </c>
      <c r="Q215" s="36">
        <f t="shared" si="20"/>
        <v>7.3003400000000003</v>
      </c>
      <c r="R215" s="36">
        <f t="shared" si="21"/>
        <v>0.1794</v>
      </c>
      <c r="S215" s="37">
        <f t="shared" si="22"/>
        <v>179.4</v>
      </c>
      <c r="T215" s="36" t="s">
        <v>349</v>
      </c>
      <c r="U215" s="31" t="s">
        <v>36</v>
      </c>
      <c r="V215" s="57">
        <v>7.1879</v>
      </c>
      <c r="W215" s="38">
        <f t="shared" si="23"/>
        <v>182.25072691606729</v>
      </c>
    </row>
    <row r="216" spans="1:23">
      <c r="A216" s="31" t="s">
        <v>684</v>
      </c>
      <c r="B216" s="32">
        <v>45667</v>
      </c>
      <c r="C216" s="32">
        <v>45653</v>
      </c>
      <c r="D216" s="31" t="s">
        <v>252</v>
      </c>
      <c r="E216" s="31" t="s">
        <v>253</v>
      </c>
      <c r="G216" s="31" t="s">
        <v>681</v>
      </c>
      <c r="H216" s="31" t="s">
        <v>682</v>
      </c>
      <c r="I216" s="31" t="s">
        <v>683</v>
      </c>
      <c r="J216" s="34" t="str">
        <f t="shared" si="18"/>
        <v>ANYD</v>
      </c>
      <c r="K216" s="31" t="s">
        <v>10</v>
      </c>
      <c r="L216" s="52">
        <v>1000</v>
      </c>
      <c r="M216" s="31" t="s">
        <v>1472</v>
      </c>
      <c r="N216" s="31" t="s">
        <v>11</v>
      </c>
      <c r="O216" s="53">
        <v>1.38</v>
      </c>
      <c r="P216" s="35">
        <f t="shared" si="19"/>
        <v>1380</v>
      </c>
      <c r="Q216" s="36">
        <f t="shared" si="20"/>
        <v>7.3003400000000003</v>
      </c>
      <c r="R216" s="36">
        <f t="shared" si="21"/>
        <v>0.189</v>
      </c>
      <c r="S216" s="37">
        <f t="shared" si="22"/>
        <v>189</v>
      </c>
      <c r="T216" s="36" t="s">
        <v>349</v>
      </c>
      <c r="U216" s="31" t="s">
        <v>36</v>
      </c>
      <c r="V216" s="57">
        <v>7.1879</v>
      </c>
      <c r="W216" s="38">
        <f t="shared" si="23"/>
        <v>191.98931537723115</v>
      </c>
    </row>
    <row r="217" spans="1:23">
      <c r="A217" s="31" t="s">
        <v>680</v>
      </c>
      <c r="B217" s="32">
        <v>45667</v>
      </c>
      <c r="C217" s="32">
        <v>45653</v>
      </c>
      <c r="D217" s="31" t="s">
        <v>252</v>
      </c>
      <c r="E217" s="31" t="s">
        <v>253</v>
      </c>
      <c r="G217" s="31" t="s">
        <v>681</v>
      </c>
      <c r="H217" s="31" t="s">
        <v>678</v>
      </c>
      <c r="I217" s="31" t="s">
        <v>679</v>
      </c>
      <c r="J217" s="34" t="str">
        <f t="shared" si="18"/>
        <v>ANYD</v>
      </c>
      <c r="K217" s="31" t="s">
        <v>10</v>
      </c>
      <c r="L217" s="52">
        <v>1000</v>
      </c>
      <c r="M217" s="31" t="s">
        <v>1472</v>
      </c>
      <c r="N217" s="31" t="s">
        <v>11</v>
      </c>
      <c r="O217" s="53">
        <v>1.38</v>
      </c>
      <c r="P217" s="35">
        <f t="shared" si="19"/>
        <v>1380</v>
      </c>
      <c r="Q217" s="36">
        <f t="shared" si="20"/>
        <v>7.3003400000000003</v>
      </c>
      <c r="R217" s="36">
        <f t="shared" si="21"/>
        <v>0.189</v>
      </c>
      <c r="S217" s="37">
        <f t="shared" si="22"/>
        <v>189</v>
      </c>
      <c r="T217" s="36" t="s">
        <v>349</v>
      </c>
      <c r="U217" s="31" t="s">
        <v>36</v>
      </c>
      <c r="V217" s="57">
        <v>7.1879</v>
      </c>
      <c r="W217" s="38">
        <f t="shared" si="23"/>
        <v>191.98931537723115</v>
      </c>
    </row>
    <row r="218" spans="1:23">
      <c r="A218" s="31" t="s">
        <v>1166</v>
      </c>
      <c r="B218" s="32">
        <v>45663</v>
      </c>
      <c r="C218" s="32">
        <v>45629</v>
      </c>
      <c r="D218" s="31" t="s">
        <v>28</v>
      </c>
      <c r="E218" s="31" t="s">
        <v>29</v>
      </c>
      <c r="G218" s="31" t="s">
        <v>1161</v>
      </c>
      <c r="H218" s="31" t="s">
        <v>1162</v>
      </c>
      <c r="I218" s="31" t="s">
        <v>1163</v>
      </c>
      <c r="J218" s="34" t="str">
        <f t="shared" si="18"/>
        <v>FG--</v>
      </c>
      <c r="K218" s="31" t="s">
        <v>10</v>
      </c>
      <c r="L218" s="52">
        <v>1000</v>
      </c>
      <c r="M218" s="31" t="s">
        <v>1472</v>
      </c>
      <c r="N218" s="31" t="s">
        <v>11</v>
      </c>
      <c r="O218" s="53">
        <v>1.3815999999999999</v>
      </c>
      <c r="P218" s="35">
        <f t="shared" si="19"/>
        <v>1381.6</v>
      </c>
      <c r="Q218" s="36">
        <f t="shared" si="20"/>
        <v>7.3003400000000003</v>
      </c>
      <c r="R218" s="36">
        <f t="shared" si="21"/>
        <v>0.1893</v>
      </c>
      <c r="S218" s="37">
        <f t="shared" si="22"/>
        <v>189.3</v>
      </c>
      <c r="T218" s="36" t="s">
        <v>349</v>
      </c>
      <c r="U218" s="31" t="s">
        <v>64</v>
      </c>
      <c r="V218" s="57">
        <v>7.1879</v>
      </c>
      <c r="W218" s="38">
        <f t="shared" si="23"/>
        <v>192.21191168491492</v>
      </c>
    </row>
    <row r="219" spans="1:23">
      <c r="A219" s="31" t="s">
        <v>1165</v>
      </c>
      <c r="B219" s="32">
        <v>45663</v>
      </c>
      <c r="C219" s="32">
        <v>45629</v>
      </c>
      <c r="D219" s="31" t="s">
        <v>28</v>
      </c>
      <c r="E219" s="31" t="s">
        <v>29</v>
      </c>
      <c r="G219" s="31" t="s">
        <v>1161</v>
      </c>
      <c r="H219" s="31" t="s">
        <v>1158</v>
      </c>
      <c r="I219" s="31" t="s">
        <v>1159</v>
      </c>
      <c r="J219" s="34" t="str">
        <f t="shared" si="18"/>
        <v>FG--</v>
      </c>
      <c r="K219" s="31" t="s">
        <v>10</v>
      </c>
      <c r="L219" s="52">
        <v>1040</v>
      </c>
      <c r="M219" s="31" t="s">
        <v>1472</v>
      </c>
      <c r="N219" s="31" t="s">
        <v>11</v>
      </c>
      <c r="O219" s="53">
        <v>1.3815999999999999</v>
      </c>
      <c r="P219" s="35">
        <f t="shared" si="19"/>
        <v>1436.86</v>
      </c>
      <c r="Q219" s="36">
        <f t="shared" si="20"/>
        <v>7.3003400000000003</v>
      </c>
      <c r="R219" s="36">
        <f t="shared" si="21"/>
        <v>0.1893</v>
      </c>
      <c r="S219" s="37">
        <f t="shared" si="22"/>
        <v>196.87</v>
      </c>
      <c r="T219" s="36" t="s">
        <v>349</v>
      </c>
      <c r="U219" s="31" t="s">
        <v>64</v>
      </c>
      <c r="V219" s="57">
        <v>7.1879</v>
      </c>
      <c r="W219" s="38">
        <f t="shared" si="23"/>
        <v>199.90038815231151</v>
      </c>
    </row>
    <row r="220" spans="1:23">
      <c r="A220" s="31" t="s">
        <v>1164</v>
      </c>
      <c r="B220" s="32">
        <v>45663</v>
      </c>
      <c r="C220" s="32">
        <v>45646</v>
      </c>
      <c r="D220" s="31" t="s">
        <v>28</v>
      </c>
      <c r="E220" s="31" t="s">
        <v>29</v>
      </c>
      <c r="G220" s="31" t="s">
        <v>1161</v>
      </c>
      <c r="H220" s="31" t="s">
        <v>1162</v>
      </c>
      <c r="I220" s="31" t="s">
        <v>1163</v>
      </c>
      <c r="J220" s="34" t="str">
        <f t="shared" si="18"/>
        <v>FG--</v>
      </c>
      <c r="K220" s="31" t="s">
        <v>10</v>
      </c>
      <c r="L220" s="52">
        <v>1050</v>
      </c>
      <c r="M220" s="31" t="s">
        <v>1472</v>
      </c>
      <c r="N220" s="31" t="s">
        <v>11</v>
      </c>
      <c r="O220" s="53">
        <v>1.3815999999999999</v>
      </c>
      <c r="P220" s="35">
        <f t="shared" si="19"/>
        <v>1450.68</v>
      </c>
      <c r="Q220" s="36">
        <f t="shared" si="20"/>
        <v>7.3003400000000003</v>
      </c>
      <c r="R220" s="36">
        <f t="shared" si="21"/>
        <v>0.1893</v>
      </c>
      <c r="S220" s="37">
        <f t="shared" si="22"/>
        <v>198.77</v>
      </c>
      <c r="T220" s="36" t="s">
        <v>349</v>
      </c>
      <c r="U220" s="31" t="s">
        <v>64</v>
      </c>
      <c r="V220" s="57">
        <v>7.1879</v>
      </c>
      <c r="W220" s="38">
        <f t="shared" si="23"/>
        <v>201.82250726916067</v>
      </c>
    </row>
    <row r="221" spans="1:23">
      <c r="A221" s="31" t="s">
        <v>1160</v>
      </c>
      <c r="B221" s="32">
        <v>45663</v>
      </c>
      <c r="C221" s="32">
        <v>45646</v>
      </c>
      <c r="D221" s="31" t="s">
        <v>28</v>
      </c>
      <c r="E221" s="31" t="s">
        <v>29</v>
      </c>
      <c r="G221" s="31" t="s">
        <v>1161</v>
      </c>
      <c r="H221" s="31" t="s">
        <v>1158</v>
      </c>
      <c r="I221" s="31" t="s">
        <v>1159</v>
      </c>
      <c r="J221" s="34" t="str">
        <f t="shared" si="18"/>
        <v>FG--</v>
      </c>
      <c r="K221" s="31" t="s">
        <v>10</v>
      </c>
      <c r="L221" s="52">
        <v>1050</v>
      </c>
      <c r="M221" s="31" t="s">
        <v>1472</v>
      </c>
      <c r="N221" s="31" t="s">
        <v>11</v>
      </c>
      <c r="O221" s="53">
        <v>1.3815999999999999</v>
      </c>
      <c r="P221" s="35">
        <f t="shared" si="19"/>
        <v>1450.68</v>
      </c>
      <c r="Q221" s="36">
        <f t="shared" si="20"/>
        <v>7.3003400000000003</v>
      </c>
      <c r="R221" s="36">
        <f t="shared" si="21"/>
        <v>0.1893</v>
      </c>
      <c r="S221" s="37">
        <f t="shared" si="22"/>
        <v>198.77</v>
      </c>
      <c r="T221" s="36" t="s">
        <v>349</v>
      </c>
      <c r="U221" s="31" t="s">
        <v>64</v>
      </c>
      <c r="V221" s="57">
        <v>7.1879</v>
      </c>
      <c r="W221" s="38">
        <f t="shared" si="23"/>
        <v>201.82250726916067</v>
      </c>
    </row>
    <row r="222" spans="1:23">
      <c r="A222" s="31" t="s">
        <v>227</v>
      </c>
      <c r="B222" s="32">
        <v>45674</v>
      </c>
      <c r="C222" s="32">
        <v>45653</v>
      </c>
      <c r="D222" s="31" t="s">
        <v>61</v>
      </c>
      <c r="E222" s="31" t="s">
        <v>61</v>
      </c>
      <c r="G222" s="31" t="s">
        <v>224</v>
      </c>
      <c r="H222" s="31" t="s">
        <v>225</v>
      </c>
      <c r="I222" s="31" t="s">
        <v>226</v>
      </c>
      <c r="J222" s="34" t="str">
        <f t="shared" si="18"/>
        <v>HDL-</v>
      </c>
      <c r="K222" s="31" t="s">
        <v>10</v>
      </c>
      <c r="L222" s="52">
        <v>1050</v>
      </c>
      <c r="M222" s="31" t="s">
        <v>1472</v>
      </c>
      <c r="N222" s="31" t="s">
        <v>11</v>
      </c>
      <c r="O222" s="53">
        <v>1.3992</v>
      </c>
      <c r="P222" s="35">
        <f t="shared" si="19"/>
        <v>1469.16</v>
      </c>
      <c r="Q222" s="36">
        <f t="shared" si="20"/>
        <v>7.3003400000000003</v>
      </c>
      <c r="R222" s="36">
        <f t="shared" si="21"/>
        <v>0.19170000000000001</v>
      </c>
      <c r="S222" s="37">
        <f t="shared" si="22"/>
        <v>201.29</v>
      </c>
      <c r="T222" s="36" t="s">
        <v>349</v>
      </c>
      <c r="U222" s="31" t="s">
        <v>228</v>
      </c>
      <c r="V222" s="57">
        <v>7.1879</v>
      </c>
      <c r="W222" s="38">
        <f t="shared" si="23"/>
        <v>204.39349462290792</v>
      </c>
    </row>
    <row r="223" spans="1:23">
      <c r="A223" s="31" t="s">
        <v>374</v>
      </c>
      <c r="B223" s="32">
        <v>45671</v>
      </c>
      <c r="C223" s="32">
        <v>45653</v>
      </c>
      <c r="D223" s="31" t="s">
        <v>372</v>
      </c>
      <c r="E223" s="31" t="s">
        <v>373</v>
      </c>
      <c r="G223" s="31" t="s">
        <v>375</v>
      </c>
      <c r="H223" s="31" t="s">
        <v>370</v>
      </c>
      <c r="I223" s="31" t="s">
        <v>371</v>
      </c>
      <c r="J223" s="34" t="str">
        <f t="shared" si="18"/>
        <v>HDL-</v>
      </c>
      <c r="K223" s="31" t="s">
        <v>98</v>
      </c>
      <c r="L223" s="52">
        <v>1050</v>
      </c>
      <c r="M223" s="31" t="s">
        <v>1472</v>
      </c>
      <c r="N223" s="31" t="s">
        <v>11</v>
      </c>
      <c r="O223" s="53">
        <v>1.4438</v>
      </c>
      <c r="P223" s="35">
        <f t="shared" si="19"/>
        <v>1515.99</v>
      </c>
      <c r="Q223" s="36">
        <f t="shared" si="20"/>
        <v>7.3003400000000003</v>
      </c>
      <c r="R223" s="36">
        <f t="shared" si="21"/>
        <v>0.1978</v>
      </c>
      <c r="S223" s="37">
        <f t="shared" si="22"/>
        <v>207.69</v>
      </c>
      <c r="T223" s="36" t="s">
        <v>349</v>
      </c>
      <c r="U223" s="31" t="s">
        <v>228</v>
      </c>
      <c r="V223" s="57">
        <v>7.1879</v>
      </c>
      <c r="W223" s="38">
        <f t="shared" si="23"/>
        <v>210.9086103034266</v>
      </c>
    </row>
    <row r="224" spans="1:23">
      <c r="A224" s="31" t="s">
        <v>653</v>
      </c>
      <c r="B224" s="32">
        <v>45670</v>
      </c>
      <c r="C224" s="32">
        <v>45650</v>
      </c>
      <c r="D224" s="31" t="s">
        <v>651</v>
      </c>
      <c r="E224" s="31" t="s">
        <v>652</v>
      </c>
      <c r="G224" s="31" t="s">
        <v>654</v>
      </c>
      <c r="H224" s="31" t="s">
        <v>649</v>
      </c>
      <c r="I224" s="31" t="s">
        <v>650</v>
      </c>
      <c r="J224" s="34" t="str">
        <f t="shared" si="18"/>
        <v>HDL-</v>
      </c>
      <c r="K224" s="31" t="s">
        <v>10</v>
      </c>
      <c r="L224" s="52">
        <v>520</v>
      </c>
      <c r="M224" s="31" t="s">
        <v>1472</v>
      </c>
      <c r="N224" s="31" t="s">
        <v>11</v>
      </c>
      <c r="O224" s="53">
        <v>1.5</v>
      </c>
      <c r="P224" s="35">
        <f t="shared" si="19"/>
        <v>780</v>
      </c>
      <c r="Q224" s="36">
        <f t="shared" si="20"/>
        <v>7.3003400000000003</v>
      </c>
      <c r="R224" s="36">
        <f t="shared" si="21"/>
        <v>0.20549999999999999</v>
      </c>
      <c r="S224" s="37">
        <f t="shared" si="22"/>
        <v>106.86</v>
      </c>
      <c r="T224" s="36" t="s">
        <v>349</v>
      </c>
      <c r="U224" s="31" t="s">
        <v>228</v>
      </c>
      <c r="V224" s="57">
        <v>7.1879</v>
      </c>
      <c r="W224" s="38">
        <f t="shared" si="23"/>
        <v>108.51569999582632</v>
      </c>
    </row>
    <row r="225" spans="1:23">
      <c r="A225" s="31" t="s">
        <v>180</v>
      </c>
      <c r="B225" s="32">
        <v>45674</v>
      </c>
      <c r="C225" s="32">
        <v>45663</v>
      </c>
      <c r="D225" s="31" t="s">
        <v>169</v>
      </c>
      <c r="E225" s="31" t="s">
        <v>170</v>
      </c>
      <c r="G225" s="31" t="s">
        <v>172</v>
      </c>
      <c r="H225" s="31" t="s">
        <v>178</v>
      </c>
      <c r="I225" s="31" t="s">
        <v>179</v>
      </c>
      <c r="J225" s="34" t="str">
        <f t="shared" si="18"/>
        <v>PRIM</v>
      </c>
      <c r="K225" s="31" t="s">
        <v>10</v>
      </c>
      <c r="L225" s="52">
        <v>1000</v>
      </c>
      <c r="M225" s="31" t="s">
        <v>1472</v>
      </c>
      <c r="N225" s="31" t="s">
        <v>11</v>
      </c>
      <c r="O225" s="53">
        <v>1.53</v>
      </c>
      <c r="P225" s="35">
        <f t="shared" si="19"/>
        <v>1530</v>
      </c>
      <c r="Q225" s="36">
        <f t="shared" si="20"/>
        <v>7.3003400000000003</v>
      </c>
      <c r="R225" s="36">
        <f t="shared" si="21"/>
        <v>0.20960000000000001</v>
      </c>
      <c r="S225" s="37">
        <f t="shared" si="22"/>
        <v>209.6</v>
      </c>
      <c r="T225" s="36" t="s">
        <v>349</v>
      </c>
      <c r="U225" s="31" t="s">
        <v>181</v>
      </c>
      <c r="V225" s="57">
        <v>7.1879</v>
      </c>
      <c r="W225" s="38">
        <f t="shared" si="23"/>
        <v>212.8577192225824</v>
      </c>
    </row>
    <row r="226" spans="1:23">
      <c r="A226" s="31" t="s">
        <v>731</v>
      </c>
      <c r="B226" s="32">
        <v>45667</v>
      </c>
      <c r="C226" s="32">
        <v>45646</v>
      </c>
      <c r="D226" s="31" t="s">
        <v>709</v>
      </c>
      <c r="E226" s="31" t="s">
        <v>710</v>
      </c>
      <c r="G226" s="31" t="s">
        <v>712</v>
      </c>
      <c r="H226" s="31" t="s">
        <v>729</v>
      </c>
      <c r="I226" s="31" t="s">
        <v>730</v>
      </c>
      <c r="J226" s="34" t="str">
        <f t="shared" si="18"/>
        <v>HDL-</v>
      </c>
      <c r="K226" s="31" t="s">
        <v>10</v>
      </c>
      <c r="L226" s="52">
        <v>2000</v>
      </c>
      <c r="M226" s="31" t="s">
        <v>1472</v>
      </c>
      <c r="N226" s="31" t="s">
        <v>11</v>
      </c>
      <c r="O226" s="53">
        <v>1.5313000000000001</v>
      </c>
      <c r="P226" s="35">
        <f t="shared" si="19"/>
        <v>3062.6</v>
      </c>
      <c r="Q226" s="36">
        <f t="shared" si="20"/>
        <v>7.3003400000000003</v>
      </c>
      <c r="R226" s="36">
        <f t="shared" si="21"/>
        <v>0.20979999999999999</v>
      </c>
      <c r="S226" s="37">
        <f t="shared" si="22"/>
        <v>419.6</v>
      </c>
      <c r="T226" s="36" t="s">
        <v>349</v>
      </c>
      <c r="U226" s="31" t="s">
        <v>228</v>
      </c>
      <c r="V226" s="57">
        <v>7.1879</v>
      </c>
      <c r="W226" s="38">
        <f t="shared" si="23"/>
        <v>426.07715744515087</v>
      </c>
    </row>
    <row r="227" spans="1:23">
      <c r="A227" s="31" t="s">
        <v>725</v>
      </c>
      <c r="B227" s="32">
        <v>45667</v>
      </c>
      <c r="C227" s="32">
        <v>45646</v>
      </c>
      <c r="D227" s="31" t="s">
        <v>709</v>
      </c>
      <c r="E227" s="31" t="s">
        <v>710</v>
      </c>
      <c r="G227" s="31" t="s">
        <v>712</v>
      </c>
      <c r="H227" s="31" t="s">
        <v>723</v>
      </c>
      <c r="I227" s="31" t="s">
        <v>724</v>
      </c>
      <c r="J227" s="34" t="str">
        <f t="shared" si="18"/>
        <v>SHDL</v>
      </c>
      <c r="K227" s="31" t="s">
        <v>10</v>
      </c>
      <c r="L227" s="52">
        <v>2000</v>
      </c>
      <c r="M227" s="31" t="s">
        <v>1472</v>
      </c>
      <c r="N227" s="31" t="s">
        <v>11</v>
      </c>
      <c r="O227" s="53">
        <v>1.6517999999999999</v>
      </c>
      <c r="P227" s="35">
        <f t="shared" si="19"/>
        <v>3303.6</v>
      </c>
      <c r="Q227" s="36">
        <f t="shared" si="20"/>
        <v>7.3003400000000003</v>
      </c>
      <c r="R227" s="36">
        <f t="shared" si="21"/>
        <v>0.2263</v>
      </c>
      <c r="S227" s="37">
        <f t="shared" si="22"/>
        <v>452.6</v>
      </c>
      <c r="T227" s="36" t="s">
        <v>349</v>
      </c>
      <c r="U227" s="31" t="s">
        <v>722</v>
      </c>
      <c r="V227" s="57">
        <v>7.1879</v>
      </c>
      <c r="W227" s="38">
        <f t="shared" si="23"/>
        <v>459.60572629001518</v>
      </c>
    </row>
    <row r="228" spans="1:23">
      <c r="A228" s="31" t="s">
        <v>491</v>
      </c>
      <c r="B228" s="32">
        <v>45670</v>
      </c>
      <c r="C228" s="32">
        <v>45653</v>
      </c>
      <c r="D228" s="31" t="s">
        <v>5</v>
      </c>
      <c r="E228" s="31" t="s">
        <v>6</v>
      </c>
      <c r="G228" s="31" t="s">
        <v>492</v>
      </c>
      <c r="H228" s="31" t="s">
        <v>489</v>
      </c>
      <c r="I228" s="31" t="s">
        <v>490</v>
      </c>
      <c r="J228" s="34" t="str">
        <f t="shared" si="18"/>
        <v>SHTS</v>
      </c>
      <c r="K228" s="31" t="s">
        <v>10</v>
      </c>
      <c r="L228" s="52">
        <v>1010</v>
      </c>
      <c r="M228" s="31" t="s">
        <v>1472</v>
      </c>
      <c r="N228" s="31" t="s">
        <v>11</v>
      </c>
      <c r="O228" s="53">
        <v>1.66</v>
      </c>
      <c r="P228" s="35">
        <f t="shared" si="19"/>
        <v>1676.6</v>
      </c>
      <c r="Q228" s="36">
        <f t="shared" si="20"/>
        <v>7.3003400000000003</v>
      </c>
      <c r="R228" s="36">
        <f t="shared" si="21"/>
        <v>0.22739999999999999</v>
      </c>
      <c r="S228" s="37">
        <f t="shared" si="22"/>
        <v>229.67</v>
      </c>
      <c r="T228" s="36" t="s">
        <v>349</v>
      </c>
      <c r="U228" s="31" t="s">
        <v>9</v>
      </c>
      <c r="V228" s="57">
        <v>7.1879</v>
      </c>
      <c r="W228" s="38">
        <f t="shared" si="23"/>
        <v>233.25310591410565</v>
      </c>
    </row>
    <row r="229" spans="1:23">
      <c r="A229" s="31" t="s">
        <v>1085</v>
      </c>
      <c r="B229" s="32">
        <v>45663</v>
      </c>
      <c r="C229" s="32">
        <v>45653</v>
      </c>
      <c r="D229" s="31" t="s">
        <v>5</v>
      </c>
      <c r="E229" s="31" t="s">
        <v>6</v>
      </c>
      <c r="G229" s="31" t="s">
        <v>1084</v>
      </c>
      <c r="H229" s="31" t="s">
        <v>493</v>
      </c>
      <c r="I229" s="31" t="s">
        <v>494</v>
      </c>
      <c r="J229" s="34" t="str">
        <f t="shared" si="18"/>
        <v>SHTS</v>
      </c>
      <c r="K229" s="31" t="s">
        <v>10</v>
      </c>
      <c r="L229" s="52">
        <v>2020</v>
      </c>
      <c r="M229" s="31" t="s">
        <v>1472</v>
      </c>
      <c r="N229" s="31" t="s">
        <v>11</v>
      </c>
      <c r="O229" s="53">
        <v>1.75</v>
      </c>
      <c r="P229" s="35">
        <f t="shared" si="19"/>
        <v>3535</v>
      </c>
      <c r="Q229" s="36">
        <f t="shared" si="20"/>
        <v>7.3003400000000003</v>
      </c>
      <c r="R229" s="36">
        <f t="shared" si="21"/>
        <v>0.2397</v>
      </c>
      <c r="S229" s="37">
        <f t="shared" si="22"/>
        <v>484.19</v>
      </c>
      <c r="T229" s="36" t="s">
        <v>349</v>
      </c>
      <c r="U229" s="31" t="s">
        <v>9</v>
      </c>
      <c r="V229" s="57">
        <v>7.1879</v>
      </c>
      <c r="W229" s="38">
        <f t="shared" si="23"/>
        <v>491.79871728877697</v>
      </c>
    </row>
    <row r="230" spans="1:23">
      <c r="A230" s="31" t="s">
        <v>495</v>
      </c>
      <c r="B230" s="32">
        <v>45670</v>
      </c>
      <c r="C230" s="32">
        <v>45653</v>
      </c>
      <c r="D230" s="31" t="s">
        <v>5</v>
      </c>
      <c r="E230" s="31" t="s">
        <v>6</v>
      </c>
      <c r="G230" s="31" t="s">
        <v>492</v>
      </c>
      <c r="H230" s="31" t="s">
        <v>493</v>
      </c>
      <c r="I230" s="31" t="s">
        <v>494</v>
      </c>
      <c r="J230" s="34" t="str">
        <f t="shared" si="18"/>
        <v>SHTS</v>
      </c>
      <c r="K230" s="31" t="s">
        <v>10</v>
      </c>
      <c r="L230" s="52">
        <v>1010</v>
      </c>
      <c r="M230" s="31" t="s">
        <v>1472</v>
      </c>
      <c r="N230" s="31" t="s">
        <v>11</v>
      </c>
      <c r="O230" s="53">
        <v>1.75</v>
      </c>
      <c r="P230" s="35">
        <f t="shared" si="19"/>
        <v>1767.5</v>
      </c>
      <c r="Q230" s="36">
        <f t="shared" si="20"/>
        <v>7.3003400000000003</v>
      </c>
      <c r="R230" s="36">
        <f t="shared" si="21"/>
        <v>0.2397</v>
      </c>
      <c r="S230" s="37">
        <f t="shared" si="22"/>
        <v>242.1</v>
      </c>
      <c r="T230" s="36" t="s">
        <v>349</v>
      </c>
      <c r="U230" s="31" t="s">
        <v>9</v>
      </c>
      <c r="V230" s="57">
        <v>7.1879</v>
      </c>
      <c r="W230" s="38">
        <f t="shared" si="23"/>
        <v>245.89935864438849</v>
      </c>
    </row>
    <row r="231" spans="1:23">
      <c r="A231" s="31" t="s">
        <v>734</v>
      </c>
      <c r="B231" s="32">
        <v>45667</v>
      </c>
      <c r="C231" s="32">
        <v>45646</v>
      </c>
      <c r="D231" s="31" t="s">
        <v>709</v>
      </c>
      <c r="E231" s="31" t="s">
        <v>710</v>
      </c>
      <c r="G231" s="31" t="s">
        <v>712</v>
      </c>
      <c r="H231" s="31" t="s">
        <v>732</v>
      </c>
      <c r="I231" s="31" t="s">
        <v>733</v>
      </c>
      <c r="J231" s="34" t="str">
        <f t="shared" si="18"/>
        <v>HDL-</v>
      </c>
      <c r="K231" s="31" t="s">
        <v>10</v>
      </c>
      <c r="L231" s="52">
        <v>5000</v>
      </c>
      <c r="M231" s="31" t="s">
        <v>1472</v>
      </c>
      <c r="N231" s="31" t="s">
        <v>11</v>
      </c>
      <c r="O231" s="53">
        <v>1.849</v>
      </c>
      <c r="P231" s="35">
        <f t="shared" si="19"/>
        <v>9245</v>
      </c>
      <c r="Q231" s="36">
        <f t="shared" si="20"/>
        <v>7.3003400000000003</v>
      </c>
      <c r="R231" s="36">
        <f t="shared" si="21"/>
        <v>0.25330000000000003</v>
      </c>
      <c r="S231" s="37">
        <f t="shared" si="22"/>
        <v>1266.5</v>
      </c>
      <c r="T231" s="36" t="s">
        <v>349</v>
      </c>
      <c r="U231" s="31" t="s">
        <v>228</v>
      </c>
      <c r="V231" s="57">
        <v>7.1879</v>
      </c>
      <c r="W231" s="38">
        <f t="shared" si="23"/>
        <v>1286.1892903351466</v>
      </c>
    </row>
    <row r="232" spans="1:23">
      <c r="A232" s="31" t="s">
        <v>721</v>
      </c>
      <c r="B232" s="32">
        <v>45667</v>
      </c>
      <c r="C232" s="32">
        <v>45646</v>
      </c>
      <c r="D232" s="31" t="s">
        <v>709</v>
      </c>
      <c r="E232" s="31" t="s">
        <v>710</v>
      </c>
      <c r="G232" s="31" t="s">
        <v>712</v>
      </c>
      <c r="H232" s="31" t="s">
        <v>719</v>
      </c>
      <c r="I232" s="31" t="s">
        <v>720</v>
      </c>
      <c r="J232" s="34" t="str">
        <f t="shared" si="18"/>
        <v>SHDL</v>
      </c>
      <c r="K232" s="31" t="s">
        <v>10</v>
      </c>
      <c r="L232" s="52">
        <v>2050</v>
      </c>
      <c r="M232" s="31" t="s">
        <v>1472</v>
      </c>
      <c r="N232" s="31" t="s">
        <v>11</v>
      </c>
      <c r="O232" s="53">
        <v>1.8811</v>
      </c>
      <c r="P232" s="35">
        <f t="shared" si="19"/>
        <v>3856.26</v>
      </c>
      <c r="Q232" s="36">
        <f t="shared" si="20"/>
        <v>7.3003400000000003</v>
      </c>
      <c r="R232" s="36">
        <f t="shared" si="21"/>
        <v>0.25769999999999998</v>
      </c>
      <c r="S232" s="37">
        <f t="shared" si="22"/>
        <v>528.29</v>
      </c>
      <c r="T232" s="36" t="s">
        <v>349</v>
      </c>
      <c r="U232" s="31" t="s">
        <v>722</v>
      </c>
      <c r="V232" s="57">
        <v>7.1879</v>
      </c>
      <c r="W232" s="38">
        <f t="shared" si="23"/>
        <v>536.49257780436562</v>
      </c>
    </row>
    <row r="233" spans="1:23">
      <c r="A233" s="31" t="s">
        <v>420</v>
      </c>
      <c r="B233" s="32">
        <v>45670</v>
      </c>
      <c r="C233" s="32">
        <v>45664</v>
      </c>
      <c r="D233" s="31" t="s">
        <v>5</v>
      </c>
      <c r="E233" s="31" t="s">
        <v>6</v>
      </c>
      <c r="G233" s="31" t="s">
        <v>393</v>
      </c>
      <c r="H233" s="31" t="s">
        <v>418</v>
      </c>
      <c r="I233" s="31" t="s">
        <v>419</v>
      </c>
      <c r="J233" s="34" t="str">
        <f t="shared" si="18"/>
        <v>BOX-</v>
      </c>
      <c r="K233" s="31" t="s">
        <v>10</v>
      </c>
      <c r="L233" s="52">
        <v>2020</v>
      </c>
      <c r="M233" s="31" t="s">
        <v>1472</v>
      </c>
      <c r="N233" s="31" t="s">
        <v>11</v>
      </c>
      <c r="O233" s="53">
        <v>1.94</v>
      </c>
      <c r="P233" s="35">
        <f t="shared" si="19"/>
        <v>3918.8</v>
      </c>
      <c r="Q233" s="36">
        <f t="shared" si="20"/>
        <v>7.3003400000000003</v>
      </c>
      <c r="R233" s="36">
        <f t="shared" si="21"/>
        <v>0.26569999999999999</v>
      </c>
      <c r="S233" s="37">
        <f t="shared" si="22"/>
        <v>536.71</v>
      </c>
      <c r="T233" s="36" t="s">
        <v>349</v>
      </c>
      <c r="U233" s="31" t="s">
        <v>1</v>
      </c>
      <c r="V233" s="57">
        <v>7.1879</v>
      </c>
      <c r="W233" s="38">
        <f t="shared" si="23"/>
        <v>545.19400659441555</v>
      </c>
    </row>
    <row r="234" spans="1:23">
      <c r="A234" s="31" t="s">
        <v>967</v>
      </c>
      <c r="B234" s="32">
        <v>45664</v>
      </c>
      <c r="C234" s="32">
        <v>45610</v>
      </c>
      <c r="D234" s="31" t="s">
        <v>128</v>
      </c>
      <c r="E234" s="31" t="s">
        <v>129</v>
      </c>
      <c r="G234" s="31" t="s">
        <v>953</v>
      </c>
      <c r="H234" s="31" t="s">
        <v>965</v>
      </c>
      <c r="I234" s="31" t="s">
        <v>966</v>
      </c>
      <c r="J234" s="34" t="str">
        <f t="shared" si="18"/>
        <v>LHDL</v>
      </c>
      <c r="K234" s="31" t="s">
        <v>10</v>
      </c>
      <c r="L234" s="52">
        <v>1020</v>
      </c>
      <c r="M234" s="31" t="s">
        <v>1472</v>
      </c>
      <c r="N234" s="31" t="s">
        <v>11</v>
      </c>
      <c r="O234" s="53">
        <v>1.9986999999999999</v>
      </c>
      <c r="P234" s="35">
        <f t="shared" si="19"/>
        <v>2038.67</v>
      </c>
      <c r="Q234" s="36">
        <f t="shared" si="20"/>
        <v>7.3003400000000003</v>
      </c>
      <c r="R234" s="36">
        <f t="shared" si="21"/>
        <v>0.27379999999999999</v>
      </c>
      <c r="S234" s="37">
        <f t="shared" si="22"/>
        <v>279.27999999999997</v>
      </c>
      <c r="T234" s="36" t="s">
        <v>349</v>
      </c>
      <c r="U234" s="31" t="s">
        <v>125</v>
      </c>
      <c r="V234" s="57">
        <v>7.1879</v>
      </c>
      <c r="W234" s="38">
        <f t="shared" si="23"/>
        <v>283.62581560678359</v>
      </c>
    </row>
    <row r="235" spans="1:23">
      <c r="A235" s="31" t="s">
        <v>417</v>
      </c>
      <c r="B235" s="32">
        <v>45670</v>
      </c>
      <c r="C235" s="32">
        <v>45664</v>
      </c>
      <c r="D235" s="31" t="s">
        <v>5</v>
      </c>
      <c r="E235" s="31" t="s">
        <v>6</v>
      </c>
      <c r="G235" s="31" t="s">
        <v>393</v>
      </c>
      <c r="H235" s="31" t="s">
        <v>415</v>
      </c>
      <c r="I235" s="31" t="s">
        <v>416</v>
      </c>
      <c r="J235" s="34" t="str">
        <f t="shared" si="18"/>
        <v>BOX-</v>
      </c>
      <c r="K235" s="31" t="s">
        <v>10</v>
      </c>
      <c r="L235" s="52">
        <v>2020</v>
      </c>
      <c r="M235" s="31" t="s">
        <v>1472</v>
      </c>
      <c r="N235" s="31" t="s">
        <v>11</v>
      </c>
      <c r="O235" s="53">
        <v>2.0299999999999998</v>
      </c>
      <c r="P235" s="35">
        <f t="shared" si="19"/>
        <v>4100.6000000000004</v>
      </c>
      <c r="Q235" s="36">
        <f t="shared" si="20"/>
        <v>7.3003400000000003</v>
      </c>
      <c r="R235" s="36">
        <f t="shared" si="21"/>
        <v>0.27810000000000001</v>
      </c>
      <c r="S235" s="37">
        <f t="shared" si="22"/>
        <v>561.76</v>
      </c>
      <c r="T235" s="36" t="s">
        <v>349</v>
      </c>
      <c r="U235" s="31" t="s">
        <v>1</v>
      </c>
      <c r="V235" s="57">
        <v>7.1879</v>
      </c>
      <c r="W235" s="38">
        <f t="shared" si="23"/>
        <v>570.48651205498129</v>
      </c>
    </row>
    <row r="236" spans="1:23">
      <c r="A236" s="31" t="s">
        <v>517</v>
      </c>
      <c r="B236" s="32">
        <v>45670</v>
      </c>
      <c r="C236" s="32">
        <v>45663</v>
      </c>
      <c r="D236" s="31" t="s">
        <v>5</v>
      </c>
      <c r="E236" s="31" t="s">
        <v>6</v>
      </c>
      <c r="G236" s="31" t="s">
        <v>492</v>
      </c>
      <c r="H236" s="31" t="s">
        <v>515</v>
      </c>
      <c r="I236" s="31" t="s">
        <v>516</v>
      </c>
      <c r="J236" s="34" t="str">
        <f t="shared" si="18"/>
        <v>SHTS</v>
      </c>
      <c r="K236" s="31" t="s">
        <v>10</v>
      </c>
      <c r="L236" s="52">
        <v>1010</v>
      </c>
      <c r="M236" s="31" t="s">
        <v>1472</v>
      </c>
      <c r="N236" s="31" t="s">
        <v>11</v>
      </c>
      <c r="O236" s="53">
        <v>2.09</v>
      </c>
      <c r="P236" s="35">
        <f t="shared" si="19"/>
        <v>2110.9</v>
      </c>
      <c r="Q236" s="36">
        <f t="shared" si="20"/>
        <v>7.3003400000000003</v>
      </c>
      <c r="R236" s="36">
        <f t="shared" si="21"/>
        <v>0.2863</v>
      </c>
      <c r="S236" s="37">
        <f t="shared" si="22"/>
        <v>289.16000000000003</v>
      </c>
      <c r="T236" s="36" t="s">
        <v>349</v>
      </c>
      <c r="U236" s="31" t="s">
        <v>9</v>
      </c>
      <c r="V236" s="57">
        <v>7.1879</v>
      </c>
      <c r="W236" s="38">
        <f t="shared" si="23"/>
        <v>293.6740911810125</v>
      </c>
    </row>
    <row r="237" spans="1:23">
      <c r="A237" s="31" t="s">
        <v>30</v>
      </c>
      <c r="B237" s="32">
        <v>45680</v>
      </c>
      <c r="C237" s="32">
        <v>45646</v>
      </c>
      <c r="D237" s="31" t="s">
        <v>28</v>
      </c>
      <c r="E237" s="31" t="s">
        <v>29</v>
      </c>
      <c r="G237" s="31" t="s">
        <v>31</v>
      </c>
      <c r="H237" s="31" t="s">
        <v>26</v>
      </c>
      <c r="I237" s="31" t="s">
        <v>27</v>
      </c>
      <c r="J237" s="34" t="str">
        <f t="shared" si="18"/>
        <v>KNOB</v>
      </c>
      <c r="K237" s="31" t="s">
        <v>10</v>
      </c>
      <c r="L237" s="52">
        <v>9250</v>
      </c>
      <c r="M237" s="31" t="s">
        <v>1472</v>
      </c>
      <c r="N237" s="31" t="s">
        <v>11</v>
      </c>
      <c r="O237" s="53">
        <v>2.2488000000000001</v>
      </c>
      <c r="P237" s="35">
        <f t="shared" si="19"/>
        <v>20801.400000000001</v>
      </c>
      <c r="Q237" s="36">
        <f t="shared" si="20"/>
        <v>7.3003400000000003</v>
      </c>
      <c r="R237" s="36">
        <f t="shared" si="21"/>
        <v>0.308</v>
      </c>
      <c r="S237" s="37">
        <f t="shared" si="22"/>
        <v>2849</v>
      </c>
      <c r="T237" s="36" t="s">
        <v>349</v>
      </c>
      <c r="U237" s="31" t="s">
        <v>32</v>
      </c>
      <c r="V237" s="57">
        <v>7.1879</v>
      </c>
      <c r="W237" s="38">
        <f t="shared" si="23"/>
        <v>2893.9467716579252</v>
      </c>
    </row>
    <row r="238" spans="1:23">
      <c r="A238" s="31" t="s">
        <v>502</v>
      </c>
      <c r="B238" s="32">
        <v>45670</v>
      </c>
      <c r="C238" s="32">
        <v>45663</v>
      </c>
      <c r="D238" s="31" t="s">
        <v>5</v>
      </c>
      <c r="E238" s="31" t="s">
        <v>6</v>
      </c>
      <c r="G238" s="31" t="s">
        <v>492</v>
      </c>
      <c r="H238" s="31" t="s">
        <v>499</v>
      </c>
      <c r="I238" s="31" t="s">
        <v>500</v>
      </c>
      <c r="J238" s="34" t="str">
        <f t="shared" si="18"/>
        <v>SHTS</v>
      </c>
      <c r="K238" s="31" t="s">
        <v>10</v>
      </c>
      <c r="L238" s="52">
        <v>510</v>
      </c>
      <c r="M238" s="31" t="s">
        <v>1472</v>
      </c>
      <c r="N238" s="31" t="s">
        <v>11</v>
      </c>
      <c r="O238" s="53">
        <v>2.2999999999999998</v>
      </c>
      <c r="P238" s="35">
        <f t="shared" si="19"/>
        <v>1173</v>
      </c>
      <c r="Q238" s="36">
        <f t="shared" si="20"/>
        <v>7.3003400000000003</v>
      </c>
      <c r="R238" s="36">
        <f t="shared" si="21"/>
        <v>0.31509999999999999</v>
      </c>
      <c r="S238" s="37">
        <f t="shared" si="22"/>
        <v>160.69999999999999</v>
      </c>
      <c r="T238" s="36" t="s">
        <v>349</v>
      </c>
      <c r="U238" s="31" t="s">
        <v>9</v>
      </c>
      <c r="V238" s="57">
        <v>7.1879</v>
      </c>
      <c r="W238" s="38">
        <f t="shared" si="23"/>
        <v>163.19091807064649</v>
      </c>
    </row>
    <row r="239" spans="1:23">
      <c r="A239" s="31" t="s">
        <v>501</v>
      </c>
      <c r="B239" s="32">
        <v>45670</v>
      </c>
      <c r="C239" s="32">
        <v>45663</v>
      </c>
      <c r="D239" s="31" t="s">
        <v>5</v>
      </c>
      <c r="E239" s="31" t="s">
        <v>6</v>
      </c>
      <c r="G239" s="31" t="s">
        <v>492</v>
      </c>
      <c r="H239" s="31" t="s">
        <v>499</v>
      </c>
      <c r="I239" s="31" t="s">
        <v>500</v>
      </c>
      <c r="J239" s="34" t="str">
        <f t="shared" si="18"/>
        <v>SHTS</v>
      </c>
      <c r="K239" s="31" t="s">
        <v>10</v>
      </c>
      <c r="L239" s="52">
        <v>1010</v>
      </c>
      <c r="M239" s="31" t="s">
        <v>1472</v>
      </c>
      <c r="N239" s="31" t="s">
        <v>11</v>
      </c>
      <c r="O239" s="53">
        <v>2.2999999999999998</v>
      </c>
      <c r="P239" s="35">
        <f t="shared" si="19"/>
        <v>2323</v>
      </c>
      <c r="Q239" s="36">
        <f t="shared" si="20"/>
        <v>7.3003400000000003</v>
      </c>
      <c r="R239" s="36">
        <f t="shared" si="21"/>
        <v>0.31509999999999999</v>
      </c>
      <c r="S239" s="37">
        <f t="shared" si="22"/>
        <v>318.25</v>
      </c>
      <c r="T239" s="36" t="s">
        <v>349</v>
      </c>
      <c r="U239" s="31" t="s">
        <v>9</v>
      </c>
      <c r="V239" s="57">
        <v>7.1879</v>
      </c>
      <c r="W239" s="38">
        <f t="shared" si="23"/>
        <v>323.18201421833913</v>
      </c>
    </row>
    <row r="240" spans="1:23">
      <c r="A240" s="31" t="s">
        <v>446</v>
      </c>
      <c r="B240" s="32">
        <v>45670</v>
      </c>
      <c r="C240" s="32">
        <v>45639</v>
      </c>
      <c r="D240" s="31" t="s">
        <v>128</v>
      </c>
      <c r="E240" s="31" t="s">
        <v>129</v>
      </c>
      <c r="G240" s="31" t="s">
        <v>437</v>
      </c>
      <c r="H240" s="31" t="s">
        <v>26</v>
      </c>
      <c r="I240" s="31" t="s">
        <v>27</v>
      </c>
      <c r="J240" s="34" t="str">
        <f t="shared" si="18"/>
        <v>KNOB</v>
      </c>
      <c r="K240" s="31" t="s">
        <v>10</v>
      </c>
      <c r="L240" s="52">
        <v>2040</v>
      </c>
      <c r="M240" s="31" t="s">
        <v>1472</v>
      </c>
      <c r="N240" s="31" t="s">
        <v>11</v>
      </c>
      <c r="O240" s="53">
        <v>2.3193999999999999</v>
      </c>
      <c r="P240" s="35">
        <f t="shared" si="19"/>
        <v>4731.58</v>
      </c>
      <c r="Q240" s="36">
        <f t="shared" si="20"/>
        <v>7.3003400000000003</v>
      </c>
      <c r="R240" s="36">
        <f t="shared" si="21"/>
        <v>0.31769999999999998</v>
      </c>
      <c r="S240" s="37">
        <f t="shared" si="22"/>
        <v>648.11</v>
      </c>
      <c r="T240" s="36" t="s">
        <v>349</v>
      </c>
      <c r="U240" s="31" t="s">
        <v>32</v>
      </c>
      <c r="V240" s="57">
        <v>7.1879</v>
      </c>
      <c r="W240" s="38">
        <f t="shared" si="23"/>
        <v>658.2695919531435</v>
      </c>
    </row>
    <row r="241" spans="1:23">
      <c r="A241" s="31" t="s">
        <v>511</v>
      </c>
      <c r="B241" s="32">
        <v>45670</v>
      </c>
      <c r="C241" s="32">
        <v>45663</v>
      </c>
      <c r="D241" s="31" t="s">
        <v>5</v>
      </c>
      <c r="E241" s="31" t="s">
        <v>6</v>
      </c>
      <c r="G241" s="31" t="s">
        <v>492</v>
      </c>
      <c r="H241" s="31" t="s">
        <v>509</v>
      </c>
      <c r="I241" s="31" t="s">
        <v>510</v>
      </c>
      <c r="J241" s="34" t="str">
        <f t="shared" si="18"/>
        <v>SHTS</v>
      </c>
      <c r="K241" s="31" t="s">
        <v>10</v>
      </c>
      <c r="L241" s="52">
        <v>1010</v>
      </c>
      <c r="M241" s="31" t="s">
        <v>1472</v>
      </c>
      <c r="N241" s="31" t="s">
        <v>11</v>
      </c>
      <c r="O241" s="53">
        <v>2.46</v>
      </c>
      <c r="P241" s="35">
        <f t="shared" si="19"/>
        <v>2484.6</v>
      </c>
      <c r="Q241" s="36">
        <f t="shared" si="20"/>
        <v>7.3003400000000003</v>
      </c>
      <c r="R241" s="36">
        <f t="shared" si="21"/>
        <v>0.33700000000000002</v>
      </c>
      <c r="S241" s="37">
        <f t="shared" si="22"/>
        <v>340.37</v>
      </c>
      <c r="T241" s="36" t="s">
        <v>349</v>
      </c>
      <c r="U241" s="31" t="s">
        <v>9</v>
      </c>
      <c r="V241" s="57">
        <v>7.1879</v>
      </c>
      <c r="W241" s="38">
        <f t="shared" si="23"/>
        <v>345.66424129439753</v>
      </c>
    </row>
    <row r="242" spans="1:23">
      <c r="A242" s="31" t="s">
        <v>386</v>
      </c>
      <c r="B242" s="32">
        <v>45670</v>
      </c>
      <c r="C242" s="32">
        <v>45663</v>
      </c>
      <c r="D242" s="31" t="s">
        <v>5</v>
      </c>
      <c r="E242" s="31" t="s">
        <v>6</v>
      </c>
      <c r="G242" s="31" t="s">
        <v>383</v>
      </c>
      <c r="H242" s="31" t="s">
        <v>384</v>
      </c>
      <c r="I242" s="31" t="s">
        <v>385</v>
      </c>
      <c r="J242" s="34" t="str">
        <f t="shared" si="18"/>
        <v>BOX-</v>
      </c>
      <c r="K242" s="31" t="s">
        <v>10</v>
      </c>
      <c r="L242" s="52">
        <v>1010</v>
      </c>
      <c r="M242" s="31" t="s">
        <v>1472</v>
      </c>
      <c r="N242" s="31" t="s">
        <v>11</v>
      </c>
      <c r="O242" s="53">
        <v>2.5</v>
      </c>
      <c r="P242" s="35">
        <f t="shared" si="19"/>
        <v>2525</v>
      </c>
      <c r="Q242" s="36">
        <f t="shared" si="20"/>
        <v>7.3003400000000003</v>
      </c>
      <c r="R242" s="36">
        <f t="shared" si="21"/>
        <v>0.34239999999999998</v>
      </c>
      <c r="S242" s="37">
        <f t="shared" si="22"/>
        <v>345.82</v>
      </c>
      <c r="T242" s="36" t="s">
        <v>349</v>
      </c>
      <c r="U242" s="31" t="s">
        <v>1</v>
      </c>
      <c r="V242" s="57">
        <v>7.1879</v>
      </c>
      <c r="W242" s="38">
        <f t="shared" si="23"/>
        <v>351.28479806341215</v>
      </c>
    </row>
    <row r="243" spans="1:23">
      <c r="A243" s="31" t="s">
        <v>411</v>
      </c>
      <c r="B243" s="32">
        <v>45670</v>
      </c>
      <c r="C243" s="32">
        <v>45664</v>
      </c>
      <c r="D243" s="31" t="s">
        <v>5</v>
      </c>
      <c r="E243" s="31" t="s">
        <v>6</v>
      </c>
      <c r="G243" s="31" t="s">
        <v>393</v>
      </c>
      <c r="H243" s="31" t="s">
        <v>409</v>
      </c>
      <c r="I243" s="31" t="s">
        <v>410</v>
      </c>
      <c r="J243" s="34" t="str">
        <f t="shared" si="18"/>
        <v>BOX-</v>
      </c>
      <c r="K243" s="31" t="s">
        <v>10</v>
      </c>
      <c r="L243" s="52">
        <v>2020</v>
      </c>
      <c r="M243" s="31" t="s">
        <v>1472</v>
      </c>
      <c r="N243" s="31" t="s">
        <v>11</v>
      </c>
      <c r="O243" s="53">
        <v>2.52</v>
      </c>
      <c r="P243" s="35">
        <f t="shared" si="19"/>
        <v>5090.3999999999996</v>
      </c>
      <c r="Q243" s="36">
        <f t="shared" si="20"/>
        <v>7.3003400000000003</v>
      </c>
      <c r="R243" s="36">
        <f t="shared" si="21"/>
        <v>0.34520000000000001</v>
      </c>
      <c r="S243" s="37">
        <f t="shared" si="22"/>
        <v>697.3</v>
      </c>
      <c r="T243" s="36" t="s">
        <v>349</v>
      </c>
      <c r="U243" s="31" t="s">
        <v>1</v>
      </c>
      <c r="V243" s="57">
        <v>7.1879</v>
      </c>
      <c r="W243" s="38">
        <f t="shared" si="23"/>
        <v>708.19015289583888</v>
      </c>
    </row>
    <row r="244" spans="1:23">
      <c r="A244" s="31" t="s">
        <v>1189</v>
      </c>
      <c r="B244" s="32">
        <v>45663</v>
      </c>
      <c r="C244" s="32">
        <v>45643</v>
      </c>
      <c r="D244" s="31" t="s">
        <v>149</v>
      </c>
      <c r="E244" s="31" t="s">
        <v>150</v>
      </c>
      <c r="G244" s="31" t="s">
        <v>1182</v>
      </c>
      <c r="H244" s="31" t="s">
        <v>1187</v>
      </c>
      <c r="I244" s="31" t="s">
        <v>1188</v>
      </c>
      <c r="J244" s="34" t="str">
        <f t="shared" si="18"/>
        <v>GLID</v>
      </c>
      <c r="K244" s="31" t="s">
        <v>10</v>
      </c>
      <c r="L244" s="52">
        <v>1220</v>
      </c>
      <c r="M244" s="31" t="s">
        <v>1472</v>
      </c>
      <c r="N244" s="31" t="s">
        <v>11</v>
      </c>
      <c r="O244" s="53">
        <v>2.5366</v>
      </c>
      <c r="P244" s="35">
        <f t="shared" si="19"/>
        <v>3094.65</v>
      </c>
      <c r="Q244" s="36">
        <f t="shared" si="20"/>
        <v>7.3003400000000003</v>
      </c>
      <c r="R244" s="36">
        <f t="shared" si="21"/>
        <v>0.34749999999999998</v>
      </c>
      <c r="S244" s="37">
        <f t="shared" si="22"/>
        <v>423.95</v>
      </c>
      <c r="T244" s="36" t="s">
        <v>349</v>
      </c>
      <c r="U244" s="31" t="s">
        <v>78</v>
      </c>
      <c r="V244" s="57">
        <v>7.1879</v>
      </c>
      <c r="W244" s="38">
        <f t="shared" si="23"/>
        <v>430.53631797882554</v>
      </c>
    </row>
    <row r="245" spans="1:23">
      <c r="A245" s="31" t="s">
        <v>514</v>
      </c>
      <c r="B245" s="32">
        <v>45670</v>
      </c>
      <c r="C245" s="32">
        <v>45663</v>
      </c>
      <c r="D245" s="31" t="s">
        <v>5</v>
      </c>
      <c r="E245" s="31" t="s">
        <v>6</v>
      </c>
      <c r="G245" s="31" t="s">
        <v>492</v>
      </c>
      <c r="H245" s="31" t="s">
        <v>512</v>
      </c>
      <c r="I245" s="31" t="s">
        <v>513</v>
      </c>
      <c r="J245" s="34" t="str">
        <f t="shared" si="18"/>
        <v>SHTS</v>
      </c>
      <c r="K245" s="31" t="s">
        <v>10</v>
      </c>
      <c r="L245" s="52">
        <v>1010</v>
      </c>
      <c r="M245" s="31" t="s">
        <v>1472</v>
      </c>
      <c r="N245" s="31" t="s">
        <v>11</v>
      </c>
      <c r="O245" s="53">
        <v>2.56</v>
      </c>
      <c r="P245" s="35">
        <f t="shared" si="19"/>
        <v>2585.6</v>
      </c>
      <c r="Q245" s="36">
        <f t="shared" si="20"/>
        <v>7.3003400000000003</v>
      </c>
      <c r="R245" s="36">
        <f t="shared" si="21"/>
        <v>0.35070000000000001</v>
      </c>
      <c r="S245" s="37">
        <f t="shared" si="22"/>
        <v>354.21</v>
      </c>
      <c r="T245" s="36" t="s">
        <v>349</v>
      </c>
      <c r="U245" s="31" t="s">
        <v>9</v>
      </c>
      <c r="V245" s="57">
        <v>7.1879</v>
      </c>
      <c r="W245" s="38">
        <f t="shared" si="23"/>
        <v>359.71563321693401</v>
      </c>
    </row>
    <row r="246" spans="1:23">
      <c r="A246" s="31" t="s">
        <v>414</v>
      </c>
      <c r="B246" s="32">
        <v>45670</v>
      </c>
      <c r="C246" s="32">
        <v>45664</v>
      </c>
      <c r="D246" s="31" t="s">
        <v>5</v>
      </c>
      <c r="E246" s="31" t="s">
        <v>6</v>
      </c>
      <c r="G246" s="31" t="s">
        <v>393</v>
      </c>
      <c r="H246" s="31" t="s">
        <v>412</v>
      </c>
      <c r="I246" s="31" t="s">
        <v>413</v>
      </c>
      <c r="J246" s="34" t="str">
        <f t="shared" si="18"/>
        <v>BOX-</v>
      </c>
      <c r="K246" s="31" t="s">
        <v>10</v>
      </c>
      <c r="L246" s="52">
        <v>2020</v>
      </c>
      <c r="M246" s="31" t="s">
        <v>1472</v>
      </c>
      <c r="N246" s="31" t="s">
        <v>11</v>
      </c>
      <c r="O246" s="53">
        <v>2.6</v>
      </c>
      <c r="P246" s="35">
        <f t="shared" si="19"/>
        <v>5252</v>
      </c>
      <c r="Q246" s="36">
        <f t="shared" si="20"/>
        <v>7.3003400000000003</v>
      </c>
      <c r="R246" s="36">
        <f t="shared" si="21"/>
        <v>0.35610000000000003</v>
      </c>
      <c r="S246" s="37">
        <f t="shared" si="22"/>
        <v>719.32</v>
      </c>
      <c r="T246" s="36" t="s">
        <v>349</v>
      </c>
      <c r="U246" s="31" t="s">
        <v>1</v>
      </c>
      <c r="V246" s="57">
        <v>7.1879</v>
      </c>
      <c r="W246" s="38">
        <f t="shared" si="23"/>
        <v>730.67237997189727</v>
      </c>
    </row>
    <row r="247" spans="1:23">
      <c r="A247" s="31" t="s">
        <v>711</v>
      </c>
      <c r="B247" s="32">
        <v>45667</v>
      </c>
      <c r="C247" s="32">
        <v>45659</v>
      </c>
      <c r="D247" s="31" t="s">
        <v>709</v>
      </c>
      <c r="E247" s="31" t="s">
        <v>710</v>
      </c>
      <c r="G247" s="31" t="s">
        <v>712</v>
      </c>
      <c r="H247" s="31" t="s">
        <v>707</v>
      </c>
      <c r="I247" s="31" t="s">
        <v>708</v>
      </c>
      <c r="J247" s="34" t="str">
        <f t="shared" si="18"/>
        <v>HDL-</v>
      </c>
      <c r="K247" s="31" t="s">
        <v>10</v>
      </c>
      <c r="L247" s="52">
        <v>520</v>
      </c>
      <c r="M247" s="31" t="s">
        <v>1472</v>
      </c>
      <c r="N247" s="31" t="s">
        <v>11</v>
      </c>
      <c r="O247" s="53">
        <v>2.6798000000000002</v>
      </c>
      <c r="P247" s="35">
        <f t="shared" si="19"/>
        <v>1393.5</v>
      </c>
      <c r="Q247" s="36">
        <f t="shared" si="20"/>
        <v>7.3003400000000003</v>
      </c>
      <c r="R247" s="36">
        <f t="shared" si="21"/>
        <v>0.36709999999999998</v>
      </c>
      <c r="S247" s="37">
        <f t="shared" si="22"/>
        <v>190.89</v>
      </c>
      <c r="T247" s="36" t="s">
        <v>349</v>
      </c>
      <c r="U247" s="31" t="s">
        <v>228</v>
      </c>
      <c r="V247" s="57">
        <v>7.1879</v>
      </c>
      <c r="W247" s="38">
        <f t="shared" si="23"/>
        <v>193.86691523254359</v>
      </c>
    </row>
    <row r="248" spans="1:23">
      <c r="A248" s="31" t="s">
        <v>789</v>
      </c>
      <c r="B248" s="32">
        <v>45666</v>
      </c>
      <c r="C248" s="32">
        <v>45643</v>
      </c>
      <c r="D248" s="31" t="s">
        <v>149</v>
      </c>
      <c r="E248" s="31" t="s">
        <v>150</v>
      </c>
      <c r="G248" s="31" t="s">
        <v>784</v>
      </c>
      <c r="H248" s="31" t="s">
        <v>786</v>
      </c>
      <c r="I248" s="31" t="s">
        <v>787</v>
      </c>
      <c r="J248" s="34" t="str">
        <f t="shared" si="18"/>
        <v>GLID</v>
      </c>
      <c r="K248" s="31" t="s">
        <v>10</v>
      </c>
      <c r="L248" s="52">
        <v>1200</v>
      </c>
      <c r="M248" s="31" t="s">
        <v>1472</v>
      </c>
      <c r="N248" s="31" t="s">
        <v>11</v>
      </c>
      <c r="O248" s="53">
        <v>2.7494000000000001</v>
      </c>
      <c r="P248" s="35">
        <f t="shared" si="19"/>
        <v>3299.28</v>
      </c>
      <c r="Q248" s="36">
        <f t="shared" si="20"/>
        <v>7.3003400000000003</v>
      </c>
      <c r="R248" s="36">
        <f t="shared" si="21"/>
        <v>0.37659999999999999</v>
      </c>
      <c r="S248" s="37">
        <f t="shared" si="22"/>
        <v>451.92</v>
      </c>
      <c r="T248" s="36" t="s">
        <v>349</v>
      </c>
      <c r="U248" s="31" t="s">
        <v>78</v>
      </c>
      <c r="V248" s="57">
        <v>7.1879</v>
      </c>
      <c r="W248" s="38">
        <f t="shared" si="23"/>
        <v>459.00471625926906</v>
      </c>
    </row>
    <row r="249" spans="1:23">
      <c r="A249" s="31" t="s">
        <v>788</v>
      </c>
      <c r="B249" s="32">
        <v>45666</v>
      </c>
      <c r="C249" s="32">
        <v>45646</v>
      </c>
      <c r="D249" s="31" t="s">
        <v>149</v>
      </c>
      <c r="E249" s="31" t="s">
        <v>150</v>
      </c>
      <c r="G249" s="31" t="s">
        <v>784</v>
      </c>
      <c r="H249" s="31" t="s">
        <v>786</v>
      </c>
      <c r="I249" s="31" t="s">
        <v>787</v>
      </c>
      <c r="J249" s="34" t="str">
        <f t="shared" si="18"/>
        <v>GLID</v>
      </c>
      <c r="K249" s="31" t="s">
        <v>10</v>
      </c>
      <c r="L249" s="52">
        <v>510</v>
      </c>
      <c r="M249" s="31" t="s">
        <v>1472</v>
      </c>
      <c r="N249" s="31" t="s">
        <v>11</v>
      </c>
      <c r="O249" s="53">
        <v>2.7494000000000001</v>
      </c>
      <c r="P249" s="35">
        <f t="shared" si="19"/>
        <v>1402.19</v>
      </c>
      <c r="Q249" s="36">
        <f t="shared" si="20"/>
        <v>7.3003400000000003</v>
      </c>
      <c r="R249" s="36">
        <f t="shared" si="21"/>
        <v>0.37659999999999999</v>
      </c>
      <c r="S249" s="37">
        <f t="shared" si="22"/>
        <v>192.07</v>
      </c>
      <c r="T249" s="36" t="s">
        <v>349</v>
      </c>
      <c r="U249" s="31" t="s">
        <v>78</v>
      </c>
      <c r="V249" s="57">
        <v>7.1879</v>
      </c>
      <c r="W249" s="38">
        <f t="shared" si="23"/>
        <v>195.07700441018935</v>
      </c>
    </row>
    <row r="250" spans="1:23">
      <c r="A250" s="31" t="s">
        <v>1427</v>
      </c>
      <c r="B250" s="32">
        <v>45659</v>
      </c>
      <c r="C250" s="32">
        <v>45650</v>
      </c>
      <c r="D250" s="31" t="s">
        <v>569</v>
      </c>
      <c r="E250" s="31" t="s">
        <v>570</v>
      </c>
      <c r="G250" s="31" t="s">
        <v>1418</v>
      </c>
      <c r="H250" s="31" t="s">
        <v>1425</v>
      </c>
      <c r="I250" s="31" t="s">
        <v>1426</v>
      </c>
      <c r="J250" s="34" t="str">
        <f t="shared" si="18"/>
        <v>ANYD</v>
      </c>
      <c r="K250" s="31" t="s">
        <v>10</v>
      </c>
      <c r="L250" s="52">
        <v>1000</v>
      </c>
      <c r="M250" s="31" t="s">
        <v>1472</v>
      </c>
      <c r="N250" s="31" t="s">
        <v>11</v>
      </c>
      <c r="O250" s="53">
        <v>2.75</v>
      </c>
      <c r="P250" s="35">
        <f t="shared" si="19"/>
        <v>2750</v>
      </c>
      <c r="Q250" s="36">
        <f t="shared" si="20"/>
        <v>7.3003400000000003</v>
      </c>
      <c r="R250" s="36">
        <f t="shared" si="21"/>
        <v>0.37669999999999998</v>
      </c>
      <c r="S250" s="37">
        <f t="shared" si="22"/>
        <v>376.7</v>
      </c>
      <c r="T250" s="36" t="s">
        <v>349</v>
      </c>
      <c r="U250" s="31" t="s">
        <v>36</v>
      </c>
      <c r="V250" s="57">
        <v>7.1879</v>
      </c>
      <c r="W250" s="38">
        <f t="shared" si="23"/>
        <v>382.58740383143896</v>
      </c>
    </row>
    <row r="251" spans="1:23">
      <c r="A251" s="31" t="s">
        <v>408</v>
      </c>
      <c r="B251" s="32">
        <v>45670</v>
      </c>
      <c r="C251" s="32">
        <v>45664</v>
      </c>
      <c r="D251" s="31" t="s">
        <v>5</v>
      </c>
      <c r="E251" s="31" t="s">
        <v>6</v>
      </c>
      <c r="G251" s="31" t="s">
        <v>393</v>
      </c>
      <c r="H251" s="31" t="s">
        <v>406</v>
      </c>
      <c r="I251" s="31" t="s">
        <v>407</v>
      </c>
      <c r="J251" s="34" t="str">
        <f t="shared" si="18"/>
        <v>BOX-</v>
      </c>
      <c r="K251" s="31" t="s">
        <v>10</v>
      </c>
      <c r="L251" s="52">
        <v>2020</v>
      </c>
      <c r="M251" s="31" t="s">
        <v>1472</v>
      </c>
      <c r="N251" s="31" t="s">
        <v>11</v>
      </c>
      <c r="O251" s="53">
        <v>2.76</v>
      </c>
      <c r="P251" s="35">
        <f t="shared" si="19"/>
        <v>5575.2</v>
      </c>
      <c r="Q251" s="36">
        <f t="shared" si="20"/>
        <v>7.3003400000000003</v>
      </c>
      <c r="R251" s="36">
        <f t="shared" si="21"/>
        <v>0.37809999999999999</v>
      </c>
      <c r="S251" s="37">
        <f t="shared" si="22"/>
        <v>763.76</v>
      </c>
      <c r="T251" s="36" t="s">
        <v>349</v>
      </c>
      <c r="U251" s="31" t="s">
        <v>1</v>
      </c>
      <c r="V251" s="57">
        <v>7.1879</v>
      </c>
      <c r="W251" s="38">
        <f t="shared" si="23"/>
        <v>775.63683412401383</v>
      </c>
    </row>
    <row r="252" spans="1:23">
      <c r="A252" s="31" t="s">
        <v>171</v>
      </c>
      <c r="B252" s="32">
        <v>45674</v>
      </c>
      <c r="C252" s="32">
        <v>45660</v>
      </c>
      <c r="D252" s="31" t="s">
        <v>169</v>
      </c>
      <c r="E252" s="31" t="s">
        <v>170</v>
      </c>
      <c r="G252" s="31" t="s">
        <v>172</v>
      </c>
      <c r="H252" s="31" t="s">
        <v>167</v>
      </c>
      <c r="I252" s="31" t="s">
        <v>168</v>
      </c>
      <c r="J252" s="34" t="str">
        <f t="shared" si="18"/>
        <v>BHRE</v>
      </c>
      <c r="K252" s="31" t="s">
        <v>10</v>
      </c>
      <c r="L252" s="52">
        <v>2850</v>
      </c>
      <c r="M252" s="31" t="s">
        <v>1472</v>
      </c>
      <c r="N252" s="31" t="s">
        <v>11</v>
      </c>
      <c r="O252" s="53">
        <v>2.79</v>
      </c>
      <c r="P252" s="35">
        <f t="shared" si="19"/>
        <v>7951.5</v>
      </c>
      <c r="Q252" s="36">
        <f t="shared" si="20"/>
        <v>7.3003400000000003</v>
      </c>
      <c r="R252" s="36">
        <f t="shared" si="21"/>
        <v>0.38219999999999998</v>
      </c>
      <c r="S252" s="37">
        <f t="shared" si="22"/>
        <v>1089.27</v>
      </c>
      <c r="T252" s="36" t="s">
        <v>349</v>
      </c>
      <c r="U252" s="31" t="s">
        <v>173</v>
      </c>
      <c r="V252" s="57">
        <v>7.1879</v>
      </c>
      <c r="W252" s="38">
        <f t="shared" si="23"/>
        <v>1106.234087842068</v>
      </c>
    </row>
    <row r="253" spans="1:23">
      <c r="A253" s="31" t="s">
        <v>505</v>
      </c>
      <c r="B253" s="32">
        <v>45670</v>
      </c>
      <c r="C253" s="32">
        <v>45663</v>
      </c>
      <c r="D253" s="31" t="s">
        <v>5</v>
      </c>
      <c r="E253" s="31" t="s">
        <v>6</v>
      </c>
      <c r="G253" s="31" t="s">
        <v>492</v>
      </c>
      <c r="H253" s="31" t="s">
        <v>503</v>
      </c>
      <c r="I253" s="31" t="s">
        <v>504</v>
      </c>
      <c r="J253" s="34" t="str">
        <f t="shared" si="18"/>
        <v>SHTS</v>
      </c>
      <c r="K253" s="31" t="s">
        <v>10</v>
      </c>
      <c r="L253" s="52">
        <v>1010</v>
      </c>
      <c r="M253" s="31" t="s">
        <v>1472</v>
      </c>
      <c r="N253" s="31" t="s">
        <v>11</v>
      </c>
      <c r="O253" s="53">
        <v>2.84</v>
      </c>
      <c r="P253" s="35">
        <f t="shared" si="19"/>
        <v>2868.4</v>
      </c>
      <c r="Q253" s="36">
        <f t="shared" si="20"/>
        <v>7.3003400000000003</v>
      </c>
      <c r="R253" s="36">
        <f t="shared" si="21"/>
        <v>0.38900000000000001</v>
      </c>
      <c r="S253" s="37">
        <f t="shared" si="22"/>
        <v>392.89</v>
      </c>
      <c r="T253" s="36" t="s">
        <v>349</v>
      </c>
      <c r="U253" s="31" t="s">
        <v>9</v>
      </c>
      <c r="V253" s="57">
        <v>7.1879</v>
      </c>
      <c r="W253" s="38">
        <f t="shared" si="23"/>
        <v>399.05953060003617</v>
      </c>
    </row>
    <row r="254" spans="1:23">
      <c r="A254" s="31" t="s">
        <v>508</v>
      </c>
      <c r="B254" s="32">
        <v>45670</v>
      </c>
      <c r="C254" s="32">
        <v>45663</v>
      </c>
      <c r="D254" s="31" t="s">
        <v>5</v>
      </c>
      <c r="E254" s="31" t="s">
        <v>6</v>
      </c>
      <c r="G254" s="31" t="s">
        <v>492</v>
      </c>
      <c r="H254" s="31" t="s">
        <v>506</v>
      </c>
      <c r="I254" s="31" t="s">
        <v>507</v>
      </c>
      <c r="J254" s="34" t="str">
        <f t="shared" si="18"/>
        <v>SHTS</v>
      </c>
      <c r="K254" s="31" t="s">
        <v>10</v>
      </c>
      <c r="L254" s="52">
        <v>1010</v>
      </c>
      <c r="M254" s="31" t="s">
        <v>1472</v>
      </c>
      <c r="N254" s="31" t="s">
        <v>11</v>
      </c>
      <c r="O254" s="53">
        <v>2.86</v>
      </c>
      <c r="P254" s="35">
        <f t="shared" si="19"/>
        <v>2888.6</v>
      </c>
      <c r="Q254" s="36">
        <f t="shared" si="20"/>
        <v>7.3003400000000003</v>
      </c>
      <c r="R254" s="36">
        <f t="shared" si="21"/>
        <v>0.39179999999999998</v>
      </c>
      <c r="S254" s="37">
        <f t="shared" si="22"/>
        <v>395.72</v>
      </c>
      <c r="T254" s="36" t="s">
        <v>349</v>
      </c>
      <c r="U254" s="31" t="s">
        <v>9</v>
      </c>
      <c r="V254" s="57">
        <v>7.1879</v>
      </c>
      <c r="W254" s="38">
        <f t="shared" si="23"/>
        <v>401.86980898454345</v>
      </c>
    </row>
    <row r="255" spans="1:23">
      <c r="A255" s="31" t="s">
        <v>1021</v>
      </c>
      <c r="B255" s="32">
        <v>45663</v>
      </c>
      <c r="C255" s="32">
        <v>45657</v>
      </c>
      <c r="D255" s="31" t="s">
        <v>1006</v>
      </c>
      <c r="E255" s="31" t="s">
        <v>1007</v>
      </c>
      <c r="G255" s="31" t="s">
        <v>1009</v>
      </c>
      <c r="H255" s="31" t="s">
        <v>1019</v>
      </c>
      <c r="I255" s="31" t="s">
        <v>1020</v>
      </c>
      <c r="J255" s="34" t="str">
        <f t="shared" si="18"/>
        <v>ALM-</v>
      </c>
      <c r="K255" s="31" t="s">
        <v>98</v>
      </c>
      <c r="L255" s="52">
        <v>1698</v>
      </c>
      <c r="M255" s="31" t="s">
        <v>186</v>
      </c>
      <c r="N255" s="31" t="s">
        <v>11</v>
      </c>
      <c r="O255" s="53">
        <v>2.9203999999999999</v>
      </c>
      <c r="P255" s="35">
        <f t="shared" si="19"/>
        <v>4958.84</v>
      </c>
      <c r="Q255" s="36">
        <f t="shared" si="20"/>
        <v>7.3003400000000003</v>
      </c>
      <c r="R255" s="36">
        <f t="shared" si="21"/>
        <v>0.4</v>
      </c>
      <c r="S255" s="37">
        <f t="shared" si="22"/>
        <v>679.2</v>
      </c>
      <c r="T255" s="36" t="s">
        <v>349</v>
      </c>
      <c r="U255" s="31" t="s">
        <v>191</v>
      </c>
      <c r="V255" s="57">
        <v>7.1879</v>
      </c>
      <c r="W255" s="38">
        <f t="shared" si="23"/>
        <v>689.88706019838889</v>
      </c>
    </row>
    <row r="256" spans="1:23">
      <c r="A256" s="31" t="s">
        <v>1012</v>
      </c>
      <c r="B256" s="32">
        <v>45663</v>
      </c>
      <c r="C256" s="32">
        <v>45657</v>
      </c>
      <c r="D256" s="31" t="s">
        <v>1006</v>
      </c>
      <c r="E256" s="31" t="s">
        <v>1007</v>
      </c>
      <c r="G256" s="31" t="s">
        <v>1009</v>
      </c>
      <c r="H256" s="31" t="s">
        <v>1010</v>
      </c>
      <c r="I256" s="31" t="s">
        <v>1011</v>
      </c>
      <c r="J256" s="34" t="str">
        <f t="shared" si="18"/>
        <v>ALM-</v>
      </c>
      <c r="K256" s="31" t="s">
        <v>98</v>
      </c>
      <c r="L256" s="52">
        <v>562</v>
      </c>
      <c r="M256" s="31" t="s">
        <v>186</v>
      </c>
      <c r="N256" s="31" t="s">
        <v>11</v>
      </c>
      <c r="O256" s="53">
        <v>2.9203999999999999</v>
      </c>
      <c r="P256" s="35">
        <f t="shared" si="19"/>
        <v>1641.26</v>
      </c>
      <c r="Q256" s="36">
        <f t="shared" si="20"/>
        <v>7.3003400000000003</v>
      </c>
      <c r="R256" s="36">
        <f t="shared" si="21"/>
        <v>0.4</v>
      </c>
      <c r="S256" s="37">
        <f t="shared" si="22"/>
        <v>224.8</v>
      </c>
      <c r="T256" s="36" t="s">
        <v>349</v>
      </c>
      <c r="U256" s="31" t="s">
        <v>191</v>
      </c>
      <c r="V256" s="57">
        <v>7.1879</v>
      </c>
      <c r="W256" s="38">
        <f t="shared" si="23"/>
        <v>228.33717775706393</v>
      </c>
    </row>
    <row r="257" spans="1:23">
      <c r="A257" s="31" t="s">
        <v>1008</v>
      </c>
      <c r="B257" s="32">
        <v>45663</v>
      </c>
      <c r="C257" s="32">
        <v>45657</v>
      </c>
      <c r="D257" s="31" t="s">
        <v>1006</v>
      </c>
      <c r="E257" s="31" t="s">
        <v>1007</v>
      </c>
      <c r="G257" s="31" t="s">
        <v>1009</v>
      </c>
      <c r="H257" s="31" t="s">
        <v>1004</v>
      </c>
      <c r="I257" s="31" t="s">
        <v>1005</v>
      </c>
      <c r="J257" s="34" t="str">
        <f t="shared" si="18"/>
        <v>ALM-</v>
      </c>
      <c r="K257" s="31" t="s">
        <v>98</v>
      </c>
      <c r="L257" s="52">
        <v>550</v>
      </c>
      <c r="M257" s="31" t="s">
        <v>186</v>
      </c>
      <c r="N257" s="31" t="s">
        <v>11</v>
      </c>
      <c r="O257" s="53">
        <v>2.9203999999999999</v>
      </c>
      <c r="P257" s="35">
        <f t="shared" si="19"/>
        <v>1606.22</v>
      </c>
      <c r="Q257" s="36">
        <f t="shared" si="20"/>
        <v>7.3003400000000003</v>
      </c>
      <c r="R257" s="36">
        <f t="shared" si="21"/>
        <v>0.4</v>
      </c>
      <c r="S257" s="37">
        <f t="shared" si="22"/>
        <v>220</v>
      </c>
      <c r="T257" s="36" t="s">
        <v>349</v>
      </c>
      <c r="U257" s="31" t="s">
        <v>191</v>
      </c>
      <c r="V257" s="57">
        <v>7.1879</v>
      </c>
      <c r="W257" s="38">
        <f t="shared" si="23"/>
        <v>223.46165082986684</v>
      </c>
    </row>
    <row r="258" spans="1:23">
      <c r="A258" s="31" t="s">
        <v>7</v>
      </c>
      <c r="B258" s="32">
        <v>45681</v>
      </c>
      <c r="C258" s="32">
        <v>45575</v>
      </c>
      <c r="D258" s="31" t="s">
        <v>5</v>
      </c>
      <c r="E258" s="31" t="s">
        <v>6</v>
      </c>
      <c r="G258" s="31" t="s">
        <v>8</v>
      </c>
      <c r="H258" s="31" t="s">
        <v>3</v>
      </c>
      <c r="I258" s="31" t="s">
        <v>4</v>
      </c>
      <c r="J258" s="34" t="str">
        <f t="shared" ref="J258:J321" si="24">+LEFT(U258,4)</f>
        <v>SHTS</v>
      </c>
      <c r="K258" s="31" t="s">
        <v>10</v>
      </c>
      <c r="L258" s="52">
        <v>500</v>
      </c>
      <c r="M258" s="31" t="s">
        <v>1472</v>
      </c>
      <c r="N258" s="31" t="s">
        <v>11</v>
      </c>
      <c r="O258" s="53">
        <v>2.94</v>
      </c>
      <c r="P258" s="35">
        <f t="shared" ref="P258:P321" si="25">ROUND(O258*L258,2)</f>
        <v>1470</v>
      </c>
      <c r="Q258" s="36">
        <f t="shared" ref="Q258:Q321" si="26">IF(N258="HKD",7.8,IF(N258="CNY",7.30034,1))</f>
        <v>7.3003400000000003</v>
      </c>
      <c r="R258" s="36">
        <f t="shared" ref="R258:R321" si="27">+ROUND(O258/Q258,4)</f>
        <v>0.4027</v>
      </c>
      <c r="S258" s="37">
        <f t="shared" ref="S258:S321" si="28">ROUND(R258*L258,2)</f>
        <v>201.35</v>
      </c>
      <c r="T258" s="36" t="s">
        <v>349</v>
      </c>
      <c r="U258" s="31" t="s">
        <v>9</v>
      </c>
      <c r="V258" s="57">
        <v>7.1879</v>
      </c>
      <c r="W258" s="38">
        <f t="shared" ref="W258:W321" si="29">IF(N258="CNY",O258/V258*L258,1)</f>
        <v>204.51035768444189</v>
      </c>
    </row>
    <row r="259" spans="1:23">
      <c r="A259" s="31" t="s">
        <v>378</v>
      </c>
      <c r="B259" s="32">
        <v>45671</v>
      </c>
      <c r="C259" s="32">
        <v>45663</v>
      </c>
      <c r="D259" s="31" t="s">
        <v>5</v>
      </c>
      <c r="E259" s="31" t="s">
        <v>6</v>
      </c>
      <c r="G259" s="31" t="s">
        <v>379</v>
      </c>
      <c r="H259" s="31" t="s">
        <v>376</v>
      </c>
      <c r="I259" s="31" t="s">
        <v>377</v>
      </c>
      <c r="J259" s="34" t="str">
        <f t="shared" si="24"/>
        <v>SHTS</v>
      </c>
      <c r="K259" s="31" t="s">
        <v>10</v>
      </c>
      <c r="L259" s="52">
        <v>1005</v>
      </c>
      <c r="M259" s="31" t="s">
        <v>1472</v>
      </c>
      <c r="N259" s="31" t="s">
        <v>11</v>
      </c>
      <c r="O259" s="53">
        <v>3</v>
      </c>
      <c r="P259" s="35">
        <f t="shared" si="25"/>
        <v>3015</v>
      </c>
      <c r="Q259" s="36">
        <f t="shared" si="26"/>
        <v>7.3003400000000003</v>
      </c>
      <c r="R259" s="36">
        <f t="shared" si="27"/>
        <v>0.41089999999999999</v>
      </c>
      <c r="S259" s="37">
        <f t="shared" si="28"/>
        <v>412.95</v>
      </c>
      <c r="T259" s="36" t="s">
        <v>349</v>
      </c>
      <c r="U259" s="31" t="s">
        <v>9</v>
      </c>
      <c r="V259" s="57">
        <v>7.1879</v>
      </c>
      <c r="W259" s="38">
        <f t="shared" si="29"/>
        <v>419.45491729155947</v>
      </c>
    </row>
    <row r="260" spans="1:23">
      <c r="A260" s="31" t="s">
        <v>155</v>
      </c>
      <c r="B260" s="32">
        <v>45675</v>
      </c>
      <c r="C260" s="32">
        <v>45653</v>
      </c>
      <c r="D260" s="31" t="s">
        <v>149</v>
      </c>
      <c r="E260" s="31" t="s">
        <v>150</v>
      </c>
      <c r="G260" s="31" t="s">
        <v>156</v>
      </c>
      <c r="H260" s="31" t="s">
        <v>153</v>
      </c>
      <c r="I260" s="31" t="s">
        <v>154</v>
      </c>
      <c r="J260" s="34" t="str">
        <f t="shared" si="24"/>
        <v>GLID</v>
      </c>
      <c r="K260" s="31" t="s">
        <v>10</v>
      </c>
      <c r="L260" s="52">
        <v>1000</v>
      </c>
      <c r="M260" s="31" t="s">
        <v>1472</v>
      </c>
      <c r="N260" s="31" t="s">
        <v>11</v>
      </c>
      <c r="O260" s="53">
        <v>3.0440999999999998</v>
      </c>
      <c r="P260" s="35">
        <f t="shared" si="25"/>
        <v>3044.1</v>
      </c>
      <c r="Q260" s="36">
        <f t="shared" si="26"/>
        <v>7.3003400000000003</v>
      </c>
      <c r="R260" s="36">
        <f t="shared" si="27"/>
        <v>0.41699999999999998</v>
      </c>
      <c r="S260" s="37">
        <f t="shared" si="28"/>
        <v>417</v>
      </c>
      <c r="T260" s="36" t="s">
        <v>349</v>
      </c>
      <c r="U260" s="31" t="s">
        <v>78</v>
      </c>
      <c r="V260" s="57">
        <v>7.1879</v>
      </c>
      <c r="W260" s="38">
        <f t="shared" si="29"/>
        <v>423.50338763755752</v>
      </c>
    </row>
    <row r="261" spans="1:23">
      <c r="A261" s="31" t="s">
        <v>461</v>
      </c>
      <c r="B261" s="32">
        <v>45670</v>
      </c>
      <c r="C261" s="32">
        <v>45663</v>
      </c>
      <c r="D261" s="31" t="s">
        <v>5</v>
      </c>
      <c r="E261" s="31" t="s">
        <v>6</v>
      </c>
      <c r="G261" s="31" t="s">
        <v>458</v>
      </c>
      <c r="H261" s="31" t="s">
        <v>459</v>
      </c>
      <c r="I261" s="31" t="s">
        <v>460</v>
      </c>
      <c r="J261" s="34" t="str">
        <f t="shared" si="24"/>
        <v>BOX-</v>
      </c>
      <c r="K261" s="31" t="s">
        <v>10</v>
      </c>
      <c r="L261" s="52">
        <v>2020</v>
      </c>
      <c r="M261" s="31" t="s">
        <v>1472</v>
      </c>
      <c r="N261" s="31" t="s">
        <v>11</v>
      </c>
      <c r="O261" s="53">
        <v>3.05</v>
      </c>
      <c r="P261" s="35">
        <f t="shared" si="25"/>
        <v>6161</v>
      </c>
      <c r="Q261" s="36">
        <f t="shared" si="26"/>
        <v>7.3003400000000003</v>
      </c>
      <c r="R261" s="36">
        <f t="shared" si="27"/>
        <v>0.4178</v>
      </c>
      <c r="S261" s="37">
        <f t="shared" si="28"/>
        <v>843.96</v>
      </c>
      <c r="T261" s="36" t="s">
        <v>349</v>
      </c>
      <c r="U261" s="31" t="s">
        <v>1</v>
      </c>
      <c r="V261" s="57">
        <v>7.1879</v>
      </c>
      <c r="W261" s="38">
        <f t="shared" si="29"/>
        <v>857.13490727472549</v>
      </c>
    </row>
    <row r="262" spans="1:23">
      <c r="A262" s="31" t="s">
        <v>1298</v>
      </c>
      <c r="B262" s="32">
        <v>45660</v>
      </c>
      <c r="C262" s="32">
        <v>45653</v>
      </c>
      <c r="D262" s="31" t="s">
        <v>5</v>
      </c>
      <c r="E262" s="31" t="s">
        <v>6</v>
      </c>
      <c r="G262" s="31" t="s">
        <v>1295</v>
      </c>
      <c r="H262" s="31" t="s">
        <v>1296</v>
      </c>
      <c r="I262" s="31" t="s">
        <v>1297</v>
      </c>
      <c r="J262" s="34" t="str">
        <f t="shared" si="24"/>
        <v>BOX-</v>
      </c>
      <c r="K262" s="31" t="s">
        <v>10</v>
      </c>
      <c r="L262" s="52">
        <v>2000</v>
      </c>
      <c r="M262" s="31" t="s">
        <v>1472</v>
      </c>
      <c r="N262" s="31" t="s">
        <v>11</v>
      </c>
      <c r="O262" s="53">
        <v>3.08</v>
      </c>
      <c r="P262" s="35">
        <f t="shared" si="25"/>
        <v>6160</v>
      </c>
      <c r="Q262" s="36">
        <f t="shared" si="26"/>
        <v>7.3003400000000003</v>
      </c>
      <c r="R262" s="36">
        <f t="shared" si="27"/>
        <v>0.4219</v>
      </c>
      <c r="S262" s="37">
        <f t="shared" si="28"/>
        <v>843.8</v>
      </c>
      <c r="T262" s="36" t="s">
        <v>349</v>
      </c>
      <c r="U262" s="31" t="s">
        <v>1</v>
      </c>
      <c r="V262" s="57">
        <v>7.1879</v>
      </c>
      <c r="W262" s="38">
        <f t="shared" si="29"/>
        <v>856.99578458242331</v>
      </c>
    </row>
    <row r="263" spans="1:23">
      <c r="A263" s="31" t="s">
        <v>382</v>
      </c>
      <c r="B263" s="32">
        <v>45670</v>
      </c>
      <c r="C263" s="32">
        <v>45663</v>
      </c>
      <c r="D263" s="31" t="s">
        <v>5</v>
      </c>
      <c r="E263" s="31" t="s">
        <v>6</v>
      </c>
      <c r="G263" s="31" t="s">
        <v>383</v>
      </c>
      <c r="H263" s="31" t="s">
        <v>380</v>
      </c>
      <c r="I263" s="31" t="s">
        <v>381</v>
      </c>
      <c r="J263" s="34" t="str">
        <f t="shared" si="24"/>
        <v>BOX-</v>
      </c>
      <c r="K263" s="31" t="s">
        <v>10</v>
      </c>
      <c r="L263" s="52">
        <v>1010</v>
      </c>
      <c r="M263" s="31" t="s">
        <v>1472</v>
      </c>
      <c r="N263" s="31" t="s">
        <v>11</v>
      </c>
      <c r="O263" s="53">
        <v>3.08</v>
      </c>
      <c r="P263" s="35">
        <f t="shared" si="25"/>
        <v>3110.8</v>
      </c>
      <c r="Q263" s="36">
        <f t="shared" si="26"/>
        <v>7.3003400000000003</v>
      </c>
      <c r="R263" s="36">
        <f t="shared" si="27"/>
        <v>0.4219</v>
      </c>
      <c r="S263" s="37">
        <f t="shared" si="28"/>
        <v>426.12</v>
      </c>
      <c r="T263" s="36" t="s">
        <v>349</v>
      </c>
      <c r="U263" s="31" t="s">
        <v>1</v>
      </c>
      <c r="V263" s="57">
        <v>7.1879</v>
      </c>
      <c r="W263" s="38">
        <f t="shared" si="29"/>
        <v>432.78287121412376</v>
      </c>
    </row>
    <row r="264" spans="1:23">
      <c r="A264" s="31" t="s">
        <v>1018</v>
      </c>
      <c r="B264" s="32">
        <v>45663</v>
      </c>
      <c r="C264" s="32">
        <v>45657</v>
      </c>
      <c r="D264" s="31" t="s">
        <v>1006</v>
      </c>
      <c r="E264" s="31" t="s">
        <v>1007</v>
      </c>
      <c r="G264" s="31" t="s">
        <v>1009</v>
      </c>
      <c r="H264" s="31" t="s">
        <v>1016</v>
      </c>
      <c r="I264" s="31" t="s">
        <v>1017</v>
      </c>
      <c r="J264" s="34" t="str">
        <f t="shared" si="24"/>
        <v>ALM-</v>
      </c>
      <c r="K264" s="31" t="s">
        <v>98</v>
      </c>
      <c r="L264" s="52">
        <v>902</v>
      </c>
      <c r="M264" s="31" t="s">
        <v>186</v>
      </c>
      <c r="N264" s="31" t="s">
        <v>11</v>
      </c>
      <c r="O264" s="53">
        <v>3.0973000000000002</v>
      </c>
      <c r="P264" s="35">
        <f t="shared" si="25"/>
        <v>2793.76</v>
      </c>
      <c r="Q264" s="36">
        <f t="shared" si="26"/>
        <v>7.3003400000000003</v>
      </c>
      <c r="R264" s="36">
        <f t="shared" si="27"/>
        <v>0.42430000000000001</v>
      </c>
      <c r="S264" s="37">
        <f t="shared" si="28"/>
        <v>382.72</v>
      </c>
      <c r="T264" s="36" t="s">
        <v>349</v>
      </c>
      <c r="U264" s="31" t="s">
        <v>191</v>
      </c>
      <c r="V264" s="57">
        <v>7.1879</v>
      </c>
      <c r="W264" s="38">
        <f t="shared" si="29"/>
        <v>388.67605281097406</v>
      </c>
    </row>
    <row r="265" spans="1:23">
      <c r="A265" s="31" t="s">
        <v>1015</v>
      </c>
      <c r="B265" s="32">
        <v>45663</v>
      </c>
      <c r="C265" s="32">
        <v>45657</v>
      </c>
      <c r="D265" s="31" t="s">
        <v>1006</v>
      </c>
      <c r="E265" s="31" t="s">
        <v>1007</v>
      </c>
      <c r="G265" s="31" t="s">
        <v>1009</v>
      </c>
      <c r="H265" s="31" t="s">
        <v>1013</v>
      </c>
      <c r="I265" s="31" t="s">
        <v>1014</v>
      </c>
      <c r="J265" s="34" t="str">
        <f t="shared" si="24"/>
        <v>ALM-</v>
      </c>
      <c r="K265" s="31" t="s">
        <v>98</v>
      </c>
      <c r="L265" s="52">
        <v>555</v>
      </c>
      <c r="M265" s="31" t="s">
        <v>186</v>
      </c>
      <c r="N265" s="31" t="s">
        <v>11</v>
      </c>
      <c r="O265" s="53">
        <v>3.0973000000000002</v>
      </c>
      <c r="P265" s="35">
        <f t="shared" si="25"/>
        <v>1719</v>
      </c>
      <c r="Q265" s="36">
        <f t="shared" si="26"/>
        <v>7.3003400000000003</v>
      </c>
      <c r="R265" s="36">
        <f t="shared" si="27"/>
        <v>0.42430000000000001</v>
      </c>
      <c r="S265" s="37">
        <f t="shared" si="28"/>
        <v>235.49</v>
      </c>
      <c r="T265" s="36" t="s">
        <v>349</v>
      </c>
      <c r="U265" s="31" t="s">
        <v>191</v>
      </c>
      <c r="V265" s="57">
        <v>7.1879</v>
      </c>
      <c r="W265" s="38">
        <f t="shared" si="29"/>
        <v>239.1521167517634</v>
      </c>
    </row>
    <row r="266" spans="1:23">
      <c r="A266" s="31" t="s">
        <v>1421</v>
      </c>
      <c r="B266" s="32">
        <v>45659</v>
      </c>
      <c r="C266" s="32">
        <v>45652</v>
      </c>
      <c r="D266" s="31" t="s">
        <v>569</v>
      </c>
      <c r="E266" s="31" t="s">
        <v>570</v>
      </c>
      <c r="G266" s="31" t="s">
        <v>1418</v>
      </c>
      <c r="H266" s="31" t="s">
        <v>1419</v>
      </c>
      <c r="I266" s="31" t="s">
        <v>1420</v>
      </c>
      <c r="J266" s="34" t="str">
        <f t="shared" si="24"/>
        <v>ANYD</v>
      </c>
      <c r="K266" s="31" t="s">
        <v>10</v>
      </c>
      <c r="L266" s="52">
        <v>1000</v>
      </c>
      <c r="M266" s="31" t="s">
        <v>1472</v>
      </c>
      <c r="N266" s="31" t="s">
        <v>11</v>
      </c>
      <c r="O266" s="53">
        <v>3.1</v>
      </c>
      <c r="P266" s="35">
        <f t="shared" si="25"/>
        <v>3100</v>
      </c>
      <c r="Q266" s="36">
        <f t="shared" si="26"/>
        <v>7.3003400000000003</v>
      </c>
      <c r="R266" s="36">
        <f t="shared" si="27"/>
        <v>0.42459999999999998</v>
      </c>
      <c r="S266" s="37">
        <f t="shared" si="28"/>
        <v>424.6</v>
      </c>
      <c r="T266" s="36" t="s">
        <v>349</v>
      </c>
      <c r="U266" s="31" t="s">
        <v>36</v>
      </c>
      <c r="V266" s="57">
        <v>7.1879</v>
      </c>
      <c r="W266" s="38">
        <f t="shared" si="29"/>
        <v>431.28034613725845</v>
      </c>
    </row>
    <row r="267" spans="1:23">
      <c r="A267" s="31" t="s">
        <v>785</v>
      </c>
      <c r="B267" s="32">
        <v>45666</v>
      </c>
      <c r="C267" s="32">
        <v>45609</v>
      </c>
      <c r="D267" s="31" t="s">
        <v>149</v>
      </c>
      <c r="E267" s="31" t="s">
        <v>150</v>
      </c>
      <c r="G267" s="31" t="s">
        <v>784</v>
      </c>
      <c r="H267" s="31" t="s">
        <v>781</v>
      </c>
      <c r="I267" s="31" t="s">
        <v>782</v>
      </c>
      <c r="J267" s="34" t="str">
        <f t="shared" si="24"/>
        <v>GLID</v>
      </c>
      <c r="K267" s="31" t="s">
        <v>10</v>
      </c>
      <c r="L267" s="52">
        <v>530</v>
      </c>
      <c r="M267" s="31" t="s">
        <v>1472</v>
      </c>
      <c r="N267" s="31" t="s">
        <v>11</v>
      </c>
      <c r="O267" s="53">
        <v>3.1166</v>
      </c>
      <c r="P267" s="35">
        <f t="shared" si="25"/>
        <v>1651.8</v>
      </c>
      <c r="Q267" s="36">
        <f t="shared" si="26"/>
        <v>7.3003400000000003</v>
      </c>
      <c r="R267" s="36">
        <f t="shared" si="27"/>
        <v>0.4269</v>
      </c>
      <c r="S267" s="37">
        <f t="shared" si="28"/>
        <v>226.26</v>
      </c>
      <c r="T267" s="36" t="s">
        <v>349</v>
      </c>
      <c r="U267" s="31" t="s">
        <v>78</v>
      </c>
      <c r="V267" s="57">
        <v>7.1879</v>
      </c>
      <c r="W267" s="38">
        <f t="shared" si="29"/>
        <v>229.80258489962296</v>
      </c>
    </row>
    <row r="268" spans="1:23">
      <c r="A268" s="31" t="s">
        <v>783</v>
      </c>
      <c r="B268" s="32">
        <v>45666</v>
      </c>
      <c r="C268" s="32">
        <v>45650</v>
      </c>
      <c r="D268" s="31" t="s">
        <v>149</v>
      </c>
      <c r="E268" s="31" t="s">
        <v>150</v>
      </c>
      <c r="G268" s="31" t="s">
        <v>784</v>
      </c>
      <c r="H268" s="31" t="s">
        <v>781</v>
      </c>
      <c r="I268" s="31" t="s">
        <v>782</v>
      </c>
      <c r="J268" s="34" t="str">
        <f t="shared" si="24"/>
        <v>GLID</v>
      </c>
      <c r="K268" s="31" t="s">
        <v>10</v>
      </c>
      <c r="L268" s="52">
        <v>500</v>
      </c>
      <c r="M268" s="31" t="s">
        <v>1472</v>
      </c>
      <c r="N268" s="31" t="s">
        <v>11</v>
      </c>
      <c r="O268" s="53">
        <v>3.1166</v>
      </c>
      <c r="P268" s="35">
        <f t="shared" si="25"/>
        <v>1558.3</v>
      </c>
      <c r="Q268" s="36">
        <f t="shared" si="26"/>
        <v>7.3003400000000003</v>
      </c>
      <c r="R268" s="36">
        <f t="shared" si="27"/>
        <v>0.4269</v>
      </c>
      <c r="S268" s="37">
        <f t="shared" si="28"/>
        <v>213.45</v>
      </c>
      <c r="T268" s="36" t="s">
        <v>349</v>
      </c>
      <c r="U268" s="31" t="s">
        <v>78</v>
      </c>
      <c r="V268" s="57">
        <v>7.1879</v>
      </c>
      <c r="W268" s="38">
        <f t="shared" si="29"/>
        <v>216.79489141473866</v>
      </c>
    </row>
    <row r="269" spans="1:23">
      <c r="A269" s="31" t="s">
        <v>1234</v>
      </c>
      <c r="B269" s="32">
        <v>45663</v>
      </c>
      <c r="C269" s="32">
        <v>45615</v>
      </c>
      <c r="D269" s="31" t="s">
        <v>187</v>
      </c>
      <c r="E269" s="31" t="s">
        <v>188</v>
      </c>
      <c r="G269" s="31" t="s">
        <v>1199</v>
      </c>
      <c r="H269" s="31" t="s">
        <v>211</v>
      </c>
      <c r="I269" s="31" t="s">
        <v>212</v>
      </c>
      <c r="J269" s="34" t="str">
        <f t="shared" si="24"/>
        <v>ALM-</v>
      </c>
      <c r="K269" s="31" t="s">
        <v>98</v>
      </c>
      <c r="L269" s="52">
        <v>800</v>
      </c>
      <c r="M269" s="31" t="s">
        <v>186</v>
      </c>
      <c r="N269" s="31" t="s">
        <v>11</v>
      </c>
      <c r="O269" s="53">
        <v>3.1415999999999999</v>
      </c>
      <c r="P269" s="35">
        <f t="shared" si="25"/>
        <v>2513.2800000000002</v>
      </c>
      <c r="Q269" s="36">
        <f t="shared" si="26"/>
        <v>7.3003400000000003</v>
      </c>
      <c r="R269" s="36">
        <f t="shared" si="27"/>
        <v>0.43030000000000002</v>
      </c>
      <c r="S269" s="37">
        <f t="shared" si="28"/>
        <v>344.24</v>
      </c>
      <c r="T269" s="36" t="s">
        <v>349</v>
      </c>
      <c r="U269" s="31" t="s">
        <v>191</v>
      </c>
      <c r="V269" s="57">
        <v>7.1879</v>
      </c>
      <c r="W269" s="38">
        <f t="shared" si="29"/>
        <v>349.6542801096287</v>
      </c>
    </row>
    <row r="270" spans="1:23">
      <c r="A270" s="31" t="s">
        <v>1233</v>
      </c>
      <c r="B270" s="32">
        <v>45663</v>
      </c>
      <c r="C270" s="32">
        <v>45615</v>
      </c>
      <c r="D270" s="31" t="s">
        <v>187</v>
      </c>
      <c r="E270" s="31" t="s">
        <v>188</v>
      </c>
      <c r="G270" s="31" t="s">
        <v>1199</v>
      </c>
      <c r="H270" s="31" t="s">
        <v>208</v>
      </c>
      <c r="I270" s="31" t="s">
        <v>209</v>
      </c>
      <c r="J270" s="34" t="str">
        <f t="shared" si="24"/>
        <v>ALM-</v>
      </c>
      <c r="K270" s="31" t="s">
        <v>98</v>
      </c>
      <c r="L270" s="52">
        <v>1000</v>
      </c>
      <c r="M270" s="31" t="s">
        <v>186</v>
      </c>
      <c r="N270" s="31" t="s">
        <v>11</v>
      </c>
      <c r="O270" s="53">
        <v>3.1415999999999999</v>
      </c>
      <c r="P270" s="35">
        <f t="shared" si="25"/>
        <v>3141.6</v>
      </c>
      <c r="Q270" s="36">
        <f t="shared" si="26"/>
        <v>7.3003400000000003</v>
      </c>
      <c r="R270" s="36">
        <f t="shared" si="27"/>
        <v>0.43030000000000002</v>
      </c>
      <c r="S270" s="37">
        <f t="shared" si="28"/>
        <v>430.3</v>
      </c>
      <c r="T270" s="36" t="s">
        <v>349</v>
      </c>
      <c r="U270" s="31" t="s">
        <v>191</v>
      </c>
      <c r="V270" s="57">
        <v>7.1879</v>
      </c>
      <c r="W270" s="38">
        <f t="shared" si="29"/>
        <v>437.06785013703586</v>
      </c>
    </row>
    <row r="271" spans="1:23">
      <c r="A271" s="31" t="s">
        <v>1232</v>
      </c>
      <c r="B271" s="32">
        <v>45663</v>
      </c>
      <c r="C271" s="32">
        <v>45615</v>
      </c>
      <c r="D271" s="31" t="s">
        <v>187</v>
      </c>
      <c r="E271" s="31" t="s">
        <v>188</v>
      </c>
      <c r="G271" s="31" t="s">
        <v>1199</v>
      </c>
      <c r="H271" s="31" t="s">
        <v>205</v>
      </c>
      <c r="I271" s="31" t="s">
        <v>206</v>
      </c>
      <c r="J271" s="34" t="str">
        <f t="shared" si="24"/>
        <v>ALM-</v>
      </c>
      <c r="K271" s="31" t="s">
        <v>98</v>
      </c>
      <c r="L271" s="52">
        <v>550</v>
      </c>
      <c r="M271" s="31" t="s">
        <v>186</v>
      </c>
      <c r="N271" s="31" t="s">
        <v>11</v>
      </c>
      <c r="O271" s="53">
        <v>3.1415999999999999</v>
      </c>
      <c r="P271" s="35">
        <f t="shared" si="25"/>
        <v>1727.88</v>
      </c>
      <c r="Q271" s="36">
        <f t="shared" si="26"/>
        <v>7.3003400000000003</v>
      </c>
      <c r="R271" s="36">
        <f t="shared" si="27"/>
        <v>0.43030000000000002</v>
      </c>
      <c r="S271" s="37">
        <f t="shared" si="28"/>
        <v>236.67</v>
      </c>
      <c r="T271" s="36" t="s">
        <v>349</v>
      </c>
      <c r="U271" s="31" t="s">
        <v>191</v>
      </c>
      <c r="V271" s="57">
        <v>7.1879</v>
      </c>
      <c r="W271" s="38">
        <f t="shared" si="29"/>
        <v>240.38731757536974</v>
      </c>
    </row>
    <row r="272" spans="1:23">
      <c r="A272" s="31" t="s">
        <v>1231</v>
      </c>
      <c r="B272" s="32">
        <v>45663</v>
      </c>
      <c r="C272" s="32">
        <v>45615</v>
      </c>
      <c r="D272" s="31" t="s">
        <v>187</v>
      </c>
      <c r="E272" s="31" t="s">
        <v>188</v>
      </c>
      <c r="G272" s="31" t="s">
        <v>1199</v>
      </c>
      <c r="H272" s="31" t="s">
        <v>202</v>
      </c>
      <c r="I272" s="31" t="s">
        <v>203</v>
      </c>
      <c r="J272" s="34" t="str">
        <f t="shared" si="24"/>
        <v>ALM-</v>
      </c>
      <c r="K272" s="31" t="s">
        <v>98</v>
      </c>
      <c r="L272" s="52">
        <v>300</v>
      </c>
      <c r="M272" s="31" t="s">
        <v>186</v>
      </c>
      <c r="N272" s="31" t="s">
        <v>11</v>
      </c>
      <c r="O272" s="53">
        <v>3.1415999999999999</v>
      </c>
      <c r="P272" s="35">
        <f t="shared" si="25"/>
        <v>942.48</v>
      </c>
      <c r="Q272" s="36">
        <f t="shared" si="26"/>
        <v>7.3003400000000003</v>
      </c>
      <c r="R272" s="36">
        <f t="shared" si="27"/>
        <v>0.43030000000000002</v>
      </c>
      <c r="S272" s="37">
        <f t="shared" si="28"/>
        <v>129.09</v>
      </c>
      <c r="T272" s="36" t="s">
        <v>349</v>
      </c>
      <c r="U272" s="31" t="s">
        <v>191</v>
      </c>
      <c r="V272" s="57">
        <v>7.1879</v>
      </c>
      <c r="W272" s="38">
        <f t="shared" si="29"/>
        <v>131.12035504111077</v>
      </c>
    </row>
    <row r="273" spans="1:23">
      <c r="A273" s="31" t="s">
        <v>1230</v>
      </c>
      <c r="B273" s="32">
        <v>45663</v>
      </c>
      <c r="C273" s="32">
        <v>45615</v>
      </c>
      <c r="D273" s="31" t="s">
        <v>187</v>
      </c>
      <c r="E273" s="31" t="s">
        <v>188</v>
      </c>
      <c r="G273" s="31" t="s">
        <v>1199</v>
      </c>
      <c r="H273" s="31" t="s">
        <v>199</v>
      </c>
      <c r="I273" s="31" t="s">
        <v>200</v>
      </c>
      <c r="J273" s="34" t="str">
        <f t="shared" si="24"/>
        <v>ALM-</v>
      </c>
      <c r="K273" s="31" t="s">
        <v>98</v>
      </c>
      <c r="L273" s="52">
        <v>1900</v>
      </c>
      <c r="M273" s="31" t="s">
        <v>186</v>
      </c>
      <c r="N273" s="31" t="s">
        <v>11</v>
      </c>
      <c r="O273" s="53">
        <v>3.1415999999999999</v>
      </c>
      <c r="P273" s="35">
        <f t="shared" si="25"/>
        <v>5969.04</v>
      </c>
      <c r="Q273" s="36">
        <f t="shared" si="26"/>
        <v>7.3003400000000003</v>
      </c>
      <c r="R273" s="36">
        <f t="shared" si="27"/>
        <v>0.43030000000000002</v>
      </c>
      <c r="S273" s="37">
        <f t="shared" si="28"/>
        <v>817.57</v>
      </c>
      <c r="T273" s="36" t="s">
        <v>349</v>
      </c>
      <c r="U273" s="31" t="s">
        <v>191</v>
      </c>
      <c r="V273" s="57">
        <v>7.1879</v>
      </c>
      <c r="W273" s="38">
        <f t="shared" si="29"/>
        <v>830.42891526036817</v>
      </c>
    </row>
    <row r="274" spans="1:23">
      <c r="A274" s="31" t="s">
        <v>1229</v>
      </c>
      <c r="B274" s="32">
        <v>45663</v>
      </c>
      <c r="C274" s="32">
        <v>45615</v>
      </c>
      <c r="D274" s="31" t="s">
        <v>187</v>
      </c>
      <c r="E274" s="31" t="s">
        <v>188</v>
      </c>
      <c r="G274" s="31" t="s">
        <v>1199</v>
      </c>
      <c r="H274" s="31" t="s">
        <v>1206</v>
      </c>
      <c r="I274" s="31" t="s">
        <v>1207</v>
      </c>
      <c r="J274" s="34" t="str">
        <f t="shared" si="24"/>
        <v>ALM-</v>
      </c>
      <c r="K274" s="31" t="s">
        <v>98</v>
      </c>
      <c r="L274" s="52">
        <v>100</v>
      </c>
      <c r="M274" s="31" t="s">
        <v>186</v>
      </c>
      <c r="N274" s="31" t="s">
        <v>11</v>
      </c>
      <c r="O274" s="53">
        <v>3.1415999999999999</v>
      </c>
      <c r="P274" s="35">
        <f t="shared" si="25"/>
        <v>314.16000000000003</v>
      </c>
      <c r="Q274" s="36">
        <f t="shared" si="26"/>
        <v>7.3003400000000003</v>
      </c>
      <c r="R274" s="36">
        <f t="shared" si="27"/>
        <v>0.43030000000000002</v>
      </c>
      <c r="S274" s="37">
        <f t="shared" si="28"/>
        <v>43.03</v>
      </c>
      <c r="T274" s="36" t="s">
        <v>349</v>
      </c>
      <c r="U274" s="31" t="s">
        <v>191</v>
      </c>
      <c r="V274" s="57">
        <v>7.1879</v>
      </c>
      <c r="W274" s="38">
        <f t="shared" si="29"/>
        <v>43.706785013703588</v>
      </c>
    </row>
    <row r="275" spans="1:23">
      <c r="A275" s="31" t="s">
        <v>1205</v>
      </c>
      <c r="B275" s="32">
        <v>45663</v>
      </c>
      <c r="C275" s="32">
        <v>45638</v>
      </c>
      <c r="D275" s="31" t="s">
        <v>187</v>
      </c>
      <c r="E275" s="31" t="s">
        <v>188</v>
      </c>
      <c r="G275" s="31" t="s">
        <v>1199</v>
      </c>
      <c r="H275" s="31" t="s">
        <v>211</v>
      </c>
      <c r="I275" s="31" t="s">
        <v>212</v>
      </c>
      <c r="J275" s="34" t="str">
        <f t="shared" si="24"/>
        <v>ALM-</v>
      </c>
      <c r="K275" s="31" t="s">
        <v>98</v>
      </c>
      <c r="L275" s="52">
        <v>300</v>
      </c>
      <c r="M275" s="31" t="s">
        <v>186</v>
      </c>
      <c r="N275" s="31" t="s">
        <v>11</v>
      </c>
      <c r="O275" s="53">
        <v>3.1415999999999999</v>
      </c>
      <c r="P275" s="35">
        <f t="shared" si="25"/>
        <v>942.48</v>
      </c>
      <c r="Q275" s="36">
        <f t="shared" si="26"/>
        <v>7.3003400000000003</v>
      </c>
      <c r="R275" s="36">
        <f t="shared" si="27"/>
        <v>0.43030000000000002</v>
      </c>
      <c r="S275" s="37">
        <f t="shared" si="28"/>
        <v>129.09</v>
      </c>
      <c r="T275" s="36" t="s">
        <v>349</v>
      </c>
      <c r="U275" s="31" t="s">
        <v>191</v>
      </c>
      <c r="V275" s="57">
        <v>7.1879</v>
      </c>
      <c r="W275" s="38">
        <f t="shared" si="29"/>
        <v>131.12035504111077</v>
      </c>
    </row>
    <row r="276" spans="1:23">
      <c r="A276" s="31" t="s">
        <v>1204</v>
      </c>
      <c r="B276" s="32">
        <v>45663</v>
      </c>
      <c r="C276" s="32">
        <v>45638</v>
      </c>
      <c r="D276" s="31" t="s">
        <v>187</v>
      </c>
      <c r="E276" s="31" t="s">
        <v>188</v>
      </c>
      <c r="G276" s="31" t="s">
        <v>1199</v>
      </c>
      <c r="H276" s="31" t="s">
        <v>208</v>
      </c>
      <c r="I276" s="31" t="s">
        <v>209</v>
      </c>
      <c r="J276" s="34" t="str">
        <f t="shared" si="24"/>
        <v>ALM-</v>
      </c>
      <c r="K276" s="31" t="s">
        <v>98</v>
      </c>
      <c r="L276" s="52">
        <v>300</v>
      </c>
      <c r="M276" s="31" t="s">
        <v>186</v>
      </c>
      <c r="N276" s="31" t="s">
        <v>11</v>
      </c>
      <c r="O276" s="53">
        <v>3.1415999999999999</v>
      </c>
      <c r="P276" s="35">
        <f t="shared" si="25"/>
        <v>942.48</v>
      </c>
      <c r="Q276" s="36">
        <f t="shared" si="26"/>
        <v>7.3003400000000003</v>
      </c>
      <c r="R276" s="36">
        <f t="shared" si="27"/>
        <v>0.43030000000000002</v>
      </c>
      <c r="S276" s="37">
        <f t="shared" si="28"/>
        <v>129.09</v>
      </c>
      <c r="T276" s="36" t="s">
        <v>349</v>
      </c>
      <c r="U276" s="31" t="s">
        <v>191</v>
      </c>
      <c r="V276" s="57">
        <v>7.1879</v>
      </c>
      <c r="W276" s="38">
        <f t="shared" si="29"/>
        <v>131.12035504111077</v>
      </c>
    </row>
    <row r="277" spans="1:23">
      <c r="A277" s="31" t="s">
        <v>1222</v>
      </c>
      <c r="B277" s="32">
        <v>45663</v>
      </c>
      <c r="C277" s="32">
        <v>45643</v>
      </c>
      <c r="D277" s="31" t="s">
        <v>187</v>
      </c>
      <c r="E277" s="31" t="s">
        <v>188</v>
      </c>
      <c r="G277" s="31" t="s">
        <v>1199</v>
      </c>
      <c r="H277" s="31" t="s">
        <v>214</v>
      </c>
      <c r="I277" s="31" t="s">
        <v>215</v>
      </c>
      <c r="J277" s="34" t="str">
        <f t="shared" si="24"/>
        <v>ALM-</v>
      </c>
      <c r="K277" s="31" t="s">
        <v>98</v>
      </c>
      <c r="L277" s="52">
        <v>300</v>
      </c>
      <c r="M277" s="31" t="s">
        <v>186</v>
      </c>
      <c r="N277" s="31" t="s">
        <v>11</v>
      </c>
      <c r="O277" s="53">
        <v>3.1415999999999999</v>
      </c>
      <c r="P277" s="35">
        <f t="shared" si="25"/>
        <v>942.48</v>
      </c>
      <c r="Q277" s="36">
        <f t="shared" si="26"/>
        <v>7.3003400000000003</v>
      </c>
      <c r="R277" s="36">
        <f t="shared" si="27"/>
        <v>0.43030000000000002</v>
      </c>
      <c r="S277" s="37">
        <f t="shared" si="28"/>
        <v>129.09</v>
      </c>
      <c r="T277" s="36" t="s">
        <v>349</v>
      </c>
      <c r="U277" s="31" t="s">
        <v>191</v>
      </c>
      <c r="V277" s="57">
        <v>7.1879</v>
      </c>
      <c r="W277" s="38">
        <f t="shared" si="29"/>
        <v>131.12035504111077</v>
      </c>
    </row>
    <row r="278" spans="1:23">
      <c r="A278" s="31" t="s">
        <v>1221</v>
      </c>
      <c r="B278" s="32">
        <v>45663</v>
      </c>
      <c r="C278" s="32">
        <v>45643</v>
      </c>
      <c r="D278" s="31" t="s">
        <v>187</v>
      </c>
      <c r="E278" s="31" t="s">
        <v>188</v>
      </c>
      <c r="G278" s="31" t="s">
        <v>1199</v>
      </c>
      <c r="H278" s="31" t="s">
        <v>211</v>
      </c>
      <c r="I278" s="31" t="s">
        <v>212</v>
      </c>
      <c r="J278" s="34" t="str">
        <f t="shared" si="24"/>
        <v>ALM-</v>
      </c>
      <c r="K278" s="31" t="s">
        <v>98</v>
      </c>
      <c r="L278" s="52">
        <v>460</v>
      </c>
      <c r="M278" s="31" t="s">
        <v>186</v>
      </c>
      <c r="N278" s="31" t="s">
        <v>11</v>
      </c>
      <c r="O278" s="53">
        <v>3.1415999999999999</v>
      </c>
      <c r="P278" s="35">
        <f t="shared" si="25"/>
        <v>1445.14</v>
      </c>
      <c r="Q278" s="36">
        <f t="shared" si="26"/>
        <v>7.3003400000000003</v>
      </c>
      <c r="R278" s="36">
        <f t="shared" si="27"/>
        <v>0.43030000000000002</v>
      </c>
      <c r="S278" s="37">
        <f t="shared" si="28"/>
        <v>197.94</v>
      </c>
      <c r="T278" s="36" t="s">
        <v>349</v>
      </c>
      <c r="U278" s="31" t="s">
        <v>191</v>
      </c>
      <c r="V278" s="57">
        <v>7.1879</v>
      </c>
      <c r="W278" s="38">
        <f t="shared" si="29"/>
        <v>201.0512110630365</v>
      </c>
    </row>
    <row r="279" spans="1:23">
      <c r="A279" s="31" t="s">
        <v>1220</v>
      </c>
      <c r="B279" s="32">
        <v>45663</v>
      </c>
      <c r="C279" s="32">
        <v>45643</v>
      </c>
      <c r="D279" s="31" t="s">
        <v>187</v>
      </c>
      <c r="E279" s="31" t="s">
        <v>188</v>
      </c>
      <c r="G279" s="31" t="s">
        <v>1199</v>
      </c>
      <c r="H279" s="31" t="s">
        <v>202</v>
      </c>
      <c r="I279" s="31" t="s">
        <v>203</v>
      </c>
      <c r="J279" s="34" t="str">
        <f t="shared" si="24"/>
        <v>ALM-</v>
      </c>
      <c r="K279" s="31" t="s">
        <v>98</v>
      </c>
      <c r="L279" s="52">
        <v>310</v>
      </c>
      <c r="M279" s="31" t="s">
        <v>186</v>
      </c>
      <c r="N279" s="31" t="s">
        <v>11</v>
      </c>
      <c r="O279" s="53">
        <v>3.1415999999999999</v>
      </c>
      <c r="P279" s="35">
        <f t="shared" si="25"/>
        <v>973.9</v>
      </c>
      <c r="Q279" s="36">
        <f t="shared" si="26"/>
        <v>7.3003400000000003</v>
      </c>
      <c r="R279" s="36">
        <f t="shared" si="27"/>
        <v>0.43030000000000002</v>
      </c>
      <c r="S279" s="37">
        <f t="shared" si="28"/>
        <v>133.38999999999999</v>
      </c>
      <c r="T279" s="36" t="s">
        <v>349</v>
      </c>
      <c r="U279" s="31" t="s">
        <v>191</v>
      </c>
      <c r="V279" s="57">
        <v>7.1879</v>
      </c>
      <c r="W279" s="38">
        <f t="shared" si="29"/>
        <v>135.49103354248112</v>
      </c>
    </row>
    <row r="280" spans="1:23">
      <c r="A280" s="31" t="s">
        <v>1219</v>
      </c>
      <c r="B280" s="32">
        <v>45663</v>
      </c>
      <c r="C280" s="32">
        <v>45643</v>
      </c>
      <c r="D280" s="31" t="s">
        <v>187</v>
      </c>
      <c r="E280" s="31" t="s">
        <v>188</v>
      </c>
      <c r="G280" s="31" t="s">
        <v>1199</v>
      </c>
      <c r="H280" s="31" t="s">
        <v>1217</v>
      </c>
      <c r="I280" s="31" t="s">
        <v>1218</v>
      </c>
      <c r="J280" s="34" t="str">
        <f t="shared" si="24"/>
        <v>ALM-</v>
      </c>
      <c r="K280" s="31" t="s">
        <v>98</v>
      </c>
      <c r="L280" s="52">
        <v>780</v>
      </c>
      <c r="M280" s="31" t="s">
        <v>186</v>
      </c>
      <c r="N280" s="31" t="s">
        <v>11</v>
      </c>
      <c r="O280" s="53">
        <v>3.1415999999999999</v>
      </c>
      <c r="P280" s="35">
        <f t="shared" si="25"/>
        <v>2450.4499999999998</v>
      </c>
      <c r="Q280" s="36">
        <f t="shared" si="26"/>
        <v>7.3003400000000003</v>
      </c>
      <c r="R280" s="36">
        <f t="shared" si="27"/>
        <v>0.43030000000000002</v>
      </c>
      <c r="S280" s="37">
        <f t="shared" si="28"/>
        <v>335.63</v>
      </c>
      <c r="T280" s="36" t="s">
        <v>349</v>
      </c>
      <c r="U280" s="31" t="s">
        <v>191</v>
      </c>
      <c r="V280" s="57">
        <v>7.1879</v>
      </c>
      <c r="W280" s="38">
        <f t="shared" si="29"/>
        <v>340.91292310688794</v>
      </c>
    </row>
    <row r="281" spans="1:23">
      <c r="A281" s="31" t="s">
        <v>1216</v>
      </c>
      <c r="B281" s="32">
        <v>45663</v>
      </c>
      <c r="C281" s="32">
        <v>45643</v>
      </c>
      <c r="D281" s="31" t="s">
        <v>187</v>
      </c>
      <c r="E281" s="31" t="s">
        <v>188</v>
      </c>
      <c r="G281" s="31" t="s">
        <v>1199</v>
      </c>
      <c r="H281" s="31" t="s">
        <v>211</v>
      </c>
      <c r="I281" s="31" t="s">
        <v>212</v>
      </c>
      <c r="J281" s="34" t="str">
        <f t="shared" si="24"/>
        <v>ALM-</v>
      </c>
      <c r="K281" s="31" t="s">
        <v>98</v>
      </c>
      <c r="L281" s="52">
        <v>900</v>
      </c>
      <c r="M281" s="31" t="s">
        <v>186</v>
      </c>
      <c r="N281" s="31" t="s">
        <v>11</v>
      </c>
      <c r="O281" s="53">
        <v>3.1415999999999999</v>
      </c>
      <c r="P281" s="35">
        <f t="shared" si="25"/>
        <v>2827.44</v>
      </c>
      <c r="Q281" s="36">
        <f t="shared" si="26"/>
        <v>7.3003400000000003</v>
      </c>
      <c r="R281" s="36">
        <f t="shared" si="27"/>
        <v>0.43030000000000002</v>
      </c>
      <c r="S281" s="37">
        <f t="shared" si="28"/>
        <v>387.27</v>
      </c>
      <c r="T281" s="36" t="s">
        <v>349</v>
      </c>
      <c r="U281" s="31" t="s">
        <v>191</v>
      </c>
      <c r="V281" s="57">
        <v>7.1879</v>
      </c>
      <c r="W281" s="38">
        <f t="shared" si="29"/>
        <v>393.36106512333225</v>
      </c>
    </row>
    <row r="282" spans="1:23">
      <c r="A282" s="31" t="s">
        <v>1215</v>
      </c>
      <c r="B282" s="32">
        <v>45663</v>
      </c>
      <c r="C282" s="32">
        <v>45643</v>
      </c>
      <c r="D282" s="31" t="s">
        <v>187</v>
      </c>
      <c r="E282" s="31" t="s">
        <v>188</v>
      </c>
      <c r="G282" s="31" t="s">
        <v>1199</v>
      </c>
      <c r="H282" s="31" t="s">
        <v>1213</v>
      </c>
      <c r="I282" s="31" t="s">
        <v>1214</v>
      </c>
      <c r="J282" s="34" t="str">
        <f t="shared" si="24"/>
        <v>ALM-</v>
      </c>
      <c r="K282" s="31" t="s">
        <v>98</v>
      </c>
      <c r="L282" s="52">
        <v>120</v>
      </c>
      <c r="M282" s="31" t="s">
        <v>186</v>
      </c>
      <c r="N282" s="31" t="s">
        <v>11</v>
      </c>
      <c r="O282" s="53">
        <v>3.1415999999999999</v>
      </c>
      <c r="P282" s="35">
        <f t="shared" si="25"/>
        <v>376.99</v>
      </c>
      <c r="Q282" s="36">
        <f t="shared" si="26"/>
        <v>7.3003400000000003</v>
      </c>
      <c r="R282" s="36">
        <f t="shared" si="27"/>
        <v>0.43030000000000002</v>
      </c>
      <c r="S282" s="37">
        <f t="shared" si="28"/>
        <v>51.64</v>
      </c>
      <c r="T282" s="36" t="s">
        <v>349</v>
      </c>
      <c r="U282" s="31" t="s">
        <v>191</v>
      </c>
      <c r="V282" s="57">
        <v>7.1879</v>
      </c>
      <c r="W282" s="38">
        <f t="shared" si="29"/>
        <v>52.448142016444301</v>
      </c>
    </row>
    <row r="283" spans="1:23">
      <c r="A283" s="31" t="s">
        <v>1198</v>
      </c>
      <c r="B283" s="32">
        <v>45663</v>
      </c>
      <c r="C283" s="32">
        <v>45650</v>
      </c>
      <c r="D283" s="31" t="s">
        <v>187</v>
      </c>
      <c r="E283" s="31" t="s">
        <v>188</v>
      </c>
      <c r="G283" s="31" t="s">
        <v>1199</v>
      </c>
      <c r="H283" s="31" t="s">
        <v>211</v>
      </c>
      <c r="I283" s="31" t="s">
        <v>212</v>
      </c>
      <c r="J283" s="34" t="str">
        <f t="shared" si="24"/>
        <v>ALM-</v>
      </c>
      <c r="K283" s="31" t="s">
        <v>98</v>
      </c>
      <c r="L283" s="52">
        <v>450</v>
      </c>
      <c r="M283" s="31" t="s">
        <v>186</v>
      </c>
      <c r="N283" s="31" t="s">
        <v>11</v>
      </c>
      <c r="O283" s="53">
        <v>3.1415999999999999</v>
      </c>
      <c r="P283" s="35">
        <f t="shared" si="25"/>
        <v>1413.72</v>
      </c>
      <c r="Q283" s="36">
        <f t="shared" si="26"/>
        <v>7.3003400000000003</v>
      </c>
      <c r="R283" s="36">
        <f t="shared" si="27"/>
        <v>0.43030000000000002</v>
      </c>
      <c r="S283" s="37">
        <f t="shared" si="28"/>
        <v>193.64</v>
      </c>
      <c r="T283" s="36" t="s">
        <v>349</v>
      </c>
      <c r="U283" s="31" t="s">
        <v>191</v>
      </c>
      <c r="V283" s="57">
        <v>7.1879</v>
      </c>
      <c r="W283" s="38">
        <f t="shared" si="29"/>
        <v>196.68053256166613</v>
      </c>
    </row>
    <row r="284" spans="1:23">
      <c r="A284" s="31" t="s">
        <v>1212</v>
      </c>
      <c r="B284" s="32">
        <v>45663</v>
      </c>
      <c r="C284" s="32">
        <v>45656</v>
      </c>
      <c r="D284" s="31" t="s">
        <v>187</v>
      </c>
      <c r="E284" s="31" t="s">
        <v>188</v>
      </c>
      <c r="G284" s="31" t="s">
        <v>1199</v>
      </c>
      <c r="H284" s="31" t="s">
        <v>1210</v>
      </c>
      <c r="I284" s="31" t="s">
        <v>1211</v>
      </c>
      <c r="J284" s="34" t="str">
        <f t="shared" si="24"/>
        <v>ALM-</v>
      </c>
      <c r="K284" s="31" t="s">
        <v>98</v>
      </c>
      <c r="L284" s="52">
        <v>205</v>
      </c>
      <c r="M284" s="31" t="s">
        <v>186</v>
      </c>
      <c r="N284" s="31" t="s">
        <v>11</v>
      </c>
      <c r="O284" s="53">
        <v>3.1415999999999999</v>
      </c>
      <c r="P284" s="35">
        <f t="shared" si="25"/>
        <v>644.03</v>
      </c>
      <c r="Q284" s="36">
        <f t="shared" si="26"/>
        <v>7.3003400000000003</v>
      </c>
      <c r="R284" s="36">
        <f t="shared" si="27"/>
        <v>0.43030000000000002</v>
      </c>
      <c r="S284" s="37">
        <f t="shared" si="28"/>
        <v>88.21</v>
      </c>
      <c r="T284" s="36" t="s">
        <v>349</v>
      </c>
      <c r="U284" s="31" t="s">
        <v>191</v>
      </c>
      <c r="V284" s="57">
        <v>7.1879</v>
      </c>
      <c r="W284" s="38">
        <f t="shared" si="29"/>
        <v>89.59890927809235</v>
      </c>
    </row>
    <row r="285" spans="1:23">
      <c r="A285" s="31" t="s">
        <v>1208</v>
      </c>
      <c r="B285" s="32">
        <v>45663</v>
      </c>
      <c r="C285" s="32">
        <v>45656</v>
      </c>
      <c r="D285" s="31" t="s">
        <v>187</v>
      </c>
      <c r="E285" s="31" t="s">
        <v>188</v>
      </c>
      <c r="G285" s="31" t="s">
        <v>1199</v>
      </c>
      <c r="H285" s="31" t="s">
        <v>1206</v>
      </c>
      <c r="I285" s="31" t="s">
        <v>1207</v>
      </c>
      <c r="J285" s="34" t="str">
        <f t="shared" si="24"/>
        <v>ALM-</v>
      </c>
      <c r="K285" s="31" t="s">
        <v>98</v>
      </c>
      <c r="L285" s="52">
        <v>160</v>
      </c>
      <c r="M285" s="31" t="s">
        <v>186</v>
      </c>
      <c r="N285" s="31" t="s">
        <v>11</v>
      </c>
      <c r="O285" s="53">
        <v>3.1415999999999999</v>
      </c>
      <c r="P285" s="35">
        <f t="shared" si="25"/>
        <v>502.66</v>
      </c>
      <c r="Q285" s="36">
        <f t="shared" si="26"/>
        <v>7.3003400000000003</v>
      </c>
      <c r="R285" s="36">
        <f t="shared" si="27"/>
        <v>0.43030000000000002</v>
      </c>
      <c r="S285" s="37">
        <f t="shared" si="28"/>
        <v>68.849999999999994</v>
      </c>
      <c r="T285" s="36" t="s">
        <v>349</v>
      </c>
      <c r="U285" s="31" t="s">
        <v>191</v>
      </c>
      <c r="V285" s="57">
        <v>7.1879</v>
      </c>
      <c r="W285" s="38">
        <f t="shared" si="29"/>
        <v>69.930856021925734</v>
      </c>
    </row>
    <row r="286" spans="1:23">
      <c r="A286" s="31" t="s">
        <v>220</v>
      </c>
      <c r="B286" s="32">
        <v>45674</v>
      </c>
      <c r="C286" s="32">
        <v>45663</v>
      </c>
      <c r="D286" s="31" t="s">
        <v>187</v>
      </c>
      <c r="E286" s="31" t="s">
        <v>188</v>
      </c>
      <c r="G286" s="31" t="s">
        <v>195</v>
      </c>
      <c r="H286" s="31" t="s">
        <v>211</v>
      </c>
      <c r="I286" s="31" t="s">
        <v>212</v>
      </c>
      <c r="J286" s="34" t="str">
        <f t="shared" si="24"/>
        <v>ALM-</v>
      </c>
      <c r="K286" s="31" t="s">
        <v>98</v>
      </c>
      <c r="L286" s="52">
        <v>400</v>
      </c>
      <c r="M286" s="31" t="s">
        <v>186</v>
      </c>
      <c r="N286" s="31" t="s">
        <v>11</v>
      </c>
      <c r="O286" s="53">
        <v>3.1415999999999999</v>
      </c>
      <c r="P286" s="35">
        <f t="shared" si="25"/>
        <v>1256.6400000000001</v>
      </c>
      <c r="Q286" s="36">
        <f t="shared" si="26"/>
        <v>7.3003400000000003</v>
      </c>
      <c r="R286" s="36">
        <f t="shared" si="27"/>
        <v>0.43030000000000002</v>
      </c>
      <c r="S286" s="37">
        <f t="shared" si="28"/>
        <v>172.12</v>
      </c>
      <c r="T286" s="36" t="s">
        <v>349</v>
      </c>
      <c r="U286" s="31" t="s">
        <v>191</v>
      </c>
      <c r="V286" s="57">
        <v>7.1879</v>
      </c>
      <c r="W286" s="38">
        <f t="shared" si="29"/>
        <v>174.82714005481435</v>
      </c>
    </row>
    <row r="287" spans="1:23">
      <c r="A287" s="31" t="s">
        <v>219</v>
      </c>
      <c r="B287" s="32">
        <v>45674</v>
      </c>
      <c r="C287" s="32">
        <v>45663</v>
      </c>
      <c r="D287" s="31" t="s">
        <v>187</v>
      </c>
      <c r="E287" s="31" t="s">
        <v>188</v>
      </c>
      <c r="G287" s="31" t="s">
        <v>195</v>
      </c>
      <c r="H287" s="31" t="s">
        <v>217</v>
      </c>
      <c r="I287" s="31" t="s">
        <v>218</v>
      </c>
      <c r="J287" s="34" t="str">
        <f t="shared" si="24"/>
        <v>ALM-</v>
      </c>
      <c r="K287" s="31" t="s">
        <v>98</v>
      </c>
      <c r="L287" s="52">
        <v>100</v>
      </c>
      <c r="M287" s="31" t="s">
        <v>186</v>
      </c>
      <c r="N287" s="31" t="s">
        <v>11</v>
      </c>
      <c r="O287" s="53">
        <v>3.1415999999999999</v>
      </c>
      <c r="P287" s="35">
        <f t="shared" si="25"/>
        <v>314.16000000000003</v>
      </c>
      <c r="Q287" s="36">
        <f t="shared" si="26"/>
        <v>7.3003400000000003</v>
      </c>
      <c r="R287" s="36">
        <f t="shared" si="27"/>
        <v>0.43030000000000002</v>
      </c>
      <c r="S287" s="37">
        <f t="shared" si="28"/>
        <v>43.03</v>
      </c>
      <c r="T287" s="36" t="s">
        <v>349</v>
      </c>
      <c r="U287" s="31" t="s">
        <v>191</v>
      </c>
      <c r="V287" s="57">
        <v>7.1879</v>
      </c>
      <c r="W287" s="38">
        <f t="shared" si="29"/>
        <v>43.706785013703588</v>
      </c>
    </row>
    <row r="288" spans="1:23">
      <c r="A288" s="31" t="s">
        <v>216</v>
      </c>
      <c r="B288" s="32">
        <v>45674</v>
      </c>
      <c r="C288" s="32">
        <v>45663</v>
      </c>
      <c r="D288" s="31" t="s">
        <v>187</v>
      </c>
      <c r="E288" s="31" t="s">
        <v>188</v>
      </c>
      <c r="G288" s="31" t="s">
        <v>195</v>
      </c>
      <c r="H288" s="31" t="s">
        <v>214</v>
      </c>
      <c r="I288" s="31" t="s">
        <v>215</v>
      </c>
      <c r="J288" s="34" t="str">
        <f t="shared" si="24"/>
        <v>ALM-</v>
      </c>
      <c r="K288" s="31" t="s">
        <v>98</v>
      </c>
      <c r="L288" s="52">
        <v>350</v>
      </c>
      <c r="M288" s="31" t="s">
        <v>186</v>
      </c>
      <c r="N288" s="31" t="s">
        <v>11</v>
      </c>
      <c r="O288" s="53">
        <v>3.1415999999999999</v>
      </c>
      <c r="P288" s="35">
        <f t="shared" si="25"/>
        <v>1099.56</v>
      </c>
      <c r="Q288" s="36">
        <f t="shared" si="26"/>
        <v>7.3003400000000003</v>
      </c>
      <c r="R288" s="36">
        <f t="shared" si="27"/>
        <v>0.43030000000000002</v>
      </c>
      <c r="S288" s="37">
        <f t="shared" si="28"/>
        <v>150.61000000000001</v>
      </c>
      <c r="T288" s="36" t="s">
        <v>349</v>
      </c>
      <c r="U288" s="31" t="s">
        <v>191</v>
      </c>
      <c r="V288" s="57">
        <v>7.1879</v>
      </c>
      <c r="W288" s="38">
        <f t="shared" si="29"/>
        <v>152.97374754796255</v>
      </c>
    </row>
    <row r="289" spans="1:23">
      <c r="A289" s="31" t="s">
        <v>213</v>
      </c>
      <c r="B289" s="32">
        <v>45674</v>
      </c>
      <c r="C289" s="32">
        <v>45663</v>
      </c>
      <c r="D289" s="31" t="s">
        <v>187</v>
      </c>
      <c r="E289" s="31" t="s">
        <v>188</v>
      </c>
      <c r="G289" s="31" t="s">
        <v>195</v>
      </c>
      <c r="H289" s="31" t="s">
        <v>211</v>
      </c>
      <c r="I289" s="31" t="s">
        <v>212</v>
      </c>
      <c r="J289" s="34" t="str">
        <f t="shared" si="24"/>
        <v>ALM-</v>
      </c>
      <c r="K289" s="31" t="s">
        <v>98</v>
      </c>
      <c r="L289" s="52">
        <v>800</v>
      </c>
      <c r="M289" s="31" t="s">
        <v>186</v>
      </c>
      <c r="N289" s="31" t="s">
        <v>11</v>
      </c>
      <c r="O289" s="53">
        <v>3.1415999999999999</v>
      </c>
      <c r="P289" s="35">
        <f t="shared" si="25"/>
        <v>2513.2800000000002</v>
      </c>
      <c r="Q289" s="36">
        <f t="shared" si="26"/>
        <v>7.3003400000000003</v>
      </c>
      <c r="R289" s="36">
        <f t="shared" si="27"/>
        <v>0.43030000000000002</v>
      </c>
      <c r="S289" s="37">
        <f t="shared" si="28"/>
        <v>344.24</v>
      </c>
      <c r="T289" s="36" t="s">
        <v>349</v>
      </c>
      <c r="U289" s="31" t="s">
        <v>191</v>
      </c>
      <c r="V289" s="57">
        <v>7.1879</v>
      </c>
      <c r="W289" s="38">
        <f t="shared" si="29"/>
        <v>349.6542801096287</v>
      </c>
    </row>
    <row r="290" spans="1:23">
      <c r="A290" s="31" t="s">
        <v>210</v>
      </c>
      <c r="B290" s="32">
        <v>45674</v>
      </c>
      <c r="C290" s="32">
        <v>45663</v>
      </c>
      <c r="D290" s="31" t="s">
        <v>187</v>
      </c>
      <c r="E290" s="31" t="s">
        <v>188</v>
      </c>
      <c r="G290" s="31" t="s">
        <v>195</v>
      </c>
      <c r="H290" s="31" t="s">
        <v>208</v>
      </c>
      <c r="I290" s="31" t="s">
        <v>209</v>
      </c>
      <c r="J290" s="34" t="str">
        <f t="shared" si="24"/>
        <v>ALM-</v>
      </c>
      <c r="K290" s="31" t="s">
        <v>98</v>
      </c>
      <c r="L290" s="52">
        <v>550</v>
      </c>
      <c r="M290" s="31" t="s">
        <v>186</v>
      </c>
      <c r="N290" s="31" t="s">
        <v>11</v>
      </c>
      <c r="O290" s="53">
        <v>3.1415999999999999</v>
      </c>
      <c r="P290" s="35">
        <f t="shared" si="25"/>
        <v>1727.88</v>
      </c>
      <c r="Q290" s="36">
        <f t="shared" si="26"/>
        <v>7.3003400000000003</v>
      </c>
      <c r="R290" s="36">
        <f t="shared" si="27"/>
        <v>0.43030000000000002</v>
      </c>
      <c r="S290" s="37">
        <f t="shared" si="28"/>
        <v>236.67</v>
      </c>
      <c r="T290" s="36" t="s">
        <v>349</v>
      </c>
      <c r="U290" s="31" t="s">
        <v>191</v>
      </c>
      <c r="V290" s="57">
        <v>7.1879</v>
      </c>
      <c r="W290" s="38">
        <f t="shared" si="29"/>
        <v>240.38731757536974</v>
      </c>
    </row>
    <row r="291" spans="1:23">
      <c r="A291" s="31" t="s">
        <v>207</v>
      </c>
      <c r="B291" s="32">
        <v>45674</v>
      </c>
      <c r="C291" s="32">
        <v>45663</v>
      </c>
      <c r="D291" s="31" t="s">
        <v>187</v>
      </c>
      <c r="E291" s="31" t="s">
        <v>188</v>
      </c>
      <c r="G291" s="31" t="s">
        <v>195</v>
      </c>
      <c r="H291" s="31" t="s">
        <v>205</v>
      </c>
      <c r="I291" s="31" t="s">
        <v>206</v>
      </c>
      <c r="J291" s="34" t="str">
        <f t="shared" si="24"/>
        <v>ALM-</v>
      </c>
      <c r="K291" s="31" t="s">
        <v>98</v>
      </c>
      <c r="L291" s="52">
        <v>400</v>
      </c>
      <c r="M291" s="31" t="s">
        <v>186</v>
      </c>
      <c r="N291" s="31" t="s">
        <v>11</v>
      </c>
      <c r="O291" s="53">
        <v>3.1415999999999999</v>
      </c>
      <c r="P291" s="35">
        <f t="shared" si="25"/>
        <v>1256.6400000000001</v>
      </c>
      <c r="Q291" s="36">
        <f t="shared" si="26"/>
        <v>7.3003400000000003</v>
      </c>
      <c r="R291" s="36">
        <f t="shared" si="27"/>
        <v>0.43030000000000002</v>
      </c>
      <c r="S291" s="37">
        <f t="shared" si="28"/>
        <v>172.12</v>
      </c>
      <c r="T291" s="36" t="s">
        <v>349</v>
      </c>
      <c r="U291" s="31" t="s">
        <v>191</v>
      </c>
      <c r="V291" s="57">
        <v>7.1879</v>
      </c>
      <c r="W291" s="38">
        <f t="shared" si="29"/>
        <v>174.82714005481435</v>
      </c>
    </row>
    <row r="292" spans="1:23">
      <c r="A292" s="31" t="s">
        <v>204</v>
      </c>
      <c r="B292" s="32">
        <v>45674</v>
      </c>
      <c r="C292" s="32">
        <v>45663</v>
      </c>
      <c r="D292" s="31" t="s">
        <v>187</v>
      </c>
      <c r="E292" s="31" t="s">
        <v>188</v>
      </c>
      <c r="G292" s="31" t="s">
        <v>195</v>
      </c>
      <c r="H292" s="31" t="s">
        <v>202</v>
      </c>
      <c r="I292" s="31" t="s">
        <v>203</v>
      </c>
      <c r="J292" s="34" t="str">
        <f t="shared" si="24"/>
        <v>ALM-</v>
      </c>
      <c r="K292" s="31" t="s">
        <v>98</v>
      </c>
      <c r="L292" s="52">
        <v>500</v>
      </c>
      <c r="M292" s="31" t="s">
        <v>186</v>
      </c>
      <c r="N292" s="31" t="s">
        <v>11</v>
      </c>
      <c r="O292" s="53">
        <v>3.1415999999999999</v>
      </c>
      <c r="P292" s="35">
        <f t="shared" si="25"/>
        <v>1570.8</v>
      </c>
      <c r="Q292" s="36">
        <f t="shared" si="26"/>
        <v>7.3003400000000003</v>
      </c>
      <c r="R292" s="36">
        <f t="shared" si="27"/>
        <v>0.43030000000000002</v>
      </c>
      <c r="S292" s="37">
        <f t="shared" si="28"/>
        <v>215.15</v>
      </c>
      <c r="T292" s="36" t="s">
        <v>349</v>
      </c>
      <c r="U292" s="31" t="s">
        <v>191</v>
      </c>
      <c r="V292" s="57">
        <v>7.1879</v>
      </c>
      <c r="W292" s="38">
        <f t="shared" si="29"/>
        <v>218.53392506851793</v>
      </c>
    </row>
    <row r="293" spans="1:23">
      <c r="A293" s="31" t="s">
        <v>201</v>
      </c>
      <c r="B293" s="32">
        <v>45674</v>
      </c>
      <c r="C293" s="32">
        <v>45663</v>
      </c>
      <c r="D293" s="31" t="s">
        <v>187</v>
      </c>
      <c r="E293" s="31" t="s">
        <v>188</v>
      </c>
      <c r="G293" s="31" t="s">
        <v>195</v>
      </c>
      <c r="H293" s="31" t="s">
        <v>199</v>
      </c>
      <c r="I293" s="31" t="s">
        <v>200</v>
      </c>
      <c r="J293" s="34" t="str">
        <f t="shared" si="24"/>
        <v>ALM-</v>
      </c>
      <c r="K293" s="31" t="s">
        <v>98</v>
      </c>
      <c r="L293" s="52">
        <v>1200</v>
      </c>
      <c r="M293" s="31" t="s">
        <v>186</v>
      </c>
      <c r="N293" s="31" t="s">
        <v>11</v>
      </c>
      <c r="O293" s="53">
        <v>3.1415999999999999</v>
      </c>
      <c r="P293" s="35">
        <f t="shared" si="25"/>
        <v>3769.92</v>
      </c>
      <c r="Q293" s="36">
        <f t="shared" si="26"/>
        <v>7.3003400000000003</v>
      </c>
      <c r="R293" s="36">
        <f t="shared" si="27"/>
        <v>0.43030000000000002</v>
      </c>
      <c r="S293" s="37">
        <f t="shared" si="28"/>
        <v>516.36</v>
      </c>
      <c r="T293" s="36" t="s">
        <v>349</v>
      </c>
      <c r="U293" s="31" t="s">
        <v>191</v>
      </c>
      <c r="V293" s="57">
        <v>7.1879</v>
      </c>
      <c r="W293" s="38">
        <f t="shared" si="29"/>
        <v>524.48142016444308</v>
      </c>
    </row>
    <row r="294" spans="1:23">
      <c r="A294" s="31" t="s">
        <v>198</v>
      </c>
      <c r="B294" s="32">
        <v>45674</v>
      </c>
      <c r="C294" s="32">
        <v>45664</v>
      </c>
      <c r="D294" s="31" t="s">
        <v>187</v>
      </c>
      <c r="E294" s="31" t="s">
        <v>188</v>
      </c>
      <c r="G294" s="31" t="s">
        <v>195</v>
      </c>
      <c r="H294" s="31" t="s">
        <v>196</v>
      </c>
      <c r="I294" s="31" t="s">
        <v>197</v>
      </c>
      <c r="J294" s="34" t="str">
        <f t="shared" si="24"/>
        <v>ALM-</v>
      </c>
      <c r="K294" s="31" t="s">
        <v>98</v>
      </c>
      <c r="L294" s="52">
        <v>2400</v>
      </c>
      <c r="M294" s="31" t="s">
        <v>186</v>
      </c>
      <c r="N294" s="31" t="s">
        <v>11</v>
      </c>
      <c r="O294" s="53">
        <v>3.1415999999999999</v>
      </c>
      <c r="P294" s="35">
        <f t="shared" si="25"/>
        <v>7539.84</v>
      </c>
      <c r="Q294" s="36">
        <f t="shared" si="26"/>
        <v>7.3003400000000003</v>
      </c>
      <c r="R294" s="36">
        <f t="shared" si="27"/>
        <v>0.43030000000000002</v>
      </c>
      <c r="S294" s="37">
        <f t="shared" si="28"/>
        <v>1032.72</v>
      </c>
      <c r="T294" s="36" t="s">
        <v>349</v>
      </c>
      <c r="U294" s="31" t="s">
        <v>191</v>
      </c>
      <c r="V294" s="57">
        <v>7.1879</v>
      </c>
      <c r="W294" s="38">
        <f t="shared" si="29"/>
        <v>1048.9628403288862</v>
      </c>
    </row>
    <row r="295" spans="1:23">
      <c r="A295" s="31" t="s">
        <v>1185</v>
      </c>
      <c r="B295" s="32">
        <v>45663</v>
      </c>
      <c r="C295" s="32">
        <v>45609</v>
      </c>
      <c r="D295" s="31" t="s">
        <v>149</v>
      </c>
      <c r="E295" s="31" t="s">
        <v>150</v>
      </c>
      <c r="G295" s="31" t="s">
        <v>1182</v>
      </c>
      <c r="H295" s="31" t="s">
        <v>1183</v>
      </c>
      <c r="I295" s="31" t="s">
        <v>1184</v>
      </c>
      <c r="J295" s="34" t="str">
        <f t="shared" si="24"/>
        <v>GLID</v>
      </c>
      <c r="K295" s="31" t="s">
        <v>10</v>
      </c>
      <c r="L295" s="52">
        <v>1000</v>
      </c>
      <c r="M295" s="31" t="s">
        <v>1472</v>
      </c>
      <c r="N295" s="31" t="s">
        <v>11</v>
      </c>
      <c r="O295" s="53">
        <v>3.1461000000000001</v>
      </c>
      <c r="P295" s="35">
        <f t="shared" si="25"/>
        <v>3146.1</v>
      </c>
      <c r="Q295" s="36">
        <f t="shared" si="26"/>
        <v>7.3003400000000003</v>
      </c>
      <c r="R295" s="36">
        <f t="shared" si="27"/>
        <v>0.43099999999999999</v>
      </c>
      <c r="S295" s="37">
        <f t="shared" si="28"/>
        <v>431</v>
      </c>
      <c r="T295" s="36" t="s">
        <v>349</v>
      </c>
      <c r="U295" s="31" t="s">
        <v>78</v>
      </c>
      <c r="V295" s="57">
        <v>7.1879</v>
      </c>
      <c r="W295" s="38">
        <f t="shared" si="29"/>
        <v>437.69390225239641</v>
      </c>
    </row>
    <row r="296" spans="1:23">
      <c r="A296" s="31" t="s">
        <v>1186</v>
      </c>
      <c r="B296" s="32">
        <v>45663</v>
      </c>
      <c r="C296" s="32">
        <v>45643</v>
      </c>
      <c r="D296" s="31" t="s">
        <v>149</v>
      </c>
      <c r="E296" s="31" t="s">
        <v>150</v>
      </c>
      <c r="G296" s="31" t="s">
        <v>1182</v>
      </c>
      <c r="H296" s="31" t="s">
        <v>1183</v>
      </c>
      <c r="I296" s="31" t="s">
        <v>1184</v>
      </c>
      <c r="J296" s="34" t="str">
        <f t="shared" si="24"/>
        <v>GLID</v>
      </c>
      <c r="K296" s="31" t="s">
        <v>10</v>
      </c>
      <c r="L296" s="52">
        <v>1730</v>
      </c>
      <c r="M296" s="31" t="s">
        <v>1472</v>
      </c>
      <c r="N296" s="31" t="s">
        <v>11</v>
      </c>
      <c r="O296" s="53">
        <v>3.1461000000000001</v>
      </c>
      <c r="P296" s="35">
        <f t="shared" si="25"/>
        <v>5442.75</v>
      </c>
      <c r="Q296" s="36">
        <f t="shared" si="26"/>
        <v>7.3003400000000003</v>
      </c>
      <c r="R296" s="36">
        <f t="shared" si="27"/>
        <v>0.43099999999999999</v>
      </c>
      <c r="S296" s="37">
        <f t="shared" si="28"/>
        <v>745.63</v>
      </c>
      <c r="T296" s="36" t="s">
        <v>349</v>
      </c>
      <c r="U296" s="31" t="s">
        <v>78</v>
      </c>
      <c r="V296" s="57">
        <v>7.1879</v>
      </c>
      <c r="W296" s="38">
        <f t="shared" si="29"/>
        <v>757.21045089664574</v>
      </c>
    </row>
    <row r="297" spans="1:23">
      <c r="A297" s="31" t="s">
        <v>286</v>
      </c>
      <c r="B297" s="32">
        <v>45673</v>
      </c>
      <c r="C297" s="32">
        <v>45639</v>
      </c>
      <c r="D297" s="31" t="s">
        <v>280</v>
      </c>
      <c r="E297" s="31" t="s">
        <v>281</v>
      </c>
      <c r="G297" s="31" t="s">
        <v>283</v>
      </c>
      <c r="H297" s="31" t="s">
        <v>284</v>
      </c>
      <c r="I297" s="31" t="s">
        <v>285</v>
      </c>
      <c r="J297" s="34" t="str">
        <f t="shared" si="24"/>
        <v>BOX-</v>
      </c>
      <c r="K297" s="31" t="s">
        <v>10</v>
      </c>
      <c r="L297" s="52">
        <v>3050</v>
      </c>
      <c r="M297" s="31" t="s">
        <v>1472</v>
      </c>
      <c r="N297" s="31" t="s">
        <v>11</v>
      </c>
      <c r="O297" s="53">
        <v>3.18</v>
      </c>
      <c r="P297" s="35">
        <f t="shared" si="25"/>
        <v>9699</v>
      </c>
      <c r="Q297" s="36">
        <f t="shared" si="26"/>
        <v>7.3003400000000003</v>
      </c>
      <c r="R297" s="36">
        <f t="shared" si="27"/>
        <v>0.43559999999999999</v>
      </c>
      <c r="S297" s="37">
        <f t="shared" si="28"/>
        <v>1328.58</v>
      </c>
      <c r="T297" s="36" t="s">
        <v>349</v>
      </c>
      <c r="U297" s="31" t="s">
        <v>1</v>
      </c>
      <c r="V297" s="57">
        <v>7.1879</v>
      </c>
      <c r="W297" s="38">
        <f t="shared" si="29"/>
        <v>1349.3509926404097</v>
      </c>
    </row>
    <row r="298" spans="1:23">
      <c r="A298" s="31" t="s">
        <v>90</v>
      </c>
      <c r="B298" s="32">
        <v>45678</v>
      </c>
      <c r="C298" s="32">
        <v>45677</v>
      </c>
      <c r="D298" s="31" t="s">
        <v>5</v>
      </c>
      <c r="E298" s="31" t="s">
        <v>6</v>
      </c>
      <c r="G298" s="31" t="s">
        <v>91</v>
      </c>
      <c r="H298" s="31" t="s">
        <v>88</v>
      </c>
      <c r="I298" s="31" t="s">
        <v>89</v>
      </c>
      <c r="J298" s="34" t="str">
        <f t="shared" si="24"/>
        <v>SHTS</v>
      </c>
      <c r="K298" s="31" t="s">
        <v>10</v>
      </c>
      <c r="L298" s="52">
        <v>1010</v>
      </c>
      <c r="M298" s="31" t="s">
        <v>1472</v>
      </c>
      <c r="N298" s="31" t="s">
        <v>11</v>
      </c>
      <c r="O298" s="53">
        <v>3.22</v>
      </c>
      <c r="P298" s="35">
        <f t="shared" si="25"/>
        <v>3252.2</v>
      </c>
      <c r="Q298" s="36">
        <f t="shared" si="26"/>
        <v>7.3003400000000003</v>
      </c>
      <c r="R298" s="36">
        <f t="shared" si="27"/>
        <v>0.44109999999999999</v>
      </c>
      <c r="S298" s="37">
        <f t="shared" si="28"/>
        <v>445.51</v>
      </c>
      <c r="T298" s="36" t="s">
        <v>349</v>
      </c>
      <c r="U298" s="31" t="s">
        <v>9</v>
      </c>
      <c r="V298" s="57">
        <v>7.1879</v>
      </c>
      <c r="W298" s="38">
        <f t="shared" si="29"/>
        <v>452.45481990567487</v>
      </c>
    </row>
    <row r="299" spans="1:23">
      <c r="A299" s="31" t="s">
        <v>405</v>
      </c>
      <c r="B299" s="32">
        <v>45670</v>
      </c>
      <c r="C299" s="32">
        <v>45664</v>
      </c>
      <c r="D299" s="31" t="s">
        <v>5</v>
      </c>
      <c r="E299" s="31" t="s">
        <v>6</v>
      </c>
      <c r="G299" s="31" t="s">
        <v>393</v>
      </c>
      <c r="H299" s="31" t="s">
        <v>403</v>
      </c>
      <c r="I299" s="31" t="s">
        <v>404</v>
      </c>
      <c r="J299" s="34" t="str">
        <f t="shared" si="24"/>
        <v>BOX-</v>
      </c>
      <c r="K299" s="31" t="s">
        <v>10</v>
      </c>
      <c r="L299" s="52">
        <v>2020</v>
      </c>
      <c r="M299" s="31" t="s">
        <v>1472</v>
      </c>
      <c r="N299" s="31" t="s">
        <v>11</v>
      </c>
      <c r="O299" s="53">
        <v>3.23</v>
      </c>
      <c r="P299" s="35">
        <f t="shared" si="25"/>
        <v>6524.6</v>
      </c>
      <c r="Q299" s="36">
        <f t="shared" si="26"/>
        <v>7.3003400000000003</v>
      </c>
      <c r="R299" s="36">
        <f t="shared" si="27"/>
        <v>0.44240000000000002</v>
      </c>
      <c r="S299" s="37">
        <f t="shared" si="28"/>
        <v>893.65</v>
      </c>
      <c r="T299" s="36" t="s">
        <v>349</v>
      </c>
      <c r="U299" s="31" t="s">
        <v>1</v>
      </c>
      <c r="V299" s="57">
        <v>7.1879</v>
      </c>
      <c r="W299" s="38">
        <f t="shared" si="29"/>
        <v>907.71991819585685</v>
      </c>
    </row>
    <row r="300" spans="1:23">
      <c r="A300" s="31" t="s">
        <v>971</v>
      </c>
      <c r="B300" s="32">
        <v>45664</v>
      </c>
      <c r="C300" s="32">
        <v>45622</v>
      </c>
      <c r="D300" s="31" t="s">
        <v>121</v>
      </c>
      <c r="E300" s="31" t="s">
        <v>122</v>
      </c>
      <c r="G300" s="31" t="s">
        <v>972</v>
      </c>
      <c r="H300" s="31" t="s">
        <v>969</v>
      </c>
      <c r="I300" s="31" t="s">
        <v>970</v>
      </c>
      <c r="J300" s="34" t="str">
        <f t="shared" si="24"/>
        <v>LHDL</v>
      </c>
      <c r="K300" s="31" t="s">
        <v>10</v>
      </c>
      <c r="L300" s="52">
        <v>1020</v>
      </c>
      <c r="M300" s="31" t="s">
        <v>1472</v>
      </c>
      <c r="N300" s="31" t="s">
        <v>11</v>
      </c>
      <c r="O300" s="53">
        <v>3.2938000000000001</v>
      </c>
      <c r="P300" s="35">
        <f t="shared" si="25"/>
        <v>3359.68</v>
      </c>
      <c r="Q300" s="36">
        <f t="shared" si="26"/>
        <v>7.3003400000000003</v>
      </c>
      <c r="R300" s="36">
        <f t="shared" si="27"/>
        <v>0.45119999999999999</v>
      </c>
      <c r="S300" s="37">
        <f t="shared" si="28"/>
        <v>460.22</v>
      </c>
      <c r="T300" s="36" t="s">
        <v>349</v>
      </c>
      <c r="U300" s="31" t="s">
        <v>125</v>
      </c>
      <c r="V300" s="57">
        <v>7.1879</v>
      </c>
      <c r="W300" s="38">
        <f t="shared" si="29"/>
        <v>467.40717038356127</v>
      </c>
    </row>
    <row r="301" spans="1:23">
      <c r="A301" s="31" t="s">
        <v>1301</v>
      </c>
      <c r="B301" s="32">
        <v>45660</v>
      </c>
      <c r="C301" s="32">
        <v>45629</v>
      </c>
      <c r="D301" s="31" t="s">
        <v>121</v>
      </c>
      <c r="E301" s="31" t="s">
        <v>122</v>
      </c>
      <c r="G301" s="31" t="s">
        <v>1302</v>
      </c>
      <c r="H301" s="31" t="s">
        <v>1299</v>
      </c>
      <c r="I301" s="31" t="s">
        <v>1300</v>
      </c>
      <c r="J301" s="34" t="str">
        <f t="shared" si="24"/>
        <v>LHDL</v>
      </c>
      <c r="K301" s="31" t="s">
        <v>10</v>
      </c>
      <c r="L301" s="52">
        <v>1020</v>
      </c>
      <c r="M301" s="31" t="s">
        <v>1472</v>
      </c>
      <c r="N301" s="31" t="s">
        <v>11</v>
      </c>
      <c r="O301" s="53">
        <v>3.2938000000000001</v>
      </c>
      <c r="P301" s="35">
        <f t="shared" si="25"/>
        <v>3359.68</v>
      </c>
      <c r="Q301" s="36">
        <f t="shared" si="26"/>
        <v>7.3003400000000003</v>
      </c>
      <c r="R301" s="36">
        <f t="shared" si="27"/>
        <v>0.45119999999999999</v>
      </c>
      <c r="S301" s="37">
        <f t="shared" si="28"/>
        <v>460.22</v>
      </c>
      <c r="T301" s="36" t="s">
        <v>349</v>
      </c>
      <c r="U301" s="31" t="s">
        <v>125</v>
      </c>
      <c r="V301" s="57">
        <v>7.1879</v>
      </c>
      <c r="W301" s="38">
        <f t="shared" si="29"/>
        <v>467.40717038356127</v>
      </c>
    </row>
    <row r="302" spans="1:23">
      <c r="A302" s="31" t="s">
        <v>366</v>
      </c>
      <c r="B302" s="32">
        <v>45671</v>
      </c>
      <c r="C302" s="32">
        <v>45638</v>
      </c>
      <c r="D302" s="31" t="s">
        <v>94</v>
      </c>
      <c r="E302" s="31" t="s">
        <v>95</v>
      </c>
      <c r="G302" s="31" t="s">
        <v>367</v>
      </c>
      <c r="H302" s="31" t="s">
        <v>364</v>
      </c>
      <c r="I302" s="31" t="s">
        <v>365</v>
      </c>
      <c r="J302" s="34" t="str">
        <f t="shared" si="24"/>
        <v>LID-</v>
      </c>
      <c r="K302" s="31" t="s">
        <v>369</v>
      </c>
      <c r="L302" s="52">
        <v>1030</v>
      </c>
      <c r="M302" s="31" t="s">
        <v>1472</v>
      </c>
      <c r="N302" s="31" t="s">
        <v>11</v>
      </c>
      <c r="O302" s="53">
        <v>3.32</v>
      </c>
      <c r="P302" s="35">
        <f t="shared" si="25"/>
        <v>3419.6</v>
      </c>
      <c r="Q302" s="36">
        <f t="shared" si="26"/>
        <v>7.3003400000000003</v>
      </c>
      <c r="R302" s="36">
        <f t="shared" si="27"/>
        <v>0.45479999999999998</v>
      </c>
      <c r="S302" s="37">
        <f t="shared" si="28"/>
        <v>468.44</v>
      </c>
      <c r="T302" s="36" t="s">
        <v>349</v>
      </c>
      <c r="U302" s="31" t="s">
        <v>368</v>
      </c>
      <c r="V302" s="57">
        <v>7.1879</v>
      </c>
      <c r="W302" s="38">
        <f t="shared" si="29"/>
        <v>475.74395859708676</v>
      </c>
    </row>
    <row r="303" spans="1:23">
      <c r="A303" s="31" t="s">
        <v>432</v>
      </c>
      <c r="B303" s="32">
        <v>45670</v>
      </c>
      <c r="C303" s="32">
        <v>45663</v>
      </c>
      <c r="D303" s="31" t="s">
        <v>5</v>
      </c>
      <c r="E303" s="31" t="s">
        <v>6</v>
      </c>
      <c r="G303" s="31" t="s">
        <v>433</v>
      </c>
      <c r="H303" s="31" t="s">
        <v>430</v>
      </c>
      <c r="I303" s="31" t="s">
        <v>431</v>
      </c>
      <c r="J303" s="34" t="str">
        <f t="shared" si="24"/>
        <v>SHTS</v>
      </c>
      <c r="K303" s="31" t="s">
        <v>10</v>
      </c>
      <c r="L303" s="52">
        <v>1010</v>
      </c>
      <c r="M303" s="31" t="s">
        <v>1472</v>
      </c>
      <c r="N303" s="31" t="s">
        <v>11</v>
      </c>
      <c r="O303" s="53">
        <v>3.33</v>
      </c>
      <c r="P303" s="35">
        <f t="shared" si="25"/>
        <v>3363.3</v>
      </c>
      <c r="Q303" s="36">
        <f t="shared" si="26"/>
        <v>7.3003400000000003</v>
      </c>
      <c r="R303" s="36">
        <f t="shared" si="27"/>
        <v>0.45610000000000001</v>
      </c>
      <c r="S303" s="37">
        <f t="shared" si="28"/>
        <v>460.66</v>
      </c>
      <c r="T303" s="36" t="s">
        <v>349</v>
      </c>
      <c r="U303" s="31" t="s">
        <v>9</v>
      </c>
      <c r="V303" s="57">
        <v>7.1879</v>
      </c>
      <c r="W303" s="38">
        <f t="shared" si="29"/>
        <v>467.91135102046496</v>
      </c>
    </row>
    <row r="304" spans="1:23">
      <c r="A304" s="31" t="s">
        <v>159</v>
      </c>
      <c r="B304" s="32">
        <v>45675</v>
      </c>
      <c r="C304" s="32">
        <v>45646</v>
      </c>
      <c r="D304" s="31" t="s">
        <v>149</v>
      </c>
      <c r="E304" s="31" t="s">
        <v>150</v>
      </c>
      <c r="G304" s="31" t="s">
        <v>156</v>
      </c>
      <c r="H304" s="31" t="s">
        <v>157</v>
      </c>
      <c r="I304" s="31" t="s">
        <v>158</v>
      </c>
      <c r="J304" s="34" t="str">
        <f t="shared" si="24"/>
        <v>GLID</v>
      </c>
      <c r="K304" s="31" t="s">
        <v>10</v>
      </c>
      <c r="L304" s="52">
        <v>7100</v>
      </c>
      <c r="M304" s="31" t="s">
        <v>1472</v>
      </c>
      <c r="N304" s="31" t="s">
        <v>11</v>
      </c>
      <c r="O304" s="53">
        <v>3.3437000000000001</v>
      </c>
      <c r="P304" s="35">
        <f t="shared" si="25"/>
        <v>23740.27</v>
      </c>
      <c r="Q304" s="36">
        <f t="shared" si="26"/>
        <v>7.3003400000000003</v>
      </c>
      <c r="R304" s="36">
        <f t="shared" si="27"/>
        <v>0.45800000000000002</v>
      </c>
      <c r="S304" s="37">
        <f t="shared" si="28"/>
        <v>3251.8</v>
      </c>
      <c r="T304" s="36" t="s">
        <v>349</v>
      </c>
      <c r="U304" s="31" t="s">
        <v>78</v>
      </c>
      <c r="V304" s="57">
        <v>7.1879</v>
      </c>
      <c r="W304" s="38">
        <f t="shared" si="29"/>
        <v>3302.8102783845075</v>
      </c>
    </row>
    <row r="305" spans="1:23">
      <c r="A305" s="31" t="s">
        <v>1157</v>
      </c>
      <c r="B305" s="32">
        <v>45663</v>
      </c>
      <c r="C305" s="32">
        <v>45609</v>
      </c>
      <c r="D305" s="31" t="s">
        <v>28</v>
      </c>
      <c r="E305" s="31" t="s">
        <v>29</v>
      </c>
      <c r="G305" s="31" t="s">
        <v>1144</v>
      </c>
      <c r="H305" s="31" t="s">
        <v>1155</v>
      </c>
      <c r="I305" s="31" t="s">
        <v>1156</v>
      </c>
      <c r="J305" s="34" t="str">
        <f t="shared" si="24"/>
        <v>KNOB</v>
      </c>
      <c r="K305" s="31" t="s">
        <v>10</v>
      </c>
      <c r="L305" s="52">
        <v>520</v>
      </c>
      <c r="M305" s="31" t="s">
        <v>1472</v>
      </c>
      <c r="N305" s="31" t="s">
        <v>11</v>
      </c>
      <c r="O305" s="53">
        <v>3.3721999999999999</v>
      </c>
      <c r="P305" s="35">
        <f t="shared" si="25"/>
        <v>1753.54</v>
      </c>
      <c r="Q305" s="36">
        <f t="shared" si="26"/>
        <v>7.3003400000000003</v>
      </c>
      <c r="R305" s="36">
        <f t="shared" si="27"/>
        <v>0.46189999999999998</v>
      </c>
      <c r="S305" s="37">
        <f t="shared" si="28"/>
        <v>240.19</v>
      </c>
      <c r="T305" s="36" t="s">
        <v>349</v>
      </c>
      <c r="U305" s="31" t="s">
        <v>32</v>
      </c>
      <c r="V305" s="57">
        <v>7.1879</v>
      </c>
      <c r="W305" s="38">
        <f t="shared" si="29"/>
        <v>243.957762350617</v>
      </c>
    </row>
    <row r="306" spans="1:23">
      <c r="A306" s="31" t="s">
        <v>1003</v>
      </c>
      <c r="B306" s="32">
        <v>45664</v>
      </c>
      <c r="C306" s="32">
        <v>45609</v>
      </c>
      <c r="D306" s="31" t="s">
        <v>94</v>
      </c>
      <c r="E306" s="31" t="s">
        <v>95</v>
      </c>
      <c r="G306" s="31" t="s">
        <v>1000</v>
      </c>
      <c r="H306" s="31" t="s">
        <v>1001</v>
      </c>
      <c r="I306" s="31" t="s">
        <v>1002</v>
      </c>
      <c r="J306" s="34" t="str">
        <f t="shared" si="24"/>
        <v>LID-</v>
      </c>
      <c r="K306" s="31" t="s">
        <v>98</v>
      </c>
      <c r="L306" s="52">
        <v>1030</v>
      </c>
      <c r="M306" s="31" t="s">
        <v>1472</v>
      </c>
      <c r="N306" s="31" t="s">
        <v>11</v>
      </c>
      <c r="O306" s="53">
        <v>3.42</v>
      </c>
      <c r="P306" s="35">
        <f t="shared" si="25"/>
        <v>3522.6</v>
      </c>
      <c r="Q306" s="36">
        <f t="shared" si="26"/>
        <v>7.3003400000000003</v>
      </c>
      <c r="R306" s="36">
        <f t="shared" si="27"/>
        <v>0.46850000000000003</v>
      </c>
      <c r="S306" s="37">
        <f t="shared" si="28"/>
        <v>482.56</v>
      </c>
      <c r="T306" s="36" t="s">
        <v>349</v>
      </c>
      <c r="U306" s="31" t="s">
        <v>368</v>
      </c>
      <c r="V306" s="57">
        <v>7.1879</v>
      </c>
      <c r="W306" s="38">
        <f t="shared" si="29"/>
        <v>490.07359590422794</v>
      </c>
    </row>
    <row r="307" spans="1:23">
      <c r="A307" s="31" t="s">
        <v>523</v>
      </c>
      <c r="B307" s="32">
        <v>45670</v>
      </c>
      <c r="C307" s="32">
        <v>45663</v>
      </c>
      <c r="D307" s="31" t="s">
        <v>5</v>
      </c>
      <c r="E307" s="31" t="s">
        <v>6</v>
      </c>
      <c r="G307" s="31" t="s">
        <v>492</v>
      </c>
      <c r="H307" s="31" t="s">
        <v>521</v>
      </c>
      <c r="I307" s="31" t="s">
        <v>522</v>
      </c>
      <c r="J307" s="34" t="str">
        <f t="shared" si="24"/>
        <v>SHTS</v>
      </c>
      <c r="K307" s="31" t="s">
        <v>10</v>
      </c>
      <c r="L307" s="52">
        <v>1010</v>
      </c>
      <c r="M307" s="31" t="s">
        <v>1472</v>
      </c>
      <c r="N307" s="31" t="s">
        <v>11</v>
      </c>
      <c r="O307" s="53">
        <v>3.45</v>
      </c>
      <c r="P307" s="35">
        <f t="shared" si="25"/>
        <v>3484.5</v>
      </c>
      <c r="Q307" s="36">
        <f t="shared" si="26"/>
        <v>7.3003400000000003</v>
      </c>
      <c r="R307" s="36">
        <f t="shared" si="27"/>
        <v>0.47260000000000002</v>
      </c>
      <c r="S307" s="37">
        <f t="shared" si="28"/>
        <v>477.33</v>
      </c>
      <c r="T307" s="36" t="s">
        <v>349</v>
      </c>
      <c r="U307" s="31" t="s">
        <v>9</v>
      </c>
      <c r="V307" s="57">
        <v>7.1879</v>
      </c>
      <c r="W307" s="38">
        <f t="shared" si="29"/>
        <v>484.77302132750873</v>
      </c>
    </row>
    <row r="308" spans="1:23">
      <c r="A308" s="31" t="s">
        <v>526</v>
      </c>
      <c r="B308" s="32">
        <v>45670</v>
      </c>
      <c r="C308" s="32">
        <v>45663</v>
      </c>
      <c r="D308" s="31" t="s">
        <v>5</v>
      </c>
      <c r="E308" s="31" t="s">
        <v>6</v>
      </c>
      <c r="G308" s="31" t="s">
        <v>527</v>
      </c>
      <c r="H308" s="31" t="s">
        <v>524</v>
      </c>
      <c r="I308" s="31" t="s">
        <v>525</v>
      </c>
      <c r="J308" s="34" t="str">
        <f t="shared" si="24"/>
        <v>BOX-</v>
      </c>
      <c r="K308" s="31" t="s">
        <v>10</v>
      </c>
      <c r="L308" s="52">
        <v>505</v>
      </c>
      <c r="M308" s="31" t="s">
        <v>1472</v>
      </c>
      <c r="N308" s="31" t="s">
        <v>11</v>
      </c>
      <c r="O308" s="53">
        <v>3.49</v>
      </c>
      <c r="P308" s="35">
        <f t="shared" si="25"/>
        <v>1762.45</v>
      </c>
      <c r="Q308" s="36">
        <f t="shared" si="26"/>
        <v>7.3003400000000003</v>
      </c>
      <c r="R308" s="36">
        <f t="shared" si="27"/>
        <v>0.47810000000000002</v>
      </c>
      <c r="S308" s="37">
        <f t="shared" si="28"/>
        <v>241.44</v>
      </c>
      <c r="T308" s="36" t="s">
        <v>349</v>
      </c>
      <c r="U308" s="31" t="s">
        <v>1</v>
      </c>
      <c r="V308" s="57">
        <v>7.1879</v>
      </c>
      <c r="W308" s="38">
        <f t="shared" si="29"/>
        <v>245.19678904826168</v>
      </c>
    </row>
    <row r="309" spans="1:23">
      <c r="A309" s="31" t="s">
        <v>761</v>
      </c>
      <c r="B309" s="32">
        <v>45666</v>
      </c>
      <c r="C309" s="32">
        <v>45664</v>
      </c>
      <c r="D309" s="31" t="s">
        <v>569</v>
      </c>
      <c r="E309" s="31" t="s">
        <v>570</v>
      </c>
      <c r="G309" s="31" t="s">
        <v>762</v>
      </c>
      <c r="H309" s="31" t="s">
        <v>759</v>
      </c>
      <c r="I309" s="31" t="s">
        <v>760</v>
      </c>
      <c r="J309" s="34" t="str">
        <f t="shared" si="24"/>
        <v>ANYD</v>
      </c>
      <c r="K309" s="31" t="s">
        <v>10</v>
      </c>
      <c r="L309" s="52">
        <v>300</v>
      </c>
      <c r="M309" s="31" t="s">
        <v>1472</v>
      </c>
      <c r="N309" s="31" t="s">
        <v>11</v>
      </c>
      <c r="O309" s="53">
        <v>3.5</v>
      </c>
      <c r="P309" s="35">
        <f t="shared" si="25"/>
        <v>1050</v>
      </c>
      <c r="Q309" s="36">
        <f t="shared" si="26"/>
        <v>7.3003400000000003</v>
      </c>
      <c r="R309" s="36">
        <f t="shared" si="27"/>
        <v>0.47939999999999999</v>
      </c>
      <c r="S309" s="37">
        <f t="shared" si="28"/>
        <v>143.82</v>
      </c>
      <c r="T309" s="36" t="s">
        <v>349</v>
      </c>
      <c r="U309" s="31" t="s">
        <v>36</v>
      </c>
      <c r="V309" s="57">
        <v>7.1879</v>
      </c>
      <c r="W309" s="38">
        <f t="shared" si="29"/>
        <v>146.07882691745851</v>
      </c>
    </row>
    <row r="310" spans="1:23">
      <c r="A310" s="31" t="s">
        <v>907</v>
      </c>
      <c r="B310" s="32">
        <v>45666</v>
      </c>
      <c r="C310" s="32">
        <v>45614</v>
      </c>
      <c r="D310" s="31" t="s">
        <v>898</v>
      </c>
      <c r="E310" s="31" t="s">
        <v>899</v>
      </c>
      <c r="G310" s="31" t="s">
        <v>901</v>
      </c>
      <c r="H310" s="31" t="s">
        <v>905</v>
      </c>
      <c r="I310" s="31" t="s">
        <v>906</v>
      </c>
      <c r="J310" s="34" t="str">
        <f t="shared" si="24"/>
        <v>GLID</v>
      </c>
      <c r="K310" s="31" t="s">
        <v>10</v>
      </c>
      <c r="L310" s="52">
        <v>1020</v>
      </c>
      <c r="M310" s="31" t="s">
        <v>1472</v>
      </c>
      <c r="N310" s="31" t="s">
        <v>11</v>
      </c>
      <c r="O310" s="53">
        <v>3.5017</v>
      </c>
      <c r="P310" s="35">
        <f t="shared" si="25"/>
        <v>3571.73</v>
      </c>
      <c r="Q310" s="36">
        <f t="shared" si="26"/>
        <v>7.3003400000000003</v>
      </c>
      <c r="R310" s="36">
        <f t="shared" si="27"/>
        <v>0.47970000000000002</v>
      </c>
      <c r="S310" s="37">
        <f t="shared" si="28"/>
        <v>489.29</v>
      </c>
      <c r="T310" s="36" t="s">
        <v>349</v>
      </c>
      <c r="U310" s="31" t="s">
        <v>78</v>
      </c>
      <c r="V310" s="57">
        <v>7.1879</v>
      </c>
      <c r="W310" s="38">
        <f t="shared" si="29"/>
        <v>496.90925026781122</v>
      </c>
    </row>
    <row r="311" spans="1:23">
      <c r="A311" s="31" t="s">
        <v>359</v>
      </c>
      <c r="B311" s="32">
        <v>45671</v>
      </c>
      <c r="C311" s="32">
        <v>45639</v>
      </c>
      <c r="D311" s="31" t="s">
        <v>121</v>
      </c>
      <c r="E311" s="31" t="s">
        <v>122</v>
      </c>
      <c r="G311" s="31" t="s">
        <v>353</v>
      </c>
      <c r="H311" s="31" t="s">
        <v>357</v>
      </c>
      <c r="I311" s="31" t="s">
        <v>358</v>
      </c>
      <c r="J311" s="34" t="str">
        <f t="shared" si="24"/>
        <v>HDL-</v>
      </c>
      <c r="K311" s="31" t="s">
        <v>10</v>
      </c>
      <c r="L311" s="52">
        <v>302</v>
      </c>
      <c r="M311" s="31" t="s">
        <v>1472</v>
      </c>
      <c r="N311" s="31" t="s">
        <v>11</v>
      </c>
      <c r="O311" s="53">
        <v>3.5398000000000001</v>
      </c>
      <c r="P311" s="35">
        <f t="shared" si="25"/>
        <v>1069.02</v>
      </c>
      <c r="Q311" s="36">
        <f t="shared" si="26"/>
        <v>7.3003400000000003</v>
      </c>
      <c r="R311" s="36">
        <f t="shared" si="27"/>
        <v>0.4849</v>
      </c>
      <c r="S311" s="37">
        <f t="shared" si="28"/>
        <v>146.44</v>
      </c>
      <c r="T311" s="36" t="s">
        <v>349</v>
      </c>
      <c r="U311" s="31" t="s">
        <v>228</v>
      </c>
      <c r="V311" s="57">
        <v>7.1879</v>
      </c>
      <c r="W311" s="38">
        <f t="shared" si="29"/>
        <v>148.72488487597212</v>
      </c>
    </row>
    <row r="312" spans="1:23">
      <c r="A312" s="31" t="s">
        <v>359</v>
      </c>
      <c r="B312" s="32">
        <v>45667</v>
      </c>
      <c r="C312" s="32">
        <v>45639</v>
      </c>
      <c r="D312" s="31" t="s">
        <v>121</v>
      </c>
      <c r="E312" s="31" t="s">
        <v>122</v>
      </c>
      <c r="G312" s="31" t="s">
        <v>693</v>
      </c>
      <c r="H312" s="31" t="s">
        <v>357</v>
      </c>
      <c r="I312" s="31" t="s">
        <v>358</v>
      </c>
      <c r="J312" s="34" t="str">
        <f t="shared" si="24"/>
        <v>HDL-</v>
      </c>
      <c r="K312" s="31" t="s">
        <v>10</v>
      </c>
      <c r="L312" s="52">
        <v>1738</v>
      </c>
      <c r="M312" s="31" t="s">
        <v>1472</v>
      </c>
      <c r="N312" s="31" t="s">
        <v>11</v>
      </c>
      <c r="O312" s="53">
        <v>3.5398000000000001</v>
      </c>
      <c r="P312" s="35">
        <f t="shared" si="25"/>
        <v>6152.17</v>
      </c>
      <c r="Q312" s="36">
        <f t="shared" si="26"/>
        <v>7.3003400000000003</v>
      </c>
      <c r="R312" s="36">
        <f t="shared" si="27"/>
        <v>0.4849</v>
      </c>
      <c r="S312" s="37">
        <f t="shared" si="28"/>
        <v>842.76</v>
      </c>
      <c r="T312" s="36" t="s">
        <v>349</v>
      </c>
      <c r="U312" s="31" t="s">
        <v>228</v>
      </c>
      <c r="V312" s="57">
        <v>7.1879</v>
      </c>
      <c r="W312" s="38">
        <f t="shared" si="29"/>
        <v>855.90678779615746</v>
      </c>
    </row>
    <row r="313" spans="1:23">
      <c r="A313" s="31" t="s">
        <v>743</v>
      </c>
      <c r="B313" s="32">
        <v>45667</v>
      </c>
      <c r="C313" s="32">
        <v>45615</v>
      </c>
      <c r="D313" s="31" t="s">
        <v>709</v>
      </c>
      <c r="E313" s="31" t="s">
        <v>710</v>
      </c>
      <c r="G313" s="31" t="s">
        <v>712</v>
      </c>
      <c r="H313" s="31" t="s">
        <v>741</v>
      </c>
      <c r="I313" s="31" t="s">
        <v>742</v>
      </c>
      <c r="J313" s="34" t="str">
        <f t="shared" si="24"/>
        <v>SHDL</v>
      </c>
      <c r="K313" s="31" t="s">
        <v>10</v>
      </c>
      <c r="L313" s="52">
        <v>3030</v>
      </c>
      <c r="M313" s="31" t="s">
        <v>1472</v>
      </c>
      <c r="N313" s="31" t="s">
        <v>11</v>
      </c>
      <c r="O313" s="53">
        <v>3.5945999999999998</v>
      </c>
      <c r="P313" s="35">
        <f t="shared" si="25"/>
        <v>10891.64</v>
      </c>
      <c r="Q313" s="36">
        <f t="shared" si="26"/>
        <v>7.3003400000000003</v>
      </c>
      <c r="R313" s="36">
        <f t="shared" si="27"/>
        <v>0.4924</v>
      </c>
      <c r="S313" s="37">
        <f t="shared" si="28"/>
        <v>1491.97</v>
      </c>
      <c r="T313" s="36" t="s">
        <v>349</v>
      </c>
      <c r="U313" s="31" t="s">
        <v>722</v>
      </c>
      <c r="V313" s="57">
        <v>7.1879</v>
      </c>
      <c r="W313" s="38">
        <f t="shared" si="29"/>
        <v>1515.2740021424895</v>
      </c>
    </row>
    <row r="314" spans="1:23">
      <c r="A314" s="31" t="s">
        <v>1225</v>
      </c>
      <c r="B314" s="32">
        <v>45663</v>
      </c>
      <c r="C314" s="32">
        <v>45643</v>
      </c>
      <c r="D314" s="31" t="s">
        <v>187</v>
      </c>
      <c r="E314" s="31" t="s">
        <v>188</v>
      </c>
      <c r="G314" s="31" t="s">
        <v>1199</v>
      </c>
      <c r="H314" s="31" t="s">
        <v>1223</v>
      </c>
      <c r="I314" s="31" t="s">
        <v>1224</v>
      </c>
      <c r="J314" s="34" t="str">
        <f t="shared" si="24"/>
        <v>ALM-</v>
      </c>
      <c r="K314" s="31" t="s">
        <v>98</v>
      </c>
      <c r="L314" s="52">
        <v>50</v>
      </c>
      <c r="M314" s="31" t="s">
        <v>186</v>
      </c>
      <c r="N314" s="31" t="s">
        <v>11</v>
      </c>
      <c r="O314" s="53">
        <v>3.6282999999999999</v>
      </c>
      <c r="P314" s="35">
        <f t="shared" si="25"/>
        <v>181.42</v>
      </c>
      <c r="Q314" s="36">
        <f t="shared" si="26"/>
        <v>7.3003400000000003</v>
      </c>
      <c r="R314" s="36">
        <f t="shared" si="27"/>
        <v>0.497</v>
      </c>
      <c r="S314" s="37">
        <f t="shared" si="28"/>
        <v>24.85</v>
      </c>
      <c r="T314" s="36" t="s">
        <v>349</v>
      </c>
      <c r="U314" s="31" t="s">
        <v>191</v>
      </c>
      <c r="V314" s="57">
        <v>7.1879</v>
      </c>
      <c r="W314" s="38">
        <f t="shared" si="29"/>
        <v>25.238943224029271</v>
      </c>
    </row>
    <row r="315" spans="1:23">
      <c r="A315" s="31" t="s">
        <v>1228</v>
      </c>
      <c r="B315" s="32">
        <v>45663</v>
      </c>
      <c r="C315" s="32">
        <v>45643</v>
      </c>
      <c r="D315" s="31" t="s">
        <v>187</v>
      </c>
      <c r="E315" s="31" t="s">
        <v>188</v>
      </c>
      <c r="G315" s="31" t="s">
        <v>1199</v>
      </c>
      <c r="H315" s="31" t="s">
        <v>1226</v>
      </c>
      <c r="I315" s="31" t="s">
        <v>1227</v>
      </c>
      <c r="J315" s="34" t="str">
        <f t="shared" si="24"/>
        <v>ALM-</v>
      </c>
      <c r="K315" s="31" t="s">
        <v>98</v>
      </c>
      <c r="L315" s="52">
        <v>220</v>
      </c>
      <c r="M315" s="31" t="s">
        <v>186</v>
      </c>
      <c r="N315" s="31" t="s">
        <v>11</v>
      </c>
      <c r="O315" s="53">
        <v>3.6282999999999999</v>
      </c>
      <c r="P315" s="35">
        <f t="shared" si="25"/>
        <v>798.23</v>
      </c>
      <c r="Q315" s="36">
        <f t="shared" si="26"/>
        <v>7.3003400000000003</v>
      </c>
      <c r="R315" s="36">
        <f t="shared" si="27"/>
        <v>0.497</v>
      </c>
      <c r="S315" s="37">
        <f t="shared" si="28"/>
        <v>109.34</v>
      </c>
      <c r="T315" s="36" t="s">
        <v>349</v>
      </c>
      <c r="U315" s="31" t="s">
        <v>191</v>
      </c>
      <c r="V315" s="57">
        <v>7.1879</v>
      </c>
      <c r="W315" s="38">
        <f t="shared" si="29"/>
        <v>111.05135018572879</v>
      </c>
    </row>
    <row r="316" spans="1:23">
      <c r="A316" s="31" t="s">
        <v>1203</v>
      </c>
      <c r="B316" s="32">
        <v>45663</v>
      </c>
      <c r="C316" s="32">
        <v>45650</v>
      </c>
      <c r="D316" s="31" t="s">
        <v>187</v>
      </c>
      <c r="E316" s="31" t="s">
        <v>188</v>
      </c>
      <c r="G316" s="31" t="s">
        <v>1199</v>
      </c>
      <c r="H316" s="31" t="s">
        <v>192</v>
      </c>
      <c r="I316" s="31" t="s">
        <v>193</v>
      </c>
      <c r="J316" s="34" t="str">
        <f t="shared" si="24"/>
        <v>ALM-</v>
      </c>
      <c r="K316" s="31" t="s">
        <v>98</v>
      </c>
      <c r="L316" s="52">
        <v>85</v>
      </c>
      <c r="M316" s="31" t="s">
        <v>186</v>
      </c>
      <c r="N316" s="31" t="s">
        <v>11</v>
      </c>
      <c r="O316" s="53">
        <v>3.6282999999999999</v>
      </c>
      <c r="P316" s="35">
        <f t="shared" si="25"/>
        <v>308.41000000000003</v>
      </c>
      <c r="Q316" s="36">
        <f t="shared" si="26"/>
        <v>7.3003400000000003</v>
      </c>
      <c r="R316" s="36">
        <f t="shared" si="27"/>
        <v>0.497</v>
      </c>
      <c r="S316" s="37">
        <f t="shared" si="28"/>
        <v>42.25</v>
      </c>
      <c r="T316" s="36" t="s">
        <v>349</v>
      </c>
      <c r="U316" s="31" t="s">
        <v>191</v>
      </c>
      <c r="V316" s="57">
        <v>7.1879</v>
      </c>
      <c r="W316" s="38">
        <f t="shared" si="29"/>
        <v>42.906203480849761</v>
      </c>
    </row>
    <row r="317" spans="1:23">
      <c r="A317" s="31" t="s">
        <v>1202</v>
      </c>
      <c r="B317" s="32">
        <v>45663</v>
      </c>
      <c r="C317" s="32">
        <v>45650</v>
      </c>
      <c r="D317" s="31" t="s">
        <v>187</v>
      </c>
      <c r="E317" s="31" t="s">
        <v>188</v>
      </c>
      <c r="G317" s="31" t="s">
        <v>1199</v>
      </c>
      <c r="H317" s="31" t="s">
        <v>1200</v>
      </c>
      <c r="I317" s="31" t="s">
        <v>1201</v>
      </c>
      <c r="J317" s="34" t="str">
        <f t="shared" si="24"/>
        <v>ALM-</v>
      </c>
      <c r="K317" s="31" t="s">
        <v>98</v>
      </c>
      <c r="L317" s="52">
        <v>70</v>
      </c>
      <c r="M317" s="31" t="s">
        <v>186</v>
      </c>
      <c r="N317" s="31" t="s">
        <v>11</v>
      </c>
      <c r="O317" s="53">
        <v>3.6282999999999999</v>
      </c>
      <c r="P317" s="35">
        <f t="shared" si="25"/>
        <v>253.98</v>
      </c>
      <c r="Q317" s="36">
        <f t="shared" si="26"/>
        <v>7.3003400000000003</v>
      </c>
      <c r="R317" s="36">
        <f t="shared" si="27"/>
        <v>0.497</v>
      </c>
      <c r="S317" s="37">
        <f t="shared" si="28"/>
        <v>34.79</v>
      </c>
      <c r="T317" s="36" t="s">
        <v>349</v>
      </c>
      <c r="U317" s="31" t="s">
        <v>191</v>
      </c>
      <c r="V317" s="57">
        <v>7.1879</v>
      </c>
      <c r="W317" s="38">
        <f t="shared" si="29"/>
        <v>35.334520513640975</v>
      </c>
    </row>
    <row r="318" spans="1:23">
      <c r="A318" s="31" t="s">
        <v>189</v>
      </c>
      <c r="B318" s="32">
        <v>45674</v>
      </c>
      <c r="C318" s="32">
        <v>45650</v>
      </c>
      <c r="D318" s="31" t="s">
        <v>187</v>
      </c>
      <c r="E318" s="31" t="s">
        <v>188</v>
      </c>
      <c r="G318" s="31" t="s">
        <v>190</v>
      </c>
      <c r="H318" s="31" t="s">
        <v>184</v>
      </c>
      <c r="I318" s="31" t="s">
        <v>185</v>
      </c>
      <c r="J318" s="34" t="str">
        <f t="shared" si="24"/>
        <v>ALM-</v>
      </c>
      <c r="K318" s="31" t="s">
        <v>98</v>
      </c>
      <c r="L318" s="52">
        <v>100</v>
      </c>
      <c r="M318" s="31" t="s">
        <v>186</v>
      </c>
      <c r="N318" s="31" t="s">
        <v>11</v>
      </c>
      <c r="O318" s="53">
        <v>3.6282999999999999</v>
      </c>
      <c r="P318" s="35">
        <f t="shared" si="25"/>
        <v>362.83</v>
      </c>
      <c r="Q318" s="36">
        <f t="shared" si="26"/>
        <v>7.3003400000000003</v>
      </c>
      <c r="R318" s="36">
        <f t="shared" si="27"/>
        <v>0.497</v>
      </c>
      <c r="S318" s="37">
        <f t="shared" si="28"/>
        <v>49.7</v>
      </c>
      <c r="T318" s="36" t="s">
        <v>349</v>
      </c>
      <c r="U318" s="31" t="s">
        <v>191</v>
      </c>
      <c r="V318" s="57">
        <v>7.1879</v>
      </c>
      <c r="W318" s="38">
        <f t="shared" si="29"/>
        <v>50.477886448058541</v>
      </c>
    </row>
    <row r="319" spans="1:23">
      <c r="A319" s="31" t="s">
        <v>1209</v>
      </c>
      <c r="B319" s="32">
        <v>45663</v>
      </c>
      <c r="C319" s="32">
        <v>45656</v>
      </c>
      <c r="D319" s="31" t="s">
        <v>187</v>
      </c>
      <c r="E319" s="31" t="s">
        <v>188</v>
      </c>
      <c r="G319" s="31" t="s">
        <v>1199</v>
      </c>
      <c r="H319" s="31" t="s">
        <v>192</v>
      </c>
      <c r="I319" s="31" t="s">
        <v>193</v>
      </c>
      <c r="J319" s="34" t="str">
        <f t="shared" si="24"/>
        <v>ALM-</v>
      </c>
      <c r="K319" s="31" t="s">
        <v>98</v>
      </c>
      <c r="L319" s="52">
        <v>50</v>
      </c>
      <c r="M319" s="31" t="s">
        <v>186</v>
      </c>
      <c r="N319" s="31" t="s">
        <v>11</v>
      </c>
      <c r="O319" s="53">
        <v>3.6282999999999999</v>
      </c>
      <c r="P319" s="35">
        <f t="shared" si="25"/>
        <v>181.42</v>
      </c>
      <c r="Q319" s="36">
        <f t="shared" si="26"/>
        <v>7.3003400000000003</v>
      </c>
      <c r="R319" s="36">
        <f t="shared" si="27"/>
        <v>0.497</v>
      </c>
      <c r="S319" s="37">
        <f t="shared" si="28"/>
        <v>24.85</v>
      </c>
      <c r="T319" s="36" t="s">
        <v>349</v>
      </c>
      <c r="U319" s="31" t="s">
        <v>191</v>
      </c>
      <c r="V319" s="57">
        <v>7.1879</v>
      </c>
      <c r="W319" s="38">
        <f t="shared" si="29"/>
        <v>25.238943224029271</v>
      </c>
    </row>
    <row r="320" spans="1:23">
      <c r="A320" s="31" t="s">
        <v>194</v>
      </c>
      <c r="B320" s="32">
        <v>45674</v>
      </c>
      <c r="C320" s="32">
        <v>45667</v>
      </c>
      <c r="D320" s="31" t="s">
        <v>187</v>
      </c>
      <c r="E320" s="31" t="s">
        <v>188</v>
      </c>
      <c r="G320" s="31" t="s">
        <v>195</v>
      </c>
      <c r="H320" s="31" t="s">
        <v>192</v>
      </c>
      <c r="I320" s="31" t="s">
        <v>193</v>
      </c>
      <c r="J320" s="34" t="str">
        <f t="shared" si="24"/>
        <v>ALM-</v>
      </c>
      <c r="K320" s="31" t="s">
        <v>98</v>
      </c>
      <c r="L320" s="52">
        <v>50</v>
      </c>
      <c r="M320" s="31" t="s">
        <v>186</v>
      </c>
      <c r="N320" s="31" t="s">
        <v>11</v>
      </c>
      <c r="O320" s="53">
        <v>3.6282999999999999</v>
      </c>
      <c r="P320" s="35">
        <f t="shared" si="25"/>
        <v>181.42</v>
      </c>
      <c r="Q320" s="36">
        <f t="shared" si="26"/>
        <v>7.3003400000000003</v>
      </c>
      <c r="R320" s="36">
        <f t="shared" si="27"/>
        <v>0.497</v>
      </c>
      <c r="S320" s="37">
        <f t="shared" si="28"/>
        <v>24.85</v>
      </c>
      <c r="T320" s="36" t="s">
        <v>349</v>
      </c>
      <c r="U320" s="31" t="s">
        <v>191</v>
      </c>
      <c r="V320" s="57">
        <v>7.1879</v>
      </c>
      <c r="W320" s="38">
        <f t="shared" si="29"/>
        <v>25.238943224029271</v>
      </c>
    </row>
    <row r="321" spans="1:23">
      <c r="A321" s="31" t="s">
        <v>999</v>
      </c>
      <c r="B321" s="32">
        <v>45664</v>
      </c>
      <c r="C321" s="32">
        <v>45609</v>
      </c>
      <c r="D321" s="31" t="s">
        <v>94</v>
      </c>
      <c r="E321" s="31" t="s">
        <v>95</v>
      </c>
      <c r="G321" s="31" t="s">
        <v>1000</v>
      </c>
      <c r="H321" s="31" t="s">
        <v>997</v>
      </c>
      <c r="I321" s="31" t="s">
        <v>998</v>
      </c>
      <c r="J321" s="34" t="str">
        <f t="shared" si="24"/>
        <v>LID-</v>
      </c>
      <c r="K321" s="31" t="s">
        <v>98</v>
      </c>
      <c r="L321" s="52">
        <v>1030</v>
      </c>
      <c r="M321" s="31" t="s">
        <v>1472</v>
      </c>
      <c r="N321" s="31" t="s">
        <v>11</v>
      </c>
      <c r="O321" s="53">
        <v>3.64</v>
      </c>
      <c r="P321" s="35">
        <f t="shared" si="25"/>
        <v>3749.2</v>
      </c>
      <c r="Q321" s="36">
        <f t="shared" si="26"/>
        <v>7.3003400000000003</v>
      </c>
      <c r="R321" s="36">
        <f t="shared" si="27"/>
        <v>0.49859999999999999</v>
      </c>
      <c r="S321" s="37">
        <f t="shared" si="28"/>
        <v>513.55999999999995</v>
      </c>
      <c r="T321" s="36" t="s">
        <v>349</v>
      </c>
      <c r="U321" s="31" t="s">
        <v>368</v>
      </c>
      <c r="V321" s="57">
        <v>7.1879</v>
      </c>
      <c r="W321" s="38">
        <f t="shared" si="29"/>
        <v>521.59879797993858</v>
      </c>
    </row>
    <row r="322" spans="1:23">
      <c r="A322" s="31" t="s">
        <v>1181</v>
      </c>
      <c r="B322" s="32">
        <v>45663</v>
      </c>
      <c r="C322" s="32">
        <v>45643</v>
      </c>
      <c r="D322" s="31" t="s">
        <v>149</v>
      </c>
      <c r="E322" s="31" t="s">
        <v>150</v>
      </c>
      <c r="G322" s="31" t="s">
        <v>1182</v>
      </c>
      <c r="H322" s="31" t="s">
        <v>1179</v>
      </c>
      <c r="I322" s="31" t="s">
        <v>1180</v>
      </c>
      <c r="J322" s="34" t="str">
        <f t="shared" ref="J322:J385" si="30">+LEFT(U322,4)</f>
        <v>GLID</v>
      </c>
      <c r="K322" s="31" t="s">
        <v>10</v>
      </c>
      <c r="L322" s="52">
        <v>1200</v>
      </c>
      <c r="M322" s="31" t="s">
        <v>1472</v>
      </c>
      <c r="N322" s="31" t="s">
        <v>11</v>
      </c>
      <c r="O322" s="53">
        <v>3.6753999999999998</v>
      </c>
      <c r="P322" s="35">
        <f t="shared" ref="P322:P385" si="31">ROUND(O322*L322,2)</f>
        <v>4410.4799999999996</v>
      </c>
      <c r="Q322" s="36">
        <f t="shared" ref="Q322:Q385" si="32">IF(N322="HKD",7.8,IF(N322="CNY",7.30034,1))</f>
        <v>7.3003400000000003</v>
      </c>
      <c r="R322" s="36">
        <f t="shared" ref="R322:R385" si="33">+ROUND(O322/Q322,4)</f>
        <v>0.50349999999999995</v>
      </c>
      <c r="S322" s="37">
        <f t="shared" ref="S322:S385" si="34">ROUND(R322*L322,2)</f>
        <v>604.20000000000005</v>
      </c>
      <c r="T322" s="36" t="s">
        <v>349</v>
      </c>
      <c r="U322" s="31" t="s">
        <v>78</v>
      </c>
      <c r="V322" s="57">
        <v>7.1879</v>
      </c>
      <c r="W322" s="38">
        <f t="shared" ref="W322:W385" si="35">IF(N322="CNY",O322/V322*L322,1)</f>
        <v>613.59785194563074</v>
      </c>
    </row>
    <row r="323" spans="1:23">
      <c r="A323" s="31" t="s">
        <v>58</v>
      </c>
      <c r="B323" s="32">
        <v>45679</v>
      </c>
      <c r="C323" s="32">
        <v>45677</v>
      </c>
      <c r="D323" s="31" t="s">
        <v>5</v>
      </c>
      <c r="E323" s="31" t="s">
        <v>6</v>
      </c>
      <c r="G323" s="31" t="s">
        <v>40</v>
      </c>
      <c r="H323" s="31" t="s">
        <v>56</v>
      </c>
      <c r="I323" s="31" t="s">
        <v>57</v>
      </c>
      <c r="J323" s="34" t="str">
        <f t="shared" si="30"/>
        <v>BOX-</v>
      </c>
      <c r="K323" s="31" t="s">
        <v>10</v>
      </c>
      <c r="L323" s="52">
        <v>505</v>
      </c>
      <c r="M323" s="31" t="s">
        <v>1472</v>
      </c>
      <c r="N323" s="31" t="s">
        <v>11</v>
      </c>
      <c r="O323" s="53">
        <v>3.81</v>
      </c>
      <c r="P323" s="35">
        <f t="shared" si="31"/>
        <v>1924.05</v>
      </c>
      <c r="Q323" s="36">
        <f t="shared" si="32"/>
        <v>7.3003400000000003</v>
      </c>
      <c r="R323" s="36">
        <f t="shared" si="33"/>
        <v>0.52190000000000003</v>
      </c>
      <c r="S323" s="37">
        <f t="shared" si="34"/>
        <v>263.56</v>
      </c>
      <c r="T323" s="36" t="s">
        <v>349</v>
      </c>
      <c r="U323" s="31" t="s">
        <v>1</v>
      </c>
      <c r="V323" s="57">
        <v>7.1879</v>
      </c>
      <c r="W323" s="38">
        <f t="shared" si="35"/>
        <v>267.67901612432007</v>
      </c>
    </row>
    <row r="324" spans="1:23">
      <c r="A324" s="31" t="s">
        <v>571</v>
      </c>
      <c r="B324" s="32">
        <v>45670</v>
      </c>
      <c r="C324" s="32">
        <v>45667</v>
      </c>
      <c r="D324" s="31" t="s">
        <v>569</v>
      </c>
      <c r="E324" s="31" t="s">
        <v>570</v>
      </c>
      <c r="G324" s="31" t="s">
        <v>572</v>
      </c>
      <c r="H324" s="31" t="s">
        <v>567</v>
      </c>
      <c r="I324" s="31" t="s">
        <v>568</v>
      </c>
      <c r="J324" s="34" t="str">
        <f t="shared" si="30"/>
        <v>ANYD</v>
      </c>
      <c r="K324" s="31" t="s">
        <v>10</v>
      </c>
      <c r="L324" s="52">
        <v>100</v>
      </c>
      <c r="M324" s="31" t="s">
        <v>1472</v>
      </c>
      <c r="N324" s="31" t="s">
        <v>11</v>
      </c>
      <c r="O324" s="53">
        <v>3.85</v>
      </c>
      <c r="P324" s="35">
        <f t="shared" si="31"/>
        <v>385</v>
      </c>
      <c r="Q324" s="36">
        <f t="shared" si="32"/>
        <v>7.3003400000000003</v>
      </c>
      <c r="R324" s="36">
        <f t="shared" si="33"/>
        <v>0.52739999999999998</v>
      </c>
      <c r="S324" s="37">
        <f t="shared" si="34"/>
        <v>52.74</v>
      </c>
      <c r="T324" s="36" t="s">
        <v>349</v>
      </c>
      <c r="U324" s="31" t="s">
        <v>36</v>
      </c>
      <c r="V324" s="57">
        <v>7.1879</v>
      </c>
      <c r="W324" s="38">
        <f t="shared" si="35"/>
        <v>53.56223653640145</v>
      </c>
    </row>
    <row r="325" spans="1:23">
      <c r="A325" s="31" t="s">
        <v>402</v>
      </c>
      <c r="B325" s="32">
        <v>45670</v>
      </c>
      <c r="C325" s="32">
        <v>45664</v>
      </c>
      <c r="D325" s="31" t="s">
        <v>5</v>
      </c>
      <c r="E325" s="31" t="s">
        <v>6</v>
      </c>
      <c r="G325" s="31" t="s">
        <v>393</v>
      </c>
      <c r="H325" s="31" t="s">
        <v>400</v>
      </c>
      <c r="I325" s="31" t="s">
        <v>401</v>
      </c>
      <c r="J325" s="34" t="str">
        <f t="shared" si="30"/>
        <v>BOX-</v>
      </c>
      <c r="K325" s="31" t="s">
        <v>10</v>
      </c>
      <c r="L325" s="52">
        <v>2020</v>
      </c>
      <c r="M325" s="31" t="s">
        <v>1472</v>
      </c>
      <c r="N325" s="31" t="s">
        <v>11</v>
      </c>
      <c r="O325" s="53">
        <v>3.94</v>
      </c>
      <c r="P325" s="35">
        <f t="shared" si="31"/>
        <v>7958.8</v>
      </c>
      <c r="Q325" s="36">
        <f t="shared" si="32"/>
        <v>7.3003400000000003</v>
      </c>
      <c r="R325" s="36">
        <f t="shared" si="33"/>
        <v>0.53969999999999996</v>
      </c>
      <c r="S325" s="37">
        <f t="shared" si="34"/>
        <v>1090.19</v>
      </c>
      <c r="T325" s="36" t="s">
        <v>349</v>
      </c>
      <c r="U325" s="31" t="s">
        <v>1</v>
      </c>
      <c r="V325" s="57">
        <v>7.1879</v>
      </c>
      <c r="W325" s="38">
        <f t="shared" si="35"/>
        <v>1107.2496834958749</v>
      </c>
    </row>
    <row r="326" spans="1:23">
      <c r="A326" s="31" t="s">
        <v>964</v>
      </c>
      <c r="B326" s="32">
        <v>45664</v>
      </c>
      <c r="C326" s="32">
        <v>45610</v>
      </c>
      <c r="D326" s="31" t="s">
        <v>128</v>
      </c>
      <c r="E326" s="31" t="s">
        <v>129</v>
      </c>
      <c r="G326" s="31" t="s">
        <v>953</v>
      </c>
      <c r="H326" s="31" t="s">
        <v>962</v>
      </c>
      <c r="I326" s="31" t="s">
        <v>963</v>
      </c>
      <c r="J326" s="34" t="str">
        <f t="shared" si="30"/>
        <v>SHDL</v>
      </c>
      <c r="K326" s="31" t="s">
        <v>10</v>
      </c>
      <c r="L326" s="52">
        <v>1810</v>
      </c>
      <c r="M326" s="31" t="s">
        <v>1472</v>
      </c>
      <c r="N326" s="31" t="s">
        <v>11</v>
      </c>
      <c r="O326" s="53">
        <v>3.9451000000000001</v>
      </c>
      <c r="P326" s="35">
        <f t="shared" si="31"/>
        <v>7140.63</v>
      </c>
      <c r="Q326" s="36">
        <f t="shared" si="32"/>
        <v>7.3003400000000003</v>
      </c>
      <c r="R326" s="36">
        <f t="shared" si="33"/>
        <v>0.54039999999999999</v>
      </c>
      <c r="S326" s="37">
        <f t="shared" si="34"/>
        <v>978.12</v>
      </c>
      <c r="T326" s="36" t="s">
        <v>349</v>
      </c>
      <c r="U326" s="31" t="s">
        <v>722</v>
      </c>
      <c r="V326" s="57">
        <v>7.1879</v>
      </c>
      <c r="W326" s="38">
        <f t="shared" si="35"/>
        <v>993.42380945756054</v>
      </c>
    </row>
    <row r="327" spans="1:23">
      <c r="A327" s="31" t="s">
        <v>356</v>
      </c>
      <c r="B327" s="32">
        <v>45671</v>
      </c>
      <c r="C327" s="32">
        <v>45636</v>
      </c>
      <c r="D327" s="31" t="s">
        <v>121</v>
      </c>
      <c r="E327" s="31" t="s">
        <v>122</v>
      </c>
      <c r="G327" s="31" t="s">
        <v>353</v>
      </c>
      <c r="H327" s="31" t="s">
        <v>354</v>
      </c>
      <c r="I327" s="31" t="s">
        <v>355</v>
      </c>
      <c r="J327" s="34" t="str">
        <f t="shared" si="30"/>
        <v>HDL-</v>
      </c>
      <c r="K327" s="31" t="s">
        <v>10</v>
      </c>
      <c r="L327" s="52">
        <v>1020</v>
      </c>
      <c r="M327" s="31" t="s">
        <v>1472</v>
      </c>
      <c r="N327" s="31" t="s">
        <v>11</v>
      </c>
      <c r="O327" s="53">
        <v>3.9580000000000002</v>
      </c>
      <c r="P327" s="35">
        <f t="shared" si="31"/>
        <v>4037.16</v>
      </c>
      <c r="Q327" s="36">
        <f t="shared" si="32"/>
        <v>7.3003400000000003</v>
      </c>
      <c r="R327" s="36">
        <f t="shared" si="33"/>
        <v>0.54220000000000002</v>
      </c>
      <c r="S327" s="37">
        <f t="shared" si="34"/>
        <v>553.04</v>
      </c>
      <c r="T327" s="36" t="s">
        <v>349</v>
      </c>
      <c r="U327" s="31" t="s">
        <v>228</v>
      </c>
      <c r="V327" s="57">
        <v>7.1879</v>
      </c>
      <c r="W327" s="38">
        <f t="shared" si="35"/>
        <v>561.6605684553208</v>
      </c>
    </row>
    <row r="328" spans="1:23">
      <c r="A328" s="31" t="s">
        <v>352</v>
      </c>
      <c r="B328" s="32">
        <v>45671</v>
      </c>
      <c r="C328" s="32">
        <v>45636</v>
      </c>
      <c r="D328" s="31" t="s">
        <v>121</v>
      </c>
      <c r="E328" s="31" t="s">
        <v>122</v>
      </c>
      <c r="G328" s="31" t="s">
        <v>353</v>
      </c>
      <c r="H328" s="31" t="s">
        <v>350</v>
      </c>
      <c r="I328" s="31" t="s">
        <v>351</v>
      </c>
      <c r="J328" s="34" t="str">
        <f t="shared" si="30"/>
        <v>HDL-</v>
      </c>
      <c r="K328" s="31" t="s">
        <v>10</v>
      </c>
      <c r="L328" s="52">
        <v>1030</v>
      </c>
      <c r="M328" s="31" t="s">
        <v>1472</v>
      </c>
      <c r="N328" s="31" t="s">
        <v>11</v>
      </c>
      <c r="O328" s="53">
        <v>3.9580000000000002</v>
      </c>
      <c r="P328" s="35">
        <f t="shared" si="31"/>
        <v>4076.74</v>
      </c>
      <c r="Q328" s="36">
        <f t="shared" si="32"/>
        <v>7.3003400000000003</v>
      </c>
      <c r="R328" s="36">
        <f t="shared" si="33"/>
        <v>0.54220000000000002</v>
      </c>
      <c r="S328" s="37">
        <f t="shared" si="34"/>
        <v>558.47</v>
      </c>
      <c r="T328" s="36" t="s">
        <v>349</v>
      </c>
      <c r="U328" s="31" t="s">
        <v>228</v>
      </c>
      <c r="V328" s="57">
        <v>7.1879</v>
      </c>
      <c r="W328" s="38">
        <f t="shared" si="35"/>
        <v>567.16704461664744</v>
      </c>
    </row>
    <row r="329" spans="1:23">
      <c r="A329" s="31" t="s">
        <v>1424</v>
      </c>
      <c r="B329" s="32">
        <v>45659</v>
      </c>
      <c r="C329" s="32">
        <v>45650</v>
      </c>
      <c r="D329" s="31" t="s">
        <v>569</v>
      </c>
      <c r="E329" s="31" t="s">
        <v>570</v>
      </c>
      <c r="G329" s="31" t="s">
        <v>1418</v>
      </c>
      <c r="H329" s="31" t="s">
        <v>1422</v>
      </c>
      <c r="I329" s="31" t="s">
        <v>1423</v>
      </c>
      <c r="J329" s="34" t="str">
        <f t="shared" si="30"/>
        <v>ANYD</v>
      </c>
      <c r="K329" s="31" t="s">
        <v>10</v>
      </c>
      <c r="L329" s="52">
        <v>1200</v>
      </c>
      <c r="M329" s="31" t="s">
        <v>1472</v>
      </c>
      <c r="N329" s="31" t="s">
        <v>11</v>
      </c>
      <c r="O329" s="53">
        <v>4.2</v>
      </c>
      <c r="P329" s="35">
        <f t="shared" si="31"/>
        <v>5040</v>
      </c>
      <c r="Q329" s="36">
        <f t="shared" si="32"/>
        <v>7.3003400000000003</v>
      </c>
      <c r="R329" s="36">
        <f t="shared" si="33"/>
        <v>0.57530000000000003</v>
      </c>
      <c r="S329" s="37">
        <f t="shared" si="34"/>
        <v>690.36</v>
      </c>
      <c r="T329" s="36" t="s">
        <v>349</v>
      </c>
      <c r="U329" s="31" t="s">
        <v>36</v>
      </c>
      <c r="V329" s="57">
        <v>7.1879</v>
      </c>
      <c r="W329" s="38">
        <f t="shared" si="35"/>
        <v>701.17836920380091</v>
      </c>
    </row>
    <row r="330" spans="1:23">
      <c r="A330" s="31" t="s">
        <v>1192</v>
      </c>
      <c r="B330" s="32">
        <v>45663</v>
      </c>
      <c r="C330" s="32">
        <v>45639</v>
      </c>
      <c r="D330" s="31" t="s">
        <v>149</v>
      </c>
      <c r="E330" s="31" t="s">
        <v>150</v>
      </c>
      <c r="G330" s="31" t="s">
        <v>1182</v>
      </c>
      <c r="H330" s="31" t="s">
        <v>1190</v>
      </c>
      <c r="I330" s="31" t="s">
        <v>1191</v>
      </c>
      <c r="J330" s="34" t="str">
        <f t="shared" si="30"/>
        <v>GLID</v>
      </c>
      <c r="K330" s="31" t="s">
        <v>10</v>
      </c>
      <c r="L330" s="52">
        <v>2530</v>
      </c>
      <c r="M330" s="31" t="s">
        <v>1472</v>
      </c>
      <c r="N330" s="31" t="s">
        <v>11</v>
      </c>
      <c r="O330" s="53">
        <v>4.3726000000000003</v>
      </c>
      <c r="P330" s="35">
        <f t="shared" si="31"/>
        <v>11062.68</v>
      </c>
      <c r="Q330" s="36">
        <f t="shared" si="32"/>
        <v>7.3003400000000003</v>
      </c>
      <c r="R330" s="36">
        <f t="shared" si="33"/>
        <v>0.59899999999999998</v>
      </c>
      <c r="S330" s="37">
        <f t="shared" si="34"/>
        <v>1515.47</v>
      </c>
      <c r="T330" s="36" t="s">
        <v>349</v>
      </c>
      <c r="U330" s="31" t="s">
        <v>78</v>
      </c>
      <c r="V330" s="57">
        <v>7.1879</v>
      </c>
      <c r="W330" s="38">
        <f t="shared" si="35"/>
        <v>1539.069547433882</v>
      </c>
    </row>
    <row r="331" spans="1:23">
      <c r="A331" s="31" t="s">
        <v>1195</v>
      </c>
      <c r="B331" s="32">
        <v>45663</v>
      </c>
      <c r="C331" s="32">
        <v>45629</v>
      </c>
      <c r="D331" s="31" t="s">
        <v>149</v>
      </c>
      <c r="E331" s="31" t="s">
        <v>150</v>
      </c>
      <c r="G331" s="31" t="s">
        <v>1182</v>
      </c>
      <c r="H331" s="31" t="s">
        <v>1193</v>
      </c>
      <c r="I331" s="31" t="s">
        <v>1194</v>
      </c>
      <c r="J331" s="34" t="str">
        <f t="shared" si="30"/>
        <v>GLID</v>
      </c>
      <c r="K331" s="31" t="s">
        <v>10</v>
      </c>
      <c r="L331" s="52">
        <v>1040</v>
      </c>
      <c r="M331" s="31" t="s">
        <v>1472</v>
      </c>
      <c r="N331" s="31" t="s">
        <v>11</v>
      </c>
      <c r="O331" s="53">
        <v>4.4463999999999997</v>
      </c>
      <c r="P331" s="35">
        <f t="shared" si="31"/>
        <v>4624.26</v>
      </c>
      <c r="Q331" s="36">
        <f t="shared" si="32"/>
        <v>7.3003400000000003</v>
      </c>
      <c r="R331" s="36">
        <f t="shared" si="33"/>
        <v>0.60909999999999997</v>
      </c>
      <c r="S331" s="37">
        <f t="shared" si="34"/>
        <v>633.46</v>
      </c>
      <c r="T331" s="36" t="s">
        <v>349</v>
      </c>
      <c r="U331" s="31" t="s">
        <v>78</v>
      </c>
      <c r="V331" s="57">
        <v>7.1879</v>
      </c>
      <c r="W331" s="38">
        <f t="shared" si="35"/>
        <v>643.3389446152562</v>
      </c>
    </row>
    <row r="332" spans="1:23">
      <c r="A332" s="31" t="s">
        <v>423</v>
      </c>
      <c r="B332" s="32">
        <v>45670</v>
      </c>
      <c r="C332" s="32">
        <v>45664</v>
      </c>
      <c r="D332" s="31" t="s">
        <v>5</v>
      </c>
      <c r="E332" s="31" t="s">
        <v>6</v>
      </c>
      <c r="G332" s="31" t="s">
        <v>393</v>
      </c>
      <c r="H332" s="31" t="s">
        <v>421</v>
      </c>
      <c r="I332" s="31" t="s">
        <v>422</v>
      </c>
      <c r="J332" s="34" t="str">
        <f t="shared" si="30"/>
        <v>BOX-</v>
      </c>
      <c r="K332" s="31" t="s">
        <v>10</v>
      </c>
      <c r="L332" s="52">
        <v>2200</v>
      </c>
      <c r="M332" s="31" t="s">
        <v>1472</v>
      </c>
      <c r="N332" s="31" t="s">
        <v>11</v>
      </c>
      <c r="O332" s="53">
        <v>4.45</v>
      </c>
      <c r="P332" s="35">
        <f t="shared" si="31"/>
        <v>9790</v>
      </c>
      <c r="Q332" s="36">
        <f t="shared" si="32"/>
        <v>7.3003400000000003</v>
      </c>
      <c r="R332" s="36">
        <f t="shared" si="33"/>
        <v>0.60960000000000003</v>
      </c>
      <c r="S332" s="37">
        <f t="shared" si="34"/>
        <v>1341.12</v>
      </c>
      <c r="T332" s="36" t="s">
        <v>349</v>
      </c>
      <c r="U332" s="31" t="s">
        <v>1</v>
      </c>
      <c r="V332" s="57">
        <v>7.1879</v>
      </c>
      <c r="W332" s="38">
        <f t="shared" si="35"/>
        <v>1362.0111576399227</v>
      </c>
    </row>
    <row r="333" spans="1:23">
      <c r="A333" s="31" t="s">
        <v>52</v>
      </c>
      <c r="B333" s="32">
        <v>45679</v>
      </c>
      <c r="C333" s="32">
        <v>45677</v>
      </c>
      <c r="D333" s="31" t="s">
        <v>5</v>
      </c>
      <c r="E333" s="31" t="s">
        <v>6</v>
      </c>
      <c r="G333" s="31" t="s">
        <v>40</v>
      </c>
      <c r="H333" s="31" t="s">
        <v>50</v>
      </c>
      <c r="I333" s="31" t="s">
        <v>51</v>
      </c>
      <c r="J333" s="34" t="str">
        <f t="shared" si="30"/>
        <v>BOX-</v>
      </c>
      <c r="K333" s="31" t="s">
        <v>10</v>
      </c>
      <c r="L333" s="52">
        <v>505</v>
      </c>
      <c r="M333" s="31" t="s">
        <v>1472</v>
      </c>
      <c r="N333" s="31" t="s">
        <v>11</v>
      </c>
      <c r="O333" s="53">
        <v>4.49</v>
      </c>
      <c r="P333" s="35">
        <f t="shared" si="31"/>
        <v>2267.4499999999998</v>
      </c>
      <c r="Q333" s="36">
        <f t="shared" si="32"/>
        <v>7.3003400000000003</v>
      </c>
      <c r="R333" s="36">
        <f t="shared" si="33"/>
        <v>0.61499999999999999</v>
      </c>
      <c r="S333" s="37">
        <f t="shared" si="34"/>
        <v>310.58</v>
      </c>
      <c r="T333" s="36" t="s">
        <v>349</v>
      </c>
      <c r="U333" s="31" t="s">
        <v>1</v>
      </c>
      <c r="V333" s="57">
        <v>7.1879</v>
      </c>
      <c r="W333" s="38">
        <f t="shared" si="35"/>
        <v>315.45374866094414</v>
      </c>
    </row>
    <row r="334" spans="1:23">
      <c r="A334" s="31" t="s">
        <v>43</v>
      </c>
      <c r="B334" s="32">
        <v>45679</v>
      </c>
      <c r="C334" s="32">
        <v>45677</v>
      </c>
      <c r="D334" s="31" t="s">
        <v>5</v>
      </c>
      <c r="E334" s="31" t="s">
        <v>6</v>
      </c>
      <c r="G334" s="31" t="s">
        <v>40</v>
      </c>
      <c r="H334" s="31" t="s">
        <v>41</v>
      </c>
      <c r="I334" s="31" t="s">
        <v>42</v>
      </c>
      <c r="J334" s="34" t="str">
        <f t="shared" si="30"/>
        <v>BOX-</v>
      </c>
      <c r="K334" s="31" t="s">
        <v>10</v>
      </c>
      <c r="L334" s="52">
        <v>500</v>
      </c>
      <c r="M334" s="31" t="s">
        <v>1472</v>
      </c>
      <c r="N334" s="31" t="s">
        <v>11</v>
      </c>
      <c r="O334" s="53">
        <v>4.49</v>
      </c>
      <c r="P334" s="35">
        <f t="shared" si="31"/>
        <v>2245</v>
      </c>
      <c r="Q334" s="36">
        <f t="shared" si="32"/>
        <v>7.3003400000000003</v>
      </c>
      <c r="R334" s="36">
        <f t="shared" si="33"/>
        <v>0.61499999999999999</v>
      </c>
      <c r="S334" s="37">
        <f t="shared" si="34"/>
        <v>307.5</v>
      </c>
      <c r="T334" s="36" t="s">
        <v>349</v>
      </c>
      <c r="U334" s="31" t="s">
        <v>1</v>
      </c>
      <c r="V334" s="57">
        <v>7.1879</v>
      </c>
      <c r="W334" s="38">
        <f t="shared" si="35"/>
        <v>312.33044421875655</v>
      </c>
    </row>
    <row r="335" spans="1:23">
      <c r="A335" s="31" t="s">
        <v>39</v>
      </c>
      <c r="B335" s="32">
        <v>45679</v>
      </c>
      <c r="C335" s="32">
        <v>45677</v>
      </c>
      <c r="D335" s="31" t="s">
        <v>5</v>
      </c>
      <c r="E335" s="31" t="s">
        <v>6</v>
      </c>
      <c r="G335" s="31" t="s">
        <v>40</v>
      </c>
      <c r="H335" s="31" t="s">
        <v>37</v>
      </c>
      <c r="I335" s="31" t="s">
        <v>38</v>
      </c>
      <c r="J335" s="34" t="str">
        <f t="shared" si="30"/>
        <v>BOX-</v>
      </c>
      <c r="K335" s="31" t="s">
        <v>10</v>
      </c>
      <c r="L335" s="52">
        <v>500</v>
      </c>
      <c r="M335" s="31" t="s">
        <v>1472</v>
      </c>
      <c r="N335" s="31" t="s">
        <v>11</v>
      </c>
      <c r="O335" s="53">
        <v>4.49</v>
      </c>
      <c r="P335" s="35">
        <f t="shared" si="31"/>
        <v>2245</v>
      </c>
      <c r="Q335" s="36">
        <f t="shared" si="32"/>
        <v>7.3003400000000003</v>
      </c>
      <c r="R335" s="36">
        <f t="shared" si="33"/>
        <v>0.61499999999999999</v>
      </c>
      <c r="S335" s="37">
        <f t="shared" si="34"/>
        <v>307.5</v>
      </c>
      <c r="T335" s="36" t="s">
        <v>349</v>
      </c>
      <c r="U335" s="31" t="s">
        <v>1</v>
      </c>
      <c r="V335" s="57">
        <v>7.1879</v>
      </c>
      <c r="W335" s="38">
        <f t="shared" si="35"/>
        <v>312.33044421875655</v>
      </c>
    </row>
    <row r="336" spans="1:23">
      <c r="A336" s="31" t="s">
        <v>1083</v>
      </c>
      <c r="B336" s="32">
        <v>45663</v>
      </c>
      <c r="C336" s="32">
        <v>45653</v>
      </c>
      <c r="D336" s="31" t="s">
        <v>5</v>
      </c>
      <c r="E336" s="31" t="s">
        <v>6</v>
      </c>
      <c r="G336" s="31" t="s">
        <v>1084</v>
      </c>
      <c r="H336" s="31" t="s">
        <v>1081</v>
      </c>
      <c r="I336" s="31" t="s">
        <v>1082</v>
      </c>
      <c r="J336" s="34" t="str">
        <f t="shared" si="30"/>
        <v>SHTS</v>
      </c>
      <c r="K336" s="31" t="s">
        <v>10</v>
      </c>
      <c r="L336" s="52">
        <v>1010</v>
      </c>
      <c r="M336" s="31" t="s">
        <v>1472</v>
      </c>
      <c r="N336" s="31" t="s">
        <v>11</v>
      </c>
      <c r="O336" s="53">
        <v>4.5199999999999996</v>
      </c>
      <c r="P336" s="35">
        <f t="shared" si="31"/>
        <v>4565.2</v>
      </c>
      <c r="Q336" s="36">
        <f t="shared" si="32"/>
        <v>7.3003400000000003</v>
      </c>
      <c r="R336" s="36">
        <f t="shared" si="33"/>
        <v>0.61909999999999998</v>
      </c>
      <c r="S336" s="37">
        <f t="shared" si="34"/>
        <v>625.29</v>
      </c>
      <c r="T336" s="36" t="s">
        <v>349</v>
      </c>
      <c r="U336" s="31" t="s">
        <v>9</v>
      </c>
      <c r="V336" s="57">
        <v>7.1879</v>
      </c>
      <c r="W336" s="38">
        <f t="shared" si="35"/>
        <v>635.12291489864901</v>
      </c>
    </row>
    <row r="337" spans="1:23">
      <c r="A337" s="31" t="s">
        <v>457</v>
      </c>
      <c r="B337" s="32">
        <v>45670</v>
      </c>
      <c r="C337" s="32">
        <v>45663</v>
      </c>
      <c r="D337" s="31" t="s">
        <v>5</v>
      </c>
      <c r="E337" s="31" t="s">
        <v>6</v>
      </c>
      <c r="G337" s="31" t="s">
        <v>458</v>
      </c>
      <c r="H337" s="31" t="s">
        <v>455</v>
      </c>
      <c r="I337" s="31" t="s">
        <v>456</v>
      </c>
      <c r="J337" s="34" t="str">
        <f t="shared" si="30"/>
        <v>SHTS</v>
      </c>
      <c r="K337" s="31" t="s">
        <v>10</v>
      </c>
      <c r="L337" s="52">
        <v>1010</v>
      </c>
      <c r="M337" s="31" t="s">
        <v>1472</v>
      </c>
      <c r="N337" s="31" t="s">
        <v>11</v>
      </c>
      <c r="O337" s="53">
        <v>4.63</v>
      </c>
      <c r="P337" s="35">
        <f t="shared" si="31"/>
        <v>4676.3</v>
      </c>
      <c r="Q337" s="36">
        <f t="shared" si="32"/>
        <v>7.3003400000000003</v>
      </c>
      <c r="R337" s="36">
        <f t="shared" si="33"/>
        <v>0.63419999999999999</v>
      </c>
      <c r="S337" s="37">
        <f t="shared" si="34"/>
        <v>640.54</v>
      </c>
      <c r="T337" s="36" t="s">
        <v>349</v>
      </c>
      <c r="U337" s="31" t="s">
        <v>9</v>
      </c>
      <c r="V337" s="57">
        <v>7.1879</v>
      </c>
      <c r="W337" s="38">
        <f t="shared" si="35"/>
        <v>650.57944601343922</v>
      </c>
    </row>
    <row r="338" spans="1:23">
      <c r="A338" s="31" t="s">
        <v>429</v>
      </c>
      <c r="B338" s="32">
        <v>45670</v>
      </c>
      <c r="C338" s="32">
        <v>45664</v>
      </c>
      <c r="D338" s="31" t="s">
        <v>5</v>
      </c>
      <c r="E338" s="31" t="s">
        <v>6</v>
      </c>
      <c r="G338" s="31" t="s">
        <v>393</v>
      </c>
      <c r="H338" s="31" t="s">
        <v>427</v>
      </c>
      <c r="I338" s="31" t="s">
        <v>428</v>
      </c>
      <c r="J338" s="34" t="str">
        <f t="shared" si="30"/>
        <v>BOX-</v>
      </c>
      <c r="K338" s="31" t="s">
        <v>10</v>
      </c>
      <c r="L338" s="52">
        <v>1150</v>
      </c>
      <c r="M338" s="31" t="s">
        <v>1472</v>
      </c>
      <c r="N338" s="31" t="s">
        <v>11</v>
      </c>
      <c r="O338" s="53">
        <v>4.7699999999999996</v>
      </c>
      <c r="P338" s="35">
        <f t="shared" si="31"/>
        <v>5485.5</v>
      </c>
      <c r="Q338" s="36">
        <f t="shared" si="32"/>
        <v>7.3003400000000003</v>
      </c>
      <c r="R338" s="36">
        <f t="shared" si="33"/>
        <v>0.65339999999999998</v>
      </c>
      <c r="S338" s="37">
        <f t="shared" si="34"/>
        <v>751.41</v>
      </c>
      <c r="T338" s="36" t="s">
        <v>349</v>
      </c>
      <c r="U338" s="31" t="s">
        <v>1</v>
      </c>
      <c r="V338" s="57">
        <v>7.1879</v>
      </c>
      <c r="W338" s="38">
        <f t="shared" si="35"/>
        <v>763.15752862449392</v>
      </c>
    </row>
    <row r="339" spans="1:23">
      <c r="A339" s="31" t="s">
        <v>1294</v>
      </c>
      <c r="B339" s="32">
        <v>45660</v>
      </c>
      <c r="C339" s="32">
        <v>45653</v>
      </c>
      <c r="D339" s="31" t="s">
        <v>5</v>
      </c>
      <c r="E339" s="31" t="s">
        <v>6</v>
      </c>
      <c r="G339" s="31" t="s">
        <v>1295</v>
      </c>
      <c r="H339" s="31" t="s">
        <v>84</v>
      </c>
      <c r="I339" s="31" t="s">
        <v>85</v>
      </c>
      <c r="J339" s="34" t="str">
        <f t="shared" si="30"/>
        <v>BOX-</v>
      </c>
      <c r="K339" s="31" t="s">
        <v>10</v>
      </c>
      <c r="L339" s="52">
        <v>1090</v>
      </c>
      <c r="M339" s="31" t="s">
        <v>1472</v>
      </c>
      <c r="N339" s="31" t="s">
        <v>11</v>
      </c>
      <c r="O339" s="53">
        <v>4.8499999999999996</v>
      </c>
      <c r="P339" s="35">
        <f t="shared" si="31"/>
        <v>5286.5</v>
      </c>
      <c r="Q339" s="36">
        <f t="shared" si="32"/>
        <v>7.3003400000000003</v>
      </c>
      <c r="R339" s="36">
        <f t="shared" si="33"/>
        <v>0.66439999999999999</v>
      </c>
      <c r="S339" s="37">
        <f t="shared" si="34"/>
        <v>724.2</v>
      </c>
      <c r="T339" s="36" t="s">
        <v>349</v>
      </c>
      <c r="U339" s="31" t="s">
        <v>1</v>
      </c>
      <c r="V339" s="57">
        <v>7.1879</v>
      </c>
      <c r="W339" s="38">
        <f t="shared" si="35"/>
        <v>735.47211285632795</v>
      </c>
    </row>
    <row r="340" spans="1:23">
      <c r="A340" s="31" t="s">
        <v>1411</v>
      </c>
      <c r="B340" s="32">
        <v>45659</v>
      </c>
      <c r="C340" s="32">
        <v>45639</v>
      </c>
      <c r="D340" s="31" t="s">
        <v>569</v>
      </c>
      <c r="E340" s="31" t="s">
        <v>570</v>
      </c>
      <c r="G340" s="31" t="s">
        <v>1403</v>
      </c>
      <c r="H340" s="31" t="s">
        <v>763</v>
      </c>
      <c r="I340" s="31" t="s">
        <v>764</v>
      </c>
      <c r="J340" s="34" t="str">
        <f t="shared" si="30"/>
        <v>ANYD</v>
      </c>
      <c r="K340" s="31" t="s">
        <v>10</v>
      </c>
      <c r="L340" s="52">
        <v>520</v>
      </c>
      <c r="M340" s="31" t="s">
        <v>1472</v>
      </c>
      <c r="N340" s="31" t="s">
        <v>11</v>
      </c>
      <c r="O340" s="53">
        <v>4.9000000000000004</v>
      </c>
      <c r="P340" s="35">
        <f t="shared" si="31"/>
        <v>2548</v>
      </c>
      <c r="Q340" s="36">
        <f t="shared" si="32"/>
        <v>7.3003400000000003</v>
      </c>
      <c r="R340" s="36">
        <f t="shared" si="33"/>
        <v>0.67120000000000002</v>
      </c>
      <c r="S340" s="37">
        <f t="shared" si="34"/>
        <v>349.02</v>
      </c>
      <c r="T340" s="36" t="s">
        <v>349</v>
      </c>
      <c r="U340" s="31" t="s">
        <v>36</v>
      </c>
      <c r="V340" s="57">
        <v>7.1879</v>
      </c>
      <c r="W340" s="38">
        <f t="shared" si="35"/>
        <v>354.484619986366</v>
      </c>
    </row>
    <row r="341" spans="1:23">
      <c r="A341" s="31" t="s">
        <v>1410</v>
      </c>
      <c r="B341" s="32">
        <v>45659</v>
      </c>
      <c r="C341" s="32">
        <v>45639</v>
      </c>
      <c r="D341" s="31" t="s">
        <v>569</v>
      </c>
      <c r="E341" s="31" t="s">
        <v>570</v>
      </c>
      <c r="G341" s="31" t="s">
        <v>1403</v>
      </c>
      <c r="H341" s="31" t="s">
        <v>1408</v>
      </c>
      <c r="I341" s="31" t="s">
        <v>1409</v>
      </c>
      <c r="J341" s="34" t="str">
        <f t="shared" si="30"/>
        <v>ANYD</v>
      </c>
      <c r="K341" s="31" t="s">
        <v>10</v>
      </c>
      <c r="L341" s="52">
        <v>620</v>
      </c>
      <c r="M341" s="31" t="s">
        <v>1472</v>
      </c>
      <c r="N341" s="31" t="s">
        <v>11</v>
      </c>
      <c r="O341" s="53">
        <v>4.9000000000000004</v>
      </c>
      <c r="P341" s="35">
        <f t="shared" si="31"/>
        <v>3038</v>
      </c>
      <c r="Q341" s="36">
        <f t="shared" si="32"/>
        <v>7.3003400000000003</v>
      </c>
      <c r="R341" s="36">
        <f t="shared" si="33"/>
        <v>0.67120000000000002</v>
      </c>
      <c r="S341" s="37">
        <f t="shared" si="34"/>
        <v>416.14</v>
      </c>
      <c r="T341" s="36" t="s">
        <v>349</v>
      </c>
      <c r="U341" s="31" t="s">
        <v>36</v>
      </c>
      <c r="V341" s="57">
        <v>7.1879</v>
      </c>
      <c r="W341" s="38">
        <f t="shared" si="35"/>
        <v>422.65473921451331</v>
      </c>
    </row>
    <row r="342" spans="1:23">
      <c r="A342" s="31" t="s">
        <v>771</v>
      </c>
      <c r="B342" s="32">
        <v>45666</v>
      </c>
      <c r="C342" s="32">
        <v>45650</v>
      </c>
      <c r="D342" s="31" t="s">
        <v>569</v>
      </c>
      <c r="E342" s="31" t="s">
        <v>570</v>
      </c>
      <c r="G342" s="31" t="s">
        <v>762</v>
      </c>
      <c r="H342" s="31" t="s">
        <v>769</v>
      </c>
      <c r="I342" s="31" t="s">
        <v>770</v>
      </c>
      <c r="J342" s="34" t="str">
        <f t="shared" si="30"/>
        <v>ANYD</v>
      </c>
      <c r="K342" s="31" t="s">
        <v>10</v>
      </c>
      <c r="L342" s="52">
        <v>100</v>
      </c>
      <c r="M342" s="31" t="s">
        <v>1472</v>
      </c>
      <c r="N342" s="31" t="s">
        <v>11</v>
      </c>
      <c r="O342" s="53">
        <v>4.9000000000000004</v>
      </c>
      <c r="P342" s="35">
        <f t="shared" si="31"/>
        <v>490</v>
      </c>
      <c r="Q342" s="36">
        <f t="shared" si="32"/>
        <v>7.3003400000000003</v>
      </c>
      <c r="R342" s="36">
        <f t="shared" si="33"/>
        <v>0.67120000000000002</v>
      </c>
      <c r="S342" s="37">
        <f t="shared" si="34"/>
        <v>67.12</v>
      </c>
      <c r="T342" s="36" t="s">
        <v>349</v>
      </c>
      <c r="U342" s="31" t="s">
        <v>36</v>
      </c>
      <c r="V342" s="57">
        <v>7.1879</v>
      </c>
      <c r="W342" s="38">
        <f t="shared" si="35"/>
        <v>68.170119228147314</v>
      </c>
    </row>
    <row r="343" spans="1:23">
      <c r="A343" s="31" t="s">
        <v>771</v>
      </c>
      <c r="B343" s="32">
        <v>45659</v>
      </c>
      <c r="C343" s="32">
        <v>45650</v>
      </c>
      <c r="D343" s="31" t="s">
        <v>569</v>
      </c>
      <c r="E343" s="31" t="s">
        <v>570</v>
      </c>
      <c r="G343" s="31" t="s">
        <v>1418</v>
      </c>
      <c r="H343" s="31" t="s">
        <v>769</v>
      </c>
      <c r="I343" s="31" t="s">
        <v>770</v>
      </c>
      <c r="J343" s="34" t="str">
        <f t="shared" si="30"/>
        <v>ANYD</v>
      </c>
      <c r="K343" s="31" t="s">
        <v>10</v>
      </c>
      <c r="L343" s="52">
        <v>900</v>
      </c>
      <c r="M343" s="31" t="s">
        <v>1472</v>
      </c>
      <c r="N343" s="31" t="s">
        <v>11</v>
      </c>
      <c r="O343" s="53">
        <v>4.9000000000000004</v>
      </c>
      <c r="P343" s="35">
        <f t="shared" si="31"/>
        <v>4410</v>
      </c>
      <c r="Q343" s="36">
        <f t="shared" si="32"/>
        <v>7.3003400000000003</v>
      </c>
      <c r="R343" s="36">
        <f t="shared" si="33"/>
        <v>0.67120000000000002</v>
      </c>
      <c r="S343" s="37">
        <f t="shared" si="34"/>
        <v>604.08000000000004</v>
      </c>
      <c r="T343" s="36" t="s">
        <v>349</v>
      </c>
      <c r="U343" s="31" t="s">
        <v>36</v>
      </c>
      <c r="V343" s="57">
        <v>7.1879</v>
      </c>
      <c r="W343" s="38">
        <f t="shared" si="35"/>
        <v>613.53107305332583</v>
      </c>
    </row>
    <row r="344" spans="1:23">
      <c r="A344" s="31" t="s">
        <v>765</v>
      </c>
      <c r="B344" s="32">
        <v>45666</v>
      </c>
      <c r="C344" s="32">
        <v>45664</v>
      </c>
      <c r="D344" s="31" t="s">
        <v>569</v>
      </c>
      <c r="E344" s="31" t="s">
        <v>570</v>
      </c>
      <c r="G344" s="31" t="s">
        <v>762</v>
      </c>
      <c r="H344" s="31" t="s">
        <v>763</v>
      </c>
      <c r="I344" s="31" t="s">
        <v>764</v>
      </c>
      <c r="J344" s="34" t="str">
        <f t="shared" si="30"/>
        <v>ANYD</v>
      </c>
      <c r="K344" s="31" t="s">
        <v>10</v>
      </c>
      <c r="L344" s="52">
        <v>300</v>
      </c>
      <c r="M344" s="31" t="s">
        <v>1472</v>
      </c>
      <c r="N344" s="31" t="s">
        <v>11</v>
      </c>
      <c r="O344" s="53">
        <v>4.9000000000000004</v>
      </c>
      <c r="P344" s="35">
        <f t="shared" si="31"/>
        <v>1470</v>
      </c>
      <c r="Q344" s="36">
        <f t="shared" si="32"/>
        <v>7.3003400000000003</v>
      </c>
      <c r="R344" s="36">
        <f t="shared" si="33"/>
        <v>0.67120000000000002</v>
      </c>
      <c r="S344" s="37">
        <f t="shared" si="34"/>
        <v>201.36</v>
      </c>
      <c r="T344" s="36" t="s">
        <v>349</v>
      </c>
      <c r="U344" s="31" t="s">
        <v>36</v>
      </c>
      <c r="V344" s="57">
        <v>7.1879</v>
      </c>
      <c r="W344" s="38">
        <f t="shared" si="35"/>
        <v>204.51035768444191</v>
      </c>
    </row>
    <row r="345" spans="1:23">
      <c r="A345" s="31" t="s">
        <v>1274</v>
      </c>
      <c r="B345" s="32">
        <v>45663</v>
      </c>
      <c r="C345" s="32">
        <v>45576</v>
      </c>
      <c r="D345" s="31" t="s">
        <v>94</v>
      </c>
      <c r="E345" s="31" t="s">
        <v>95</v>
      </c>
      <c r="G345" s="31" t="s">
        <v>1271</v>
      </c>
      <c r="H345" s="31" t="s">
        <v>1272</v>
      </c>
      <c r="I345" s="31" t="s">
        <v>1273</v>
      </c>
      <c r="J345" s="34" t="str">
        <f t="shared" si="30"/>
        <v>SKU-</v>
      </c>
      <c r="K345" s="31" t="s">
        <v>98</v>
      </c>
      <c r="L345" s="52">
        <v>800</v>
      </c>
      <c r="M345" s="31" t="s">
        <v>1472</v>
      </c>
      <c r="N345" s="31" t="s">
        <v>11</v>
      </c>
      <c r="O345" s="53">
        <v>4.91</v>
      </c>
      <c r="P345" s="35">
        <f t="shared" si="31"/>
        <v>3928</v>
      </c>
      <c r="Q345" s="36">
        <f t="shared" si="32"/>
        <v>7.3003400000000003</v>
      </c>
      <c r="R345" s="36">
        <f t="shared" si="33"/>
        <v>0.67259999999999998</v>
      </c>
      <c r="S345" s="37">
        <f t="shared" si="34"/>
        <v>538.08000000000004</v>
      </c>
      <c r="T345" s="36" t="s">
        <v>349</v>
      </c>
      <c r="U345" s="31" t="s">
        <v>2</v>
      </c>
      <c r="V345" s="57">
        <v>7.1879</v>
      </c>
      <c r="W345" s="38">
        <f t="shared" si="35"/>
        <v>546.47393536359721</v>
      </c>
    </row>
    <row r="346" spans="1:23">
      <c r="A346" s="31" t="s">
        <v>1274</v>
      </c>
      <c r="B346" s="32">
        <v>45660</v>
      </c>
      <c r="C346" s="32">
        <v>45576</v>
      </c>
      <c r="D346" s="31" t="s">
        <v>94</v>
      </c>
      <c r="E346" s="31" t="s">
        <v>95</v>
      </c>
      <c r="G346" s="31" t="s">
        <v>1333</v>
      </c>
      <c r="H346" s="31" t="s">
        <v>1272</v>
      </c>
      <c r="I346" s="31" t="s">
        <v>1273</v>
      </c>
      <c r="J346" s="34" t="str">
        <f t="shared" si="30"/>
        <v>SKU-</v>
      </c>
      <c r="K346" s="31" t="s">
        <v>98</v>
      </c>
      <c r="L346" s="52">
        <v>-800</v>
      </c>
      <c r="M346" s="31" t="s">
        <v>1472</v>
      </c>
      <c r="N346" s="31" t="s">
        <v>11</v>
      </c>
      <c r="O346" s="53">
        <v>4.91</v>
      </c>
      <c r="P346" s="35">
        <f t="shared" si="31"/>
        <v>-3928</v>
      </c>
      <c r="Q346" s="36">
        <f t="shared" si="32"/>
        <v>7.3003400000000003</v>
      </c>
      <c r="R346" s="36">
        <f t="shared" si="33"/>
        <v>0.67259999999999998</v>
      </c>
      <c r="S346" s="37">
        <f t="shared" si="34"/>
        <v>-538.08000000000004</v>
      </c>
      <c r="T346" s="36" t="s">
        <v>349</v>
      </c>
      <c r="U346" s="31" t="s">
        <v>2</v>
      </c>
      <c r="V346" s="57">
        <v>7.1879</v>
      </c>
      <c r="W346" s="38">
        <f t="shared" si="35"/>
        <v>-546.47393536359721</v>
      </c>
    </row>
    <row r="347" spans="1:23">
      <c r="A347" s="31" t="s">
        <v>1274</v>
      </c>
      <c r="B347" s="32">
        <v>45659</v>
      </c>
      <c r="C347" s="32">
        <v>45576</v>
      </c>
      <c r="D347" s="31" t="s">
        <v>94</v>
      </c>
      <c r="E347" s="31" t="s">
        <v>95</v>
      </c>
      <c r="G347" s="31" t="s">
        <v>1451</v>
      </c>
      <c r="H347" s="31" t="s">
        <v>1272</v>
      </c>
      <c r="I347" s="31" t="s">
        <v>1273</v>
      </c>
      <c r="J347" s="34" t="str">
        <f t="shared" si="30"/>
        <v>SKU-</v>
      </c>
      <c r="K347" s="31" t="s">
        <v>98</v>
      </c>
      <c r="L347" s="52">
        <v>800</v>
      </c>
      <c r="M347" s="31" t="s">
        <v>1472</v>
      </c>
      <c r="N347" s="31" t="s">
        <v>11</v>
      </c>
      <c r="O347" s="53">
        <v>4.91</v>
      </c>
      <c r="P347" s="35">
        <f t="shared" si="31"/>
        <v>3928</v>
      </c>
      <c r="Q347" s="36">
        <f t="shared" si="32"/>
        <v>7.3003400000000003</v>
      </c>
      <c r="R347" s="36">
        <f t="shared" si="33"/>
        <v>0.67259999999999998</v>
      </c>
      <c r="S347" s="37">
        <f t="shared" si="34"/>
        <v>538.08000000000004</v>
      </c>
      <c r="T347" s="36" t="s">
        <v>349</v>
      </c>
      <c r="U347" s="31" t="s">
        <v>2</v>
      </c>
      <c r="V347" s="57">
        <v>7.1879</v>
      </c>
      <c r="W347" s="38">
        <f t="shared" si="35"/>
        <v>546.47393536359721</v>
      </c>
    </row>
    <row r="348" spans="1:23">
      <c r="A348" s="31" t="s">
        <v>836</v>
      </c>
      <c r="B348" s="32">
        <v>45666</v>
      </c>
      <c r="C348" s="32">
        <v>45615</v>
      </c>
      <c r="D348" s="31" t="s">
        <v>830</v>
      </c>
      <c r="E348" s="31" t="s">
        <v>831</v>
      </c>
      <c r="G348" s="31" t="s">
        <v>833</v>
      </c>
      <c r="H348" s="31" t="s">
        <v>834</v>
      </c>
      <c r="I348" s="31" t="s">
        <v>835</v>
      </c>
      <c r="J348" s="34" t="str">
        <f t="shared" si="30"/>
        <v>SKU-</v>
      </c>
      <c r="K348" s="31" t="s">
        <v>98</v>
      </c>
      <c r="L348" s="52">
        <v>1000</v>
      </c>
      <c r="M348" s="31" t="s">
        <v>1472</v>
      </c>
      <c r="N348" s="31" t="s">
        <v>11</v>
      </c>
      <c r="O348" s="53">
        <v>4.9154</v>
      </c>
      <c r="P348" s="35">
        <f t="shared" si="31"/>
        <v>4915.3999999999996</v>
      </c>
      <c r="Q348" s="36">
        <f t="shared" si="32"/>
        <v>7.3003400000000003</v>
      </c>
      <c r="R348" s="36">
        <f t="shared" si="33"/>
        <v>0.67330000000000001</v>
      </c>
      <c r="S348" s="37">
        <f t="shared" si="34"/>
        <v>673.3</v>
      </c>
      <c r="T348" s="36" t="s">
        <v>349</v>
      </c>
      <c r="U348" s="31" t="s">
        <v>2</v>
      </c>
      <c r="V348" s="57">
        <v>7.1879</v>
      </c>
      <c r="W348" s="38">
        <f t="shared" si="35"/>
        <v>683.84368174292911</v>
      </c>
    </row>
    <row r="349" spans="1:23">
      <c r="A349" s="31" t="s">
        <v>436</v>
      </c>
      <c r="B349" s="32">
        <v>45670</v>
      </c>
      <c r="C349" s="32">
        <v>45639</v>
      </c>
      <c r="D349" s="31" t="s">
        <v>128</v>
      </c>
      <c r="E349" s="31" t="s">
        <v>129</v>
      </c>
      <c r="G349" s="31" t="s">
        <v>437</v>
      </c>
      <c r="H349" s="31" t="s">
        <v>434</v>
      </c>
      <c r="I349" s="31" t="s">
        <v>435</v>
      </c>
      <c r="J349" s="34" t="str">
        <f t="shared" si="30"/>
        <v>HDL-</v>
      </c>
      <c r="K349" s="31" t="s">
        <v>10</v>
      </c>
      <c r="L349" s="52">
        <v>1000</v>
      </c>
      <c r="M349" s="31" t="s">
        <v>1472</v>
      </c>
      <c r="N349" s="31" t="s">
        <v>11</v>
      </c>
      <c r="O349" s="53">
        <v>4.9203000000000001</v>
      </c>
      <c r="P349" s="35">
        <f t="shared" si="31"/>
        <v>4920.3</v>
      </c>
      <c r="Q349" s="36">
        <f t="shared" si="32"/>
        <v>7.3003400000000003</v>
      </c>
      <c r="R349" s="36">
        <f t="shared" si="33"/>
        <v>0.67400000000000004</v>
      </c>
      <c r="S349" s="37">
        <f t="shared" si="34"/>
        <v>674</v>
      </c>
      <c r="T349" s="36" t="s">
        <v>349</v>
      </c>
      <c r="U349" s="31" t="s">
        <v>228</v>
      </c>
      <c r="V349" s="57">
        <v>7.1879</v>
      </c>
      <c r="W349" s="38">
        <f t="shared" si="35"/>
        <v>684.52538293521059</v>
      </c>
    </row>
    <row r="350" spans="1:23">
      <c r="A350" s="31" t="s">
        <v>436</v>
      </c>
      <c r="B350" s="32">
        <v>45670</v>
      </c>
      <c r="C350" s="32">
        <v>45639</v>
      </c>
      <c r="D350" s="31" t="s">
        <v>128</v>
      </c>
      <c r="E350" s="31" t="s">
        <v>129</v>
      </c>
      <c r="G350" s="31" t="s">
        <v>438</v>
      </c>
      <c r="H350" s="31" t="s">
        <v>434</v>
      </c>
      <c r="I350" s="31" t="s">
        <v>435</v>
      </c>
      <c r="J350" s="34" t="str">
        <f t="shared" si="30"/>
        <v>HDL-</v>
      </c>
      <c r="K350" s="31" t="s">
        <v>10</v>
      </c>
      <c r="L350" s="52">
        <v>-1000</v>
      </c>
      <c r="M350" s="31" t="s">
        <v>1472</v>
      </c>
      <c r="N350" s="31" t="s">
        <v>11</v>
      </c>
      <c r="O350" s="53">
        <v>4.9203000000000001</v>
      </c>
      <c r="P350" s="35">
        <f t="shared" si="31"/>
        <v>-4920.3</v>
      </c>
      <c r="Q350" s="36">
        <f t="shared" si="32"/>
        <v>7.3003400000000003</v>
      </c>
      <c r="R350" s="36">
        <f t="shared" si="33"/>
        <v>0.67400000000000004</v>
      </c>
      <c r="S350" s="37">
        <f t="shared" si="34"/>
        <v>-674</v>
      </c>
      <c r="T350" s="36" t="s">
        <v>349</v>
      </c>
      <c r="U350" s="31" t="s">
        <v>228</v>
      </c>
      <c r="V350" s="57">
        <v>7.1879</v>
      </c>
      <c r="W350" s="38">
        <f t="shared" si="35"/>
        <v>-684.52538293521059</v>
      </c>
    </row>
    <row r="351" spans="1:23">
      <c r="A351" s="31" t="s">
        <v>436</v>
      </c>
      <c r="B351" s="32">
        <v>45670</v>
      </c>
      <c r="C351" s="32">
        <v>45639</v>
      </c>
      <c r="D351" s="31" t="s">
        <v>128</v>
      </c>
      <c r="E351" s="31" t="s">
        <v>129</v>
      </c>
      <c r="G351" s="31" t="s">
        <v>451</v>
      </c>
      <c r="H351" s="31" t="s">
        <v>434</v>
      </c>
      <c r="I351" s="31" t="s">
        <v>435</v>
      </c>
      <c r="J351" s="34" t="str">
        <f t="shared" si="30"/>
        <v>HDL-</v>
      </c>
      <c r="K351" s="31" t="s">
        <v>10</v>
      </c>
      <c r="L351" s="52">
        <v>1000</v>
      </c>
      <c r="M351" s="31" t="s">
        <v>1472</v>
      </c>
      <c r="N351" s="31" t="s">
        <v>11</v>
      </c>
      <c r="O351" s="53">
        <v>4.9203000000000001</v>
      </c>
      <c r="P351" s="35">
        <f t="shared" si="31"/>
        <v>4920.3</v>
      </c>
      <c r="Q351" s="36">
        <f t="shared" si="32"/>
        <v>7.3003400000000003</v>
      </c>
      <c r="R351" s="36">
        <f t="shared" si="33"/>
        <v>0.67400000000000004</v>
      </c>
      <c r="S351" s="37">
        <f t="shared" si="34"/>
        <v>674</v>
      </c>
      <c r="T351" s="36" t="s">
        <v>349</v>
      </c>
      <c r="U351" s="31" t="s">
        <v>228</v>
      </c>
      <c r="V351" s="57">
        <v>7.1879</v>
      </c>
      <c r="W351" s="38">
        <f t="shared" si="35"/>
        <v>684.52538293521059</v>
      </c>
    </row>
    <row r="352" spans="1:23">
      <c r="A352" s="31" t="s">
        <v>520</v>
      </c>
      <c r="B352" s="32">
        <v>45670</v>
      </c>
      <c r="C352" s="32">
        <v>45663</v>
      </c>
      <c r="D352" s="31" t="s">
        <v>5</v>
      </c>
      <c r="E352" s="31" t="s">
        <v>6</v>
      </c>
      <c r="G352" s="31" t="s">
        <v>492</v>
      </c>
      <c r="H352" s="31" t="s">
        <v>518</v>
      </c>
      <c r="I352" s="31" t="s">
        <v>519</v>
      </c>
      <c r="J352" s="34" t="str">
        <f t="shared" si="30"/>
        <v>SHTS</v>
      </c>
      <c r="K352" s="31" t="s">
        <v>10</v>
      </c>
      <c r="L352" s="52">
        <v>505</v>
      </c>
      <c r="M352" s="31" t="s">
        <v>1472</v>
      </c>
      <c r="N352" s="31" t="s">
        <v>11</v>
      </c>
      <c r="O352" s="53">
        <v>4.95</v>
      </c>
      <c r="P352" s="35">
        <f t="shared" si="31"/>
        <v>2499.75</v>
      </c>
      <c r="Q352" s="36">
        <f t="shared" si="32"/>
        <v>7.3003400000000003</v>
      </c>
      <c r="R352" s="36">
        <f t="shared" si="33"/>
        <v>0.67810000000000004</v>
      </c>
      <c r="S352" s="37">
        <f t="shared" si="34"/>
        <v>342.44</v>
      </c>
      <c r="T352" s="36" t="s">
        <v>349</v>
      </c>
      <c r="U352" s="31" t="s">
        <v>9</v>
      </c>
      <c r="V352" s="57">
        <v>7.1879</v>
      </c>
      <c r="W352" s="38">
        <f t="shared" si="35"/>
        <v>347.77195008277801</v>
      </c>
    </row>
    <row r="353" spans="1:23">
      <c r="A353" s="31" t="s">
        <v>476</v>
      </c>
      <c r="B353" s="32">
        <v>45670</v>
      </c>
      <c r="C353" s="32">
        <v>45663</v>
      </c>
      <c r="D353" s="31" t="s">
        <v>5</v>
      </c>
      <c r="E353" s="31" t="s">
        <v>6</v>
      </c>
      <c r="G353" s="31" t="s">
        <v>458</v>
      </c>
      <c r="H353" s="31" t="s">
        <v>474</v>
      </c>
      <c r="I353" s="31" t="s">
        <v>475</v>
      </c>
      <c r="J353" s="34" t="str">
        <f t="shared" si="30"/>
        <v>BOX-</v>
      </c>
      <c r="K353" s="31" t="s">
        <v>10</v>
      </c>
      <c r="L353" s="52">
        <v>1010</v>
      </c>
      <c r="M353" s="31" t="s">
        <v>1472</v>
      </c>
      <c r="N353" s="31" t="s">
        <v>11</v>
      </c>
      <c r="O353" s="53">
        <v>4.9800000000000004</v>
      </c>
      <c r="P353" s="35">
        <f t="shared" si="31"/>
        <v>5029.8</v>
      </c>
      <c r="Q353" s="36">
        <f t="shared" si="32"/>
        <v>7.3003400000000003</v>
      </c>
      <c r="R353" s="36">
        <f t="shared" si="33"/>
        <v>0.68220000000000003</v>
      </c>
      <c r="S353" s="37">
        <f t="shared" si="34"/>
        <v>689.02</v>
      </c>
      <c r="T353" s="36" t="s">
        <v>349</v>
      </c>
      <c r="U353" s="31" t="s">
        <v>1</v>
      </c>
      <c r="V353" s="57">
        <v>7.1879</v>
      </c>
      <c r="W353" s="38">
        <f t="shared" si="35"/>
        <v>699.75931774231697</v>
      </c>
    </row>
    <row r="354" spans="1:23">
      <c r="A354" s="31" t="s">
        <v>282</v>
      </c>
      <c r="B354" s="32">
        <v>45673</v>
      </c>
      <c r="C354" s="32">
        <v>45639</v>
      </c>
      <c r="D354" s="31" t="s">
        <v>280</v>
      </c>
      <c r="E354" s="31" t="s">
        <v>281</v>
      </c>
      <c r="G354" s="31" t="s">
        <v>283</v>
      </c>
      <c r="H354" s="31" t="s">
        <v>278</v>
      </c>
      <c r="I354" s="31" t="s">
        <v>279</v>
      </c>
      <c r="J354" s="34" t="str">
        <f t="shared" si="30"/>
        <v>BOX-</v>
      </c>
      <c r="K354" s="31" t="s">
        <v>10</v>
      </c>
      <c r="L354" s="52">
        <v>3000</v>
      </c>
      <c r="M354" s="31" t="s">
        <v>1472</v>
      </c>
      <c r="N354" s="31" t="s">
        <v>11</v>
      </c>
      <c r="O354" s="53">
        <v>5</v>
      </c>
      <c r="P354" s="35">
        <f t="shared" si="31"/>
        <v>15000</v>
      </c>
      <c r="Q354" s="36">
        <f t="shared" si="32"/>
        <v>7.3003400000000003</v>
      </c>
      <c r="R354" s="36">
        <f t="shared" si="33"/>
        <v>0.68489999999999995</v>
      </c>
      <c r="S354" s="37">
        <f t="shared" si="34"/>
        <v>2054.6999999999998</v>
      </c>
      <c r="T354" s="36" t="s">
        <v>349</v>
      </c>
      <c r="U354" s="31" t="s">
        <v>1</v>
      </c>
      <c r="V354" s="57">
        <v>7.1879</v>
      </c>
      <c r="W354" s="38">
        <f t="shared" si="35"/>
        <v>2086.8403845351218</v>
      </c>
    </row>
    <row r="355" spans="1:23">
      <c r="A355" s="31" t="s">
        <v>892</v>
      </c>
      <c r="B355" s="32">
        <v>45666</v>
      </c>
      <c r="C355" s="32">
        <v>45650</v>
      </c>
      <c r="D355" s="31" t="s">
        <v>696</v>
      </c>
      <c r="E355" s="31" t="s">
        <v>697</v>
      </c>
      <c r="G355" s="31" t="s">
        <v>893</v>
      </c>
      <c r="H355" s="31" t="s">
        <v>890</v>
      </c>
      <c r="I355" s="31" t="s">
        <v>891</v>
      </c>
      <c r="J355" s="34" t="str">
        <f t="shared" si="30"/>
        <v>ANYD</v>
      </c>
      <c r="K355" s="31" t="s">
        <v>10</v>
      </c>
      <c r="L355" s="52">
        <v>1000</v>
      </c>
      <c r="M355" s="31" t="s">
        <v>1472</v>
      </c>
      <c r="N355" s="31" t="s">
        <v>11</v>
      </c>
      <c r="O355" s="53">
        <v>5</v>
      </c>
      <c r="P355" s="35">
        <f t="shared" si="31"/>
        <v>5000</v>
      </c>
      <c r="Q355" s="36">
        <f t="shared" si="32"/>
        <v>7.3003400000000003</v>
      </c>
      <c r="R355" s="36">
        <f t="shared" si="33"/>
        <v>0.68489999999999995</v>
      </c>
      <c r="S355" s="37">
        <f t="shared" si="34"/>
        <v>684.9</v>
      </c>
      <c r="T355" s="36" t="s">
        <v>349</v>
      </c>
      <c r="U355" s="31" t="s">
        <v>36</v>
      </c>
      <c r="V355" s="57">
        <v>7.1879</v>
      </c>
      <c r="W355" s="38">
        <f t="shared" si="35"/>
        <v>695.61346151170721</v>
      </c>
    </row>
    <row r="356" spans="1:23">
      <c r="A356" s="31" t="s">
        <v>832</v>
      </c>
      <c r="B356" s="32">
        <v>45666</v>
      </c>
      <c r="C356" s="32">
        <v>45615</v>
      </c>
      <c r="D356" s="31" t="s">
        <v>830</v>
      </c>
      <c r="E356" s="31" t="s">
        <v>831</v>
      </c>
      <c r="G356" s="31" t="s">
        <v>833</v>
      </c>
      <c r="H356" s="31" t="s">
        <v>828</v>
      </c>
      <c r="I356" s="31" t="s">
        <v>829</v>
      </c>
      <c r="J356" s="34" t="str">
        <f t="shared" si="30"/>
        <v>SKU-</v>
      </c>
      <c r="K356" s="31" t="s">
        <v>98</v>
      </c>
      <c r="L356" s="52">
        <v>1000</v>
      </c>
      <c r="M356" s="31" t="s">
        <v>1472</v>
      </c>
      <c r="N356" s="31" t="s">
        <v>11</v>
      </c>
      <c r="O356" s="53">
        <v>5.0862999999999996</v>
      </c>
      <c r="P356" s="35">
        <f t="shared" si="31"/>
        <v>5086.3</v>
      </c>
      <c r="Q356" s="36">
        <f t="shared" si="32"/>
        <v>7.3003400000000003</v>
      </c>
      <c r="R356" s="36">
        <f t="shared" si="33"/>
        <v>0.69669999999999999</v>
      </c>
      <c r="S356" s="37">
        <f t="shared" si="34"/>
        <v>696.7</v>
      </c>
      <c r="T356" s="36" t="s">
        <v>349</v>
      </c>
      <c r="U356" s="31" t="s">
        <v>2</v>
      </c>
      <c r="V356" s="57">
        <v>7.1879</v>
      </c>
      <c r="W356" s="38">
        <f t="shared" si="35"/>
        <v>707.61974985739914</v>
      </c>
    </row>
    <row r="357" spans="1:23">
      <c r="A357" s="31" t="s">
        <v>249</v>
      </c>
      <c r="B357" s="32">
        <v>45674</v>
      </c>
      <c r="C357" s="32">
        <v>45639</v>
      </c>
      <c r="D357" s="31" t="s">
        <v>143</v>
      </c>
      <c r="E357" s="31" t="s">
        <v>144</v>
      </c>
      <c r="G357" s="31" t="s">
        <v>182</v>
      </c>
      <c r="H357" s="31" t="s">
        <v>141</v>
      </c>
      <c r="I357" s="31" t="s">
        <v>142</v>
      </c>
      <c r="J357" s="34" t="str">
        <f t="shared" si="30"/>
        <v>KNOB</v>
      </c>
      <c r="K357" s="31" t="s">
        <v>10</v>
      </c>
      <c r="L357" s="52">
        <v>5100</v>
      </c>
      <c r="M357" s="31" t="s">
        <v>1472</v>
      </c>
      <c r="N357" s="31" t="s">
        <v>11</v>
      </c>
      <c r="O357" s="53">
        <v>5.0999999999999996</v>
      </c>
      <c r="P357" s="35">
        <f t="shared" si="31"/>
        <v>26010</v>
      </c>
      <c r="Q357" s="36">
        <f t="shared" si="32"/>
        <v>7.3003400000000003</v>
      </c>
      <c r="R357" s="36">
        <f t="shared" si="33"/>
        <v>0.6986</v>
      </c>
      <c r="S357" s="37">
        <f t="shared" si="34"/>
        <v>3562.86</v>
      </c>
      <c r="T357" s="36" t="s">
        <v>349</v>
      </c>
      <c r="U357" s="31" t="s">
        <v>32</v>
      </c>
      <c r="V357" s="57">
        <v>7.1879</v>
      </c>
      <c r="W357" s="38">
        <f t="shared" si="35"/>
        <v>3618.5812267839005</v>
      </c>
    </row>
    <row r="358" spans="1:23">
      <c r="A358" s="31" t="s">
        <v>249</v>
      </c>
      <c r="B358" s="32">
        <v>45667</v>
      </c>
      <c r="C358" s="32">
        <v>45639</v>
      </c>
      <c r="D358" s="31" t="s">
        <v>143</v>
      </c>
      <c r="E358" s="31" t="s">
        <v>144</v>
      </c>
      <c r="G358" s="31" t="s">
        <v>691</v>
      </c>
      <c r="H358" s="31" t="s">
        <v>141</v>
      </c>
      <c r="I358" s="31" t="s">
        <v>142</v>
      </c>
      <c r="J358" s="34" t="str">
        <f t="shared" si="30"/>
        <v>KNOB</v>
      </c>
      <c r="K358" s="31" t="s">
        <v>10</v>
      </c>
      <c r="L358" s="52">
        <v>7840</v>
      </c>
      <c r="M358" s="31" t="s">
        <v>1472</v>
      </c>
      <c r="N358" s="31" t="s">
        <v>11</v>
      </c>
      <c r="O358" s="53">
        <v>5.0999999999999996</v>
      </c>
      <c r="P358" s="35">
        <f t="shared" si="31"/>
        <v>39984</v>
      </c>
      <c r="Q358" s="36">
        <f t="shared" si="32"/>
        <v>7.3003400000000003</v>
      </c>
      <c r="R358" s="36">
        <f t="shared" si="33"/>
        <v>0.6986</v>
      </c>
      <c r="S358" s="37">
        <f t="shared" si="34"/>
        <v>5477.02</v>
      </c>
      <c r="T358" s="36" t="s">
        <v>349</v>
      </c>
      <c r="U358" s="31" t="s">
        <v>32</v>
      </c>
      <c r="V358" s="57">
        <v>7.1879</v>
      </c>
      <c r="W358" s="38">
        <f t="shared" si="35"/>
        <v>5562.6817290168192</v>
      </c>
    </row>
    <row r="359" spans="1:23">
      <c r="A359" s="31" t="s">
        <v>249</v>
      </c>
      <c r="B359" s="32">
        <v>45660</v>
      </c>
      <c r="C359" s="32">
        <v>45639</v>
      </c>
      <c r="D359" s="31" t="s">
        <v>143</v>
      </c>
      <c r="E359" s="31" t="s">
        <v>144</v>
      </c>
      <c r="G359" s="31" t="s">
        <v>1287</v>
      </c>
      <c r="H359" s="31" t="s">
        <v>141</v>
      </c>
      <c r="I359" s="31" t="s">
        <v>142</v>
      </c>
      <c r="J359" s="34" t="str">
        <f t="shared" si="30"/>
        <v>KNOB</v>
      </c>
      <c r="K359" s="31" t="s">
        <v>10</v>
      </c>
      <c r="L359" s="52">
        <v>60</v>
      </c>
      <c r="M359" s="31" t="s">
        <v>1472</v>
      </c>
      <c r="N359" s="31" t="s">
        <v>11</v>
      </c>
      <c r="O359" s="53">
        <v>5.0999999999999996</v>
      </c>
      <c r="P359" s="35">
        <f t="shared" si="31"/>
        <v>306</v>
      </c>
      <c r="Q359" s="36">
        <f t="shared" si="32"/>
        <v>7.3003400000000003</v>
      </c>
      <c r="R359" s="36">
        <f t="shared" si="33"/>
        <v>0.6986</v>
      </c>
      <c r="S359" s="37">
        <f t="shared" si="34"/>
        <v>41.92</v>
      </c>
      <c r="T359" s="36" t="s">
        <v>349</v>
      </c>
      <c r="U359" s="31" t="s">
        <v>32</v>
      </c>
      <c r="V359" s="57">
        <v>7.1879</v>
      </c>
      <c r="W359" s="38">
        <f t="shared" si="35"/>
        <v>42.571543844516476</v>
      </c>
    </row>
    <row r="360" spans="1:23">
      <c r="A360" s="31" t="s">
        <v>1288</v>
      </c>
      <c r="B360" s="32">
        <v>45660</v>
      </c>
      <c r="C360" s="32">
        <v>45644</v>
      </c>
      <c r="D360" s="31" t="s">
        <v>143</v>
      </c>
      <c r="E360" s="31" t="s">
        <v>144</v>
      </c>
      <c r="G360" s="31" t="s">
        <v>1287</v>
      </c>
      <c r="H360" s="31" t="s">
        <v>141</v>
      </c>
      <c r="I360" s="31" t="s">
        <v>142</v>
      </c>
      <c r="J360" s="34" t="str">
        <f t="shared" si="30"/>
        <v>KNOB</v>
      </c>
      <c r="K360" s="31" t="s">
        <v>10</v>
      </c>
      <c r="L360" s="52">
        <v>9740</v>
      </c>
      <c r="M360" s="31" t="s">
        <v>1472</v>
      </c>
      <c r="N360" s="31" t="s">
        <v>11</v>
      </c>
      <c r="O360" s="53">
        <v>5.0999999999999996</v>
      </c>
      <c r="P360" s="35">
        <f t="shared" si="31"/>
        <v>49674</v>
      </c>
      <c r="Q360" s="36">
        <f t="shared" si="32"/>
        <v>7.3003400000000003</v>
      </c>
      <c r="R360" s="36">
        <f t="shared" si="33"/>
        <v>0.6986</v>
      </c>
      <c r="S360" s="37">
        <f t="shared" si="34"/>
        <v>6804.36</v>
      </c>
      <c r="T360" s="36" t="s">
        <v>349</v>
      </c>
      <c r="U360" s="31" t="s">
        <v>32</v>
      </c>
      <c r="V360" s="57">
        <v>7.1879</v>
      </c>
      <c r="W360" s="38">
        <f t="shared" si="35"/>
        <v>6910.7806174265079</v>
      </c>
    </row>
    <row r="361" spans="1:23">
      <c r="A361" s="31" t="s">
        <v>145</v>
      </c>
      <c r="B361" s="32">
        <v>45675</v>
      </c>
      <c r="C361" s="32">
        <v>45646</v>
      </c>
      <c r="D361" s="31" t="s">
        <v>143</v>
      </c>
      <c r="E361" s="31" t="s">
        <v>144</v>
      </c>
      <c r="G361" s="31" t="s">
        <v>146</v>
      </c>
      <c r="H361" s="31" t="s">
        <v>141</v>
      </c>
      <c r="I361" s="31" t="s">
        <v>142</v>
      </c>
      <c r="J361" s="34" t="str">
        <f t="shared" si="30"/>
        <v>KNOB</v>
      </c>
      <c r="K361" s="31" t="s">
        <v>10</v>
      </c>
      <c r="L361" s="52">
        <v>9500</v>
      </c>
      <c r="M361" s="31" t="s">
        <v>1472</v>
      </c>
      <c r="N361" s="31" t="s">
        <v>11</v>
      </c>
      <c r="O361" s="53">
        <v>5.0999999999999996</v>
      </c>
      <c r="P361" s="35">
        <f t="shared" si="31"/>
        <v>48450</v>
      </c>
      <c r="Q361" s="36">
        <f t="shared" si="32"/>
        <v>7.3003400000000003</v>
      </c>
      <c r="R361" s="36">
        <f t="shared" si="33"/>
        <v>0.6986</v>
      </c>
      <c r="S361" s="37">
        <f t="shared" si="34"/>
        <v>6636.7</v>
      </c>
      <c r="T361" s="36" t="s">
        <v>349</v>
      </c>
      <c r="U361" s="31" t="s">
        <v>32</v>
      </c>
      <c r="V361" s="57">
        <v>7.1879</v>
      </c>
      <c r="W361" s="38">
        <f t="shared" si="35"/>
        <v>6740.4944420484417</v>
      </c>
    </row>
    <row r="362" spans="1:23">
      <c r="A362" s="31" t="s">
        <v>145</v>
      </c>
      <c r="B362" s="32">
        <v>45674</v>
      </c>
      <c r="C362" s="32">
        <v>45646</v>
      </c>
      <c r="D362" s="31" t="s">
        <v>143</v>
      </c>
      <c r="E362" s="31" t="s">
        <v>144</v>
      </c>
      <c r="G362" s="31" t="s">
        <v>182</v>
      </c>
      <c r="H362" s="31" t="s">
        <v>141</v>
      </c>
      <c r="I362" s="31" t="s">
        <v>142</v>
      </c>
      <c r="J362" s="34" t="str">
        <f t="shared" si="30"/>
        <v>KNOB</v>
      </c>
      <c r="K362" s="31" t="s">
        <v>10</v>
      </c>
      <c r="L362" s="52">
        <v>4000</v>
      </c>
      <c r="M362" s="31" t="s">
        <v>1472</v>
      </c>
      <c r="N362" s="31" t="s">
        <v>11</v>
      </c>
      <c r="O362" s="53">
        <v>5.0999999999999996</v>
      </c>
      <c r="P362" s="35">
        <f t="shared" si="31"/>
        <v>20400</v>
      </c>
      <c r="Q362" s="36">
        <f t="shared" si="32"/>
        <v>7.3003400000000003</v>
      </c>
      <c r="R362" s="36">
        <f t="shared" si="33"/>
        <v>0.6986</v>
      </c>
      <c r="S362" s="37">
        <f t="shared" si="34"/>
        <v>2794.4</v>
      </c>
      <c r="T362" s="36" t="s">
        <v>349</v>
      </c>
      <c r="U362" s="31" t="s">
        <v>32</v>
      </c>
      <c r="V362" s="57">
        <v>7.1879</v>
      </c>
      <c r="W362" s="38">
        <f t="shared" si="35"/>
        <v>2838.1029229677652</v>
      </c>
    </row>
    <row r="363" spans="1:23">
      <c r="A363" s="31" t="s">
        <v>145</v>
      </c>
      <c r="B363" s="32">
        <v>45674</v>
      </c>
      <c r="C363" s="32">
        <v>45646</v>
      </c>
      <c r="D363" s="31" t="s">
        <v>143</v>
      </c>
      <c r="E363" s="31" t="s">
        <v>144</v>
      </c>
      <c r="G363" s="31" t="s">
        <v>183</v>
      </c>
      <c r="H363" s="31" t="s">
        <v>141</v>
      </c>
      <c r="I363" s="31" t="s">
        <v>142</v>
      </c>
      <c r="J363" s="34" t="str">
        <f t="shared" si="30"/>
        <v>KNOB</v>
      </c>
      <c r="K363" s="31" t="s">
        <v>10</v>
      </c>
      <c r="L363" s="52">
        <v>-400</v>
      </c>
      <c r="M363" s="31" t="s">
        <v>1472</v>
      </c>
      <c r="N363" s="31" t="s">
        <v>11</v>
      </c>
      <c r="O363" s="53">
        <v>5.0999999999999996</v>
      </c>
      <c r="P363" s="35">
        <f t="shared" si="31"/>
        <v>-2040</v>
      </c>
      <c r="Q363" s="36">
        <f t="shared" si="32"/>
        <v>7.3003400000000003</v>
      </c>
      <c r="R363" s="36">
        <f t="shared" si="33"/>
        <v>0.6986</v>
      </c>
      <c r="S363" s="37">
        <f t="shared" si="34"/>
        <v>-279.44</v>
      </c>
      <c r="T363" s="36" t="s">
        <v>349</v>
      </c>
      <c r="U363" s="31" t="s">
        <v>32</v>
      </c>
      <c r="V363" s="57">
        <v>7.1879</v>
      </c>
      <c r="W363" s="38">
        <f t="shared" si="35"/>
        <v>-283.81029229677648</v>
      </c>
    </row>
    <row r="364" spans="1:23">
      <c r="A364" s="31" t="s">
        <v>145</v>
      </c>
      <c r="B364" s="32">
        <v>45674</v>
      </c>
      <c r="C364" s="32">
        <v>45646</v>
      </c>
      <c r="D364" s="31" t="s">
        <v>143</v>
      </c>
      <c r="E364" s="31" t="s">
        <v>144</v>
      </c>
      <c r="G364" s="31" t="s">
        <v>182</v>
      </c>
      <c r="H364" s="31" t="s">
        <v>141</v>
      </c>
      <c r="I364" s="31" t="s">
        <v>142</v>
      </c>
      <c r="J364" s="34" t="str">
        <f t="shared" si="30"/>
        <v>KNOB</v>
      </c>
      <c r="K364" s="31" t="s">
        <v>10</v>
      </c>
      <c r="L364" s="52">
        <v>400</v>
      </c>
      <c r="M364" s="31" t="s">
        <v>1472</v>
      </c>
      <c r="N364" s="31" t="s">
        <v>11</v>
      </c>
      <c r="O364" s="53">
        <v>5.0999999999999996</v>
      </c>
      <c r="P364" s="35">
        <f t="shared" si="31"/>
        <v>2040</v>
      </c>
      <c r="Q364" s="36">
        <f t="shared" si="32"/>
        <v>7.3003400000000003</v>
      </c>
      <c r="R364" s="36">
        <f t="shared" si="33"/>
        <v>0.6986</v>
      </c>
      <c r="S364" s="37">
        <f t="shared" si="34"/>
        <v>279.44</v>
      </c>
      <c r="T364" s="36" t="s">
        <v>349</v>
      </c>
      <c r="U364" s="31" t="s">
        <v>32</v>
      </c>
      <c r="V364" s="57">
        <v>7.1879</v>
      </c>
      <c r="W364" s="38">
        <f t="shared" si="35"/>
        <v>283.81029229677648</v>
      </c>
    </row>
    <row r="365" spans="1:23">
      <c r="A365" s="31" t="s">
        <v>792</v>
      </c>
      <c r="B365" s="32">
        <v>45666</v>
      </c>
      <c r="C365" s="32">
        <v>45629</v>
      </c>
      <c r="D365" s="31" t="s">
        <v>149</v>
      </c>
      <c r="E365" s="31" t="s">
        <v>150</v>
      </c>
      <c r="G365" s="31" t="s">
        <v>784</v>
      </c>
      <c r="H365" s="31" t="s">
        <v>790</v>
      </c>
      <c r="I365" s="31" t="s">
        <v>791</v>
      </c>
      <c r="J365" s="34" t="str">
        <f t="shared" si="30"/>
        <v>GLID</v>
      </c>
      <c r="K365" s="31" t="s">
        <v>10</v>
      </c>
      <c r="L365" s="52">
        <v>20</v>
      </c>
      <c r="M365" s="31" t="s">
        <v>1472</v>
      </c>
      <c r="N365" s="31" t="s">
        <v>11</v>
      </c>
      <c r="O365" s="53">
        <v>5.1580000000000004</v>
      </c>
      <c r="P365" s="35">
        <f t="shared" si="31"/>
        <v>103.16</v>
      </c>
      <c r="Q365" s="36">
        <f t="shared" si="32"/>
        <v>7.3003400000000003</v>
      </c>
      <c r="R365" s="36">
        <f t="shared" si="33"/>
        <v>0.70650000000000002</v>
      </c>
      <c r="S365" s="37">
        <f t="shared" si="34"/>
        <v>14.13</v>
      </c>
      <c r="T365" s="36" t="s">
        <v>349</v>
      </c>
      <c r="U365" s="31" t="s">
        <v>78</v>
      </c>
      <c r="V365" s="57">
        <v>7.1879</v>
      </c>
      <c r="W365" s="38">
        <f t="shared" si="35"/>
        <v>14.351896937909544</v>
      </c>
    </row>
    <row r="366" spans="1:23">
      <c r="A366" s="31" t="s">
        <v>792</v>
      </c>
      <c r="B366" s="32">
        <v>45663</v>
      </c>
      <c r="C366" s="32">
        <v>45629</v>
      </c>
      <c r="D366" s="31" t="s">
        <v>149</v>
      </c>
      <c r="E366" s="31" t="s">
        <v>150</v>
      </c>
      <c r="G366" s="31" t="s">
        <v>1182</v>
      </c>
      <c r="H366" s="31" t="s">
        <v>790</v>
      </c>
      <c r="I366" s="31" t="s">
        <v>791</v>
      </c>
      <c r="J366" s="34" t="str">
        <f t="shared" si="30"/>
        <v>GLID</v>
      </c>
      <c r="K366" s="31" t="s">
        <v>10</v>
      </c>
      <c r="L366" s="52">
        <v>980</v>
      </c>
      <c r="M366" s="31" t="s">
        <v>1472</v>
      </c>
      <c r="N366" s="31" t="s">
        <v>11</v>
      </c>
      <c r="O366" s="53">
        <v>5.1580000000000004</v>
      </c>
      <c r="P366" s="35">
        <f t="shared" si="31"/>
        <v>5054.84</v>
      </c>
      <c r="Q366" s="36">
        <f t="shared" si="32"/>
        <v>7.3003400000000003</v>
      </c>
      <c r="R366" s="36">
        <f t="shared" si="33"/>
        <v>0.70650000000000002</v>
      </c>
      <c r="S366" s="37">
        <f t="shared" si="34"/>
        <v>692.37</v>
      </c>
      <c r="T366" s="36" t="s">
        <v>349</v>
      </c>
      <c r="U366" s="31" t="s">
        <v>78</v>
      </c>
      <c r="V366" s="57">
        <v>7.1879</v>
      </c>
      <c r="W366" s="38">
        <f t="shared" si="35"/>
        <v>703.24294995756759</v>
      </c>
    </row>
    <row r="367" spans="1:23">
      <c r="A367" s="31" t="s">
        <v>46</v>
      </c>
      <c r="B367" s="32">
        <v>45679</v>
      </c>
      <c r="C367" s="32">
        <v>45677</v>
      </c>
      <c r="D367" s="31" t="s">
        <v>5</v>
      </c>
      <c r="E367" s="31" t="s">
        <v>6</v>
      </c>
      <c r="G367" s="31" t="s">
        <v>40</v>
      </c>
      <c r="H367" s="31" t="s">
        <v>44</v>
      </c>
      <c r="I367" s="31" t="s">
        <v>45</v>
      </c>
      <c r="J367" s="34" t="str">
        <f t="shared" si="30"/>
        <v>BOX-</v>
      </c>
      <c r="K367" s="31" t="s">
        <v>10</v>
      </c>
      <c r="L367" s="52">
        <v>505</v>
      </c>
      <c r="M367" s="31" t="s">
        <v>1472</v>
      </c>
      <c r="N367" s="31" t="s">
        <v>11</v>
      </c>
      <c r="O367" s="53">
        <v>5.17</v>
      </c>
      <c r="P367" s="35">
        <f t="shared" si="31"/>
        <v>2610.85</v>
      </c>
      <c r="Q367" s="36">
        <f t="shared" si="32"/>
        <v>7.3003400000000003</v>
      </c>
      <c r="R367" s="36">
        <f t="shared" si="33"/>
        <v>0.70820000000000005</v>
      </c>
      <c r="S367" s="37">
        <f t="shared" si="34"/>
        <v>357.64</v>
      </c>
      <c r="T367" s="36" t="s">
        <v>349</v>
      </c>
      <c r="U367" s="31" t="s">
        <v>1</v>
      </c>
      <c r="V367" s="57">
        <v>7.1879</v>
      </c>
      <c r="W367" s="38">
        <f t="shared" si="35"/>
        <v>363.2284811975681</v>
      </c>
    </row>
    <row r="368" spans="1:23">
      <c r="A368" s="31" t="s">
        <v>1079</v>
      </c>
      <c r="B368" s="32">
        <v>45663</v>
      </c>
      <c r="C368" s="32">
        <v>45646</v>
      </c>
      <c r="D368" s="31" t="s">
        <v>268</v>
      </c>
      <c r="E368" s="31" t="s">
        <v>269</v>
      </c>
      <c r="G368" s="31" t="s">
        <v>1076</v>
      </c>
      <c r="H368" s="31" t="s">
        <v>1077</v>
      </c>
      <c r="I368" s="31" t="s">
        <v>1078</v>
      </c>
      <c r="J368" s="34" t="str">
        <f t="shared" si="30"/>
        <v>MISC</v>
      </c>
      <c r="K368" s="31" t="s">
        <v>10</v>
      </c>
      <c r="L368" s="52">
        <v>40</v>
      </c>
      <c r="M368" s="31" t="s">
        <v>136</v>
      </c>
      <c r="N368" s="31" t="s">
        <v>11</v>
      </c>
      <c r="O368" s="53">
        <v>5.18</v>
      </c>
      <c r="P368" s="35">
        <f t="shared" si="31"/>
        <v>207.2</v>
      </c>
      <c r="Q368" s="36">
        <f t="shared" si="32"/>
        <v>7.3003400000000003</v>
      </c>
      <c r="R368" s="36">
        <f t="shared" si="33"/>
        <v>0.70960000000000001</v>
      </c>
      <c r="S368" s="37">
        <f t="shared" si="34"/>
        <v>28.38</v>
      </c>
      <c r="T368" s="36" t="s">
        <v>349</v>
      </c>
      <c r="U368" s="31" t="s">
        <v>25</v>
      </c>
      <c r="V368" s="57">
        <v>7.1879</v>
      </c>
      <c r="W368" s="38">
        <f t="shared" si="35"/>
        <v>28.826221845045144</v>
      </c>
    </row>
    <row r="369" spans="1:23">
      <c r="A369" s="31" t="s">
        <v>1079</v>
      </c>
      <c r="B369" s="32">
        <v>45663</v>
      </c>
      <c r="C369" s="32">
        <v>45646</v>
      </c>
      <c r="D369" s="31" t="s">
        <v>268</v>
      </c>
      <c r="E369" s="31" t="s">
        <v>269</v>
      </c>
      <c r="G369" s="31" t="s">
        <v>1080</v>
      </c>
      <c r="H369" s="31" t="s">
        <v>1077</v>
      </c>
      <c r="I369" s="31" t="s">
        <v>1078</v>
      </c>
      <c r="J369" s="34" t="str">
        <f t="shared" si="30"/>
        <v>MISC</v>
      </c>
      <c r="K369" s="31" t="s">
        <v>10</v>
      </c>
      <c r="L369" s="52">
        <v>-50</v>
      </c>
      <c r="M369" s="31" t="s">
        <v>136</v>
      </c>
      <c r="N369" s="31" t="s">
        <v>11</v>
      </c>
      <c r="O369" s="53">
        <v>5.18</v>
      </c>
      <c r="P369" s="35">
        <f t="shared" si="31"/>
        <v>-259</v>
      </c>
      <c r="Q369" s="36">
        <f t="shared" si="32"/>
        <v>7.3003400000000003</v>
      </c>
      <c r="R369" s="36">
        <f t="shared" si="33"/>
        <v>0.70960000000000001</v>
      </c>
      <c r="S369" s="37">
        <f t="shared" si="34"/>
        <v>-35.479999999999997</v>
      </c>
      <c r="T369" s="36" t="s">
        <v>349</v>
      </c>
      <c r="U369" s="31" t="s">
        <v>25</v>
      </c>
      <c r="V369" s="57">
        <v>7.1879</v>
      </c>
      <c r="W369" s="38">
        <f t="shared" si="35"/>
        <v>-36.032777306306428</v>
      </c>
    </row>
    <row r="370" spans="1:23">
      <c r="A370" s="31" t="s">
        <v>1079</v>
      </c>
      <c r="B370" s="32">
        <v>45663</v>
      </c>
      <c r="C370" s="32">
        <v>45646</v>
      </c>
      <c r="D370" s="31" t="s">
        <v>268</v>
      </c>
      <c r="E370" s="31" t="s">
        <v>269</v>
      </c>
      <c r="G370" s="31" t="s">
        <v>1076</v>
      </c>
      <c r="H370" s="31" t="s">
        <v>1077</v>
      </c>
      <c r="I370" s="31" t="s">
        <v>1078</v>
      </c>
      <c r="J370" s="34" t="str">
        <f t="shared" si="30"/>
        <v>MISC</v>
      </c>
      <c r="K370" s="31" t="s">
        <v>10</v>
      </c>
      <c r="L370" s="52">
        <v>50</v>
      </c>
      <c r="M370" s="31" t="s">
        <v>136</v>
      </c>
      <c r="N370" s="31" t="s">
        <v>11</v>
      </c>
      <c r="O370" s="53">
        <v>5.18</v>
      </c>
      <c r="P370" s="35">
        <f t="shared" si="31"/>
        <v>259</v>
      </c>
      <c r="Q370" s="36">
        <f t="shared" si="32"/>
        <v>7.3003400000000003</v>
      </c>
      <c r="R370" s="36">
        <f t="shared" si="33"/>
        <v>0.70960000000000001</v>
      </c>
      <c r="S370" s="37">
        <f t="shared" si="34"/>
        <v>35.479999999999997</v>
      </c>
      <c r="T370" s="36" t="s">
        <v>349</v>
      </c>
      <c r="U370" s="31" t="s">
        <v>25</v>
      </c>
      <c r="V370" s="57">
        <v>7.1879</v>
      </c>
      <c r="W370" s="38">
        <f t="shared" si="35"/>
        <v>36.032777306306428</v>
      </c>
    </row>
    <row r="371" spans="1:23">
      <c r="A371" s="31" t="s">
        <v>86</v>
      </c>
      <c r="B371" s="32">
        <v>45678</v>
      </c>
      <c r="C371" s="32">
        <v>45677</v>
      </c>
      <c r="D371" s="31" t="s">
        <v>5</v>
      </c>
      <c r="E371" s="31" t="s">
        <v>6</v>
      </c>
      <c r="G371" s="31" t="s">
        <v>87</v>
      </c>
      <c r="H371" s="31" t="s">
        <v>84</v>
      </c>
      <c r="I371" s="31" t="s">
        <v>85</v>
      </c>
      <c r="J371" s="34" t="str">
        <f t="shared" si="30"/>
        <v>BOX-</v>
      </c>
      <c r="K371" s="31" t="s">
        <v>10</v>
      </c>
      <c r="L371" s="52">
        <v>910</v>
      </c>
      <c r="M371" s="31" t="s">
        <v>1472</v>
      </c>
      <c r="N371" s="31" t="s">
        <v>11</v>
      </c>
      <c r="O371" s="53">
        <v>5.2</v>
      </c>
      <c r="P371" s="35">
        <f t="shared" si="31"/>
        <v>4732</v>
      </c>
      <c r="Q371" s="36">
        <f t="shared" si="32"/>
        <v>7.3003400000000003</v>
      </c>
      <c r="R371" s="36">
        <f t="shared" si="33"/>
        <v>0.71230000000000004</v>
      </c>
      <c r="S371" s="37">
        <f t="shared" si="34"/>
        <v>648.19000000000005</v>
      </c>
      <c r="T371" s="36" t="s">
        <v>349</v>
      </c>
      <c r="U371" s="31" t="s">
        <v>1</v>
      </c>
      <c r="V371" s="57">
        <v>7.1879</v>
      </c>
      <c r="W371" s="38">
        <f t="shared" si="35"/>
        <v>658.32857997467966</v>
      </c>
    </row>
    <row r="372" spans="1:23">
      <c r="A372" s="31" t="s">
        <v>922</v>
      </c>
      <c r="B372" s="32">
        <v>45665</v>
      </c>
      <c r="C372" s="32">
        <v>45646</v>
      </c>
      <c r="D372" s="31" t="s">
        <v>866</v>
      </c>
      <c r="E372" s="31" t="s">
        <v>867</v>
      </c>
      <c r="G372" s="31" t="s">
        <v>919</v>
      </c>
      <c r="H372" s="31" t="s">
        <v>920</v>
      </c>
      <c r="I372" s="31" t="s">
        <v>921</v>
      </c>
      <c r="J372" s="34" t="str">
        <f t="shared" si="30"/>
        <v>ANYD</v>
      </c>
      <c r="K372" s="31" t="s">
        <v>10</v>
      </c>
      <c r="L372" s="52">
        <v>15000</v>
      </c>
      <c r="M372" s="31" t="s">
        <v>1472</v>
      </c>
      <c r="N372" s="31" t="s">
        <v>11</v>
      </c>
      <c r="O372" s="53">
        <v>5.2389000000000001</v>
      </c>
      <c r="P372" s="35">
        <f t="shared" si="31"/>
        <v>78583.5</v>
      </c>
      <c r="Q372" s="36">
        <f t="shared" si="32"/>
        <v>7.3003400000000003</v>
      </c>
      <c r="R372" s="36">
        <f t="shared" si="33"/>
        <v>0.71760000000000002</v>
      </c>
      <c r="S372" s="37">
        <f t="shared" si="34"/>
        <v>10764</v>
      </c>
      <c r="T372" s="36" t="s">
        <v>349</v>
      </c>
      <c r="U372" s="31" t="s">
        <v>36</v>
      </c>
      <c r="V372" s="57">
        <v>7.1879</v>
      </c>
      <c r="W372" s="38">
        <f t="shared" si="35"/>
        <v>10932.748090541048</v>
      </c>
    </row>
    <row r="373" spans="1:23">
      <c r="A373" s="31" t="s">
        <v>910</v>
      </c>
      <c r="B373" s="32">
        <v>45665</v>
      </c>
      <c r="C373" s="32">
        <v>45287</v>
      </c>
      <c r="D373" s="31" t="s">
        <v>866</v>
      </c>
      <c r="E373" s="31" t="s">
        <v>867</v>
      </c>
      <c r="G373" s="31" t="s">
        <v>911</v>
      </c>
      <c r="H373" s="31" t="s">
        <v>908</v>
      </c>
      <c r="I373" s="31" t="s">
        <v>909</v>
      </c>
      <c r="J373" s="34" t="str">
        <f t="shared" si="30"/>
        <v>ANYD</v>
      </c>
      <c r="K373" s="31" t="s">
        <v>10</v>
      </c>
      <c r="L373" s="52">
        <v>4008</v>
      </c>
      <c r="M373" s="31" t="s">
        <v>1472</v>
      </c>
      <c r="N373" s="31" t="s">
        <v>11</v>
      </c>
      <c r="O373" s="53">
        <v>5.3804999999999996</v>
      </c>
      <c r="P373" s="35">
        <f t="shared" si="31"/>
        <v>21565.040000000001</v>
      </c>
      <c r="Q373" s="36">
        <f t="shared" si="32"/>
        <v>7.3003400000000003</v>
      </c>
      <c r="R373" s="36">
        <f t="shared" si="33"/>
        <v>0.73699999999999999</v>
      </c>
      <c r="S373" s="37">
        <f t="shared" si="34"/>
        <v>2953.9</v>
      </c>
      <c r="T373" s="36" t="s">
        <v>349</v>
      </c>
      <c r="U373" s="31" t="s">
        <v>36</v>
      </c>
      <c r="V373" s="57">
        <v>7.1879</v>
      </c>
      <c r="W373" s="38">
        <f t="shared" si="35"/>
        <v>3000.1869808984543</v>
      </c>
    </row>
    <row r="374" spans="1:23">
      <c r="A374" s="31" t="s">
        <v>49</v>
      </c>
      <c r="B374" s="32">
        <v>45679</v>
      </c>
      <c r="C374" s="32">
        <v>45677</v>
      </c>
      <c r="D374" s="31" t="s">
        <v>5</v>
      </c>
      <c r="E374" s="31" t="s">
        <v>6</v>
      </c>
      <c r="G374" s="31" t="s">
        <v>40</v>
      </c>
      <c r="H374" s="31" t="s">
        <v>47</v>
      </c>
      <c r="I374" s="31" t="s">
        <v>48</v>
      </c>
      <c r="J374" s="34" t="str">
        <f t="shared" si="30"/>
        <v>BOX-</v>
      </c>
      <c r="K374" s="31" t="s">
        <v>10</v>
      </c>
      <c r="L374" s="52">
        <v>505</v>
      </c>
      <c r="M374" s="31" t="s">
        <v>1472</v>
      </c>
      <c r="N374" s="31" t="s">
        <v>11</v>
      </c>
      <c r="O374" s="53">
        <v>5.41</v>
      </c>
      <c r="P374" s="35">
        <f t="shared" si="31"/>
        <v>2732.05</v>
      </c>
      <c r="Q374" s="36">
        <f t="shared" si="32"/>
        <v>7.3003400000000003</v>
      </c>
      <c r="R374" s="36">
        <f t="shared" si="33"/>
        <v>0.74109999999999998</v>
      </c>
      <c r="S374" s="37">
        <f t="shared" si="34"/>
        <v>374.26</v>
      </c>
      <c r="T374" s="36" t="s">
        <v>349</v>
      </c>
      <c r="U374" s="31" t="s">
        <v>1</v>
      </c>
      <c r="V374" s="57">
        <v>7.1879</v>
      </c>
      <c r="W374" s="38">
        <f t="shared" si="35"/>
        <v>380.09015150461192</v>
      </c>
    </row>
    <row r="375" spans="1:23">
      <c r="A375" s="31" t="s">
        <v>55</v>
      </c>
      <c r="B375" s="32">
        <v>45679</v>
      </c>
      <c r="C375" s="32">
        <v>45677</v>
      </c>
      <c r="D375" s="31" t="s">
        <v>5</v>
      </c>
      <c r="E375" s="31" t="s">
        <v>6</v>
      </c>
      <c r="G375" s="31" t="s">
        <v>40</v>
      </c>
      <c r="H375" s="31" t="s">
        <v>53</v>
      </c>
      <c r="I375" s="31" t="s">
        <v>54</v>
      </c>
      <c r="J375" s="34" t="str">
        <f t="shared" si="30"/>
        <v>BOX-</v>
      </c>
      <c r="K375" s="31" t="s">
        <v>10</v>
      </c>
      <c r="L375" s="52">
        <v>505</v>
      </c>
      <c r="M375" s="31" t="s">
        <v>1472</v>
      </c>
      <c r="N375" s="31" t="s">
        <v>11</v>
      </c>
      <c r="O375" s="53">
        <v>5.45</v>
      </c>
      <c r="P375" s="35">
        <f t="shared" si="31"/>
        <v>2752.25</v>
      </c>
      <c r="Q375" s="36">
        <f t="shared" si="32"/>
        <v>7.3003400000000003</v>
      </c>
      <c r="R375" s="36">
        <f t="shared" si="33"/>
        <v>0.74650000000000005</v>
      </c>
      <c r="S375" s="37">
        <f t="shared" si="34"/>
        <v>376.98</v>
      </c>
      <c r="T375" s="36" t="s">
        <v>349</v>
      </c>
      <c r="U375" s="31" t="s">
        <v>1</v>
      </c>
      <c r="V375" s="57">
        <v>7.1879</v>
      </c>
      <c r="W375" s="38">
        <f t="shared" si="35"/>
        <v>382.90042988911921</v>
      </c>
    </row>
    <row r="376" spans="1:23">
      <c r="A376" s="31" t="s">
        <v>473</v>
      </c>
      <c r="B376" s="32">
        <v>45670</v>
      </c>
      <c r="C376" s="32">
        <v>45663</v>
      </c>
      <c r="D376" s="31" t="s">
        <v>5</v>
      </c>
      <c r="E376" s="31" t="s">
        <v>6</v>
      </c>
      <c r="G376" s="31" t="s">
        <v>458</v>
      </c>
      <c r="H376" s="31" t="s">
        <v>471</v>
      </c>
      <c r="I376" s="31" t="s">
        <v>472</v>
      </c>
      <c r="J376" s="34" t="str">
        <f t="shared" si="30"/>
        <v>BOX-</v>
      </c>
      <c r="K376" s="31" t="s">
        <v>10</v>
      </c>
      <c r="L376" s="52">
        <v>1010</v>
      </c>
      <c r="M376" s="31" t="s">
        <v>1472</v>
      </c>
      <c r="N376" s="31" t="s">
        <v>11</v>
      </c>
      <c r="O376" s="53">
        <v>5.46</v>
      </c>
      <c r="P376" s="35">
        <f t="shared" si="31"/>
        <v>5514.6</v>
      </c>
      <c r="Q376" s="36">
        <f t="shared" si="32"/>
        <v>7.3003400000000003</v>
      </c>
      <c r="R376" s="36">
        <f t="shared" si="33"/>
        <v>0.74790000000000001</v>
      </c>
      <c r="S376" s="37">
        <f t="shared" si="34"/>
        <v>755.38</v>
      </c>
      <c r="T376" s="36" t="s">
        <v>349</v>
      </c>
      <c r="U376" s="31" t="s">
        <v>1</v>
      </c>
      <c r="V376" s="57">
        <v>7.1879</v>
      </c>
      <c r="W376" s="38">
        <f t="shared" si="35"/>
        <v>767.20599897049203</v>
      </c>
    </row>
    <row r="377" spans="1:23">
      <c r="A377" s="31" t="s">
        <v>698</v>
      </c>
      <c r="B377" s="32">
        <v>45667</v>
      </c>
      <c r="C377" s="32">
        <v>45595</v>
      </c>
      <c r="D377" s="31" t="s">
        <v>696</v>
      </c>
      <c r="E377" s="31" t="s">
        <v>697</v>
      </c>
      <c r="G377" s="31" t="s">
        <v>699</v>
      </c>
      <c r="H377" s="31" t="s">
        <v>694</v>
      </c>
      <c r="I377" s="31" t="s">
        <v>695</v>
      </c>
      <c r="J377" s="34" t="str">
        <f t="shared" si="30"/>
        <v>ANYD</v>
      </c>
      <c r="K377" s="31" t="s">
        <v>10</v>
      </c>
      <c r="L377" s="52">
        <v>200</v>
      </c>
      <c r="M377" s="31" t="s">
        <v>1472</v>
      </c>
      <c r="N377" s="31" t="s">
        <v>11</v>
      </c>
      <c r="O377" s="53">
        <v>5.49</v>
      </c>
      <c r="P377" s="35">
        <f t="shared" si="31"/>
        <v>1098</v>
      </c>
      <c r="Q377" s="36">
        <f t="shared" si="32"/>
        <v>7.3003400000000003</v>
      </c>
      <c r="R377" s="36">
        <f t="shared" si="33"/>
        <v>0.752</v>
      </c>
      <c r="S377" s="37">
        <f t="shared" si="34"/>
        <v>150.4</v>
      </c>
      <c r="T377" s="36" t="s">
        <v>349</v>
      </c>
      <c r="U377" s="31" t="s">
        <v>36</v>
      </c>
      <c r="V377" s="57">
        <v>7.1879</v>
      </c>
      <c r="W377" s="38">
        <f t="shared" si="35"/>
        <v>152.75671614797091</v>
      </c>
    </row>
    <row r="378" spans="1:23">
      <c r="A378" s="31" t="s">
        <v>698</v>
      </c>
      <c r="B378" s="32">
        <v>45666</v>
      </c>
      <c r="C378" s="32">
        <v>45595</v>
      </c>
      <c r="D378" s="31" t="s">
        <v>696</v>
      </c>
      <c r="E378" s="31" t="s">
        <v>697</v>
      </c>
      <c r="G378" s="31" t="s">
        <v>758</v>
      </c>
      <c r="H378" s="31" t="s">
        <v>694</v>
      </c>
      <c r="I378" s="31" t="s">
        <v>695</v>
      </c>
      <c r="J378" s="34" t="str">
        <f t="shared" si="30"/>
        <v>ANYD</v>
      </c>
      <c r="K378" s="31" t="s">
        <v>10</v>
      </c>
      <c r="L378" s="52">
        <v>-200</v>
      </c>
      <c r="M378" s="31" t="s">
        <v>1472</v>
      </c>
      <c r="N378" s="31" t="s">
        <v>11</v>
      </c>
      <c r="O378" s="53">
        <v>5.49</v>
      </c>
      <c r="P378" s="35">
        <f t="shared" si="31"/>
        <v>-1098</v>
      </c>
      <c r="Q378" s="36">
        <f t="shared" si="32"/>
        <v>7.3003400000000003</v>
      </c>
      <c r="R378" s="36">
        <f t="shared" si="33"/>
        <v>0.752</v>
      </c>
      <c r="S378" s="37">
        <f t="shared" si="34"/>
        <v>-150.4</v>
      </c>
      <c r="T378" s="36" t="s">
        <v>349</v>
      </c>
      <c r="U378" s="31" t="s">
        <v>36</v>
      </c>
      <c r="V378" s="57">
        <v>7.1879</v>
      </c>
      <c r="W378" s="38">
        <f t="shared" si="35"/>
        <v>-152.75671614797091</v>
      </c>
    </row>
    <row r="379" spans="1:23">
      <c r="A379" s="31" t="s">
        <v>1088</v>
      </c>
      <c r="B379" s="32">
        <v>45663</v>
      </c>
      <c r="C379" s="32">
        <v>45650</v>
      </c>
      <c r="D379" s="31" t="s">
        <v>169</v>
      </c>
      <c r="E379" s="31" t="s">
        <v>170</v>
      </c>
      <c r="G379" s="31" t="s">
        <v>1089</v>
      </c>
      <c r="H379" s="31" t="s">
        <v>1086</v>
      </c>
      <c r="I379" s="31" t="s">
        <v>1087</v>
      </c>
      <c r="J379" s="34" t="str">
        <f t="shared" si="30"/>
        <v>U&amp;C-</v>
      </c>
      <c r="K379" s="31" t="s">
        <v>10</v>
      </c>
      <c r="L379" s="52">
        <v>1000</v>
      </c>
      <c r="M379" s="31" t="s">
        <v>1472</v>
      </c>
      <c r="N379" s="31" t="s">
        <v>11</v>
      </c>
      <c r="O379" s="53">
        <v>0.92900000000000005</v>
      </c>
      <c r="P379" s="35">
        <f t="shared" si="31"/>
        <v>929</v>
      </c>
      <c r="Q379" s="36">
        <f t="shared" si="32"/>
        <v>7.3003400000000003</v>
      </c>
      <c r="R379" s="36">
        <f t="shared" si="33"/>
        <v>0.1273</v>
      </c>
      <c r="S379" s="37">
        <f t="shared" si="34"/>
        <v>127.3</v>
      </c>
      <c r="T379" s="36" t="s">
        <v>349</v>
      </c>
      <c r="U379" s="31" t="s">
        <v>177</v>
      </c>
      <c r="V379" s="57">
        <v>7.1879</v>
      </c>
      <c r="W379" s="38">
        <f t="shared" si="35"/>
        <v>129.24498114887521</v>
      </c>
    </row>
    <row r="380" spans="1:23">
      <c r="A380" s="31" t="s">
        <v>895</v>
      </c>
      <c r="B380" s="32">
        <v>45666</v>
      </c>
      <c r="C380" s="32">
        <v>45650</v>
      </c>
      <c r="D380" s="31" t="s">
        <v>696</v>
      </c>
      <c r="E380" s="31" t="s">
        <v>697</v>
      </c>
      <c r="G380" s="31" t="s">
        <v>699</v>
      </c>
      <c r="H380" s="31" t="s">
        <v>694</v>
      </c>
      <c r="I380" s="31" t="s">
        <v>695</v>
      </c>
      <c r="J380" s="34" t="str">
        <f t="shared" si="30"/>
        <v>ANYD</v>
      </c>
      <c r="K380" s="31" t="s">
        <v>10</v>
      </c>
      <c r="L380" s="52">
        <v>1000</v>
      </c>
      <c r="M380" s="31" t="s">
        <v>1472</v>
      </c>
      <c r="N380" s="31" t="s">
        <v>11</v>
      </c>
      <c r="O380" s="53">
        <v>5.49</v>
      </c>
      <c r="P380" s="35">
        <f t="shared" si="31"/>
        <v>5490</v>
      </c>
      <c r="Q380" s="36">
        <f t="shared" si="32"/>
        <v>7.3003400000000003</v>
      </c>
      <c r="R380" s="36">
        <f t="shared" si="33"/>
        <v>0.752</v>
      </c>
      <c r="S380" s="37">
        <f t="shared" si="34"/>
        <v>752</v>
      </c>
      <c r="T380" s="36" t="s">
        <v>349</v>
      </c>
      <c r="U380" s="31" t="s">
        <v>36</v>
      </c>
      <c r="V380" s="57">
        <v>7.1879</v>
      </c>
      <c r="W380" s="38">
        <f t="shared" si="35"/>
        <v>763.78358073985453</v>
      </c>
    </row>
    <row r="381" spans="1:23">
      <c r="A381" s="31" t="s">
        <v>399</v>
      </c>
      <c r="B381" s="32">
        <v>45670</v>
      </c>
      <c r="C381" s="32">
        <v>45664</v>
      </c>
      <c r="D381" s="31" t="s">
        <v>5</v>
      </c>
      <c r="E381" s="31" t="s">
        <v>6</v>
      </c>
      <c r="G381" s="31" t="s">
        <v>393</v>
      </c>
      <c r="H381" s="31" t="s">
        <v>397</v>
      </c>
      <c r="I381" s="31" t="s">
        <v>398</v>
      </c>
      <c r="J381" s="34" t="str">
        <f t="shared" si="30"/>
        <v>BOX-</v>
      </c>
      <c r="K381" s="31" t="s">
        <v>10</v>
      </c>
      <c r="L381" s="52">
        <v>2020</v>
      </c>
      <c r="M381" s="31" t="s">
        <v>1472</v>
      </c>
      <c r="N381" s="31" t="s">
        <v>11</v>
      </c>
      <c r="O381" s="53">
        <v>5.64</v>
      </c>
      <c r="P381" s="35">
        <f t="shared" si="31"/>
        <v>11392.8</v>
      </c>
      <c r="Q381" s="36">
        <f t="shared" si="32"/>
        <v>7.3003400000000003</v>
      </c>
      <c r="R381" s="36">
        <f t="shared" si="33"/>
        <v>0.77259999999999995</v>
      </c>
      <c r="S381" s="37">
        <f t="shared" si="34"/>
        <v>1560.65</v>
      </c>
      <c r="T381" s="36" t="s">
        <v>349</v>
      </c>
      <c r="U381" s="31" t="s">
        <v>1</v>
      </c>
      <c r="V381" s="57">
        <v>7.1879</v>
      </c>
      <c r="W381" s="38">
        <f t="shared" si="35"/>
        <v>1584.9970088621155</v>
      </c>
    </row>
    <row r="382" spans="1:23">
      <c r="A382" s="31" t="s">
        <v>396</v>
      </c>
      <c r="B382" s="32">
        <v>45670</v>
      </c>
      <c r="C382" s="32">
        <v>45664</v>
      </c>
      <c r="D382" s="31" t="s">
        <v>5</v>
      </c>
      <c r="E382" s="31" t="s">
        <v>6</v>
      </c>
      <c r="G382" s="31" t="s">
        <v>393</v>
      </c>
      <c r="H382" s="31" t="s">
        <v>394</v>
      </c>
      <c r="I382" s="31" t="s">
        <v>395</v>
      </c>
      <c r="J382" s="34" t="str">
        <f t="shared" si="30"/>
        <v>BOX-</v>
      </c>
      <c r="K382" s="31" t="s">
        <v>10</v>
      </c>
      <c r="L382" s="52">
        <v>2020</v>
      </c>
      <c r="M382" s="31" t="s">
        <v>1472</v>
      </c>
      <c r="N382" s="31" t="s">
        <v>11</v>
      </c>
      <c r="O382" s="53">
        <v>5.64</v>
      </c>
      <c r="P382" s="35">
        <f t="shared" si="31"/>
        <v>11392.8</v>
      </c>
      <c r="Q382" s="36">
        <f t="shared" si="32"/>
        <v>7.3003400000000003</v>
      </c>
      <c r="R382" s="36">
        <f t="shared" si="33"/>
        <v>0.77259999999999995</v>
      </c>
      <c r="S382" s="37">
        <f t="shared" si="34"/>
        <v>1560.65</v>
      </c>
      <c r="T382" s="36" t="s">
        <v>349</v>
      </c>
      <c r="U382" s="31" t="s">
        <v>1</v>
      </c>
      <c r="V382" s="57">
        <v>7.1879</v>
      </c>
      <c r="W382" s="38">
        <f t="shared" si="35"/>
        <v>1584.9970088621155</v>
      </c>
    </row>
    <row r="383" spans="1:23">
      <c r="A383" s="31" t="s">
        <v>1407</v>
      </c>
      <c r="B383" s="32">
        <v>45659</v>
      </c>
      <c r="C383" s="32">
        <v>45639</v>
      </c>
      <c r="D383" s="31" t="s">
        <v>569</v>
      </c>
      <c r="E383" s="31" t="s">
        <v>570</v>
      </c>
      <c r="G383" s="31" t="s">
        <v>1403</v>
      </c>
      <c r="H383" s="31" t="s">
        <v>1405</v>
      </c>
      <c r="I383" s="31" t="s">
        <v>1406</v>
      </c>
      <c r="J383" s="34" t="str">
        <f t="shared" si="30"/>
        <v>ANYD</v>
      </c>
      <c r="K383" s="31" t="s">
        <v>10</v>
      </c>
      <c r="L383" s="52">
        <v>520</v>
      </c>
      <c r="M383" s="31" t="s">
        <v>1472</v>
      </c>
      <c r="N383" s="31" t="s">
        <v>11</v>
      </c>
      <c r="O383" s="53">
        <v>5.7</v>
      </c>
      <c r="P383" s="35">
        <f t="shared" si="31"/>
        <v>2964</v>
      </c>
      <c r="Q383" s="36">
        <f t="shared" si="32"/>
        <v>7.3003400000000003</v>
      </c>
      <c r="R383" s="36">
        <f t="shared" si="33"/>
        <v>0.78080000000000005</v>
      </c>
      <c r="S383" s="37">
        <f t="shared" si="34"/>
        <v>406.02</v>
      </c>
      <c r="T383" s="36" t="s">
        <v>349</v>
      </c>
      <c r="U383" s="31" t="s">
        <v>36</v>
      </c>
      <c r="V383" s="57">
        <v>7.1879</v>
      </c>
      <c r="W383" s="38">
        <f t="shared" si="35"/>
        <v>412.35965998414002</v>
      </c>
    </row>
    <row r="384" spans="1:23">
      <c r="A384" s="31" t="s">
        <v>768</v>
      </c>
      <c r="B384" s="32">
        <v>45666</v>
      </c>
      <c r="C384" s="32">
        <v>45650</v>
      </c>
      <c r="D384" s="31" t="s">
        <v>569</v>
      </c>
      <c r="E384" s="31" t="s">
        <v>570</v>
      </c>
      <c r="G384" s="31" t="s">
        <v>762</v>
      </c>
      <c r="H384" s="31" t="s">
        <v>766</v>
      </c>
      <c r="I384" s="31" t="s">
        <v>767</v>
      </c>
      <c r="J384" s="34" t="str">
        <f t="shared" si="30"/>
        <v>ANYD</v>
      </c>
      <c r="K384" s="31" t="s">
        <v>10</v>
      </c>
      <c r="L384" s="52">
        <v>700</v>
      </c>
      <c r="M384" s="31" t="s">
        <v>1472</v>
      </c>
      <c r="N384" s="31" t="s">
        <v>11</v>
      </c>
      <c r="O384" s="53">
        <v>5.7</v>
      </c>
      <c r="P384" s="35">
        <f t="shared" si="31"/>
        <v>3990</v>
      </c>
      <c r="Q384" s="36">
        <f t="shared" si="32"/>
        <v>7.3003400000000003</v>
      </c>
      <c r="R384" s="36">
        <f t="shared" si="33"/>
        <v>0.78080000000000005</v>
      </c>
      <c r="S384" s="37">
        <f t="shared" si="34"/>
        <v>546.55999999999995</v>
      </c>
      <c r="T384" s="36" t="s">
        <v>349</v>
      </c>
      <c r="U384" s="31" t="s">
        <v>36</v>
      </c>
      <c r="V384" s="57">
        <v>7.1879</v>
      </c>
      <c r="W384" s="38">
        <f t="shared" si="35"/>
        <v>555.0995422863424</v>
      </c>
    </row>
    <row r="385" spans="1:23">
      <c r="A385" s="31" t="s">
        <v>768</v>
      </c>
      <c r="B385" s="32">
        <v>45659</v>
      </c>
      <c r="C385" s="32">
        <v>45650</v>
      </c>
      <c r="D385" s="31" t="s">
        <v>569</v>
      </c>
      <c r="E385" s="31" t="s">
        <v>570</v>
      </c>
      <c r="G385" s="31" t="s">
        <v>1418</v>
      </c>
      <c r="H385" s="31" t="s">
        <v>766</v>
      </c>
      <c r="I385" s="31" t="s">
        <v>767</v>
      </c>
      <c r="J385" s="34" t="str">
        <f t="shared" si="30"/>
        <v>ANYD</v>
      </c>
      <c r="K385" s="31" t="s">
        <v>10</v>
      </c>
      <c r="L385" s="52">
        <v>300</v>
      </c>
      <c r="M385" s="31" t="s">
        <v>1472</v>
      </c>
      <c r="N385" s="31" t="s">
        <v>11</v>
      </c>
      <c r="O385" s="53">
        <v>5.7</v>
      </c>
      <c r="P385" s="35">
        <f t="shared" si="31"/>
        <v>1710</v>
      </c>
      <c r="Q385" s="36">
        <f t="shared" si="32"/>
        <v>7.3003400000000003</v>
      </c>
      <c r="R385" s="36">
        <f t="shared" si="33"/>
        <v>0.78080000000000005</v>
      </c>
      <c r="S385" s="37">
        <f t="shared" si="34"/>
        <v>234.24</v>
      </c>
      <c r="T385" s="36" t="s">
        <v>349</v>
      </c>
      <c r="U385" s="31" t="s">
        <v>36</v>
      </c>
      <c r="V385" s="57">
        <v>7.1879</v>
      </c>
      <c r="W385" s="38">
        <f t="shared" si="35"/>
        <v>237.89980383700387</v>
      </c>
    </row>
    <row r="386" spans="1:23">
      <c r="A386" s="31" t="s">
        <v>1417</v>
      </c>
      <c r="B386" s="32">
        <v>45659</v>
      </c>
      <c r="C386" s="32">
        <v>45652</v>
      </c>
      <c r="D386" s="31" t="s">
        <v>569</v>
      </c>
      <c r="E386" s="31" t="s">
        <v>570</v>
      </c>
      <c r="G386" s="31" t="s">
        <v>1418</v>
      </c>
      <c r="H386" s="31" t="s">
        <v>1415</v>
      </c>
      <c r="I386" s="31" t="s">
        <v>1416</v>
      </c>
      <c r="J386" s="34" t="str">
        <f t="shared" ref="J386:J449" si="36">+LEFT(U386,4)</f>
        <v>ANYD</v>
      </c>
      <c r="K386" s="31" t="s">
        <v>10</v>
      </c>
      <c r="L386" s="52">
        <v>1000</v>
      </c>
      <c r="M386" s="31" t="s">
        <v>1472</v>
      </c>
      <c r="N386" s="31" t="s">
        <v>11</v>
      </c>
      <c r="O386" s="53">
        <v>5.7</v>
      </c>
      <c r="P386" s="35">
        <f t="shared" ref="P386:P449" si="37">ROUND(O386*L386,2)</f>
        <v>5700</v>
      </c>
      <c r="Q386" s="36">
        <f t="shared" ref="Q386:Q449" si="38">IF(N386="HKD",7.8,IF(N386="CNY",7.30034,1))</f>
        <v>7.3003400000000003</v>
      </c>
      <c r="R386" s="36">
        <f t="shared" ref="R386:R449" si="39">+ROUND(O386/Q386,4)</f>
        <v>0.78080000000000005</v>
      </c>
      <c r="S386" s="37">
        <f t="shared" ref="S386:S449" si="40">ROUND(R386*L386,2)</f>
        <v>780.8</v>
      </c>
      <c r="T386" s="36" t="s">
        <v>349</v>
      </c>
      <c r="U386" s="31" t="s">
        <v>36</v>
      </c>
      <c r="V386" s="57">
        <v>7.1879</v>
      </c>
      <c r="W386" s="38">
        <f t="shared" ref="W386:W449" si="41">IF(N386="CNY",O386/V386*L386,1)</f>
        <v>792.99934612334619</v>
      </c>
    </row>
    <row r="387" spans="1:23">
      <c r="A387" s="31" t="s">
        <v>277</v>
      </c>
      <c r="B387" s="32">
        <v>45673</v>
      </c>
      <c r="C387" s="32">
        <v>45615</v>
      </c>
      <c r="D387" s="31" t="s">
        <v>149</v>
      </c>
      <c r="E387" s="31" t="s">
        <v>150</v>
      </c>
      <c r="G387" s="31" t="s">
        <v>273</v>
      </c>
      <c r="H387" s="31" t="s">
        <v>274</v>
      </c>
      <c r="I387" s="31" t="s">
        <v>275</v>
      </c>
      <c r="J387" s="34" t="str">
        <f t="shared" si="36"/>
        <v>SKU-</v>
      </c>
      <c r="K387" s="31" t="s">
        <v>98</v>
      </c>
      <c r="L387" s="52">
        <v>500</v>
      </c>
      <c r="M387" s="31" t="s">
        <v>1472</v>
      </c>
      <c r="N387" s="31" t="s">
        <v>11</v>
      </c>
      <c r="O387" s="53">
        <v>5.7253999999999996</v>
      </c>
      <c r="P387" s="35">
        <f t="shared" si="37"/>
        <v>2862.7</v>
      </c>
      <c r="Q387" s="36">
        <f t="shared" si="38"/>
        <v>7.3003400000000003</v>
      </c>
      <c r="R387" s="36">
        <f t="shared" si="39"/>
        <v>0.7843</v>
      </c>
      <c r="S387" s="37">
        <f t="shared" si="40"/>
        <v>392.15</v>
      </c>
      <c r="T387" s="36" t="s">
        <v>349</v>
      </c>
      <c r="U387" s="31" t="s">
        <v>2</v>
      </c>
      <c r="V387" s="57">
        <v>7.1879</v>
      </c>
      <c r="W387" s="38">
        <f t="shared" si="41"/>
        <v>398.26653125391283</v>
      </c>
    </row>
    <row r="388" spans="1:23">
      <c r="A388" s="31" t="s">
        <v>277</v>
      </c>
      <c r="B388" s="32">
        <v>45672</v>
      </c>
      <c r="C388" s="32">
        <v>45615</v>
      </c>
      <c r="D388" s="31" t="s">
        <v>149</v>
      </c>
      <c r="E388" s="31" t="s">
        <v>150</v>
      </c>
      <c r="G388" s="31" t="s">
        <v>348</v>
      </c>
      <c r="H388" s="31" t="s">
        <v>274</v>
      </c>
      <c r="I388" s="31" t="s">
        <v>275</v>
      </c>
      <c r="J388" s="34" t="str">
        <f t="shared" si="36"/>
        <v>SKU-</v>
      </c>
      <c r="K388" s="31" t="s">
        <v>98</v>
      </c>
      <c r="L388" s="52">
        <v>4000</v>
      </c>
      <c r="M388" s="31" t="s">
        <v>1472</v>
      </c>
      <c r="N388" s="31" t="s">
        <v>11</v>
      </c>
      <c r="O388" s="53">
        <v>5.7253999999999996</v>
      </c>
      <c r="P388" s="35">
        <f t="shared" si="37"/>
        <v>22901.599999999999</v>
      </c>
      <c r="Q388" s="36">
        <f t="shared" si="38"/>
        <v>7.3003400000000003</v>
      </c>
      <c r="R388" s="36">
        <f t="shared" si="39"/>
        <v>0.7843</v>
      </c>
      <c r="S388" s="37">
        <f t="shared" si="40"/>
        <v>3137.2</v>
      </c>
      <c r="T388" s="36" t="s">
        <v>349</v>
      </c>
      <c r="U388" s="31" t="s">
        <v>2</v>
      </c>
      <c r="V388" s="57">
        <v>7.1879</v>
      </c>
      <c r="W388" s="38">
        <f t="shared" si="41"/>
        <v>3186.1322500313026</v>
      </c>
    </row>
    <row r="389" spans="1:23">
      <c r="A389" s="31" t="s">
        <v>276</v>
      </c>
      <c r="B389" s="32">
        <v>45673</v>
      </c>
      <c r="C389" s="32">
        <v>45639</v>
      </c>
      <c r="D389" s="31" t="s">
        <v>149</v>
      </c>
      <c r="E389" s="31" t="s">
        <v>150</v>
      </c>
      <c r="G389" s="31" t="s">
        <v>273</v>
      </c>
      <c r="H389" s="31" t="s">
        <v>274</v>
      </c>
      <c r="I389" s="31" t="s">
        <v>275</v>
      </c>
      <c r="J389" s="34" t="str">
        <f t="shared" si="36"/>
        <v>SKU-</v>
      </c>
      <c r="K389" s="31" t="s">
        <v>98</v>
      </c>
      <c r="L389" s="52">
        <v>4500</v>
      </c>
      <c r="M389" s="31" t="s">
        <v>1472</v>
      </c>
      <c r="N389" s="31" t="s">
        <v>11</v>
      </c>
      <c r="O389" s="53">
        <v>5.7253999999999996</v>
      </c>
      <c r="P389" s="35">
        <f t="shared" si="37"/>
        <v>25764.3</v>
      </c>
      <c r="Q389" s="36">
        <f t="shared" si="38"/>
        <v>7.3003400000000003</v>
      </c>
      <c r="R389" s="36">
        <f t="shared" si="39"/>
        <v>0.7843</v>
      </c>
      <c r="S389" s="37">
        <f t="shared" si="40"/>
        <v>3529.35</v>
      </c>
      <c r="T389" s="36" t="s">
        <v>349</v>
      </c>
      <c r="U389" s="31" t="s">
        <v>2</v>
      </c>
      <c r="V389" s="57">
        <v>7.1879</v>
      </c>
      <c r="W389" s="38">
        <f t="shared" si="41"/>
        <v>3584.3987812852151</v>
      </c>
    </row>
    <row r="390" spans="1:23">
      <c r="A390" s="31" t="s">
        <v>362</v>
      </c>
      <c r="B390" s="32">
        <v>45671</v>
      </c>
      <c r="C390" s="32">
        <v>45615</v>
      </c>
      <c r="D390" s="31" t="s">
        <v>94</v>
      </c>
      <c r="E390" s="31" t="s">
        <v>95</v>
      </c>
      <c r="G390" s="31" t="s">
        <v>363</v>
      </c>
      <c r="H390" s="31" t="s">
        <v>360</v>
      </c>
      <c r="I390" s="31" t="s">
        <v>361</v>
      </c>
      <c r="J390" s="34" t="str">
        <f t="shared" si="36"/>
        <v>SKU-</v>
      </c>
      <c r="K390" s="31" t="s">
        <v>98</v>
      </c>
      <c r="L390" s="52">
        <v>2860</v>
      </c>
      <c r="M390" s="31" t="s">
        <v>1472</v>
      </c>
      <c r="N390" s="31" t="s">
        <v>11</v>
      </c>
      <c r="O390" s="53">
        <v>5.8230000000000004</v>
      </c>
      <c r="P390" s="35">
        <f t="shared" si="37"/>
        <v>16653.78</v>
      </c>
      <c r="Q390" s="36">
        <f t="shared" si="38"/>
        <v>7.3003400000000003</v>
      </c>
      <c r="R390" s="36">
        <f t="shared" si="39"/>
        <v>0.79759999999999998</v>
      </c>
      <c r="S390" s="37">
        <f t="shared" si="40"/>
        <v>2281.14</v>
      </c>
      <c r="T390" s="36" t="s">
        <v>349</v>
      </c>
      <c r="U390" s="31" t="s">
        <v>2</v>
      </c>
      <c r="V390" s="57">
        <v>7.1879</v>
      </c>
      <c r="W390" s="38">
        <f t="shared" si="41"/>
        <v>2316.918710610888</v>
      </c>
    </row>
    <row r="391" spans="1:23">
      <c r="A391" s="31" t="s">
        <v>362</v>
      </c>
      <c r="B391" s="32">
        <v>45670</v>
      </c>
      <c r="C391" s="32">
        <v>45615</v>
      </c>
      <c r="D391" s="31" t="s">
        <v>94</v>
      </c>
      <c r="E391" s="31" t="s">
        <v>95</v>
      </c>
      <c r="G391" s="31" t="s">
        <v>610</v>
      </c>
      <c r="H391" s="31" t="s">
        <v>360</v>
      </c>
      <c r="I391" s="31" t="s">
        <v>361</v>
      </c>
      <c r="J391" s="34" t="str">
        <f t="shared" si="36"/>
        <v>SKU-</v>
      </c>
      <c r="K391" s="31" t="s">
        <v>98</v>
      </c>
      <c r="L391" s="52">
        <v>2640</v>
      </c>
      <c r="M391" s="31" t="s">
        <v>1472</v>
      </c>
      <c r="N391" s="31" t="s">
        <v>11</v>
      </c>
      <c r="O391" s="53">
        <v>5.8230000000000004</v>
      </c>
      <c r="P391" s="35">
        <f t="shared" si="37"/>
        <v>15372.72</v>
      </c>
      <c r="Q391" s="36">
        <f t="shared" si="38"/>
        <v>7.3003400000000003</v>
      </c>
      <c r="R391" s="36">
        <f t="shared" si="39"/>
        <v>0.79759999999999998</v>
      </c>
      <c r="S391" s="37">
        <f t="shared" si="40"/>
        <v>2105.66</v>
      </c>
      <c r="T391" s="36" t="s">
        <v>349</v>
      </c>
      <c r="U391" s="31" t="s">
        <v>2</v>
      </c>
      <c r="V391" s="57">
        <v>7.1879</v>
      </c>
      <c r="W391" s="38">
        <f t="shared" si="41"/>
        <v>2138.6941944100504</v>
      </c>
    </row>
    <row r="392" spans="1:23">
      <c r="A392" s="31" t="s">
        <v>918</v>
      </c>
      <c r="B392" s="32">
        <v>45665</v>
      </c>
      <c r="C392" s="32">
        <v>45646</v>
      </c>
      <c r="D392" s="31" t="s">
        <v>866</v>
      </c>
      <c r="E392" s="31" t="s">
        <v>867</v>
      </c>
      <c r="G392" s="31" t="s">
        <v>919</v>
      </c>
      <c r="H392" s="31" t="s">
        <v>916</v>
      </c>
      <c r="I392" s="31" t="s">
        <v>917</v>
      </c>
      <c r="J392" s="34" t="str">
        <f t="shared" si="36"/>
        <v>ANYD</v>
      </c>
      <c r="K392" s="31" t="s">
        <v>10</v>
      </c>
      <c r="L392" s="52">
        <v>19992</v>
      </c>
      <c r="M392" s="31" t="s">
        <v>1472</v>
      </c>
      <c r="N392" s="31" t="s">
        <v>11</v>
      </c>
      <c r="O392" s="53">
        <v>5.9381000000000004</v>
      </c>
      <c r="P392" s="35">
        <f t="shared" si="37"/>
        <v>118714.5</v>
      </c>
      <c r="Q392" s="36">
        <f t="shared" si="38"/>
        <v>7.3003400000000003</v>
      </c>
      <c r="R392" s="36">
        <f t="shared" si="39"/>
        <v>0.81340000000000001</v>
      </c>
      <c r="S392" s="37">
        <f t="shared" si="40"/>
        <v>16261.49</v>
      </c>
      <c r="T392" s="36" t="s">
        <v>349</v>
      </c>
      <c r="U392" s="31" t="s">
        <v>36</v>
      </c>
      <c r="V392" s="57">
        <v>7.1879</v>
      </c>
      <c r="W392" s="38">
        <f t="shared" si="41"/>
        <v>16515.88018753739</v>
      </c>
    </row>
    <row r="393" spans="1:23">
      <c r="A393" s="31" t="s">
        <v>702</v>
      </c>
      <c r="B393" s="32">
        <v>45667</v>
      </c>
      <c r="C393" s="32">
        <v>45610</v>
      </c>
      <c r="D393" s="31" t="s">
        <v>696</v>
      </c>
      <c r="E393" s="31" t="s">
        <v>697</v>
      </c>
      <c r="G393" s="31" t="s">
        <v>699</v>
      </c>
      <c r="H393" s="31" t="s">
        <v>700</v>
      </c>
      <c r="I393" s="31" t="s">
        <v>701</v>
      </c>
      <c r="J393" s="34" t="str">
        <f t="shared" si="36"/>
        <v>ANYD</v>
      </c>
      <c r="K393" s="31" t="s">
        <v>10</v>
      </c>
      <c r="L393" s="52">
        <v>470</v>
      </c>
      <c r="M393" s="31" t="s">
        <v>1472</v>
      </c>
      <c r="N393" s="31" t="s">
        <v>11</v>
      </c>
      <c r="O393" s="53">
        <v>6.01</v>
      </c>
      <c r="P393" s="35">
        <f t="shared" si="37"/>
        <v>2824.7</v>
      </c>
      <c r="Q393" s="36">
        <f t="shared" si="38"/>
        <v>7.3003400000000003</v>
      </c>
      <c r="R393" s="36">
        <f t="shared" si="39"/>
        <v>0.82320000000000004</v>
      </c>
      <c r="S393" s="37">
        <f t="shared" si="40"/>
        <v>386.9</v>
      </c>
      <c r="T393" s="36" t="s">
        <v>349</v>
      </c>
      <c r="U393" s="31" t="s">
        <v>36</v>
      </c>
      <c r="V393" s="57">
        <v>7.1879</v>
      </c>
      <c r="W393" s="38">
        <f t="shared" si="41"/>
        <v>392.97986894642384</v>
      </c>
    </row>
    <row r="394" spans="1:23">
      <c r="A394" s="31" t="s">
        <v>702</v>
      </c>
      <c r="B394" s="32">
        <v>45666</v>
      </c>
      <c r="C394" s="32">
        <v>45610</v>
      </c>
      <c r="D394" s="31" t="s">
        <v>696</v>
      </c>
      <c r="E394" s="31" t="s">
        <v>697</v>
      </c>
      <c r="G394" s="31" t="s">
        <v>758</v>
      </c>
      <c r="H394" s="31" t="s">
        <v>700</v>
      </c>
      <c r="I394" s="31" t="s">
        <v>701</v>
      </c>
      <c r="J394" s="34" t="str">
        <f t="shared" si="36"/>
        <v>ANYD</v>
      </c>
      <c r="K394" s="31" t="s">
        <v>10</v>
      </c>
      <c r="L394" s="52">
        <v>-470</v>
      </c>
      <c r="M394" s="31" t="s">
        <v>1472</v>
      </c>
      <c r="N394" s="31" t="s">
        <v>11</v>
      </c>
      <c r="O394" s="53">
        <v>6.01</v>
      </c>
      <c r="P394" s="35">
        <f t="shared" si="37"/>
        <v>-2824.7</v>
      </c>
      <c r="Q394" s="36">
        <f t="shared" si="38"/>
        <v>7.3003400000000003</v>
      </c>
      <c r="R394" s="36">
        <f t="shared" si="39"/>
        <v>0.82320000000000004</v>
      </c>
      <c r="S394" s="37">
        <f t="shared" si="40"/>
        <v>-386.9</v>
      </c>
      <c r="T394" s="36" t="s">
        <v>349</v>
      </c>
      <c r="U394" s="31" t="s">
        <v>36</v>
      </c>
      <c r="V394" s="57">
        <v>7.1879</v>
      </c>
      <c r="W394" s="38">
        <f t="shared" si="41"/>
        <v>-392.97986894642384</v>
      </c>
    </row>
    <row r="395" spans="1:23">
      <c r="A395" s="31" t="s">
        <v>894</v>
      </c>
      <c r="B395" s="32">
        <v>45666</v>
      </c>
      <c r="C395" s="32">
        <v>45653</v>
      </c>
      <c r="D395" s="31" t="s">
        <v>696</v>
      </c>
      <c r="E395" s="31" t="s">
        <v>697</v>
      </c>
      <c r="G395" s="31" t="s">
        <v>699</v>
      </c>
      <c r="H395" s="31" t="s">
        <v>700</v>
      </c>
      <c r="I395" s="31" t="s">
        <v>701</v>
      </c>
      <c r="J395" s="34" t="str">
        <f t="shared" si="36"/>
        <v>ANYD</v>
      </c>
      <c r="K395" s="31" t="s">
        <v>10</v>
      </c>
      <c r="L395" s="52">
        <v>1000</v>
      </c>
      <c r="M395" s="31" t="s">
        <v>1472</v>
      </c>
      <c r="N395" s="31" t="s">
        <v>11</v>
      </c>
      <c r="O395" s="53">
        <v>6.01</v>
      </c>
      <c r="P395" s="35">
        <f t="shared" si="37"/>
        <v>6010</v>
      </c>
      <c r="Q395" s="36">
        <f t="shared" si="38"/>
        <v>7.3003400000000003</v>
      </c>
      <c r="R395" s="36">
        <f t="shared" si="39"/>
        <v>0.82320000000000004</v>
      </c>
      <c r="S395" s="37">
        <f t="shared" si="40"/>
        <v>823.2</v>
      </c>
      <c r="T395" s="36" t="s">
        <v>349</v>
      </c>
      <c r="U395" s="31" t="s">
        <v>36</v>
      </c>
      <c r="V395" s="57">
        <v>7.1879</v>
      </c>
      <c r="W395" s="38">
        <f t="shared" si="41"/>
        <v>836.12738073707203</v>
      </c>
    </row>
    <row r="396" spans="1:23">
      <c r="A396" s="31" t="s">
        <v>868</v>
      </c>
      <c r="B396" s="32">
        <v>45666</v>
      </c>
      <c r="C396" s="32">
        <v>45309</v>
      </c>
      <c r="D396" s="31" t="s">
        <v>866</v>
      </c>
      <c r="E396" s="31" t="s">
        <v>867</v>
      </c>
      <c r="G396" s="31" t="s">
        <v>869</v>
      </c>
      <c r="H396" s="31" t="s">
        <v>864</v>
      </c>
      <c r="I396" s="31" t="s">
        <v>865</v>
      </c>
      <c r="J396" s="34" t="str">
        <f t="shared" si="36"/>
        <v>ANYD</v>
      </c>
      <c r="K396" s="31" t="s">
        <v>10</v>
      </c>
      <c r="L396" s="52">
        <v>3120</v>
      </c>
      <c r="M396" s="31" t="s">
        <v>1472</v>
      </c>
      <c r="N396" s="31" t="s">
        <v>11</v>
      </c>
      <c r="O396" s="53">
        <v>6.0212000000000003</v>
      </c>
      <c r="P396" s="35">
        <f t="shared" si="37"/>
        <v>18786.14</v>
      </c>
      <c r="Q396" s="36">
        <f t="shared" si="38"/>
        <v>7.3003400000000003</v>
      </c>
      <c r="R396" s="36">
        <f t="shared" si="39"/>
        <v>0.82479999999999998</v>
      </c>
      <c r="S396" s="37">
        <f t="shared" si="40"/>
        <v>2573.38</v>
      </c>
      <c r="T396" s="36" t="s">
        <v>349</v>
      </c>
      <c r="U396" s="31" t="s">
        <v>36</v>
      </c>
      <c r="V396" s="57">
        <v>7.1879</v>
      </c>
      <c r="W396" s="38">
        <f t="shared" si="41"/>
        <v>2613.5789312594779</v>
      </c>
    </row>
    <row r="397" spans="1:23">
      <c r="A397" s="31" t="s">
        <v>1311</v>
      </c>
      <c r="B397" s="32">
        <v>45660</v>
      </c>
      <c r="C397" s="32">
        <v>45629</v>
      </c>
      <c r="D397" s="31" t="s">
        <v>149</v>
      </c>
      <c r="E397" s="31" t="s">
        <v>150</v>
      </c>
      <c r="G397" s="31" t="s">
        <v>1312</v>
      </c>
      <c r="H397" s="31" t="s">
        <v>1309</v>
      </c>
      <c r="I397" s="31" t="s">
        <v>1310</v>
      </c>
      <c r="J397" s="34" t="str">
        <f t="shared" si="36"/>
        <v>GLID</v>
      </c>
      <c r="K397" s="31" t="s">
        <v>10</v>
      </c>
      <c r="L397" s="52">
        <v>1020</v>
      </c>
      <c r="M397" s="31" t="s">
        <v>1472</v>
      </c>
      <c r="N397" s="31" t="s">
        <v>11</v>
      </c>
      <c r="O397" s="53">
        <v>6.1177000000000001</v>
      </c>
      <c r="P397" s="35">
        <f t="shared" si="37"/>
        <v>6240.05</v>
      </c>
      <c r="Q397" s="36">
        <f t="shared" si="38"/>
        <v>7.3003400000000003</v>
      </c>
      <c r="R397" s="36">
        <f t="shared" si="39"/>
        <v>0.83799999999999997</v>
      </c>
      <c r="S397" s="37">
        <f t="shared" si="40"/>
        <v>854.76</v>
      </c>
      <c r="T397" s="36" t="s">
        <v>349</v>
      </c>
      <c r="U397" s="31" t="s">
        <v>78</v>
      </c>
      <c r="V397" s="57">
        <v>7.1879</v>
      </c>
      <c r="W397" s="38">
        <f t="shared" si="41"/>
        <v>868.13311259199497</v>
      </c>
    </row>
    <row r="398" spans="1:23">
      <c r="A398" s="31" t="s">
        <v>488</v>
      </c>
      <c r="B398" s="32">
        <v>45670</v>
      </c>
      <c r="C398" s="32">
        <v>45663</v>
      </c>
      <c r="D398" s="31" t="s">
        <v>5</v>
      </c>
      <c r="E398" s="31" t="s">
        <v>6</v>
      </c>
      <c r="G398" s="31" t="s">
        <v>458</v>
      </c>
      <c r="H398" s="31" t="s">
        <v>486</v>
      </c>
      <c r="I398" s="31" t="s">
        <v>487</v>
      </c>
      <c r="J398" s="34" t="str">
        <f t="shared" si="36"/>
        <v>BOX-</v>
      </c>
      <c r="K398" s="31" t="s">
        <v>10</v>
      </c>
      <c r="L398" s="52">
        <v>1010</v>
      </c>
      <c r="M398" s="31" t="s">
        <v>1472</v>
      </c>
      <c r="N398" s="31" t="s">
        <v>11</v>
      </c>
      <c r="O398" s="53">
        <v>6.27</v>
      </c>
      <c r="P398" s="35">
        <f t="shared" si="37"/>
        <v>6332.7</v>
      </c>
      <c r="Q398" s="36">
        <f t="shared" si="38"/>
        <v>7.3003400000000003</v>
      </c>
      <c r="R398" s="36">
        <f t="shared" si="39"/>
        <v>0.8589</v>
      </c>
      <c r="S398" s="37">
        <f t="shared" si="40"/>
        <v>867.49</v>
      </c>
      <c r="T398" s="36" t="s">
        <v>349</v>
      </c>
      <c r="U398" s="31" t="s">
        <v>1</v>
      </c>
      <c r="V398" s="57">
        <v>7.1879</v>
      </c>
      <c r="W398" s="38">
        <f t="shared" si="41"/>
        <v>881.0222735430375</v>
      </c>
    </row>
    <row r="399" spans="1:23">
      <c r="A399" s="31" t="s">
        <v>96</v>
      </c>
      <c r="B399" s="32">
        <v>45678</v>
      </c>
      <c r="C399" s="32">
        <v>45615</v>
      </c>
      <c r="D399" s="31" t="s">
        <v>94</v>
      </c>
      <c r="E399" s="31" t="s">
        <v>95</v>
      </c>
      <c r="G399" s="31" t="s">
        <v>97</v>
      </c>
      <c r="H399" s="31" t="s">
        <v>92</v>
      </c>
      <c r="I399" s="31" t="s">
        <v>93</v>
      </c>
      <c r="J399" s="34" t="str">
        <f t="shared" si="36"/>
        <v>SKU-</v>
      </c>
      <c r="K399" s="31" t="s">
        <v>98</v>
      </c>
      <c r="L399" s="52">
        <v>600</v>
      </c>
      <c r="M399" s="31" t="s">
        <v>1472</v>
      </c>
      <c r="N399" s="31" t="s">
        <v>11</v>
      </c>
      <c r="O399" s="53">
        <v>6.298</v>
      </c>
      <c r="P399" s="35">
        <f t="shared" si="37"/>
        <v>3778.8</v>
      </c>
      <c r="Q399" s="36">
        <f t="shared" si="38"/>
        <v>7.3003400000000003</v>
      </c>
      <c r="R399" s="36">
        <f t="shared" si="39"/>
        <v>0.86270000000000002</v>
      </c>
      <c r="S399" s="37">
        <f t="shared" si="40"/>
        <v>517.62</v>
      </c>
      <c r="T399" s="36" t="s">
        <v>349</v>
      </c>
      <c r="U399" s="31" t="s">
        <v>2</v>
      </c>
      <c r="V399" s="57">
        <v>7.1879</v>
      </c>
      <c r="W399" s="38">
        <f t="shared" si="41"/>
        <v>525.71682967208778</v>
      </c>
    </row>
    <row r="400" spans="1:23">
      <c r="A400" s="31" t="s">
        <v>96</v>
      </c>
      <c r="B400" s="32">
        <v>45677</v>
      </c>
      <c r="C400" s="32">
        <v>45615</v>
      </c>
      <c r="D400" s="31" t="s">
        <v>94</v>
      </c>
      <c r="E400" s="31" t="s">
        <v>95</v>
      </c>
      <c r="G400" s="31" t="s">
        <v>118</v>
      </c>
      <c r="H400" s="31" t="s">
        <v>92</v>
      </c>
      <c r="I400" s="31" t="s">
        <v>93</v>
      </c>
      <c r="J400" s="34" t="str">
        <f t="shared" si="36"/>
        <v>SKU-</v>
      </c>
      <c r="K400" s="31" t="s">
        <v>98</v>
      </c>
      <c r="L400" s="52">
        <v>600</v>
      </c>
      <c r="M400" s="31" t="s">
        <v>1472</v>
      </c>
      <c r="N400" s="31" t="s">
        <v>11</v>
      </c>
      <c r="O400" s="53">
        <v>6.298</v>
      </c>
      <c r="P400" s="35">
        <f t="shared" si="37"/>
        <v>3778.8</v>
      </c>
      <c r="Q400" s="36">
        <f t="shared" si="38"/>
        <v>7.3003400000000003</v>
      </c>
      <c r="R400" s="36">
        <f t="shared" si="39"/>
        <v>0.86270000000000002</v>
      </c>
      <c r="S400" s="37">
        <f t="shared" si="40"/>
        <v>517.62</v>
      </c>
      <c r="T400" s="36" t="s">
        <v>349</v>
      </c>
      <c r="U400" s="31" t="s">
        <v>2</v>
      </c>
      <c r="V400" s="57">
        <v>7.1879</v>
      </c>
      <c r="W400" s="38">
        <f t="shared" si="41"/>
        <v>525.71682967208778</v>
      </c>
    </row>
    <row r="401" spans="1:23">
      <c r="A401" s="31" t="s">
        <v>96</v>
      </c>
      <c r="B401" s="32">
        <v>45677</v>
      </c>
      <c r="C401" s="32">
        <v>45615</v>
      </c>
      <c r="D401" s="31" t="s">
        <v>94</v>
      </c>
      <c r="E401" s="31" t="s">
        <v>95</v>
      </c>
      <c r="G401" s="31" t="s">
        <v>133</v>
      </c>
      <c r="H401" s="31" t="s">
        <v>92</v>
      </c>
      <c r="I401" s="31" t="s">
        <v>93</v>
      </c>
      <c r="J401" s="34" t="str">
        <f t="shared" si="36"/>
        <v>SKU-</v>
      </c>
      <c r="K401" s="31" t="s">
        <v>98</v>
      </c>
      <c r="L401" s="52">
        <v>1800</v>
      </c>
      <c r="M401" s="31" t="s">
        <v>1472</v>
      </c>
      <c r="N401" s="31" t="s">
        <v>11</v>
      </c>
      <c r="O401" s="53">
        <v>6.298</v>
      </c>
      <c r="P401" s="35">
        <f t="shared" si="37"/>
        <v>11336.4</v>
      </c>
      <c r="Q401" s="36">
        <f t="shared" si="38"/>
        <v>7.3003400000000003</v>
      </c>
      <c r="R401" s="36">
        <f t="shared" si="39"/>
        <v>0.86270000000000002</v>
      </c>
      <c r="S401" s="37">
        <f t="shared" si="40"/>
        <v>1552.86</v>
      </c>
      <c r="T401" s="36" t="s">
        <v>349</v>
      </c>
      <c r="U401" s="31" t="s">
        <v>2</v>
      </c>
      <c r="V401" s="57">
        <v>7.1879</v>
      </c>
      <c r="W401" s="38">
        <f t="shared" si="41"/>
        <v>1577.1504890162635</v>
      </c>
    </row>
    <row r="402" spans="1:23">
      <c r="A402" s="31" t="s">
        <v>289</v>
      </c>
      <c r="B402" s="32">
        <v>45673</v>
      </c>
      <c r="C402" s="32">
        <v>45604</v>
      </c>
      <c r="D402" s="31" t="s">
        <v>287</v>
      </c>
      <c r="E402" s="31" t="s">
        <v>288</v>
      </c>
      <c r="G402" s="31" t="s">
        <v>290</v>
      </c>
      <c r="H402" s="31" t="s">
        <v>81</v>
      </c>
      <c r="I402" s="31" t="s">
        <v>82</v>
      </c>
      <c r="J402" s="34" t="str">
        <f t="shared" si="36"/>
        <v>ANYD</v>
      </c>
      <c r="K402" s="31" t="s">
        <v>10</v>
      </c>
      <c r="L402" s="52">
        <v>540</v>
      </c>
      <c r="M402" s="31" t="s">
        <v>1472</v>
      </c>
      <c r="N402" s="31" t="s">
        <v>11</v>
      </c>
      <c r="O402" s="53">
        <v>6.4610000000000003</v>
      </c>
      <c r="P402" s="35">
        <f t="shared" si="37"/>
        <v>3488.94</v>
      </c>
      <c r="Q402" s="36">
        <f t="shared" si="38"/>
        <v>7.3003400000000003</v>
      </c>
      <c r="R402" s="36">
        <f t="shared" si="39"/>
        <v>0.88500000000000001</v>
      </c>
      <c r="S402" s="37">
        <f t="shared" si="40"/>
        <v>477.9</v>
      </c>
      <c r="T402" s="36" t="s">
        <v>349</v>
      </c>
      <c r="U402" s="31" t="s">
        <v>36</v>
      </c>
      <c r="V402" s="57">
        <v>7.1879</v>
      </c>
      <c r="W402" s="38">
        <f t="shared" si="41"/>
        <v>485.39072608133114</v>
      </c>
    </row>
    <row r="403" spans="1:23">
      <c r="A403" s="31" t="s">
        <v>289</v>
      </c>
      <c r="B403" s="32">
        <v>45667</v>
      </c>
      <c r="C403" s="32">
        <v>45604</v>
      </c>
      <c r="D403" s="31" t="s">
        <v>287</v>
      </c>
      <c r="E403" s="31" t="s">
        <v>288</v>
      </c>
      <c r="G403" s="31" t="s">
        <v>692</v>
      </c>
      <c r="H403" s="31" t="s">
        <v>81</v>
      </c>
      <c r="I403" s="31" t="s">
        <v>82</v>
      </c>
      <c r="J403" s="34" t="str">
        <f t="shared" si="36"/>
        <v>ANYD</v>
      </c>
      <c r="K403" s="31" t="s">
        <v>10</v>
      </c>
      <c r="L403" s="52">
        <v>-540</v>
      </c>
      <c r="M403" s="31" t="s">
        <v>1472</v>
      </c>
      <c r="N403" s="31" t="s">
        <v>11</v>
      </c>
      <c r="O403" s="53">
        <v>6.4610000000000003</v>
      </c>
      <c r="P403" s="35">
        <f t="shared" si="37"/>
        <v>-3488.94</v>
      </c>
      <c r="Q403" s="36">
        <f t="shared" si="38"/>
        <v>7.3003400000000003</v>
      </c>
      <c r="R403" s="36">
        <f t="shared" si="39"/>
        <v>0.88500000000000001</v>
      </c>
      <c r="S403" s="37">
        <f t="shared" si="40"/>
        <v>-477.9</v>
      </c>
      <c r="T403" s="36" t="s">
        <v>349</v>
      </c>
      <c r="U403" s="31" t="s">
        <v>36</v>
      </c>
      <c r="V403" s="57">
        <v>7.1879</v>
      </c>
      <c r="W403" s="38">
        <f t="shared" si="41"/>
        <v>-485.39072608133114</v>
      </c>
    </row>
    <row r="404" spans="1:23">
      <c r="A404" s="31" t="s">
        <v>863</v>
      </c>
      <c r="B404" s="32">
        <v>45666</v>
      </c>
      <c r="C404" s="32">
        <v>45638</v>
      </c>
      <c r="D404" s="31" t="s">
        <v>287</v>
      </c>
      <c r="E404" s="31" t="s">
        <v>288</v>
      </c>
      <c r="G404" s="31" t="s">
        <v>841</v>
      </c>
      <c r="H404" s="31" t="s">
        <v>79</v>
      </c>
      <c r="I404" s="31" t="s">
        <v>80</v>
      </c>
      <c r="J404" s="34" t="str">
        <f t="shared" si="36"/>
        <v>ANYD</v>
      </c>
      <c r="K404" s="31" t="s">
        <v>10</v>
      </c>
      <c r="L404" s="52">
        <v>518</v>
      </c>
      <c r="M404" s="31" t="s">
        <v>1472</v>
      </c>
      <c r="N404" s="31" t="s">
        <v>11</v>
      </c>
      <c r="O404" s="53">
        <v>6.4610000000000003</v>
      </c>
      <c r="P404" s="35">
        <f t="shared" si="37"/>
        <v>3346.8</v>
      </c>
      <c r="Q404" s="36">
        <f t="shared" si="38"/>
        <v>7.3003400000000003</v>
      </c>
      <c r="R404" s="36">
        <f t="shared" si="39"/>
        <v>0.88500000000000001</v>
      </c>
      <c r="S404" s="37">
        <f t="shared" si="40"/>
        <v>458.43</v>
      </c>
      <c r="T404" s="36" t="s">
        <v>349</v>
      </c>
      <c r="U404" s="31" t="s">
        <v>36</v>
      </c>
      <c r="V404" s="57">
        <v>7.1879</v>
      </c>
      <c r="W404" s="38">
        <f t="shared" si="41"/>
        <v>465.61554835209171</v>
      </c>
    </row>
    <row r="405" spans="1:23">
      <c r="A405" s="31" t="s">
        <v>264</v>
      </c>
      <c r="B405" s="32">
        <v>45673</v>
      </c>
      <c r="C405" s="32">
        <v>45636</v>
      </c>
      <c r="D405" s="31" t="s">
        <v>263</v>
      </c>
      <c r="E405" s="31" t="s">
        <v>0</v>
      </c>
      <c r="G405" s="31" t="s">
        <v>265</v>
      </c>
      <c r="H405" s="31" t="s">
        <v>261</v>
      </c>
      <c r="I405" s="31" t="s">
        <v>262</v>
      </c>
      <c r="J405" s="34" t="str">
        <f t="shared" si="36"/>
        <v>LHDL</v>
      </c>
      <c r="K405" s="31" t="s">
        <v>10</v>
      </c>
      <c r="L405" s="52">
        <v>1000</v>
      </c>
      <c r="M405" s="31" t="s">
        <v>1472</v>
      </c>
      <c r="N405" s="31" t="s">
        <v>11</v>
      </c>
      <c r="O405" s="53">
        <v>6.492</v>
      </c>
      <c r="P405" s="35">
        <f t="shared" si="37"/>
        <v>6492</v>
      </c>
      <c r="Q405" s="36">
        <f t="shared" si="38"/>
        <v>7.3003400000000003</v>
      </c>
      <c r="R405" s="36">
        <f t="shared" si="39"/>
        <v>0.88929999999999998</v>
      </c>
      <c r="S405" s="37">
        <f t="shared" si="40"/>
        <v>889.3</v>
      </c>
      <c r="T405" s="36" t="s">
        <v>349</v>
      </c>
      <c r="U405" s="31" t="s">
        <v>125</v>
      </c>
      <c r="V405" s="57">
        <v>7.1879</v>
      </c>
      <c r="W405" s="38">
        <f t="shared" si="41"/>
        <v>903.18451842680054</v>
      </c>
    </row>
    <row r="406" spans="1:23">
      <c r="A406" s="31" t="s">
        <v>139</v>
      </c>
      <c r="B406" s="32">
        <v>45675</v>
      </c>
      <c r="C406" s="32">
        <v>45671</v>
      </c>
      <c r="D406" s="31" t="s">
        <v>137</v>
      </c>
      <c r="E406" s="31" t="s">
        <v>138</v>
      </c>
      <c r="G406" s="31" t="s">
        <v>140</v>
      </c>
      <c r="H406" s="31" t="s">
        <v>134</v>
      </c>
      <c r="I406" s="31" t="s">
        <v>135</v>
      </c>
      <c r="J406" s="34" t="str">
        <f t="shared" si="36"/>
        <v>MISC</v>
      </c>
      <c r="K406" s="31" t="s">
        <v>10</v>
      </c>
      <c r="L406" s="52">
        <v>900</v>
      </c>
      <c r="M406" s="31" t="s">
        <v>136</v>
      </c>
      <c r="N406" s="31" t="s">
        <v>11</v>
      </c>
      <c r="O406" s="53">
        <v>6.5</v>
      </c>
      <c r="P406" s="35">
        <f t="shared" si="37"/>
        <v>5850</v>
      </c>
      <c r="Q406" s="36">
        <f t="shared" si="38"/>
        <v>7.3003400000000003</v>
      </c>
      <c r="R406" s="36">
        <f t="shared" si="39"/>
        <v>0.89039999999999997</v>
      </c>
      <c r="S406" s="37">
        <f t="shared" si="40"/>
        <v>801.36</v>
      </c>
      <c r="T406" s="36" t="s">
        <v>349</v>
      </c>
      <c r="U406" s="31" t="s">
        <v>25</v>
      </c>
      <c r="V406" s="57">
        <v>7.1879</v>
      </c>
      <c r="W406" s="38">
        <f t="shared" si="41"/>
        <v>813.86774996869747</v>
      </c>
    </row>
    <row r="407" spans="1:23">
      <c r="A407" s="31" t="s">
        <v>978</v>
      </c>
      <c r="B407" s="32">
        <v>45664</v>
      </c>
      <c r="C407" s="32">
        <v>45622</v>
      </c>
      <c r="D407" s="31" t="s">
        <v>121</v>
      </c>
      <c r="E407" s="31" t="s">
        <v>122</v>
      </c>
      <c r="G407" s="31" t="s">
        <v>972</v>
      </c>
      <c r="H407" s="31" t="s">
        <v>976</v>
      </c>
      <c r="I407" s="31" t="s">
        <v>977</v>
      </c>
      <c r="J407" s="34" t="str">
        <f t="shared" si="36"/>
        <v>HDL-</v>
      </c>
      <c r="K407" s="31" t="s">
        <v>10</v>
      </c>
      <c r="L407" s="52">
        <v>1020</v>
      </c>
      <c r="M407" s="31" t="s">
        <v>1472</v>
      </c>
      <c r="N407" s="31" t="s">
        <v>11</v>
      </c>
      <c r="O407" s="53">
        <v>6.5797999999999996</v>
      </c>
      <c r="P407" s="35">
        <f t="shared" si="37"/>
        <v>6711.4</v>
      </c>
      <c r="Q407" s="36">
        <f t="shared" si="38"/>
        <v>7.3003400000000003</v>
      </c>
      <c r="R407" s="36">
        <f t="shared" si="39"/>
        <v>0.90129999999999999</v>
      </c>
      <c r="S407" s="37">
        <f t="shared" si="40"/>
        <v>919.33</v>
      </c>
      <c r="T407" s="36" t="s">
        <v>349</v>
      </c>
      <c r="U407" s="31" t="s">
        <v>228</v>
      </c>
      <c r="V407" s="57">
        <v>7.1879</v>
      </c>
      <c r="W407" s="38">
        <f t="shared" si="41"/>
        <v>933.70748062716507</v>
      </c>
    </row>
    <row r="408" spans="1:23">
      <c r="A408" s="31" t="s">
        <v>1305</v>
      </c>
      <c r="B408" s="32">
        <v>45660</v>
      </c>
      <c r="C408" s="32">
        <v>45629</v>
      </c>
      <c r="D408" s="31" t="s">
        <v>121</v>
      </c>
      <c r="E408" s="31" t="s">
        <v>122</v>
      </c>
      <c r="G408" s="31" t="s">
        <v>1302</v>
      </c>
      <c r="H408" s="31" t="s">
        <v>1303</v>
      </c>
      <c r="I408" s="31" t="s">
        <v>1304</v>
      </c>
      <c r="J408" s="34" t="str">
        <f t="shared" si="36"/>
        <v>HDL-</v>
      </c>
      <c r="K408" s="31" t="s">
        <v>10</v>
      </c>
      <c r="L408" s="52">
        <v>1020</v>
      </c>
      <c r="M408" s="31" t="s">
        <v>1472</v>
      </c>
      <c r="N408" s="31" t="s">
        <v>11</v>
      </c>
      <c r="O408" s="53">
        <v>6.5797999999999996</v>
      </c>
      <c r="P408" s="35">
        <f t="shared" si="37"/>
        <v>6711.4</v>
      </c>
      <c r="Q408" s="36">
        <f t="shared" si="38"/>
        <v>7.3003400000000003</v>
      </c>
      <c r="R408" s="36">
        <f t="shared" si="39"/>
        <v>0.90129999999999999</v>
      </c>
      <c r="S408" s="37">
        <f t="shared" si="40"/>
        <v>919.33</v>
      </c>
      <c r="T408" s="36" t="s">
        <v>349</v>
      </c>
      <c r="U408" s="31" t="s">
        <v>228</v>
      </c>
      <c r="V408" s="57">
        <v>7.1879</v>
      </c>
      <c r="W408" s="38">
        <f t="shared" si="41"/>
        <v>933.70748062716507</v>
      </c>
    </row>
    <row r="409" spans="1:23">
      <c r="A409" s="31" t="s">
        <v>914</v>
      </c>
      <c r="B409" s="32">
        <v>45665</v>
      </c>
      <c r="C409" s="32">
        <v>45526</v>
      </c>
      <c r="D409" s="31" t="s">
        <v>866</v>
      </c>
      <c r="E409" s="31" t="s">
        <v>867</v>
      </c>
      <c r="G409" s="31" t="s">
        <v>915</v>
      </c>
      <c r="H409" s="31" t="s">
        <v>912</v>
      </c>
      <c r="I409" s="31" t="s">
        <v>913</v>
      </c>
      <c r="J409" s="34" t="str">
        <f t="shared" si="36"/>
        <v>ANYD</v>
      </c>
      <c r="K409" s="31" t="s">
        <v>10</v>
      </c>
      <c r="L409" s="52">
        <v>4400</v>
      </c>
      <c r="M409" s="31" t="s">
        <v>1472</v>
      </c>
      <c r="N409" s="31" t="s">
        <v>11</v>
      </c>
      <c r="O409" s="53">
        <v>6.5929000000000002</v>
      </c>
      <c r="P409" s="35">
        <f t="shared" si="37"/>
        <v>29008.76</v>
      </c>
      <c r="Q409" s="36">
        <f t="shared" si="38"/>
        <v>7.3003400000000003</v>
      </c>
      <c r="R409" s="36">
        <f t="shared" si="39"/>
        <v>0.90310000000000001</v>
      </c>
      <c r="S409" s="37">
        <f t="shared" si="40"/>
        <v>3973.64</v>
      </c>
      <c r="T409" s="36" t="s">
        <v>349</v>
      </c>
      <c r="U409" s="31" t="s">
        <v>36</v>
      </c>
      <c r="V409" s="57">
        <v>7.1879</v>
      </c>
      <c r="W409" s="38">
        <f t="shared" si="41"/>
        <v>4035.7767915524701</v>
      </c>
    </row>
    <row r="410" spans="1:23">
      <c r="A410" s="31" t="s">
        <v>291</v>
      </c>
      <c r="B410" s="32">
        <v>45673</v>
      </c>
      <c r="C410" s="32">
        <v>45670</v>
      </c>
      <c r="D410" s="31" t="s">
        <v>287</v>
      </c>
      <c r="E410" s="31" t="s">
        <v>288</v>
      </c>
      <c r="G410" s="31" t="s">
        <v>290</v>
      </c>
      <c r="H410" s="31" t="s">
        <v>76</v>
      </c>
      <c r="I410" s="31" t="s">
        <v>77</v>
      </c>
      <c r="J410" s="34" t="str">
        <f t="shared" si="36"/>
        <v>GLID</v>
      </c>
      <c r="K410" s="31" t="s">
        <v>10</v>
      </c>
      <c r="L410" s="52">
        <v>200</v>
      </c>
      <c r="M410" s="31" t="s">
        <v>1472</v>
      </c>
      <c r="N410" s="31" t="s">
        <v>11</v>
      </c>
      <c r="O410" s="53">
        <v>6.5929000000000002</v>
      </c>
      <c r="P410" s="35">
        <f t="shared" si="37"/>
        <v>1318.58</v>
      </c>
      <c r="Q410" s="36">
        <f t="shared" si="38"/>
        <v>7.3003400000000003</v>
      </c>
      <c r="R410" s="36">
        <f t="shared" si="39"/>
        <v>0.90310000000000001</v>
      </c>
      <c r="S410" s="37">
        <f t="shared" si="40"/>
        <v>180.62</v>
      </c>
      <c r="T410" s="36" t="s">
        <v>349</v>
      </c>
      <c r="U410" s="31" t="s">
        <v>78</v>
      </c>
      <c r="V410" s="57">
        <v>7.1879</v>
      </c>
      <c r="W410" s="38">
        <f t="shared" si="41"/>
        <v>183.44439961602137</v>
      </c>
    </row>
    <row r="411" spans="1:23">
      <c r="A411" s="31" t="s">
        <v>1318</v>
      </c>
      <c r="B411" s="32">
        <v>45660</v>
      </c>
      <c r="C411" s="32">
        <v>45597</v>
      </c>
      <c r="D411" s="31" t="s">
        <v>1316</v>
      </c>
      <c r="E411" s="31" t="s">
        <v>1317</v>
      </c>
      <c r="G411" s="31" t="s">
        <v>1319</v>
      </c>
      <c r="H411" s="31" t="s">
        <v>1314</v>
      </c>
      <c r="I411" s="31" t="s">
        <v>1315</v>
      </c>
      <c r="J411" s="34" t="str">
        <f t="shared" si="36"/>
        <v>GLID</v>
      </c>
      <c r="K411" s="31" t="s">
        <v>10</v>
      </c>
      <c r="L411" s="52">
        <v>4200</v>
      </c>
      <c r="M411" s="31" t="s">
        <v>1472</v>
      </c>
      <c r="N411" s="31" t="s">
        <v>11</v>
      </c>
      <c r="O411" s="53">
        <v>6.6017999999999999</v>
      </c>
      <c r="P411" s="35">
        <f t="shared" si="37"/>
        <v>27727.56</v>
      </c>
      <c r="Q411" s="36">
        <f t="shared" si="38"/>
        <v>7.3003400000000003</v>
      </c>
      <c r="R411" s="36">
        <f t="shared" si="39"/>
        <v>0.90429999999999999</v>
      </c>
      <c r="S411" s="37">
        <f t="shared" si="40"/>
        <v>3798.06</v>
      </c>
      <c r="T411" s="36" t="s">
        <v>349</v>
      </c>
      <c r="U411" s="31" t="s">
        <v>78</v>
      </c>
      <c r="V411" s="57">
        <v>7.1879</v>
      </c>
      <c r="W411" s="38">
        <f t="shared" si="41"/>
        <v>3857.53279817471</v>
      </c>
    </row>
    <row r="412" spans="1:23">
      <c r="A412" s="31" t="s">
        <v>1075</v>
      </c>
      <c r="B412" s="32">
        <v>45663</v>
      </c>
      <c r="C412" s="32">
        <v>45646</v>
      </c>
      <c r="D412" s="31" t="s">
        <v>268</v>
      </c>
      <c r="E412" s="31" t="s">
        <v>269</v>
      </c>
      <c r="G412" s="31" t="s">
        <v>1076</v>
      </c>
      <c r="H412" s="31" t="s">
        <v>1073</v>
      </c>
      <c r="I412" s="31" t="s">
        <v>1074</v>
      </c>
      <c r="J412" s="34" t="str">
        <f t="shared" si="36"/>
        <v>MISC</v>
      </c>
      <c r="K412" s="31" t="s">
        <v>10</v>
      </c>
      <c r="L412" s="52">
        <v>50</v>
      </c>
      <c r="M412" s="31" t="s">
        <v>136</v>
      </c>
      <c r="N412" s="31" t="s">
        <v>11</v>
      </c>
      <c r="O412" s="53">
        <v>6.64</v>
      </c>
      <c r="P412" s="35">
        <f t="shared" si="37"/>
        <v>332</v>
      </c>
      <c r="Q412" s="36">
        <f t="shared" si="38"/>
        <v>7.3003400000000003</v>
      </c>
      <c r="R412" s="36">
        <f t="shared" si="39"/>
        <v>0.90949999999999998</v>
      </c>
      <c r="S412" s="37">
        <f t="shared" si="40"/>
        <v>45.48</v>
      </c>
      <c r="T412" s="36" t="s">
        <v>349</v>
      </c>
      <c r="U412" s="31" t="s">
        <v>25</v>
      </c>
      <c r="V412" s="57">
        <v>7.1879</v>
      </c>
      <c r="W412" s="38">
        <f t="shared" si="41"/>
        <v>46.188733844377353</v>
      </c>
    </row>
    <row r="413" spans="1:23">
      <c r="A413" s="31" t="s">
        <v>876</v>
      </c>
      <c r="B413" s="32">
        <v>45666</v>
      </c>
      <c r="C413" s="32">
        <v>45287</v>
      </c>
      <c r="D413" s="31" t="s">
        <v>866</v>
      </c>
      <c r="E413" s="31" t="s">
        <v>867</v>
      </c>
      <c r="G413" s="31" t="s">
        <v>873</v>
      </c>
      <c r="H413" s="31" t="s">
        <v>874</v>
      </c>
      <c r="I413" s="31" t="s">
        <v>875</v>
      </c>
      <c r="J413" s="34" t="str">
        <f t="shared" si="36"/>
        <v>ANYD</v>
      </c>
      <c r="K413" s="31" t="s">
        <v>10</v>
      </c>
      <c r="L413" s="52">
        <v>2000</v>
      </c>
      <c r="M413" s="31" t="s">
        <v>1472</v>
      </c>
      <c r="N413" s="31" t="s">
        <v>11</v>
      </c>
      <c r="O413" s="53">
        <v>6.6637000000000004</v>
      </c>
      <c r="P413" s="35">
        <f t="shared" si="37"/>
        <v>13327.4</v>
      </c>
      <c r="Q413" s="36">
        <f t="shared" si="38"/>
        <v>7.3003400000000003</v>
      </c>
      <c r="R413" s="36">
        <f t="shared" si="39"/>
        <v>0.91279999999999994</v>
      </c>
      <c r="S413" s="37">
        <f t="shared" si="40"/>
        <v>1825.6</v>
      </c>
      <c r="T413" s="36" t="s">
        <v>349</v>
      </c>
      <c r="U413" s="31" t="s">
        <v>36</v>
      </c>
      <c r="V413" s="57">
        <v>7.1879</v>
      </c>
      <c r="W413" s="38">
        <f t="shared" si="41"/>
        <v>1854.1437693902253</v>
      </c>
    </row>
    <row r="414" spans="1:23">
      <c r="A414" s="31" t="s">
        <v>426</v>
      </c>
      <c r="B414" s="32">
        <v>45670</v>
      </c>
      <c r="C414" s="32">
        <v>45664</v>
      </c>
      <c r="D414" s="31" t="s">
        <v>5</v>
      </c>
      <c r="E414" s="31" t="s">
        <v>6</v>
      </c>
      <c r="G414" s="31" t="s">
        <v>393</v>
      </c>
      <c r="H414" s="31" t="s">
        <v>424</v>
      </c>
      <c r="I414" s="31" t="s">
        <v>425</v>
      </c>
      <c r="J414" s="34" t="str">
        <f t="shared" si="36"/>
        <v>BOX-</v>
      </c>
      <c r="K414" s="31" t="s">
        <v>10</v>
      </c>
      <c r="L414" s="52">
        <v>2120</v>
      </c>
      <c r="M414" s="31" t="s">
        <v>1472</v>
      </c>
      <c r="N414" s="31" t="s">
        <v>11</v>
      </c>
      <c r="O414" s="53">
        <v>7.13</v>
      </c>
      <c r="P414" s="35">
        <f t="shared" si="37"/>
        <v>15115.6</v>
      </c>
      <c r="Q414" s="36">
        <f t="shared" si="38"/>
        <v>7.3003400000000003</v>
      </c>
      <c r="R414" s="36">
        <f t="shared" si="39"/>
        <v>0.97670000000000001</v>
      </c>
      <c r="S414" s="37">
        <f t="shared" si="40"/>
        <v>2070.6</v>
      </c>
      <c r="T414" s="36" t="s">
        <v>349</v>
      </c>
      <c r="U414" s="31" t="s">
        <v>1</v>
      </c>
      <c r="V414" s="57">
        <v>7.1879</v>
      </c>
      <c r="W414" s="38">
        <f t="shared" si="41"/>
        <v>2102.922967765272</v>
      </c>
    </row>
    <row r="415" spans="1:23">
      <c r="A415" s="31" t="s">
        <v>1395</v>
      </c>
      <c r="B415" s="32">
        <v>45659</v>
      </c>
      <c r="C415" s="32">
        <v>45610</v>
      </c>
      <c r="D415" s="31" t="s">
        <v>143</v>
      </c>
      <c r="E415" s="31" t="s">
        <v>144</v>
      </c>
      <c r="G415" s="31" t="s">
        <v>1396</v>
      </c>
      <c r="H415" s="31" t="s">
        <v>1393</v>
      </c>
      <c r="I415" s="31" t="s">
        <v>1394</v>
      </c>
      <c r="J415" s="34" t="str">
        <f t="shared" si="36"/>
        <v>SHDL</v>
      </c>
      <c r="K415" s="31" t="s">
        <v>10</v>
      </c>
      <c r="L415" s="52">
        <v>2000</v>
      </c>
      <c r="M415" s="31" t="s">
        <v>1472</v>
      </c>
      <c r="N415" s="31" t="s">
        <v>11</v>
      </c>
      <c r="O415" s="53">
        <v>7.2710999999999997</v>
      </c>
      <c r="P415" s="35">
        <f t="shared" si="37"/>
        <v>14542.2</v>
      </c>
      <c r="Q415" s="36">
        <f t="shared" si="38"/>
        <v>7.3003400000000003</v>
      </c>
      <c r="R415" s="36">
        <f t="shared" si="39"/>
        <v>0.996</v>
      </c>
      <c r="S415" s="37">
        <f t="shared" si="40"/>
        <v>1992</v>
      </c>
      <c r="T415" s="36" t="s">
        <v>349</v>
      </c>
      <c r="U415" s="31" t="s">
        <v>722</v>
      </c>
      <c r="V415" s="57">
        <v>7.1879</v>
      </c>
      <c r="W415" s="38">
        <f t="shared" si="41"/>
        <v>2023.1500159991094</v>
      </c>
    </row>
    <row r="416" spans="1:23">
      <c r="A416" s="31" t="s">
        <v>862</v>
      </c>
      <c r="B416" s="32">
        <v>45666</v>
      </c>
      <c r="C416" s="32">
        <v>45638</v>
      </c>
      <c r="D416" s="31" t="s">
        <v>287</v>
      </c>
      <c r="E416" s="31" t="s">
        <v>288</v>
      </c>
      <c r="G416" s="31" t="s">
        <v>841</v>
      </c>
      <c r="H416" s="31" t="s">
        <v>860</v>
      </c>
      <c r="I416" s="31" t="s">
        <v>861</v>
      </c>
      <c r="J416" s="34" t="str">
        <f t="shared" si="36"/>
        <v>GLID</v>
      </c>
      <c r="K416" s="31" t="s">
        <v>10</v>
      </c>
      <c r="L416" s="52">
        <v>175</v>
      </c>
      <c r="M416" s="31" t="s">
        <v>1472</v>
      </c>
      <c r="N416" s="31" t="s">
        <v>11</v>
      </c>
      <c r="O416" s="53">
        <v>7.2716000000000003</v>
      </c>
      <c r="P416" s="35">
        <f t="shared" si="37"/>
        <v>1272.53</v>
      </c>
      <c r="Q416" s="36">
        <f t="shared" si="38"/>
        <v>7.3003400000000003</v>
      </c>
      <c r="R416" s="36">
        <f t="shared" si="39"/>
        <v>0.99609999999999999</v>
      </c>
      <c r="S416" s="37">
        <f t="shared" si="40"/>
        <v>174.32</v>
      </c>
      <c r="T416" s="36" t="s">
        <v>349</v>
      </c>
      <c r="U416" s="31" t="s">
        <v>78</v>
      </c>
      <c r="V416" s="57">
        <v>7.1879</v>
      </c>
      <c r="W416" s="38">
        <f t="shared" si="41"/>
        <v>177.03779963549857</v>
      </c>
    </row>
    <row r="417" spans="1:23">
      <c r="A417" s="31" t="s">
        <v>862</v>
      </c>
      <c r="B417" s="32">
        <v>45660</v>
      </c>
      <c r="C417" s="32">
        <v>45638</v>
      </c>
      <c r="D417" s="31" t="s">
        <v>287</v>
      </c>
      <c r="E417" s="31" t="s">
        <v>288</v>
      </c>
      <c r="G417" s="31" t="s">
        <v>1286</v>
      </c>
      <c r="H417" s="31" t="s">
        <v>860</v>
      </c>
      <c r="I417" s="31" t="s">
        <v>861</v>
      </c>
      <c r="J417" s="34" t="str">
        <f t="shared" si="36"/>
        <v>GLID</v>
      </c>
      <c r="K417" s="31" t="s">
        <v>10</v>
      </c>
      <c r="L417" s="52">
        <v>1985</v>
      </c>
      <c r="M417" s="31" t="s">
        <v>1472</v>
      </c>
      <c r="N417" s="31" t="s">
        <v>11</v>
      </c>
      <c r="O417" s="53">
        <v>7.2716000000000003</v>
      </c>
      <c r="P417" s="35">
        <f t="shared" si="37"/>
        <v>14434.13</v>
      </c>
      <c r="Q417" s="36">
        <f t="shared" si="38"/>
        <v>7.3003400000000003</v>
      </c>
      <c r="R417" s="36">
        <f t="shared" si="39"/>
        <v>0.99609999999999999</v>
      </c>
      <c r="S417" s="37">
        <f t="shared" si="40"/>
        <v>1977.26</v>
      </c>
      <c r="T417" s="36" t="s">
        <v>349</v>
      </c>
      <c r="U417" s="31" t="s">
        <v>78</v>
      </c>
      <c r="V417" s="57">
        <v>7.1879</v>
      </c>
      <c r="W417" s="38">
        <f t="shared" si="41"/>
        <v>2008.1144701512267</v>
      </c>
    </row>
    <row r="418" spans="1:23">
      <c r="A418" s="31" t="s">
        <v>859</v>
      </c>
      <c r="B418" s="32">
        <v>45666</v>
      </c>
      <c r="C418" s="32">
        <v>45638</v>
      </c>
      <c r="D418" s="31" t="s">
        <v>287</v>
      </c>
      <c r="E418" s="31" t="s">
        <v>288</v>
      </c>
      <c r="G418" s="31" t="s">
        <v>841</v>
      </c>
      <c r="H418" s="31" t="s">
        <v>857</v>
      </c>
      <c r="I418" s="31" t="s">
        <v>858</v>
      </c>
      <c r="J418" s="34" t="str">
        <f t="shared" si="36"/>
        <v>GLID</v>
      </c>
      <c r="K418" s="31" t="s">
        <v>10</v>
      </c>
      <c r="L418" s="52">
        <v>1040</v>
      </c>
      <c r="M418" s="31" t="s">
        <v>1472</v>
      </c>
      <c r="N418" s="31" t="s">
        <v>11</v>
      </c>
      <c r="O418" s="53">
        <v>7.2716000000000003</v>
      </c>
      <c r="P418" s="35">
        <f t="shared" si="37"/>
        <v>7562.46</v>
      </c>
      <c r="Q418" s="36">
        <f t="shared" si="38"/>
        <v>7.3003400000000003</v>
      </c>
      <c r="R418" s="36">
        <f t="shared" si="39"/>
        <v>0.99609999999999999</v>
      </c>
      <c r="S418" s="37">
        <f t="shared" si="40"/>
        <v>1035.94</v>
      </c>
      <c r="T418" s="36" t="s">
        <v>349</v>
      </c>
      <c r="U418" s="31" t="s">
        <v>78</v>
      </c>
      <c r="V418" s="57">
        <v>7.1879</v>
      </c>
      <c r="W418" s="38">
        <f t="shared" si="41"/>
        <v>1052.1103521195344</v>
      </c>
    </row>
    <row r="419" spans="1:23">
      <c r="A419" s="31" t="s">
        <v>780</v>
      </c>
      <c r="B419" s="32">
        <v>45666</v>
      </c>
      <c r="C419" s="32">
        <v>45615</v>
      </c>
      <c r="D419" s="31" t="s">
        <v>149</v>
      </c>
      <c r="E419" s="31" t="s">
        <v>150</v>
      </c>
      <c r="G419" s="31" t="s">
        <v>779</v>
      </c>
      <c r="H419" s="31" t="s">
        <v>345</v>
      </c>
      <c r="I419" s="31" t="s">
        <v>346</v>
      </c>
      <c r="J419" s="34" t="str">
        <f t="shared" si="36"/>
        <v>SKU-</v>
      </c>
      <c r="K419" s="31" t="s">
        <v>98</v>
      </c>
      <c r="L419" s="52">
        <v>4520</v>
      </c>
      <c r="M419" s="31" t="s">
        <v>1472</v>
      </c>
      <c r="N419" s="31" t="s">
        <v>11</v>
      </c>
      <c r="O419" s="53">
        <v>7.4157999999999999</v>
      </c>
      <c r="P419" s="35">
        <f t="shared" si="37"/>
        <v>33519.42</v>
      </c>
      <c r="Q419" s="36">
        <f t="shared" si="38"/>
        <v>7.3003400000000003</v>
      </c>
      <c r="R419" s="36">
        <f t="shared" si="39"/>
        <v>1.0158</v>
      </c>
      <c r="S419" s="37">
        <f t="shared" si="40"/>
        <v>4591.42</v>
      </c>
      <c r="T419" s="36" t="s">
        <v>349</v>
      </c>
      <c r="U419" s="31" t="s">
        <v>2</v>
      </c>
      <c r="V419" s="57">
        <v>7.1879</v>
      </c>
      <c r="W419" s="38">
        <f t="shared" si="41"/>
        <v>4663.3113983221801</v>
      </c>
    </row>
    <row r="420" spans="1:23">
      <c r="A420" s="31" t="s">
        <v>780</v>
      </c>
      <c r="B420" s="32">
        <v>45663</v>
      </c>
      <c r="C420" s="32">
        <v>45615</v>
      </c>
      <c r="D420" s="31" t="s">
        <v>149</v>
      </c>
      <c r="E420" s="31" t="s">
        <v>150</v>
      </c>
      <c r="G420" s="31" t="s">
        <v>1197</v>
      </c>
      <c r="H420" s="31" t="s">
        <v>345</v>
      </c>
      <c r="I420" s="31" t="s">
        <v>346</v>
      </c>
      <c r="J420" s="34" t="str">
        <f t="shared" si="36"/>
        <v>SKU-</v>
      </c>
      <c r="K420" s="31" t="s">
        <v>98</v>
      </c>
      <c r="L420" s="52">
        <v>480</v>
      </c>
      <c r="M420" s="31" t="s">
        <v>1472</v>
      </c>
      <c r="N420" s="31" t="s">
        <v>11</v>
      </c>
      <c r="O420" s="53">
        <v>7.4157999999999999</v>
      </c>
      <c r="P420" s="35">
        <f t="shared" si="37"/>
        <v>3559.58</v>
      </c>
      <c r="Q420" s="36">
        <f t="shared" si="38"/>
        <v>7.3003400000000003</v>
      </c>
      <c r="R420" s="36">
        <f t="shared" si="39"/>
        <v>1.0158</v>
      </c>
      <c r="S420" s="37">
        <f t="shared" si="40"/>
        <v>487.58</v>
      </c>
      <c r="T420" s="36" t="s">
        <v>349</v>
      </c>
      <c r="U420" s="31" t="s">
        <v>2</v>
      </c>
      <c r="V420" s="57">
        <v>7.1879</v>
      </c>
      <c r="W420" s="38">
        <f t="shared" si="41"/>
        <v>495.21890955633774</v>
      </c>
    </row>
    <row r="421" spans="1:23">
      <c r="A421" s="31" t="s">
        <v>347</v>
      </c>
      <c r="B421" s="32">
        <v>45672</v>
      </c>
      <c r="C421" s="32">
        <v>45639</v>
      </c>
      <c r="D421" s="31" t="s">
        <v>149</v>
      </c>
      <c r="E421" s="31" t="s">
        <v>150</v>
      </c>
      <c r="G421" s="31" t="s">
        <v>348</v>
      </c>
      <c r="H421" s="31" t="s">
        <v>345</v>
      </c>
      <c r="I421" s="31" t="s">
        <v>346</v>
      </c>
      <c r="J421" s="34" t="str">
        <f t="shared" si="36"/>
        <v>SKU-</v>
      </c>
      <c r="K421" s="31" t="s">
        <v>98</v>
      </c>
      <c r="L421" s="52">
        <v>2400</v>
      </c>
      <c r="M421" s="31" t="s">
        <v>1472</v>
      </c>
      <c r="N421" s="31" t="s">
        <v>11</v>
      </c>
      <c r="O421" s="53">
        <v>7.4157999999999999</v>
      </c>
      <c r="P421" s="35">
        <f t="shared" si="37"/>
        <v>17797.919999999998</v>
      </c>
      <c r="Q421" s="36">
        <f t="shared" si="38"/>
        <v>7.3003400000000003</v>
      </c>
      <c r="R421" s="36">
        <f t="shared" si="39"/>
        <v>1.0158</v>
      </c>
      <c r="S421" s="37">
        <f t="shared" si="40"/>
        <v>2437.92</v>
      </c>
      <c r="T421" s="36" t="s">
        <v>349</v>
      </c>
      <c r="U421" s="31" t="s">
        <v>2</v>
      </c>
      <c r="V421" s="57">
        <v>7.1879</v>
      </c>
      <c r="W421" s="38">
        <f t="shared" si="41"/>
        <v>2476.0945477816886</v>
      </c>
    </row>
    <row r="422" spans="1:23">
      <c r="A422" s="31" t="s">
        <v>347</v>
      </c>
      <c r="B422" s="32">
        <v>45666</v>
      </c>
      <c r="C422" s="32">
        <v>45639</v>
      </c>
      <c r="D422" s="31" t="s">
        <v>149</v>
      </c>
      <c r="E422" s="31" t="s">
        <v>150</v>
      </c>
      <c r="G422" s="31" t="s">
        <v>757</v>
      </c>
      <c r="H422" s="31" t="s">
        <v>345</v>
      </c>
      <c r="I422" s="31" t="s">
        <v>346</v>
      </c>
      <c r="J422" s="34" t="str">
        <f t="shared" si="36"/>
        <v>SKU-</v>
      </c>
      <c r="K422" s="31" t="s">
        <v>98</v>
      </c>
      <c r="L422" s="52">
        <v>1920</v>
      </c>
      <c r="M422" s="31" t="s">
        <v>1472</v>
      </c>
      <c r="N422" s="31" t="s">
        <v>11</v>
      </c>
      <c r="O422" s="53">
        <v>7.4157999999999999</v>
      </c>
      <c r="P422" s="35">
        <f t="shared" si="37"/>
        <v>14238.34</v>
      </c>
      <c r="Q422" s="36">
        <f t="shared" si="38"/>
        <v>7.3003400000000003</v>
      </c>
      <c r="R422" s="36">
        <f t="shared" si="39"/>
        <v>1.0158</v>
      </c>
      <c r="S422" s="37">
        <f t="shared" si="40"/>
        <v>1950.34</v>
      </c>
      <c r="T422" s="36" t="s">
        <v>349</v>
      </c>
      <c r="U422" s="31" t="s">
        <v>2</v>
      </c>
      <c r="V422" s="57">
        <v>7.1879</v>
      </c>
      <c r="W422" s="38">
        <f t="shared" si="41"/>
        <v>1980.8756382253509</v>
      </c>
    </row>
    <row r="423" spans="1:23">
      <c r="A423" s="31" t="s">
        <v>347</v>
      </c>
      <c r="B423" s="32">
        <v>45666</v>
      </c>
      <c r="C423" s="32">
        <v>45639</v>
      </c>
      <c r="D423" s="31" t="s">
        <v>149</v>
      </c>
      <c r="E423" s="31" t="s">
        <v>150</v>
      </c>
      <c r="G423" s="31" t="s">
        <v>779</v>
      </c>
      <c r="H423" s="31" t="s">
        <v>345</v>
      </c>
      <c r="I423" s="31" t="s">
        <v>346</v>
      </c>
      <c r="J423" s="34" t="str">
        <f t="shared" si="36"/>
        <v>SKU-</v>
      </c>
      <c r="K423" s="31" t="s">
        <v>98</v>
      </c>
      <c r="L423" s="52">
        <v>680</v>
      </c>
      <c r="M423" s="31" t="s">
        <v>1472</v>
      </c>
      <c r="N423" s="31" t="s">
        <v>11</v>
      </c>
      <c r="O423" s="53">
        <v>7.4157999999999999</v>
      </c>
      <c r="P423" s="35">
        <f t="shared" si="37"/>
        <v>5042.74</v>
      </c>
      <c r="Q423" s="36">
        <f t="shared" si="38"/>
        <v>7.3003400000000003</v>
      </c>
      <c r="R423" s="36">
        <f t="shared" si="39"/>
        <v>1.0158</v>
      </c>
      <c r="S423" s="37">
        <f t="shared" si="40"/>
        <v>690.74</v>
      </c>
      <c r="T423" s="36" t="s">
        <v>349</v>
      </c>
      <c r="U423" s="31" t="s">
        <v>2</v>
      </c>
      <c r="V423" s="57">
        <v>7.1879</v>
      </c>
      <c r="W423" s="38">
        <f t="shared" si="41"/>
        <v>701.56012187147849</v>
      </c>
    </row>
    <row r="424" spans="1:23">
      <c r="A424" s="31" t="s">
        <v>705</v>
      </c>
      <c r="B424" s="32">
        <v>45667</v>
      </c>
      <c r="C424" s="32">
        <v>45639</v>
      </c>
      <c r="D424" s="31" t="s">
        <v>287</v>
      </c>
      <c r="E424" s="31" t="s">
        <v>288</v>
      </c>
      <c r="G424" s="31" t="s">
        <v>706</v>
      </c>
      <c r="H424" s="31" t="s">
        <v>703</v>
      </c>
      <c r="I424" s="31" t="s">
        <v>704</v>
      </c>
      <c r="J424" s="34" t="str">
        <f t="shared" si="36"/>
        <v>ANYD</v>
      </c>
      <c r="K424" s="31" t="s">
        <v>10</v>
      </c>
      <c r="L424" s="52">
        <v>86</v>
      </c>
      <c r="M424" s="31" t="s">
        <v>1472</v>
      </c>
      <c r="N424" s="31" t="s">
        <v>11</v>
      </c>
      <c r="O424" s="53">
        <v>7.4237000000000002</v>
      </c>
      <c r="P424" s="35">
        <f t="shared" si="37"/>
        <v>638.44000000000005</v>
      </c>
      <c r="Q424" s="36">
        <f t="shared" si="38"/>
        <v>7.3003400000000003</v>
      </c>
      <c r="R424" s="36">
        <f t="shared" si="39"/>
        <v>1.0168999999999999</v>
      </c>
      <c r="S424" s="37">
        <f t="shared" si="40"/>
        <v>87.45</v>
      </c>
      <c r="T424" s="36" t="s">
        <v>349</v>
      </c>
      <c r="U424" s="31" t="s">
        <v>36</v>
      </c>
      <c r="V424" s="57">
        <v>7.1879</v>
      </c>
      <c r="W424" s="38">
        <f t="shared" si="41"/>
        <v>88.821241252660727</v>
      </c>
    </row>
    <row r="425" spans="1:23">
      <c r="A425" s="31" t="s">
        <v>705</v>
      </c>
      <c r="B425" s="32">
        <v>45666</v>
      </c>
      <c r="C425" s="32">
        <v>45639</v>
      </c>
      <c r="D425" s="31" t="s">
        <v>287</v>
      </c>
      <c r="E425" s="31" t="s">
        <v>288</v>
      </c>
      <c r="G425" s="31" t="s">
        <v>837</v>
      </c>
      <c r="H425" s="31" t="s">
        <v>703</v>
      </c>
      <c r="I425" s="31" t="s">
        <v>704</v>
      </c>
      <c r="J425" s="34" t="str">
        <f t="shared" si="36"/>
        <v>ANYD</v>
      </c>
      <c r="K425" s="31" t="s">
        <v>10</v>
      </c>
      <c r="L425" s="52">
        <v>314</v>
      </c>
      <c r="M425" s="31" t="s">
        <v>1472</v>
      </c>
      <c r="N425" s="31" t="s">
        <v>11</v>
      </c>
      <c r="O425" s="53">
        <v>7.4237000000000002</v>
      </c>
      <c r="P425" s="35">
        <f t="shared" si="37"/>
        <v>2331.04</v>
      </c>
      <c r="Q425" s="36">
        <f t="shared" si="38"/>
        <v>7.3003400000000003</v>
      </c>
      <c r="R425" s="36">
        <f t="shared" si="39"/>
        <v>1.0168999999999999</v>
      </c>
      <c r="S425" s="37">
        <f t="shared" si="40"/>
        <v>319.31</v>
      </c>
      <c r="T425" s="36" t="s">
        <v>349</v>
      </c>
      <c r="U425" s="31" t="s">
        <v>36</v>
      </c>
      <c r="V425" s="57">
        <v>7.1879</v>
      </c>
      <c r="W425" s="38">
        <f t="shared" si="41"/>
        <v>324.30081108529617</v>
      </c>
    </row>
    <row r="426" spans="1:23">
      <c r="A426" s="31" t="s">
        <v>705</v>
      </c>
      <c r="B426" s="32">
        <v>45665</v>
      </c>
      <c r="C426" s="32">
        <v>45639</v>
      </c>
      <c r="D426" s="31" t="s">
        <v>287</v>
      </c>
      <c r="E426" s="31" t="s">
        <v>288</v>
      </c>
      <c r="G426" s="31" t="s">
        <v>938</v>
      </c>
      <c r="H426" s="31" t="s">
        <v>703</v>
      </c>
      <c r="I426" s="31" t="s">
        <v>704</v>
      </c>
      <c r="J426" s="34" t="str">
        <f t="shared" si="36"/>
        <v>ANYD</v>
      </c>
      <c r="K426" s="31" t="s">
        <v>10</v>
      </c>
      <c r="L426" s="52">
        <v>2100</v>
      </c>
      <c r="M426" s="31" t="s">
        <v>1472</v>
      </c>
      <c r="N426" s="31" t="s">
        <v>11</v>
      </c>
      <c r="O426" s="53">
        <v>7.4237000000000002</v>
      </c>
      <c r="P426" s="35">
        <f t="shared" si="37"/>
        <v>15589.77</v>
      </c>
      <c r="Q426" s="36">
        <f t="shared" si="38"/>
        <v>7.3003400000000003</v>
      </c>
      <c r="R426" s="36">
        <f t="shared" si="39"/>
        <v>1.0168999999999999</v>
      </c>
      <c r="S426" s="37">
        <f t="shared" si="40"/>
        <v>2135.4899999999998</v>
      </c>
      <c r="T426" s="36" t="s">
        <v>349</v>
      </c>
      <c r="U426" s="31" t="s">
        <v>36</v>
      </c>
      <c r="V426" s="57">
        <v>7.1879</v>
      </c>
      <c r="W426" s="38">
        <f t="shared" si="41"/>
        <v>2168.8907747742737</v>
      </c>
    </row>
    <row r="427" spans="1:23">
      <c r="A427" s="31" t="s">
        <v>937</v>
      </c>
      <c r="B427" s="32">
        <v>45665</v>
      </c>
      <c r="C427" s="32">
        <v>45639</v>
      </c>
      <c r="D427" s="31" t="s">
        <v>287</v>
      </c>
      <c r="E427" s="31" t="s">
        <v>288</v>
      </c>
      <c r="G427" s="31" t="s">
        <v>938</v>
      </c>
      <c r="H427" s="31" t="s">
        <v>935</v>
      </c>
      <c r="I427" s="31" t="s">
        <v>936</v>
      </c>
      <c r="J427" s="34" t="str">
        <f t="shared" si="36"/>
        <v>ANYD</v>
      </c>
      <c r="K427" s="31" t="s">
        <v>10</v>
      </c>
      <c r="L427" s="52">
        <v>2100</v>
      </c>
      <c r="M427" s="31" t="s">
        <v>1472</v>
      </c>
      <c r="N427" s="31" t="s">
        <v>11</v>
      </c>
      <c r="O427" s="53">
        <v>7.4237000000000002</v>
      </c>
      <c r="P427" s="35">
        <f t="shared" si="37"/>
        <v>15589.77</v>
      </c>
      <c r="Q427" s="36">
        <f t="shared" si="38"/>
        <v>7.3003400000000003</v>
      </c>
      <c r="R427" s="36">
        <f t="shared" si="39"/>
        <v>1.0168999999999999</v>
      </c>
      <c r="S427" s="37">
        <f t="shared" si="40"/>
        <v>2135.4899999999998</v>
      </c>
      <c r="T427" s="36" t="s">
        <v>349</v>
      </c>
      <c r="U427" s="31" t="s">
        <v>36</v>
      </c>
      <c r="V427" s="57">
        <v>7.1879</v>
      </c>
      <c r="W427" s="38">
        <f t="shared" si="41"/>
        <v>2168.8907747742737</v>
      </c>
    </row>
    <row r="428" spans="1:23">
      <c r="A428" s="31" t="s">
        <v>123</v>
      </c>
      <c r="B428" s="32">
        <v>45677</v>
      </c>
      <c r="C428" s="32">
        <v>45672</v>
      </c>
      <c r="D428" s="31" t="s">
        <v>121</v>
      </c>
      <c r="E428" s="31" t="s">
        <v>122</v>
      </c>
      <c r="G428" s="31" t="s">
        <v>124</v>
      </c>
      <c r="H428" s="31" t="s">
        <v>119</v>
      </c>
      <c r="I428" s="31" t="s">
        <v>120</v>
      </c>
      <c r="J428" s="34" t="str">
        <f t="shared" si="36"/>
        <v>LHDL</v>
      </c>
      <c r="K428" s="31" t="s">
        <v>10</v>
      </c>
      <c r="L428" s="52">
        <v>32</v>
      </c>
      <c r="M428" s="31" t="s">
        <v>1472</v>
      </c>
      <c r="N428" s="31" t="s">
        <v>11</v>
      </c>
      <c r="O428" s="53">
        <v>7.4566999999999997</v>
      </c>
      <c r="P428" s="35">
        <f t="shared" si="37"/>
        <v>238.61</v>
      </c>
      <c r="Q428" s="36">
        <f t="shared" si="38"/>
        <v>7.3003400000000003</v>
      </c>
      <c r="R428" s="36">
        <f t="shared" si="39"/>
        <v>1.0214000000000001</v>
      </c>
      <c r="S428" s="37">
        <f t="shared" si="40"/>
        <v>32.68</v>
      </c>
      <c r="T428" s="36" t="s">
        <v>349</v>
      </c>
      <c r="U428" s="31" t="s">
        <v>125</v>
      </c>
      <c r="V428" s="57">
        <v>7.1879</v>
      </c>
      <c r="W428" s="38">
        <f t="shared" si="41"/>
        <v>33.196677750107817</v>
      </c>
    </row>
    <row r="429" spans="1:23">
      <c r="A429" s="31" t="s">
        <v>482</v>
      </c>
      <c r="B429" s="32">
        <v>45670</v>
      </c>
      <c r="C429" s="32">
        <v>45663</v>
      </c>
      <c r="D429" s="31" t="s">
        <v>5</v>
      </c>
      <c r="E429" s="31" t="s">
        <v>6</v>
      </c>
      <c r="G429" s="31" t="s">
        <v>458</v>
      </c>
      <c r="H429" s="31" t="s">
        <v>480</v>
      </c>
      <c r="I429" s="31" t="s">
        <v>481</v>
      </c>
      <c r="J429" s="34" t="str">
        <f t="shared" si="36"/>
        <v>BOX-</v>
      </c>
      <c r="K429" s="31" t="s">
        <v>10</v>
      </c>
      <c r="L429" s="52">
        <v>1010</v>
      </c>
      <c r="M429" s="31" t="s">
        <v>1472</v>
      </c>
      <c r="N429" s="31" t="s">
        <v>11</v>
      </c>
      <c r="O429" s="53">
        <v>7.6</v>
      </c>
      <c r="P429" s="35">
        <f t="shared" si="37"/>
        <v>7676</v>
      </c>
      <c r="Q429" s="36">
        <f t="shared" si="38"/>
        <v>7.3003400000000003</v>
      </c>
      <c r="R429" s="36">
        <f t="shared" si="39"/>
        <v>1.0409999999999999</v>
      </c>
      <c r="S429" s="37">
        <f t="shared" si="40"/>
        <v>1051.4100000000001</v>
      </c>
      <c r="T429" s="36" t="s">
        <v>349</v>
      </c>
      <c r="U429" s="31" t="s">
        <v>1</v>
      </c>
      <c r="V429" s="57">
        <v>7.1879</v>
      </c>
      <c r="W429" s="38">
        <f t="shared" si="41"/>
        <v>1067.9057861127728</v>
      </c>
    </row>
    <row r="430" spans="1:23">
      <c r="A430" s="31" t="s">
        <v>975</v>
      </c>
      <c r="B430" s="32">
        <v>45664</v>
      </c>
      <c r="C430" s="32">
        <v>45622</v>
      </c>
      <c r="D430" s="31" t="s">
        <v>121</v>
      </c>
      <c r="E430" s="31" t="s">
        <v>122</v>
      </c>
      <c r="G430" s="31" t="s">
        <v>972</v>
      </c>
      <c r="H430" s="31" t="s">
        <v>973</v>
      </c>
      <c r="I430" s="31" t="s">
        <v>974</v>
      </c>
      <c r="J430" s="34" t="str">
        <f t="shared" si="36"/>
        <v>HDL-</v>
      </c>
      <c r="K430" s="31" t="s">
        <v>10</v>
      </c>
      <c r="L430" s="52">
        <v>1000</v>
      </c>
      <c r="M430" s="31" t="s">
        <v>1472</v>
      </c>
      <c r="N430" s="31" t="s">
        <v>11</v>
      </c>
      <c r="O430" s="53">
        <v>7.6571999999999996</v>
      </c>
      <c r="P430" s="35">
        <f t="shared" si="37"/>
        <v>7657.2</v>
      </c>
      <c r="Q430" s="36">
        <f t="shared" si="38"/>
        <v>7.3003400000000003</v>
      </c>
      <c r="R430" s="36">
        <f t="shared" si="39"/>
        <v>1.0488999999999999</v>
      </c>
      <c r="S430" s="37">
        <f t="shared" si="40"/>
        <v>1048.9000000000001</v>
      </c>
      <c r="T430" s="36" t="s">
        <v>349</v>
      </c>
      <c r="U430" s="31" t="s">
        <v>228</v>
      </c>
      <c r="V430" s="57">
        <v>7.1879</v>
      </c>
      <c r="W430" s="38">
        <f t="shared" si="41"/>
        <v>1065.2902794974889</v>
      </c>
    </row>
    <row r="431" spans="1:23">
      <c r="A431" s="31" t="s">
        <v>389</v>
      </c>
      <c r="B431" s="32">
        <v>45670</v>
      </c>
      <c r="C431" s="32">
        <v>45663</v>
      </c>
      <c r="D431" s="31" t="s">
        <v>5</v>
      </c>
      <c r="E431" s="31" t="s">
        <v>6</v>
      </c>
      <c r="G431" s="31" t="s">
        <v>383</v>
      </c>
      <c r="H431" s="31" t="s">
        <v>387</v>
      </c>
      <c r="I431" s="31" t="s">
        <v>388</v>
      </c>
      <c r="J431" s="34" t="str">
        <f t="shared" si="36"/>
        <v>BOX-</v>
      </c>
      <c r="K431" s="31" t="s">
        <v>10</v>
      </c>
      <c r="L431" s="52">
        <v>1510</v>
      </c>
      <c r="M431" s="31" t="s">
        <v>1472</v>
      </c>
      <c r="N431" s="31" t="s">
        <v>11</v>
      </c>
      <c r="O431" s="53">
        <v>7.75</v>
      </c>
      <c r="P431" s="35">
        <f t="shared" si="37"/>
        <v>11702.5</v>
      </c>
      <c r="Q431" s="36">
        <f t="shared" si="38"/>
        <v>7.3003400000000003</v>
      </c>
      <c r="R431" s="36">
        <f t="shared" si="39"/>
        <v>1.0616000000000001</v>
      </c>
      <c r="S431" s="37">
        <f t="shared" si="40"/>
        <v>1603.02</v>
      </c>
      <c r="T431" s="36" t="s">
        <v>349</v>
      </c>
      <c r="U431" s="31" t="s">
        <v>1</v>
      </c>
      <c r="V431" s="57">
        <v>7.1879</v>
      </c>
      <c r="W431" s="38">
        <f t="shared" si="41"/>
        <v>1628.0833066681505</v>
      </c>
    </row>
    <row r="432" spans="1:23">
      <c r="A432" s="31" t="s">
        <v>934</v>
      </c>
      <c r="B432" s="32">
        <v>45665</v>
      </c>
      <c r="C432" s="32">
        <v>45609</v>
      </c>
      <c r="D432" s="31" t="s">
        <v>830</v>
      </c>
      <c r="E432" s="31" t="s">
        <v>831</v>
      </c>
      <c r="G432" s="31" t="s">
        <v>931</v>
      </c>
      <c r="H432" s="31" t="s">
        <v>932</v>
      </c>
      <c r="I432" s="31" t="s">
        <v>933</v>
      </c>
      <c r="J432" s="34" t="str">
        <f t="shared" si="36"/>
        <v>LID-</v>
      </c>
      <c r="K432" s="31" t="s">
        <v>369</v>
      </c>
      <c r="L432" s="52">
        <v>730</v>
      </c>
      <c r="M432" s="31" t="s">
        <v>1472</v>
      </c>
      <c r="N432" s="31" t="s">
        <v>11</v>
      </c>
      <c r="O432" s="53">
        <v>7.8</v>
      </c>
      <c r="P432" s="35">
        <f t="shared" si="37"/>
        <v>5694</v>
      </c>
      <c r="Q432" s="36">
        <f t="shared" si="38"/>
        <v>7.3003400000000003</v>
      </c>
      <c r="R432" s="36">
        <f t="shared" si="39"/>
        <v>1.0684</v>
      </c>
      <c r="S432" s="37">
        <f t="shared" si="40"/>
        <v>779.93</v>
      </c>
      <c r="T432" s="36" t="s">
        <v>349</v>
      </c>
      <c r="U432" s="31" t="s">
        <v>368</v>
      </c>
      <c r="V432" s="57">
        <v>7.1879</v>
      </c>
      <c r="W432" s="38">
        <f t="shared" si="41"/>
        <v>792.16460996953208</v>
      </c>
    </row>
    <row r="433" spans="1:23">
      <c r="A433" s="31" t="s">
        <v>930</v>
      </c>
      <c r="B433" s="32">
        <v>45665</v>
      </c>
      <c r="C433" s="32">
        <v>45609</v>
      </c>
      <c r="D433" s="31" t="s">
        <v>830</v>
      </c>
      <c r="E433" s="31" t="s">
        <v>831</v>
      </c>
      <c r="G433" s="31" t="s">
        <v>931</v>
      </c>
      <c r="H433" s="31" t="s">
        <v>928</v>
      </c>
      <c r="I433" s="31" t="s">
        <v>929</v>
      </c>
      <c r="J433" s="34" t="str">
        <f t="shared" si="36"/>
        <v>LID-</v>
      </c>
      <c r="K433" s="31" t="s">
        <v>369</v>
      </c>
      <c r="L433" s="52">
        <v>1330</v>
      </c>
      <c r="M433" s="31" t="s">
        <v>1472</v>
      </c>
      <c r="N433" s="31" t="s">
        <v>11</v>
      </c>
      <c r="O433" s="53">
        <v>7.8</v>
      </c>
      <c r="P433" s="35">
        <f t="shared" si="37"/>
        <v>10374</v>
      </c>
      <c r="Q433" s="36">
        <f t="shared" si="38"/>
        <v>7.3003400000000003</v>
      </c>
      <c r="R433" s="36">
        <f t="shared" si="39"/>
        <v>1.0684</v>
      </c>
      <c r="S433" s="37">
        <f t="shared" si="40"/>
        <v>1420.97</v>
      </c>
      <c r="T433" s="36" t="s">
        <v>349</v>
      </c>
      <c r="U433" s="31" t="s">
        <v>368</v>
      </c>
      <c r="V433" s="57">
        <v>7.1879</v>
      </c>
      <c r="W433" s="38">
        <f t="shared" si="41"/>
        <v>1443.2588099444899</v>
      </c>
    </row>
    <row r="434" spans="1:23">
      <c r="A434" s="31" t="s">
        <v>485</v>
      </c>
      <c r="B434" s="32">
        <v>45670</v>
      </c>
      <c r="C434" s="32">
        <v>45663</v>
      </c>
      <c r="D434" s="31" t="s">
        <v>5</v>
      </c>
      <c r="E434" s="31" t="s">
        <v>6</v>
      </c>
      <c r="G434" s="31" t="s">
        <v>458</v>
      </c>
      <c r="H434" s="31" t="s">
        <v>483</v>
      </c>
      <c r="I434" s="31" t="s">
        <v>484</v>
      </c>
      <c r="J434" s="34" t="str">
        <f t="shared" si="36"/>
        <v>BOX-</v>
      </c>
      <c r="K434" s="31" t="s">
        <v>10</v>
      </c>
      <c r="L434" s="52">
        <v>1010</v>
      </c>
      <c r="M434" s="31" t="s">
        <v>1472</v>
      </c>
      <c r="N434" s="31" t="s">
        <v>11</v>
      </c>
      <c r="O434" s="53">
        <v>7.86</v>
      </c>
      <c r="P434" s="35">
        <f t="shared" si="37"/>
        <v>7938.6</v>
      </c>
      <c r="Q434" s="36">
        <f t="shared" si="38"/>
        <v>7.3003400000000003</v>
      </c>
      <c r="R434" s="36">
        <f t="shared" si="39"/>
        <v>1.0767</v>
      </c>
      <c r="S434" s="37">
        <f t="shared" si="40"/>
        <v>1087.47</v>
      </c>
      <c r="T434" s="36" t="s">
        <v>349</v>
      </c>
      <c r="U434" s="31" t="s">
        <v>1</v>
      </c>
      <c r="V434" s="57">
        <v>7.1879</v>
      </c>
      <c r="W434" s="38">
        <f t="shared" si="41"/>
        <v>1104.4394051113677</v>
      </c>
    </row>
    <row r="435" spans="1:23">
      <c r="A435" s="31" t="s">
        <v>479</v>
      </c>
      <c r="B435" s="32">
        <v>45670</v>
      </c>
      <c r="C435" s="32">
        <v>45663</v>
      </c>
      <c r="D435" s="31" t="s">
        <v>5</v>
      </c>
      <c r="E435" s="31" t="s">
        <v>6</v>
      </c>
      <c r="G435" s="31" t="s">
        <v>458</v>
      </c>
      <c r="H435" s="31" t="s">
        <v>477</v>
      </c>
      <c r="I435" s="31" t="s">
        <v>478</v>
      </c>
      <c r="J435" s="34" t="str">
        <f t="shared" si="36"/>
        <v>BOX-</v>
      </c>
      <c r="K435" s="31" t="s">
        <v>10</v>
      </c>
      <c r="L435" s="52">
        <v>1010</v>
      </c>
      <c r="M435" s="31" t="s">
        <v>1472</v>
      </c>
      <c r="N435" s="31" t="s">
        <v>11</v>
      </c>
      <c r="O435" s="53">
        <v>7.87</v>
      </c>
      <c r="P435" s="35">
        <f t="shared" si="37"/>
        <v>7948.7</v>
      </c>
      <c r="Q435" s="36">
        <f t="shared" si="38"/>
        <v>7.3003400000000003</v>
      </c>
      <c r="R435" s="36">
        <f t="shared" si="39"/>
        <v>1.0780000000000001</v>
      </c>
      <c r="S435" s="37">
        <f t="shared" si="40"/>
        <v>1088.78</v>
      </c>
      <c r="T435" s="36" t="s">
        <v>349</v>
      </c>
      <c r="U435" s="31" t="s">
        <v>1</v>
      </c>
      <c r="V435" s="57">
        <v>7.1879</v>
      </c>
      <c r="W435" s="38">
        <f t="shared" si="41"/>
        <v>1105.8445443036214</v>
      </c>
    </row>
    <row r="436" spans="1:23">
      <c r="A436" s="31" t="s">
        <v>856</v>
      </c>
      <c r="B436" s="32">
        <v>45666</v>
      </c>
      <c r="C436" s="32">
        <v>45638</v>
      </c>
      <c r="D436" s="31" t="s">
        <v>287</v>
      </c>
      <c r="E436" s="31" t="s">
        <v>288</v>
      </c>
      <c r="G436" s="31" t="s">
        <v>841</v>
      </c>
      <c r="H436" s="31" t="s">
        <v>854</v>
      </c>
      <c r="I436" s="31" t="s">
        <v>855</v>
      </c>
      <c r="J436" s="34" t="str">
        <f t="shared" si="36"/>
        <v>GLID</v>
      </c>
      <c r="K436" s="31" t="s">
        <v>10</v>
      </c>
      <c r="L436" s="52">
        <v>340</v>
      </c>
      <c r="M436" s="31" t="s">
        <v>1472</v>
      </c>
      <c r="N436" s="31" t="s">
        <v>11</v>
      </c>
      <c r="O436" s="53">
        <v>7.9870000000000001</v>
      </c>
      <c r="P436" s="35">
        <f t="shared" si="37"/>
        <v>2715.58</v>
      </c>
      <c r="Q436" s="36">
        <f t="shared" si="38"/>
        <v>7.3003400000000003</v>
      </c>
      <c r="R436" s="36">
        <f t="shared" si="39"/>
        <v>1.0941000000000001</v>
      </c>
      <c r="S436" s="37">
        <f t="shared" si="40"/>
        <v>371.99</v>
      </c>
      <c r="T436" s="36" t="s">
        <v>349</v>
      </c>
      <c r="U436" s="31" t="s">
        <v>78</v>
      </c>
      <c r="V436" s="57">
        <v>7.1879</v>
      </c>
      <c r="W436" s="38">
        <f t="shared" si="41"/>
        <v>377.79880076239237</v>
      </c>
    </row>
    <row r="437" spans="1:23">
      <c r="A437" s="31" t="s">
        <v>856</v>
      </c>
      <c r="B437" s="32">
        <v>45664</v>
      </c>
      <c r="C437" s="32">
        <v>45638</v>
      </c>
      <c r="D437" s="31" t="s">
        <v>287</v>
      </c>
      <c r="E437" s="31" t="s">
        <v>288</v>
      </c>
      <c r="G437" s="31" t="s">
        <v>988</v>
      </c>
      <c r="H437" s="31" t="s">
        <v>854</v>
      </c>
      <c r="I437" s="31" t="s">
        <v>855</v>
      </c>
      <c r="J437" s="34" t="str">
        <f t="shared" si="36"/>
        <v>GLID</v>
      </c>
      <c r="K437" s="31" t="s">
        <v>10</v>
      </c>
      <c r="L437" s="52">
        <v>4060</v>
      </c>
      <c r="M437" s="31" t="s">
        <v>1472</v>
      </c>
      <c r="N437" s="31" t="s">
        <v>11</v>
      </c>
      <c r="O437" s="53">
        <v>7.9870000000000001</v>
      </c>
      <c r="P437" s="35">
        <f t="shared" si="37"/>
        <v>32427.22</v>
      </c>
      <c r="Q437" s="36">
        <f t="shared" si="38"/>
        <v>7.3003400000000003</v>
      </c>
      <c r="R437" s="36">
        <f t="shared" si="39"/>
        <v>1.0941000000000001</v>
      </c>
      <c r="S437" s="37">
        <f t="shared" si="40"/>
        <v>4442.05</v>
      </c>
      <c r="T437" s="36" t="s">
        <v>349</v>
      </c>
      <c r="U437" s="31" t="s">
        <v>78</v>
      </c>
      <c r="V437" s="57">
        <v>7.1879</v>
      </c>
      <c r="W437" s="38">
        <f t="shared" si="41"/>
        <v>4511.3621502803326</v>
      </c>
    </row>
    <row r="438" spans="1:23">
      <c r="A438" s="31" t="s">
        <v>853</v>
      </c>
      <c r="B438" s="32">
        <v>45666</v>
      </c>
      <c r="C438" s="32">
        <v>45638</v>
      </c>
      <c r="D438" s="31" t="s">
        <v>287</v>
      </c>
      <c r="E438" s="31" t="s">
        <v>288</v>
      </c>
      <c r="G438" s="31" t="s">
        <v>841</v>
      </c>
      <c r="H438" s="31" t="s">
        <v>851</v>
      </c>
      <c r="I438" s="31" t="s">
        <v>852</v>
      </c>
      <c r="J438" s="34" t="str">
        <f t="shared" si="36"/>
        <v>GLID</v>
      </c>
      <c r="K438" s="31" t="s">
        <v>10</v>
      </c>
      <c r="L438" s="52">
        <v>480</v>
      </c>
      <c r="M438" s="31" t="s">
        <v>1472</v>
      </c>
      <c r="N438" s="31" t="s">
        <v>11</v>
      </c>
      <c r="O438" s="53">
        <v>7.9870000000000001</v>
      </c>
      <c r="P438" s="35">
        <f t="shared" si="37"/>
        <v>3833.76</v>
      </c>
      <c r="Q438" s="36">
        <f t="shared" si="38"/>
        <v>7.3003400000000003</v>
      </c>
      <c r="R438" s="36">
        <f t="shared" si="39"/>
        <v>1.0941000000000001</v>
      </c>
      <c r="S438" s="37">
        <f t="shared" si="40"/>
        <v>525.16999999999996</v>
      </c>
      <c r="T438" s="36" t="s">
        <v>349</v>
      </c>
      <c r="U438" s="31" t="s">
        <v>78</v>
      </c>
      <c r="V438" s="57">
        <v>7.1879</v>
      </c>
      <c r="W438" s="38">
        <f t="shared" si="41"/>
        <v>533.36301284102456</v>
      </c>
    </row>
    <row r="439" spans="1:23">
      <c r="A439" s="31" t="s">
        <v>853</v>
      </c>
      <c r="B439" s="32">
        <v>45663</v>
      </c>
      <c r="C439" s="32">
        <v>45638</v>
      </c>
      <c r="D439" s="31" t="s">
        <v>287</v>
      </c>
      <c r="E439" s="31" t="s">
        <v>288</v>
      </c>
      <c r="G439" s="31" t="s">
        <v>1275</v>
      </c>
      <c r="H439" s="31" t="s">
        <v>851</v>
      </c>
      <c r="I439" s="31" t="s">
        <v>852</v>
      </c>
      <c r="J439" s="34" t="str">
        <f t="shared" si="36"/>
        <v>GLID</v>
      </c>
      <c r="K439" s="31" t="s">
        <v>10</v>
      </c>
      <c r="L439" s="52">
        <v>3920</v>
      </c>
      <c r="M439" s="31" t="s">
        <v>1472</v>
      </c>
      <c r="N439" s="31" t="s">
        <v>11</v>
      </c>
      <c r="O439" s="53">
        <v>7.9870000000000001</v>
      </c>
      <c r="P439" s="35">
        <f t="shared" si="37"/>
        <v>31309.040000000001</v>
      </c>
      <c r="Q439" s="36">
        <f t="shared" si="38"/>
        <v>7.3003400000000003</v>
      </c>
      <c r="R439" s="36">
        <f t="shared" si="39"/>
        <v>1.0941000000000001</v>
      </c>
      <c r="S439" s="37">
        <f t="shared" si="40"/>
        <v>4288.87</v>
      </c>
      <c r="T439" s="36" t="s">
        <v>349</v>
      </c>
      <c r="U439" s="31" t="s">
        <v>78</v>
      </c>
      <c r="V439" s="57">
        <v>7.1879</v>
      </c>
      <c r="W439" s="38">
        <f t="shared" si="41"/>
        <v>4355.7979382017002</v>
      </c>
    </row>
    <row r="440" spans="1:23">
      <c r="A440" s="31" t="s">
        <v>882</v>
      </c>
      <c r="B440" s="32">
        <v>45666</v>
      </c>
      <c r="C440" s="32">
        <v>45287</v>
      </c>
      <c r="D440" s="31" t="s">
        <v>866</v>
      </c>
      <c r="E440" s="31" t="s">
        <v>867</v>
      </c>
      <c r="G440" s="31" t="s">
        <v>873</v>
      </c>
      <c r="H440" s="31" t="s">
        <v>880</v>
      </c>
      <c r="I440" s="31" t="s">
        <v>881</v>
      </c>
      <c r="J440" s="34" t="str">
        <f t="shared" si="36"/>
        <v>ANYD</v>
      </c>
      <c r="K440" s="31" t="s">
        <v>10</v>
      </c>
      <c r="L440" s="52">
        <v>2000</v>
      </c>
      <c r="M440" s="31" t="s">
        <v>1472</v>
      </c>
      <c r="N440" s="31" t="s">
        <v>11</v>
      </c>
      <c r="O440" s="53">
        <v>8.1858000000000004</v>
      </c>
      <c r="P440" s="35">
        <f t="shared" si="37"/>
        <v>16371.6</v>
      </c>
      <c r="Q440" s="36">
        <f t="shared" si="38"/>
        <v>7.3003400000000003</v>
      </c>
      <c r="R440" s="36">
        <f t="shared" si="39"/>
        <v>1.1213</v>
      </c>
      <c r="S440" s="37">
        <f t="shared" si="40"/>
        <v>2242.6</v>
      </c>
      <c r="T440" s="36" t="s">
        <v>349</v>
      </c>
      <c r="U440" s="31" t="s">
        <v>36</v>
      </c>
      <c r="V440" s="57">
        <v>7.1879</v>
      </c>
      <c r="W440" s="38">
        <f t="shared" si="41"/>
        <v>2277.661069297013</v>
      </c>
    </row>
    <row r="441" spans="1:23">
      <c r="A441" s="31" t="s">
        <v>464</v>
      </c>
      <c r="B441" s="32">
        <v>45670</v>
      </c>
      <c r="C441" s="32">
        <v>45663</v>
      </c>
      <c r="D441" s="31" t="s">
        <v>5</v>
      </c>
      <c r="E441" s="31" t="s">
        <v>6</v>
      </c>
      <c r="G441" s="31" t="s">
        <v>458</v>
      </c>
      <c r="H441" s="31" t="s">
        <v>462</v>
      </c>
      <c r="I441" s="31" t="s">
        <v>463</v>
      </c>
      <c r="J441" s="34" t="str">
        <f t="shared" si="36"/>
        <v>BOX-</v>
      </c>
      <c r="K441" s="31" t="s">
        <v>10</v>
      </c>
      <c r="L441" s="52">
        <v>1010</v>
      </c>
      <c r="M441" s="31" t="s">
        <v>1472</v>
      </c>
      <c r="N441" s="31" t="s">
        <v>11</v>
      </c>
      <c r="O441" s="53">
        <v>8.59</v>
      </c>
      <c r="P441" s="35">
        <f t="shared" si="37"/>
        <v>8675.9</v>
      </c>
      <c r="Q441" s="36">
        <f t="shared" si="38"/>
        <v>7.3003400000000003</v>
      </c>
      <c r="R441" s="36">
        <f t="shared" si="39"/>
        <v>1.1767000000000001</v>
      </c>
      <c r="S441" s="37">
        <f t="shared" si="40"/>
        <v>1188.47</v>
      </c>
      <c r="T441" s="36" t="s">
        <v>349</v>
      </c>
      <c r="U441" s="31" t="s">
        <v>1</v>
      </c>
      <c r="V441" s="57">
        <v>7.1879</v>
      </c>
      <c r="W441" s="38">
        <f t="shared" si="41"/>
        <v>1207.0145661458839</v>
      </c>
    </row>
    <row r="442" spans="1:23">
      <c r="A442" s="31" t="s">
        <v>258</v>
      </c>
      <c r="B442" s="32">
        <v>45673</v>
      </c>
      <c r="C442" s="32">
        <v>45639</v>
      </c>
      <c r="D442" s="31" t="s">
        <v>252</v>
      </c>
      <c r="E442" s="31" t="s">
        <v>253</v>
      </c>
      <c r="G442" s="31" t="s">
        <v>255</v>
      </c>
      <c r="H442" s="31" t="s">
        <v>256</v>
      </c>
      <c r="I442" s="31" t="s">
        <v>257</v>
      </c>
      <c r="J442" s="34" t="str">
        <f t="shared" si="36"/>
        <v>GLID</v>
      </c>
      <c r="K442" s="31" t="s">
        <v>10</v>
      </c>
      <c r="L442" s="52">
        <v>300</v>
      </c>
      <c r="M442" s="31" t="s">
        <v>1472</v>
      </c>
      <c r="N442" s="31" t="s">
        <v>11</v>
      </c>
      <c r="O442" s="53">
        <v>8.6329999999999991</v>
      </c>
      <c r="P442" s="35">
        <f t="shared" si="37"/>
        <v>2589.9</v>
      </c>
      <c r="Q442" s="36">
        <f t="shared" si="38"/>
        <v>7.3003400000000003</v>
      </c>
      <c r="R442" s="36">
        <f t="shared" si="39"/>
        <v>1.1825000000000001</v>
      </c>
      <c r="S442" s="37">
        <f t="shared" si="40"/>
        <v>354.75</v>
      </c>
      <c r="T442" s="36" t="s">
        <v>349</v>
      </c>
      <c r="U442" s="31" t="s">
        <v>78</v>
      </c>
      <c r="V442" s="57">
        <v>7.1879</v>
      </c>
      <c r="W442" s="38">
        <f t="shared" si="41"/>
        <v>360.31386079383407</v>
      </c>
    </row>
    <row r="443" spans="1:23">
      <c r="A443" s="31" t="s">
        <v>850</v>
      </c>
      <c r="B443" s="32">
        <v>45666</v>
      </c>
      <c r="C443" s="32">
        <v>45638</v>
      </c>
      <c r="D443" s="31" t="s">
        <v>287</v>
      </c>
      <c r="E443" s="31" t="s">
        <v>288</v>
      </c>
      <c r="G443" s="31" t="s">
        <v>841</v>
      </c>
      <c r="H443" s="31" t="s">
        <v>848</v>
      </c>
      <c r="I443" s="31" t="s">
        <v>849</v>
      </c>
      <c r="J443" s="34" t="str">
        <f t="shared" si="36"/>
        <v>GLID</v>
      </c>
      <c r="K443" s="31" t="s">
        <v>10</v>
      </c>
      <c r="L443" s="52">
        <v>409</v>
      </c>
      <c r="M443" s="31" t="s">
        <v>1472</v>
      </c>
      <c r="N443" s="31" t="s">
        <v>11</v>
      </c>
      <c r="O443" s="53">
        <v>8.6631999999999998</v>
      </c>
      <c r="P443" s="35">
        <f t="shared" si="37"/>
        <v>3543.25</v>
      </c>
      <c r="Q443" s="36">
        <f t="shared" si="38"/>
        <v>7.3003400000000003</v>
      </c>
      <c r="R443" s="36">
        <f t="shared" si="39"/>
        <v>1.1867000000000001</v>
      </c>
      <c r="S443" s="37">
        <f t="shared" si="40"/>
        <v>485.36</v>
      </c>
      <c r="T443" s="36" t="s">
        <v>349</v>
      </c>
      <c r="U443" s="31" t="s">
        <v>78</v>
      </c>
      <c r="V443" s="57">
        <v>7.1879</v>
      </c>
      <c r="W443" s="38">
        <f t="shared" si="41"/>
        <v>492.94631255304051</v>
      </c>
    </row>
    <row r="444" spans="1:23">
      <c r="A444" s="31" t="s">
        <v>847</v>
      </c>
      <c r="B444" s="32">
        <v>45666</v>
      </c>
      <c r="C444" s="32">
        <v>45638</v>
      </c>
      <c r="D444" s="31" t="s">
        <v>287</v>
      </c>
      <c r="E444" s="31" t="s">
        <v>288</v>
      </c>
      <c r="G444" s="31" t="s">
        <v>841</v>
      </c>
      <c r="H444" s="31" t="s">
        <v>845</v>
      </c>
      <c r="I444" s="31" t="s">
        <v>846</v>
      </c>
      <c r="J444" s="34" t="str">
        <f t="shared" si="36"/>
        <v>GLID</v>
      </c>
      <c r="K444" s="31" t="s">
        <v>10</v>
      </c>
      <c r="L444" s="52">
        <v>165</v>
      </c>
      <c r="M444" s="31" t="s">
        <v>1472</v>
      </c>
      <c r="N444" s="31" t="s">
        <v>11</v>
      </c>
      <c r="O444" s="53">
        <v>8.6631999999999998</v>
      </c>
      <c r="P444" s="35">
        <f t="shared" si="37"/>
        <v>1429.43</v>
      </c>
      <c r="Q444" s="36">
        <f t="shared" si="38"/>
        <v>7.3003400000000003</v>
      </c>
      <c r="R444" s="36">
        <f t="shared" si="39"/>
        <v>1.1867000000000001</v>
      </c>
      <c r="S444" s="37">
        <f t="shared" si="40"/>
        <v>195.81</v>
      </c>
      <c r="T444" s="36" t="s">
        <v>349</v>
      </c>
      <c r="U444" s="31" t="s">
        <v>78</v>
      </c>
      <c r="V444" s="57">
        <v>7.1879</v>
      </c>
      <c r="W444" s="38">
        <f t="shared" si="41"/>
        <v>198.86587181235132</v>
      </c>
    </row>
    <row r="445" spans="1:23">
      <c r="A445" s="31" t="s">
        <v>847</v>
      </c>
      <c r="B445" s="32">
        <v>45660</v>
      </c>
      <c r="C445" s="32">
        <v>45638</v>
      </c>
      <c r="D445" s="31" t="s">
        <v>287</v>
      </c>
      <c r="E445" s="31" t="s">
        <v>288</v>
      </c>
      <c r="G445" s="31" t="s">
        <v>1286</v>
      </c>
      <c r="H445" s="31" t="s">
        <v>845</v>
      </c>
      <c r="I445" s="31" t="s">
        <v>846</v>
      </c>
      <c r="J445" s="34" t="str">
        <f t="shared" si="36"/>
        <v>GLID</v>
      </c>
      <c r="K445" s="31" t="s">
        <v>10</v>
      </c>
      <c r="L445" s="52">
        <v>1435</v>
      </c>
      <c r="M445" s="31" t="s">
        <v>1472</v>
      </c>
      <c r="N445" s="31" t="s">
        <v>11</v>
      </c>
      <c r="O445" s="53">
        <v>8.6631999999999998</v>
      </c>
      <c r="P445" s="35">
        <f t="shared" si="37"/>
        <v>12431.69</v>
      </c>
      <c r="Q445" s="36">
        <f t="shared" si="38"/>
        <v>7.3003400000000003</v>
      </c>
      <c r="R445" s="36">
        <f t="shared" si="39"/>
        <v>1.1867000000000001</v>
      </c>
      <c r="S445" s="37">
        <f t="shared" si="40"/>
        <v>1702.91</v>
      </c>
      <c r="T445" s="36" t="s">
        <v>349</v>
      </c>
      <c r="U445" s="31" t="s">
        <v>78</v>
      </c>
      <c r="V445" s="57">
        <v>7.1879</v>
      </c>
      <c r="W445" s="38">
        <f t="shared" si="41"/>
        <v>1729.5304609134796</v>
      </c>
    </row>
    <row r="446" spans="1:23">
      <c r="A446" s="31" t="s">
        <v>1196</v>
      </c>
      <c r="B446" s="32">
        <v>45663</v>
      </c>
      <c r="C446" s="32">
        <v>45615</v>
      </c>
      <c r="D446" s="31" t="s">
        <v>149</v>
      </c>
      <c r="E446" s="31" t="s">
        <v>150</v>
      </c>
      <c r="G446" s="31" t="s">
        <v>1197</v>
      </c>
      <c r="H446" s="31" t="s">
        <v>147</v>
      </c>
      <c r="I446" s="31" t="s">
        <v>148</v>
      </c>
      <c r="J446" s="34" t="str">
        <f t="shared" si="36"/>
        <v>SKU-</v>
      </c>
      <c r="K446" s="31" t="s">
        <v>98</v>
      </c>
      <c r="L446" s="52">
        <v>1830</v>
      </c>
      <c r="M446" s="31" t="s">
        <v>1472</v>
      </c>
      <c r="N446" s="31" t="s">
        <v>11</v>
      </c>
      <c r="O446" s="53">
        <v>8.6722999999999999</v>
      </c>
      <c r="P446" s="35">
        <f t="shared" si="37"/>
        <v>15870.31</v>
      </c>
      <c r="Q446" s="36">
        <f t="shared" si="38"/>
        <v>7.3003400000000003</v>
      </c>
      <c r="R446" s="36">
        <f t="shared" si="39"/>
        <v>1.1879</v>
      </c>
      <c r="S446" s="37">
        <f t="shared" si="40"/>
        <v>2173.86</v>
      </c>
      <c r="T446" s="36" t="s">
        <v>349</v>
      </c>
      <c r="U446" s="31" t="s">
        <v>2</v>
      </c>
      <c r="V446" s="57">
        <v>7.1879</v>
      </c>
      <c r="W446" s="38">
        <f t="shared" si="41"/>
        <v>2207.9201157500802</v>
      </c>
    </row>
    <row r="447" spans="1:23">
      <c r="A447" s="31" t="s">
        <v>1196</v>
      </c>
      <c r="B447" s="32">
        <v>45660</v>
      </c>
      <c r="C447" s="32">
        <v>45615</v>
      </c>
      <c r="D447" s="31" t="s">
        <v>149</v>
      </c>
      <c r="E447" s="31" t="s">
        <v>150</v>
      </c>
      <c r="G447" s="31" t="s">
        <v>1292</v>
      </c>
      <c r="H447" s="31" t="s">
        <v>147</v>
      </c>
      <c r="I447" s="31" t="s">
        <v>148</v>
      </c>
      <c r="J447" s="34" t="str">
        <f t="shared" si="36"/>
        <v>SKU-</v>
      </c>
      <c r="K447" s="31" t="s">
        <v>98</v>
      </c>
      <c r="L447" s="52">
        <v>1170</v>
      </c>
      <c r="M447" s="31" t="s">
        <v>1472</v>
      </c>
      <c r="N447" s="31" t="s">
        <v>11</v>
      </c>
      <c r="O447" s="53">
        <v>8.6722999999999999</v>
      </c>
      <c r="P447" s="35">
        <f t="shared" si="37"/>
        <v>10146.59</v>
      </c>
      <c r="Q447" s="36">
        <f t="shared" si="38"/>
        <v>7.3003400000000003</v>
      </c>
      <c r="R447" s="36">
        <f t="shared" si="39"/>
        <v>1.1879</v>
      </c>
      <c r="S447" s="37">
        <f t="shared" si="40"/>
        <v>1389.84</v>
      </c>
      <c r="T447" s="36" t="s">
        <v>349</v>
      </c>
      <c r="U447" s="31" t="s">
        <v>2</v>
      </c>
      <c r="V447" s="57">
        <v>7.1879</v>
      </c>
      <c r="W447" s="38">
        <f t="shared" si="41"/>
        <v>1411.6210576107071</v>
      </c>
    </row>
    <row r="448" spans="1:23">
      <c r="A448" s="31" t="s">
        <v>1196</v>
      </c>
      <c r="B448" s="32">
        <v>45660</v>
      </c>
      <c r="C448" s="32">
        <v>45615</v>
      </c>
      <c r="D448" s="31" t="s">
        <v>149</v>
      </c>
      <c r="E448" s="31" t="s">
        <v>150</v>
      </c>
      <c r="G448" s="31" t="s">
        <v>1293</v>
      </c>
      <c r="H448" s="31" t="s">
        <v>147</v>
      </c>
      <c r="I448" s="31" t="s">
        <v>148</v>
      </c>
      <c r="J448" s="34" t="str">
        <f t="shared" si="36"/>
        <v>SKU-</v>
      </c>
      <c r="K448" s="31" t="s">
        <v>98</v>
      </c>
      <c r="L448" s="52">
        <v>-1170</v>
      </c>
      <c r="M448" s="31" t="s">
        <v>1472</v>
      </c>
      <c r="N448" s="31" t="s">
        <v>11</v>
      </c>
      <c r="O448" s="53">
        <v>8.6722999999999999</v>
      </c>
      <c r="P448" s="35">
        <f t="shared" si="37"/>
        <v>-10146.59</v>
      </c>
      <c r="Q448" s="36">
        <f t="shared" si="38"/>
        <v>7.3003400000000003</v>
      </c>
      <c r="R448" s="36">
        <f t="shared" si="39"/>
        <v>1.1879</v>
      </c>
      <c r="S448" s="37">
        <f t="shared" si="40"/>
        <v>-1389.84</v>
      </c>
      <c r="T448" s="36" t="s">
        <v>349</v>
      </c>
      <c r="U448" s="31" t="s">
        <v>2</v>
      </c>
      <c r="V448" s="57">
        <v>7.1879</v>
      </c>
      <c r="W448" s="38">
        <f t="shared" si="41"/>
        <v>-1411.6210576107071</v>
      </c>
    </row>
    <row r="449" spans="1:23">
      <c r="A449" s="31" t="s">
        <v>1196</v>
      </c>
      <c r="B449" s="32">
        <v>45660</v>
      </c>
      <c r="C449" s="32">
        <v>45615</v>
      </c>
      <c r="D449" s="31" t="s">
        <v>149</v>
      </c>
      <c r="E449" s="31" t="s">
        <v>150</v>
      </c>
      <c r="G449" s="31" t="s">
        <v>1313</v>
      </c>
      <c r="H449" s="31" t="s">
        <v>147</v>
      </c>
      <c r="I449" s="31" t="s">
        <v>148</v>
      </c>
      <c r="J449" s="34" t="str">
        <f t="shared" si="36"/>
        <v>SKU-</v>
      </c>
      <c r="K449" s="31" t="s">
        <v>98</v>
      </c>
      <c r="L449" s="52">
        <v>1170</v>
      </c>
      <c r="M449" s="31" t="s">
        <v>1472</v>
      </c>
      <c r="N449" s="31" t="s">
        <v>11</v>
      </c>
      <c r="O449" s="53">
        <v>8.6722999999999999</v>
      </c>
      <c r="P449" s="35">
        <f t="shared" si="37"/>
        <v>10146.59</v>
      </c>
      <c r="Q449" s="36">
        <f t="shared" si="38"/>
        <v>7.3003400000000003</v>
      </c>
      <c r="R449" s="36">
        <f t="shared" si="39"/>
        <v>1.1879</v>
      </c>
      <c r="S449" s="37">
        <f t="shared" si="40"/>
        <v>1389.84</v>
      </c>
      <c r="T449" s="36" t="s">
        <v>349</v>
      </c>
      <c r="U449" s="31" t="s">
        <v>2</v>
      </c>
      <c r="V449" s="57">
        <v>7.1879</v>
      </c>
      <c r="W449" s="38">
        <f t="shared" si="41"/>
        <v>1411.6210576107071</v>
      </c>
    </row>
    <row r="450" spans="1:23">
      <c r="A450" s="31" t="s">
        <v>151</v>
      </c>
      <c r="B450" s="32">
        <v>45675</v>
      </c>
      <c r="C450" s="32">
        <v>45639</v>
      </c>
      <c r="D450" s="31" t="s">
        <v>149</v>
      </c>
      <c r="E450" s="31" t="s">
        <v>150</v>
      </c>
      <c r="G450" s="31" t="s">
        <v>152</v>
      </c>
      <c r="H450" s="31" t="s">
        <v>147</v>
      </c>
      <c r="I450" s="31" t="s">
        <v>148</v>
      </c>
      <c r="J450" s="34" t="str">
        <f t="shared" ref="J450:J513" si="42">+LEFT(U450,4)</f>
        <v>SKU-</v>
      </c>
      <c r="K450" s="31" t="s">
        <v>98</v>
      </c>
      <c r="L450" s="52">
        <v>910</v>
      </c>
      <c r="M450" s="31" t="s">
        <v>1472</v>
      </c>
      <c r="N450" s="31" t="s">
        <v>11</v>
      </c>
      <c r="O450" s="53">
        <v>8.6722999999999999</v>
      </c>
      <c r="P450" s="35">
        <f t="shared" ref="P450:P513" si="43">ROUND(O450*L450,2)</f>
        <v>7891.79</v>
      </c>
      <c r="Q450" s="36">
        <f t="shared" ref="Q450:Q513" si="44">IF(N450="HKD",7.8,IF(N450="CNY",7.30034,1))</f>
        <v>7.3003400000000003</v>
      </c>
      <c r="R450" s="36">
        <f t="shared" ref="R450:R513" si="45">+ROUND(O450/Q450,4)</f>
        <v>1.1879</v>
      </c>
      <c r="S450" s="37">
        <f t="shared" ref="S450:S513" si="46">ROUND(R450*L450,2)</f>
        <v>1080.99</v>
      </c>
      <c r="T450" s="36" t="s">
        <v>349</v>
      </c>
      <c r="U450" s="31" t="s">
        <v>2</v>
      </c>
      <c r="V450" s="57">
        <v>7.1879</v>
      </c>
      <c r="W450" s="38">
        <f t="shared" ref="W450:W513" si="47">IF(N450="CNY",O450/V450*L450,1)</f>
        <v>1097.9274892527721</v>
      </c>
    </row>
    <row r="451" spans="1:23">
      <c r="A451" s="31" t="s">
        <v>151</v>
      </c>
      <c r="B451" s="32">
        <v>45673</v>
      </c>
      <c r="C451" s="32">
        <v>45639</v>
      </c>
      <c r="D451" s="31" t="s">
        <v>149</v>
      </c>
      <c r="E451" s="31" t="s">
        <v>150</v>
      </c>
      <c r="G451" s="31" t="s">
        <v>273</v>
      </c>
      <c r="H451" s="31" t="s">
        <v>147</v>
      </c>
      <c r="I451" s="31" t="s">
        <v>148</v>
      </c>
      <c r="J451" s="34" t="str">
        <f t="shared" si="42"/>
        <v>SKU-</v>
      </c>
      <c r="K451" s="31" t="s">
        <v>98</v>
      </c>
      <c r="L451" s="52">
        <v>2090</v>
      </c>
      <c r="M451" s="31" t="s">
        <v>1472</v>
      </c>
      <c r="N451" s="31" t="s">
        <v>11</v>
      </c>
      <c r="O451" s="53">
        <v>8.6722999999999999</v>
      </c>
      <c r="P451" s="35">
        <f t="shared" si="43"/>
        <v>18125.11</v>
      </c>
      <c r="Q451" s="36">
        <f t="shared" si="44"/>
        <v>7.3003400000000003</v>
      </c>
      <c r="R451" s="36">
        <f t="shared" si="45"/>
        <v>1.1879</v>
      </c>
      <c r="S451" s="37">
        <f t="shared" si="46"/>
        <v>2482.71</v>
      </c>
      <c r="T451" s="36" t="s">
        <v>349</v>
      </c>
      <c r="U451" s="31" t="s">
        <v>2</v>
      </c>
      <c r="V451" s="57">
        <v>7.1879</v>
      </c>
      <c r="W451" s="38">
        <f t="shared" si="47"/>
        <v>2521.6136841080151</v>
      </c>
    </row>
    <row r="452" spans="1:23">
      <c r="A452" s="31" t="s">
        <v>1404</v>
      </c>
      <c r="B452" s="32">
        <v>45659</v>
      </c>
      <c r="C452" s="32">
        <v>45639</v>
      </c>
      <c r="D452" s="31" t="s">
        <v>569</v>
      </c>
      <c r="E452" s="31" t="s">
        <v>570</v>
      </c>
      <c r="G452" s="31" t="s">
        <v>1403</v>
      </c>
      <c r="H452" s="31" t="s">
        <v>256</v>
      </c>
      <c r="I452" s="31" t="s">
        <v>257</v>
      </c>
      <c r="J452" s="34" t="str">
        <f t="shared" si="42"/>
        <v>GLID</v>
      </c>
      <c r="K452" s="31" t="s">
        <v>10</v>
      </c>
      <c r="L452" s="52">
        <v>2250</v>
      </c>
      <c r="M452" s="31" t="s">
        <v>1472</v>
      </c>
      <c r="N452" s="31" t="s">
        <v>11</v>
      </c>
      <c r="O452" s="53">
        <v>8.7024000000000008</v>
      </c>
      <c r="P452" s="35">
        <f t="shared" si="43"/>
        <v>19580.400000000001</v>
      </c>
      <c r="Q452" s="36">
        <f t="shared" si="44"/>
        <v>7.3003400000000003</v>
      </c>
      <c r="R452" s="36">
        <f t="shared" si="45"/>
        <v>1.1920999999999999</v>
      </c>
      <c r="S452" s="37">
        <f t="shared" si="46"/>
        <v>2682.23</v>
      </c>
      <c r="T452" s="36" t="s">
        <v>349</v>
      </c>
      <c r="U452" s="31" t="s">
        <v>78</v>
      </c>
      <c r="V452" s="57">
        <v>7.1879</v>
      </c>
      <c r="W452" s="38">
        <f t="shared" si="47"/>
        <v>2724.0779643567662</v>
      </c>
    </row>
    <row r="453" spans="1:23">
      <c r="A453" s="31" t="s">
        <v>260</v>
      </c>
      <c r="B453" s="32">
        <v>45673</v>
      </c>
      <c r="C453" s="32">
        <v>45644</v>
      </c>
      <c r="D453" s="31" t="s">
        <v>252</v>
      </c>
      <c r="E453" s="31" t="s">
        <v>253</v>
      </c>
      <c r="G453" s="31" t="s">
        <v>255</v>
      </c>
      <c r="H453" s="31" t="s">
        <v>256</v>
      </c>
      <c r="I453" s="31" t="s">
        <v>257</v>
      </c>
      <c r="J453" s="34" t="str">
        <f t="shared" si="42"/>
        <v>GLID</v>
      </c>
      <c r="K453" s="31" t="s">
        <v>10</v>
      </c>
      <c r="L453" s="52">
        <v>600</v>
      </c>
      <c r="M453" s="31" t="s">
        <v>1472</v>
      </c>
      <c r="N453" s="31" t="s">
        <v>11</v>
      </c>
      <c r="O453" s="53">
        <v>8.7219999999999995</v>
      </c>
      <c r="P453" s="35">
        <f t="shared" si="43"/>
        <v>5233.2</v>
      </c>
      <c r="Q453" s="36">
        <f t="shared" si="44"/>
        <v>7.3003400000000003</v>
      </c>
      <c r="R453" s="36">
        <f t="shared" si="45"/>
        <v>1.1947000000000001</v>
      </c>
      <c r="S453" s="37">
        <f t="shared" si="46"/>
        <v>716.82</v>
      </c>
      <c r="T453" s="36" t="s">
        <v>349</v>
      </c>
      <c r="U453" s="31" t="s">
        <v>78</v>
      </c>
      <c r="V453" s="57">
        <v>7.1879</v>
      </c>
      <c r="W453" s="38">
        <f t="shared" si="47"/>
        <v>728.05687335661321</v>
      </c>
    </row>
    <row r="454" spans="1:23">
      <c r="A454" s="31" t="s">
        <v>260</v>
      </c>
      <c r="B454" s="32">
        <v>45672</v>
      </c>
      <c r="C454" s="32">
        <v>45644</v>
      </c>
      <c r="D454" s="31" t="s">
        <v>252</v>
      </c>
      <c r="E454" s="31" t="s">
        <v>253</v>
      </c>
      <c r="G454" s="31" t="s">
        <v>292</v>
      </c>
      <c r="H454" s="31" t="s">
        <v>256</v>
      </c>
      <c r="I454" s="31" t="s">
        <v>257</v>
      </c>
      <c r="J454" s="34" t="str">
        <f t="shared" si="42"/>
        <v>GLID</v>
      </c>
      <c r="K454" s="31" t="s">
        <v>10</v>
      </c>
      <c r="L454" s="52">
        <v>3420</v>
      </c>
      <c r="M454" s="31" t="s">
        <v>1472</v>
      </c>
      <c r="N454" s="31" t="s">
        <v>11</v>
      </c>
      <c r="O454" s="53">
        <v>8.7219999999999995</v>
      </c>
      <c r="P454" s="35">
        <f t="shared" si="43"/>
        <v>29829.24</v>
      </c>
      <c r="Q454" s="36">
        <f t="shared" si="44"/>
        <v>7.3003400000000003</v>
      </c>
      <c r="R454" s="36">
        <f t="shared" si="45"/>
        <v>1.1947000000000001</v>
      </c>
      <c r="S454" s="37">
        <f t="shared" si="46"/>
        <v>4085.87</v>
      </c>
      <c r="T454" s="36" t="s">
        <v>349</v>
      </c>
      <c r="U454" s="31" t="s">
        <v>78</v>
      </c>
      <c r="V454" s="57">
        <v>7.1879</v>
      </c>
      <c r="W454" s="38">
        <f t="shared" si="47"/>
        <v>4149.9241781326946</v>
      </c>
    </row>
    <row r="455" spans="1:23">
      <c r="A455" s="31" t="s">
        <v>872</v>
      </c>
      <c r="B455" s="32">
        <v>45666</v>
      </c>
      <c r="C455" s="32">
        <v>45287</v>
      </c>
      <c r="D455" s="31" t="s">
        <v>866</v>
      </c>
      <c r="E455" s="31" t="s">
        <v>867</v>
      </c>
      <c r="G455" s="31" t="s">
        <v>873</v>
      </c>
      <c r="H455" s="31" t="s">
        <v>870</v>
      </c>
      <c r="I455" s="31" t="s">
        <v>871</v>
      </c>
      <c r="J455" s="34" t="str">
        <f t="shared" si="42"/>
        <v>ANYD</v>
      </c>
      <c r="K455" s="31" t="s">
        <v>10</v>
      </c>
      <c r="L455" s="52">
        <v>1760</v>
      </c>
      <c r="M455" s="31" t="s">
        <v>1472</v>
      </c>
      <c r="N455" s="31" t="s">
        <v>11</v>
      </c>
      <c r="O455" s="53">
        <v>8.8053000000000008</v>
      </c>
      <c r="P455" s="35">
        <f t="shared" si="43"/>
        <v>15497.33</v>
      </c>
      <c r="Q455" s="36">
        <f t="shared" si="44"/>
        <v>7.3003400000000003</v>
      </c>
      <c r="R455" s="36">
        <f t="shared" si="45"/>
        <v>1.2060999999999999</v>
      </c>
      <c r="S455" s="37">
        <f t="shared" si="46"/>
        <v>2122.7399999999998</v>
      </c>
      <c r="T455" s="36" t="s">
        <v>349</v>
      </c>
      <c r="U455" s="31" t="s">
        <v>36</v>
      </c>
      <c r="V455" s="57">
        <v>7.1879</v>
      </c>
      <c r="W455" s="38">
        <f t="shared" si="47"/>
        <v>2156.0299948524607</v>
      </c>
    </row>
    <row r="456" spans="1:23">
      <c r="A456" s="31" t="s">
        <v>392</v>
      </c>
      <c r="B456" s="32">
        <v>45670</v>
      </c>
      <c r="C456" s="32">
        <v>45664</v>
      </c>
      <c r="D456" s="31" t="s">
        <v>5</v>
      </c>
      <c r="E456" s="31" t="s">
        <v>6</v>
      </c>
      <c r="G456" s="31" t="s">
        <v>393</v>
      </c>
      <c r="H456" s="31" t="s">
        <v>390</v>
      </c>
      <c r="I456" s="31" t="s">
        <v>391</v>
      </c>
      <c r="J456" s="34" t="str">
        <f t="shared" si="42"/>
        <v>BOX-</v>
      </c>
      <c r="K456" s="31" t="s">
        <v>10</v>
      </c>
      <c r="L456" s="52">
        <v>1000</v>
      </c>
      <c r="M456" s="31" t="s">
        <v>1472</v>
      </c>
      <c r="N456" s="31" t="s">
        <v>11</v>
      </c>
      <c r="O456" s="53">
        <v>9.15</v>
      </c>
      <c r="P456" s="35">
        <f t="shared" si="43"/>
        <v>9150</v>
      </c>
      <c r="Q456" s="36">
        <f t="shared" si="44"/>
        <v>7.3003400000000003</v>
      </c>
      <c r="R456" s="36">
        <f t="shared" si="45"/>
        <v>1.2534000000000001</v>
      </c>
      <c r="S456" s="37">
        <f t="shared" si="46"/>
        <v>1253.4000000000001</v>
      </c>
      <c r="T456" s="36" t="s">
        <v>349</v>
      </c>
      <c r="U456" s="31" t="s">
        <v>1</v>
      </c>
      <c r="V456" s="57">
        <v>7.1879</v>
      </c>
      <c r="W456" s="38">
        <f t="shared" si="47"/>
        <v>1272.9726345664242</v>
      </c>
    </row>
    <row r="457" spans="1:23">
      <c r="A457" s="31" t="s">
        <v>889</v>
      </c>
      <c r="B457" s="32">
        <v>45666</v>
      </c>
      <c r="C457" s="32">
        <v>45526</v>
      </c>
      <c r="D457" s="31" t="s">
        <v>866</v>
      </c>
      <c r="E457" s="31" t="s">
        <v>867</v>
      </c>
      <c r="G457" s="31" t="s">
        <v>886</v>
      </c>
      <c r="H457" s="31" t="s">
        <v>887</v>
      </c>
      <c r="I457" s="31" t="s">
        <v>888</v>
      </c>
      <c r="J457" s="34" t="str">
        <f t="shared" si="42"/>
        <v>ANYD</v>
      </c>
      <c r="K457" s="31" t="s">
        <v>10</v>
      </c>
      <c r="L457" s="52">
        <v>10000</v>
      </c>
      <c r="M457" s="31" t="s">
        <v>1472</v>
      </c>
      <c r="N457" s="31" t="s">
        <v>11</v>
      </c>
      <c r="O457" s="53">
        <v>9.2124000000000006</v>
      </c>
      <c r="P457" s="35">
        <f t="shared" si="43"/>
        <v>92124</v>
      </c>
      <c r="Q457" s="36">
        <f t="shared" si="44"/>
        <v>7.3003400000000003</v>
      </c>
      <c r="R457" s="36">
        <f t="shared" si="45"/>
        <v>1.2619</v>
      </c>
      <c r="S457" s="37">
        <f t="shared" si="46"/>
        <v>12619</v>
      </c>
      <c r="T457" s="36" t="s">
        <v>349</v>
      </c>
      <c r="U457" s="31" t="s">
        <v>36</v>
      </c>
      <c r="V457" s="57">
        <v>7.1879</v>
      </c>
      <c r="W457" s="38">
        <f t="shared" si="47"/>
        <v>12816.538905660904</v>
      </c>
    </row>
    <row r="458" spans="1:23">
      <c r="A458" s="31" t="s">
        <v>844</v>
      </c>
      <c r="B458" s="32">
        <v>45666</v>
      </c>
      <c r="C458" s="32">
        <v>45638</v>
      </c>
      <c r="D458" s="31" t="s">
        <v>287</v>
      </c>
      <c r="E458" s="31" t="s">
        <v>288</v>
      </c>
      <c r="G458" s="31" t="s">
        <v>841</v>
      </c>
      <c r="H458" s="31" t="s">
        <v>842</v>
      </c>
      <c r="I458" s="31" t="s">
        <v>843</v>
      </c>
      <c r="J458" s="34" t="str">
        <f t="shared" si="42"/>
        <v>GLID</v>
      </c>
      <c r="K458" s="31" t="s">
        <v>10</v>
      </c>
      <c r="L458" s="52">
        <v>400</v>
      </c>
      <c r="M458" s="31" t="s">
        <v>1472</v>
      </c>
      <c r="N458" s="31" t="s">
        <v>11</v>
      </c>
      <c r="O458" s="53">
        <v>9.31</v>
      </c>
      <c r="P458" s="35">
        <f t="shared" si="43"/>
        <v>3724</v>
      </c>
      <c r="Q458" s="36">
        <f t="shared" si="44"/>
        <v>7.3003400000000003</v>
      </c>
      <c r="R458" s="36">
        <f t="shared" si="45"/>
        <v>1.2753000000000001</v>
      </c>
      <c r="S458" s="37">
        <f t="shared" si="46"/>
        <v>510.12</v>
      </c>
      <c r="T458" s="36" t="s">
        <v>349</v>
      </c>
      <c r="U458" s="31" t="s">
        <v>78</v>
      </c>
      <c r="V458" s="57">
        <v>7.1879</v>
      </c>
      <c r="W458" s="38">
        <f t="shared" si="47"/>
        <v>518.09290613391954</v>
      </c>
    </row>
    <row r="459" spans="1:23">
      <c r="A459" s="31" t="s">
        <v>844</v>
      </c>
      <c r="B459" s="32">
        <v>45665</v>
      </c>
      <c r="C459" s="32">
        <v>45638</v>
      </c>
      <c r="D459" s="31" t="s">
        <v>287</v>
      </c>
      <c r="E459" s="31" t="s">
        <v>288</v>
      </c>
      <c r="G459" s="31" t="s">
        <v>938</v>
      </c>
      <c r="H459" s="31" t="s">
        <v>842</v>
      </c>
      <c r="I459" s="31" t="s">
        <v>843</v>
      </c>
      <c r="J459" s="34" t="str">
        <f t="shared" si="42"/>
        <v>GLID</v>
      </c>
      <c r="K459" s="31" t="s">
        <v>10</v>
      </c>
      <c r="L459" s="52">
        <v>1200</v>
      </c>
      <c r="M459" s="31" t="s">
        <v>1472</v>
      </c>
      <c r="N459" s="31" t="s">
        <v>11</v>
      </c>
      <c r="O459" s="53">
        <v>9.31</v>
      </c>
      <c r="P459" s="35">
        <f t="shared" si="43"/>
        <v>11172</v>
      </c>
      <c r="Q459" s="36">
        <f t="shared" si="44"/>
        <v>7.3003400000000003</v>
      </c>
      <c r="R459" s="36">
        <f t="shared" si="45"/>
        <v>1.2753000000000001</v>
      </c>
      <c r="S459" s="37">
        <f t="shared" si="46"/>
        <v>1530.36</v>
      </c>
      <c r="T459" s="36" t="s">
        <v>349</v>
      </c>
      <c r="U459" s="31" t="s">
        <v>78</v>
      </c>
      <c r="V459" s="57">
        <v>7.1879</v>
      </c>
      <c r="W459" s="38">
        <f t="shared" si="47"/>
        <v>1554.2787184017584</v>
      </c>
    </row>
    <row r="460" spans="1:23">
      <c r="A460" s="31" t="s">
        <v>844</v>
      </c>
      <c r="B460" s="32">
        <v>45664</v>
      </c>
      <c r="C460" s="32">
        <v>45638</v>
      </c>
      <c r="D460" s="31" t="s">
        <v>287</v>
      </c>
      <c r="E460" s="31" t="s">
        <v>288</v>
      </c>
      <c r="G460" s="31" t="s">
        <v>988</v>
      </c>
      <c r="H460" s="31" t="s">
        <v>842</v>
      </c>
      <c r="I460" s="31" t="s">
        <v>843</v>
      </c>
      <c r="J460" s="34" t="str">
        <f t="shared" si="42"/>
        <v>GLID</v>
      </c>
      <c r="K460" s="31" t="s">
        <v>10</v>
      </c>
      <c r="L460" s="52">
        <v>1400</v>
      </c>
      <c r="M460" s="31" t="s">
        <v>1472</v>
      </c>
      <c r="N460" s="31" t="s">
        <v>11</v>
      </c>
      <c r="O460" s="53">
        <v>9.31</v>
      </c>
      <c r="P460" s="35">
        <f t="shared" si="43"/>
        <v>13034</v>
      </c>
      <c r="Q460" s="36">
        <f t="shared" si="44"/>
        <v>7.3003400000000003</v>
      </c>
      <c r="R460" s="36">
        <f t="shared" si="45"/>
        <v>1.2753000000000001</v>
      </c>
      <c r="S460" s="37">
        <f t="shared" si="46"/>
        <v>1785.42</v>
      </c>
      <c r="T460" s="36" t="s">
        <v>349</v>
      </c>
      <c r="U460" s="31" t="s">
        <v>78</v>
      </c>
      <c r="V460" s="57">
        <v>7.1879</v>
      </c>
      <c r="W460" s="38">
        <f t="shared" si="47"/>
        <v>1813.3251714687183</v>
      </c>
    </row>
    <row r="461" spans="1:23">
      <c r="A461" s="31" t="s">
        <v>844</v>
      </c>
      <c r="B461" s="32">
        <v>45663</v>
      </c>
      <c r="C461" s="32">
        <v>45638</v>
      </c>
      <c r="D461" s="31" t="s">
        <v>287</v>
      </c>
      <c r="E461" s="31" t="s">
        <v>288</v>
      </c>
      <c r="G461" s="31" t="s">
        <v>1275</v>
      </c>
      <c r="H461" s="31" t="s">
        <v>842</v>
      </c>
      <c r="I461" s="31" t="s">
        <v>843</v>
      </c>
      <c r="J461" s="34" t="str">
        <f t="shared" si="42"/>
        <v>GLID</v>
      </c>
      <c r="K461" s="31" t="s">
        <v>10</v>
      </c>
      <c r="L461" s="52">
        <v>1400</v>
      </c>
      <c r="M461" s="31" t="s">
        <v>1472</v>
      </c>
      <c r="N461" s="31" t="s">
        <v>11</v>
      </c>
      <c r="O461" s="53">
        <v>9.31</v>
      </c>
      <c r="P461" s="35">
        <f t="shared" si="43"/>
        <v>13034</v>
      </c>
      <c r="Q461" s="36">
        <f t="shared" si="44"/>
        <v>7.3003400000000003</v>
      </c>
      <c r="R461" s="36">
        <f t="shared" si="45"/>
        <v>1.2753000000000001</v>
      </c>
      <c r="S461" s="37">
        <f t="shared" si="46"/>
        <v>1785.42</v>
      </c>
      <c r="T461" s="36" t="s">
        <v>349</v>
      </c>
      <c r="U461" s="31" t="s">
        <v>78</v>
      </c>
      <c r="V461" s="57">
        <v>7.1879</v>
      </c>
      <c r="W461" s="38">
        <f t="shared" si="47"/>
        <v>1813.3251714687183</v>
      </c>
    </row>
    <row r="462" spans="1:23">
      <c r="A462" s="31" t="s">
        <v>840</v>
      </c>
      <c r="B462" s="32">
        <v>45666</v>
      </c>
      <c r="C462" s="32">
        <v>45638</v>
      </c>
      <c r="D462" s="31" t="s">
        <v>287</v>
      </c>
      <c r="E462" s="31" t="s">
        <v>288</v>
      </c>
      <c r="G462" s="31" t="s">
        <v>841</v>
      </c>
      <c r="H462" s="31" t="s">
        <v>838</v>
      </c>
      <c r="I462" s="31" t="s">
        <v>839</v>
      </c>
      <c r="J462" s="34" t="str">
        <f t="shared" si="42"/>
        <v>GLID</v>
      </c>
      <c r="K462" s="31" t="s">
        <v>10</v>
      </c>
      <c r="L462" s="52">
        <v>200</v>
      </c>
      <c r="M462" s="31" t="s">
        <v>1472</v>
      </c>
      <c r="N462" s="31" t="s">
        <v>11</v>
      </c>
      <c r="O462" s="53">
        <v>9.31</v>
      </c>
      <c r="P462" s="35">
        <f t="shared" si="43"/>
        <v>1862</v>
      </c>
      <c r="Q462" s="36">
        <f t="shared" si="44"/>
        <v>7.3003400000000003</v>
      </c>
      <c r="R462" s="36">
        <f t="shared" si="45"/>
        <v>1.2753000000000001</v>
      </c>
      <c r="S462" s="37">
        <f t="shared" si="46"/>
        <v>255.06</v>
      </c>
      <c r="T462" s="36" t="s">
        <v>349</v>
      </c>
      <c r="U462" s="31" t="s">
        <v>78</v>
      </c>
      <c r="V462" s="57">
        <v>7.1879</v>
      </c>
      <c r="W462" s="38">
        <f t="shared" si="47"/>
        <v>259.04645306695977</v>
      </c>
    </row>
    <row r="463" spans="1:23">
      <c r="A463" s="31" t="s">
        <v>840</v>
      </c>
      <c r="B463" s="32">
        <v>45665</v>
      </c>
      <c r="C463" s="32">
        <v>45638</v>
      </c>
      <c r="D463" s="31" t="s">
        <v>287</v>
      </c>
      <c r="E463" s="31" t="s">
        <v>288</v>
      </c>
      <c r="G463" s="31" t="s">
        <v>938</v>
      </c>
      <c r="H463" s="31" t="s">
        <v>838</v>
      </c>
      <c r="I463" s="31" t="s">
        <v>839</v>
      </c>
      <c r="J463" s="34" t="str">
        <f t="shared" si="42"/>
        <v>GLID</v>
      </c>
      <c r="K463" s="31" t="s">
        <v>10</v>
      </c>
      <c r="L463" s="52">
        <v>1400</v>
      </c>
      <c r="M463" s="31" t="s">
        <v>1472</v>
      </c>
      <c r="N463" s="31" t="s">
        <v>11</v>
      </c>
      <c r="O463" s="53">
        <v>9.31</v>
      </c>
      <c r="P463" s="35">
        <f t="shared" si="43"/>
        <v>13034</v>
      </c>
      <c r="Q463" s="36">
        <f t="shared" si="44"/>
        <v>7.3003400000000003</v>
      </c>
      <c r="R463" s="36">
        <f t="shared" si="45"/>
        <v>1.2753000000000001</v>
      </c>
      <c r="S463" s="37">
        <f t="shared" si="46"/>
        <v>1785.42</v>
      </c>
      <c r="T463" s="36" t="s">
        <v>349</v>
      </c>
      <c r="U463" s="31" t="s">
        <v>78</v>
      </c>
      <c r="V463" s="57">
        <v>7.1879</v>
      </c>
      <c r="W463" s="38">
        <f t="shared" si="47"/>
        <v>1813.3251714687183</v>
      </c>
    </row>
    <row r="464" spans="1:23">
      <c r="A464" s="31" t="s">
        <v>840</v>
      </c>
      <c r="B464" s="32">
        <v>45660</v>
      </c>
      <c r="C464" s="32">
        <v>45638</v>
      </c>
      <c r="D464" s="31" t="s">
        <v>287</v>
      </c>
      <c r="E464" s="31" t="s">
        <v>288</v>
      </c>
      <c r="G464" s="31" t="s">
        <v>1286</v>
      </c>
      <c r="H464" s="31" t="s">
        <v>838</v>
      </c>
      <c r="I464" s="31" t="s">
        <v>839</v>
      </c>
      <c r="J464" s="34" t="str">
        <f t="shared" si="42"/>
        <v>GLID</v>
      </c>
      <c r="K464" s="31" t="s">
        <v>10</v>
      </c>
      <c r="L464" s="52">
        <v>2800</v>
      </c>
      <c r="M464" s="31" t="s">
        <v>1472</v>
      </c>
      <c r="N464" s="31" t="s">
        <v>11</v>
      </c>
      <c r="O464" s="53">
        <v>9.31</v>
      </c>
      <c r="P464" s="35">
        <f t="shared" si="43"/>
        <v>26068</v>
      </c>
      <c r="Q464" s="36">
        <f t="shared" si="44"/>
        <v>7.3003400000000003</v>
      </c>
      <c r="R464" s="36">
        <f t="shared" si="45"/>
        <v>1.2753000000000001</v>
      </c>
      <c r="S464" s="37">
        <f t="shared" si="46"/>
        <v>3570.84</v>
      </c>
      <c r="T464" s="36" t="s">
        <v>349</v>
      </c>
      <c r="U464" s="31" t="s">
        <v>78</v>
      </c>
      <c r="V464" s="57">
        <v>7.1879</v>
      </c>
      <c r="W464" s="38">
        <f t="shared" si="47"/>
        <v>3626.6503429374366</v>
      </c>
    </row>
    <row r="465" spans="1:23">
      <c r="A465" s="31" t="s">
        <v>454</v>
      </c>
      <c r="B465" s="32">
        <v>45670</v>
      </c>
      <c r="C465" s="32">
        <v>45663</v>
      </c>
      <c r="D465" s="31" t="s">
        <v>5</v>
      </c>
      <c r="E465" s="31" t="s">
        <v>6</v>
      </c>
      <c r="G465" s="31" t="s">
        <v>450</v>
      </c>
      <c r="H465" s="31" t="s">
        <v>452</v>
      </c>
      <c r="I465" s="31" t="s">
        <v>453</v>
      </c>
      <c r="J465" s="34" t="str">
        <f t="shared" si="42"/>
        <v>BOX-</v>
      </c>
      <c r="K465" s="31" t="s">
        <v>10</v>
      </c>
      <c r="L465" s="52">
        <v>505</v>
      </c>
      <c r="M465" s="31" t="s">
        <v>1472</v>
      </c>
      <c r="N465" s="31" t="s">
        <v>11</v>
      </c>
      <c r="O465" s="53">
        <v>9.33</v>
      </c>
      <c r="P465" s="35">
        <f t="shared" si="43"/>
        <v>4711.6499999999996</v>
      </c>
      <c r="Q465" s="36">
        <f t="shared" si="44"/>
        <v>7.3003400000000003</v>
      </c>
      <c r="R465" s="36">
        <f t="shared" si="45"/>
        <v>1.278</v>
      </c>
      <c r="S465" s="37">
        <f t="shared" si="46"/>
        <v>645.39</v>
      </c>
      <c r="T465" s="36" t="s">
        <v>349</v>
      </c>
      <c r="U465" s="31" t="s">
        <v>1</v>
      </c>
      <c r="V465" s="57">
        <v>7.1879</v>
      </c>
      <c r="W465" s="38">
        <f t="shared" si="47"/>
        <v>655.49743318632704</v>
      </c>
    </row>
    <row r="466" spans="1:23">
      <c r="A466" s="31" t="s">
        <v>885</v>
      </c>
      <c r="B466" s="32">
        <v>45666</v>
      </c>
      <c r="C466" s="32">
        <v>45526</v>
      </c>
      <c r="D466" s="31" t="s">
        <v>866</v>
      </c>
      <c r="E466" s="31" t="s">
        <v>867</v>
      </c>
      <c r="G466" s="31" t="s">
        <v>886</v>
      </c>
      <c r="H466" s="31" t="s">
        <v>883</v>
      </c>
      <c r="I466" s="31" t="s">
        <v>884</v>
      </c>
      <c r="J466" s="34" t="str">
        <f t="shared" si="42"/>
        <v>ANYD</v>
      </c>
      <c r="K466" s="31" t="s">
        <v>10</v>
      </c>
      <c r="L466" s="52">
        <v>9996</v>
      </c>
      <c r="M466" s="31" t="s">
        <v>1472</v>
      </c>
      <c r="N466" s="31" t="s">
        <v>11</v>
      </c>
      <c r="O466" s="53">
        <v>9.7788000000000004</v>
      </c>
      <c r="P466" s="35">
        <f t="shared" si="43"/>
        <v>97748.88</v>
      </c>
      <c r="Q466" s="36">
        <f t="shared" si="44"/>
        <v>7.3003400000000003</v>
      </c>
      <c r="R466" s="36">
        <f t="shared" si="45"/>
        <v>1.3394999999999999</v>
      </c>
      <c r="S466" s="37">
        <f t="shared" si="46"/>
        <v>13389.64</v>
      </c>
      <c r="T466" s="36" t="s">
        <v>349</v>
      </c>
      <c r="U466" s="31" t="s">
        <v>36</v>
      </c>
      <c r="V466" s="57">
        <v>7.1879</v>
      </c>
      <c r="W466" s="38">
        <f t="shared" si="47"/>
        <v>13599.088022927421</v>
      </c>
    </row>
    <row r="467" spans="1:23">
      <c r="A467" s="31" t="s">
        <v>467</v>
      </c>
      <c r="B467" s="32">
        <v>45670</v>
      </c>
      <c r="C467" s="32">
        <v>45663</v>
      </c>
      <c r="D467" s="31" t="s">
        <v>5</v>
      </c>
      <c r="E467" s="31" t="s">
        <v>6</v>
      </c>
      <c r="G467" s="31" t="s">
        <v>458</v>
      </c>
      <c r="H467" s="31" t="s">
        <v>465</v>
      </c>
      <c r="I467" s="31" t="s">
        <v>466</v>
      </c>
      <c r="J467" s="34" t="str">
        <f t="shared" si="42"/>
        <v>BOX-</v>
      </c>
      <c r="K467" s="31" t="s">
        <v>10</v>
      </c>
      <c r="L467" s="52">
        <v>1010</v>
      </c>
      <c r="M467" s="31" t="s">
        <v>1472</v>
      </c>
      <c r="N467" s="31" t="s">
        <v>11</v>
      </c>
      <c r="O467" s="53">
        <v>10.3</v>
      </c>
      <c r="P467" s="35">
        <f t="shared" si="43"/>
        <v>10403</v>
      </c>
      <c r="Q467" s="36">
        <f t="shared" si="44"/>
        <v>7.3003400000000003</v>
      </c>
      <c r="R467" s="36">
        <f t="shared" si="45"/>
        <v>1.4109</v>
      </c>
      <c r="S467" s="37">
        <f t="shared" si="46"/>
        <v>1425.01</v>
      </c>
      <c r="T467" s="36" t="s">
        <v>349</v>
      </c>
      <c r="U467" s="31" t="s">
        <v>1</v>
      </c>
      <c r="V467" s="57">
        <v>7.1879</v>
      </c>
      <c r="W467" s="38">
        <f t="shared" si="47"/>
        <v>1447.2933680212582</v>
      </c>
    </row>
    <row r="468" spans="1:23">
      <c r="A468" s="31" t="s">
        <v>949</v>
      </c>
      <c r="B468" s="32">
        <v>45664</v>
      </c>
      <c r="C468" s="32">
        <v>45609</v>
      </c>
      <c r="D468" s="31" t="s">
        <v>143</v>
      </c>
      <c r="E468" s="31" t="s">
        <v>144</v>
      </c>
      <c r="G468" s="31" t="s">
        <v>942</v>
      </c>
      <c r="H468" s="31" t="s">
        <v>947</v>
      </c>
      <c r="I468" s="31" t="s">
        <v>948</v>
      </c>
      <c r="J468" s="34" t="str">
        <f t="shared" si="42"/>
        <v>LHDL</v>
      </c>
      <c r="K468" s="31" t="s">
        <v>10</v>
      </c>
      <c r="L468" s="52">
        <v>1030</v>
      </c>
      <c r="M468" s="31" t="s">
        <v>1472</v>
      </c>
      <c r="N468" s="31" t="s">
        <v>11</v>
      </c>
      <c r="O468" s="53">
        <v>10.730700000000001</v>
      </c>
      <c r="P468" s="35">
        <f t="shared" si="43"/>
        <v>11052.62</v>
      </c>
      <c r="Q468" s="36">
        <f t="shared" si="44"/>
        <v>7.3003400000000003</v>
      </c>
      <c r="R468" s="36">
        <f t="shared" si="45"/>
        <v>1.4699</v>
      </c>
      <c r="S468" s="37">
        <f t="shared" si="46"/>
        <v>1514</v>
      </c>
      <c r="T468" s="36" t="s">
        <v>349</v>
      </c>
      <c r="U468" s="31" t="s">
        <v>125</v>
      </c>
      <c r="V468" s="57">
        <v>7.1879</v>
      </c>
      <c r="W468" s="38">
        <f t="shared" si="47"/>
        <v>1537.6703905173974</v>
      </c>
    </row>
    <row r="469" spans="1:23">
      <c r="A469" s="31" t="s">
        <v>946</v>
      </c>
      <c r="B469" s="32">
        <v>45664</v>
      </c>
      <c r="C469" s="32">
        <v>45609</v>
      </c>
      <c r="D469" s="31" t="s">
        <v>143</v>
      </c>
      <c r="E469" s="31" t="s">
        <v>144</v>
      </c>
      <c r="G469" s="31" t="s">
        <v>942</v>
      </c>
      <c r="H469" s="31" t="s">
        <v>944</v>
      </c>
      <c r="I469" s="31" t="s">
        <v>945</v>
      </c>
      <c r="J469" s="34" t="str">
        <f t="shared" si="42"/>
        <v>LHDL</v>
      </c>
      <c r="K469" s="31" t="s">
        <v>10</v>
      </c>
      <c r="L469" s="52">
        <v>1030</v>
      </c>
      <c r="M469" s="31" t="s">
        <v>1472</v>
      </c>
      <c r="N469" s="31" t="s">
        <v>11</v>
      </c>
      <c r="O469" s="53">
        <v>10.730700000000001</v>
      </c>
      <c r="P469" s="35">
        <f t="shared" si="43"/>
        <v>11052.62</v>
      </c>
      <c r="Q469" s="36">
        <f t="shared" si="44"/>
        <v>7.3003400000000003</v>
      </c>
      <c r="R469" s="36">
        <f t="shared" si="45"/>
        <v>1.4699</v>
      </c>
      <c r="S469" s="37">
        <f t="shared" si="46"/>
        <v>1514</v>
      </c>
      <c r="T469" s="36" t="s">
        <v>349</v>
      </c>
      <c r="U469" s="31" t="s">
        <v>125</v>
      </c>
      <c r="V469" s="57">
        <v>7.1879</v>
      </c>
      <c r="W469" s="38">
        <f t="shared" si="47"/>
        <v>1537.6703905173974</v>
      </c>
    </row>
    <row r="470" spans="1:23">
      <c r="A470" s="31" t="s">
        <v>1291</v>
      </c>
      <c r="B470" s="32">
        <v>45660</v>
      </c>
      <c r="C470" s="32">
        <v>45639</v>
      </c>
      <c r="D470" s="31" t="s">
        <v>252</v>
      </c>
      <c r="E470" s="31" t="s">
        <v>253</v>
      </c>
      <c r="G470" s="31" t="s">
        <v>1290</v>
      </c>
      <c r="H470" s="31" t="s">
        <v>250</v>
      </c>
      <c r="I470" s="31" t="s">
        <v>251</v>
      </c>
      <c r="J470" s="34" t="str">
        <f t="shared" si="42"/>
        <v>GLID</v>
      </c>
      <c r="K470" s="31" t="s">
        <v>10</v>
      </c>
      <c r="L470" s="52">
        <v>4010</v>
      </c>
      <c r="M470" s="31" t="s">
        <v>1472</v>
      </c>
      <c r="N470" s="31" t="s">
        <v>11</v>
      </c>
      <c r="O470" s="53">
        <v>10.7476</v>
      </c>
      <c r="P470" s="35">
        <f t="shared" si="43"/>
        <v>43097.88</v>
      </c>
      <c r="Q470" s="36">
        <f t="shared" si="44"/>
        <v>7.3003400000000003</v>
      </c>
      <c r="R470" s="36">
        <f t="shared" si="45"/>
        <v>1.4722</v>
      </c>
      <c r="S470" s="37">
        <f t="shared" si="46"/>
        <v>5903.52</v>
      </c>
      <c r="T470" s="36" t="s">
        <v>349</v>
      </c>
      <c r="U470" s="31" t="s">
        <v>78</v>
      </c>
      <c r="V470" s="57">
        <v>7.1879</v>
      </c>
      <c r="W470" s="38">
        <f t="shared" si="47"/>
        <v>5995.8925416324664</v>
      </c>
    </row>
    <row r="471" spans="1:23">
      <c r="A471" s="31" t="s">
        <v>254</v>
      </c>
      <c r="B471" s="32">
        <v>45673</v>
      </c>
      <c r="C471" s="32">
        <v>45639</v>
      </c>
      <c r="D471" s="31" t="s">
        <v>252</v>
      </c>
      <c r="E471" s="31" t="s">
        <v>253</v>
      </c>
      <c r="G471" s="31" t="s">
        <v>255</v>
      </c>
      <c r="H471" s="31" t="s">
        <v>250</v>
      </c>
      <c r="I471" s="31" t="s">
        <v>251</v>
      </c>
      <c r="J471" s="34" t="str">
        <f t="shared" si="42"/>
        <v>GLID</v>
      </c>
      <c r="K471" s="31" t="s">
        <v>10</v>
      </c>
      <c r="L471" s="52">
        <v>660</v>
      </c>
      <c r="M471" s="31" t="s">
        <v>1472</v>
      </c>
      <c r="N471" s="31" t="s">
        <v>11</v>
      </c>
      <c r="O471" s="53">
        <v>10.7476</v>
      </c>
      <c r="P471" s="35">
        <f t="shared" si="43"/>
        <v>7093.42</v>
      </c>
      <c r="Q471" s="36">
        <f t="shared" si="44"/>
        <v>7.3003400000000003</v>
      </c>
      <c r="R471" s="36">
        <f t="shared" si="45"/>
        <v>1.4722</v>
      </c>
      <c r="S471" s="37">
        <f t="shared" si="46"/>
        <v>971.65</v>
      </c>
      <c r="T471" s="36" t="s">
        <v>349</v>
      </c>
      <c r="U471" s="31" t="s">
        <v>78</v>
      </c>
      <c r="V471" s="57">
        <v>7.1879</v>
      </c>
      <c r="W471" s="38">
        <f t="shared" si="47"/>
        <v>986.85513154050568</v>
      </c>
    </row>
    <row r="472" spans="1:23">
      <c r="A472" s="31" t="s">
        <v>904</v>
      </c>
      <c r="B472" s="32">
        <v>45666</v>
      </c>
      <c r="C472" s="32">
        <v>45609</v>
      </c>
      <c r="D472" s="31" t="s">
        <v>898</v>
      </c>
      <c r="E472" s="31" t="s">
        <v>899</v>
      </c>
      <c r="G472" s="31" t="s">
        <v>901</v>
      </c>
      <c r="H472" s="31" t="s">
        <v>902</v>
      </c>
      <c r="I472" s="31" t="s">
        <v>903</v>
      </c>
      <c r="J472" s="34" t="str">
        <f t="shared" si="42"/>
        <v>GLID</v>
      </c>
      <c r="K472" s="31" t="s">
        <v>10</v>
      </c>
      <c r="L472" s="52">
        <v>4000</v>
      </c>
      <c r="M472" s="31" t="s">
        <v>1472</v>
      </c>
      <c r="N472" s="31" t="s">
        <v>11</v>
      </c>
      <c r="O472" s="53">
        <v>10.7965</v>
      </c>
      <c r="P472" s="35">
        <f t="shared" si="43"/>
        <v>43186</v>
      </c>
      <c r="Q472" s="36">
        <f t="shared" si="44"/>
        <v>7.3003400000000003</v>
      </c>
      <c r="R472" s="36">
        <f t="shared" si="45"/>
        <v>1.4789000000000001</v>
      </c>
      <c r="S472" s="37">
        <f t="shared" si="46"/>
        <v>5915.6</v>
      </c>
      <c r="T472" s="36" t="s">
        <v>349</v>
      </c>
      <c r="U472" s="31" t="s">
        <v>78</v>
      </c>
      <c r="V472" s="57">
        <v>7.1879</v>
      </c>
      <c r="W472" s="38">
        <f t="shared" si="47"/>
        <v>6008.1525897689171</v>
      </c>
    </row>
    <row r="473" spans="1:23">
      <c r="A473" s="31" t="s">
        <v>259</v>
      </c>
      <c r="B473" s="32">
        <v>45673</v>
      </c>
      <c r="C473" s="32">
        <v>45644</v>
      </c>
      <c r="D473" s="31" t="s">
        <v>252</v>
      </c>
      <c r="E473" s="31" t="s">
        <v>253</v>
      </c>
      <c r="G473" s="31" t="s">
        <v>255</v>
      </c>
      <c r="H473" s="31" t="s">
        <v>250</v>
      </c>
      <c r="I473" s="31" t="s">
        <v>251</v>
      </c>
      <c r="J473" s="34" t="str">
        <f t="shared" si="42"/>
        <v>GLID</v>
      </c>
      <c r="K473" s="31" t="s">
        <v>10</v>
      </c>
      <c r="L473" s="52">
        <v>1000</v>
      </c>
      <c r="M473" s="31" t="s">
        <v>1472</v>
      </c>
      <c r="N473" s="31" t="s">
        <v>11</v>
      </c>
      <c r="O473" s="53">
        <v>10.8584</v>
      </c>
      <c r="P473" s="35">
        <f t="shared" si="43"/>
        <v>10858.4</v>
      </c>
      <c r="Q473" s="36">
        <f t="shared" si="44"/>
        <v>7.3003400000000003</v>
      </c>
      <c r="R473" s="36">
        <f t="shared" si="45"/>
        <v>1.4874000000000001</v>
      </c>
      <c r="S473" s="37">
        <f t="shared" si="46"/>
        <v>1487.4</v>
      </c>
      <c r="T473" s="36" t="s">
        <v>349</v>
      </c>
      <c r="U473" s="31" t="s">
        <v>78</v>
      </c>
      <c r="V473" s="57">
        <v>7.1879</v>
      </c>
      <c r="W473" s="38">
        <f t="shared" si="47"/>
        <v>1510.6498420957441</v>
      </c>
    </row>
    <row r="474" spans="1:23">
      <c r="A474" s="31" t="s">
        <v>259</v>
      </c>
      <c r="B474" s="32">
        <v>45672</v>
      </c>
      <c r="C474" s="32">
        <v>45644</v>
      </c>
      <c r="D474" s="31" t="s">
        <v>252</v>
      </c>
      <c r="E474" s="31" t="s">
        <v>253</v>
      </c>
      <c r="G474" s="31" t="s">
        <v>292</v>
      </c>
      <c r="H474" s="31" t="s">
        <v>250</v>
      </c>
      <c r="I474" s="31" t="s">
        <v>251</v>
      </c>
      <c r="J474" s="34" t="str">
        <f t="shared" si="42"/>
        <v>GLID</v>
      </c>
      <c r="K474" s="31" t="s">
        <v>10</v>
      </c>
      <c r="L474" s="52">
        <v>2220</v>
      </c>
      <c r="M474" s="31" t="s">
        <v>1472</v>
      </c>
      <c r="N474" s="31" t="s">
        <v>11</v>
      </c>
      <c r="O474" s="53">
        <v>10.8584</v>
      </c>
      <c r="P474" s="35">
        <f t="shared" si="43"/>
        <v>24105.65</v>
      </c>
      <c r="Q474" s="36">
        <f t="shared" si="44"/>
        <v>7.3003400000000003</v>
      </c>
      <c r="R474" s="36">
        <f t="shared" si="45"/>
        <v>1.4874000000000001</v>
      </c>
      <c r="S474" s="37">
        <f t="shared" si="46"/>
        <v>3302.03</v>
      </c>
      <c r="T474" s="36" t="s">
        <v>349</v>
      </c>
      <c r="U474" s="31" t="s">
        <v>78</v>
      </c>
      <c r="V474" s="57">
        <v>7.1879</v>
      </c>
      <c r="W474" s="38">
        <f t="shared" si="47"/>
        <v>3353.6426494525522</v>
      </c>
    </row>
    <row r="475" spans="1:23">
      <c r="A475" s="31" t="s">
        <v>879</v>
      </c>
      <c r="B475" s="32">
        <v>45666</v>
      </c>
      <c r="C475" s="32">
        <v>45287</v>
      </c>
      <c r="D475" s="31" t="s">
        <v>866</v>
      </c>
      <c r="E475" s="31" t="s">
        <v>867</v>
      </c>
      <c r="G475" s="31" t="s">
        <v>873</v>
      </c>
      <c r="H475" s="31" t="s">
        <v>877</v>
      </c>
      <c r="I475" s="31" t="s">
        <v>878</v>
      </c>
      <c r="J475" s="34" t="str">
        <f t="shared" si="42"/>
        <v>ANYD</v>
      </c>
      <c r="K475" s="31" t="s">
        <v>10</v>
      </c>
      <c r="L475" s="52">
        <v>2004</v>
      </c>
      <c r="M475" s="31" t="s">
        <v>1472</v>
      </c>
      <c r="N475" s="31" t="s">
        <v>11</v>
      </c>
      <c r="O475" s="53">
        <v>11.672599999999999</v>
      </c>
      <c r="P475" s="35">
        <f t="shared" si="43"/>
        <v>23391.89</v>
      </c>
      <c r="Q475" s="36">
        <f t="shared" si="44"/>
        <v>7.3003400000000003</v>
      </c>
      <c r="R475" s="36">
        <f t="shared" si="45"/>
        <v>1.5989</v>
      </c>
      <c r="S475" s="37">
        <f t="shared" si="46"/>
        <v>3204.2</v>
      </c>
      <c r="T475" s="36" t="s">
        <v>349</v>
      </c>
      <c r="U475" s="31" t="s">
        <v>36</v>
      </c>
      <c r="V475" s="57">
        <v>7.1879</v>
      </c>
      <c r="W475" s="38">
        <f t="shared" si="47"/>
        <v>3254.3427704892943</v>
      </c>
    </row>
    <row r="476" spans="1:23">
      <c r="A476" s="31" t="s">
        <v>470</v>
      </c>
      <c r="B476" s="32">
        <v>45670</v>
      </c>
      <c r="C476" s="32">
        <v>45663</v>
      </c>
      <c r="D476" s="31" t="s">
        <v>5</v>
      </c>
      <c r="E476" s="31" t="s">
        <v>6</v>
      </c>
      <c r="G476" s="31" t="s">
        <v>458</v>
      </c>
      <c r="H476" s="31" t="s">
        <v>468</v>
      </c>
      <c r="I476" s="31" t="s">
        <v>469</v>
      </c>
      <c r="J476" s="34" t="str">
        <f t="shared" si="42"/>
        <v>BOX-</v>
      </c>
      <c r="K476" s="31" t="s">
        <v>10</v>
      </c>
      <c r="L476" s="52">
        <v>505</v>
      </c>
      <c r="M476" s="31" t="s">
        <v>1472</v>
      </c>
      <c r="N476" s="31" t="s">
        <v>11</v>
      </c>
      <c r="O476" s="53">
        <v>12.45</v>
      </c>
      <c r="P476" s="35">
        <f t="shared" si="43"/>
        <v>6287.25</v>
      </c>
      <c r="Q476" s="36">
        <f t="shared" si="44"/>
        <v>7.3003400000000003</v>
      </c>
      <c r="R476" s="36">
        <f t="shared" si="45"/>
        <v>1.7054</v>
      </c>
      <c r="S476" s="37">
        <f t="shared" si="46"/>
        <v>861.23</v>
      </c>
      <c r="T476" s="36" t="s">
        <v>349</v>
      </c>
      <c r="U476" s="31" t="s">
        <v>1</v>
      </c>
      <c r="V476" s="57">
        <v>7.1879</v>
      </c>
      <c r="W476" s="38">
        <f t="shared" si="47"/>
        <v>874.69914717789618</v>
      </c>
    </row>
    <row r="477" spans="1:23">
      <c r="A477" s="31" t="s">
        <v>983</v>
      </c>
      <c r="B477" s="32">
        <v>45664</v>
      </c>
      <c r="C477" s="32">
        <v>45610</v>
      </c>
      <c r="D477" s="31" t="s">
        <v>981</v>
      </c>
      <c r="E477" s="31" t="s">
        <v>982</v>
      </c>
      <c r="G477" s="31" t="s">
        <v>984</v>
      </c>
      <c r="H477" s="31" t="s">
        <v>979</v>
      </c>
      <c r="I477" s="31" t="s">
        <v>980</v>
      </c>
      <c r="J477" s="34" t="str">
        <f t="shared" si="42"/>
        <v>HDL-</v>
      </c>
      <c r="K477" s="31" t="s">
        <v>10</v>
      </c>
      <c r="L477" s="52">
        <v>2040</v>
      </c>
      <c r="M477" s="31" t="s">
        <v>1472</v>
      </c>
      <c r="N477" s="31" t="s">
        <v>11</v>
      </c>
      <c r="O477" s="53">
        <v>13.042</v>
      </c>
      <c r="P477" s="35">
        <f t="shared" si="43"/>
        <v>26605.68</v>
      </c>
      <c r="Q477" s="36">
        <f t="shared" si="44"/>
        <v>7.3003400000000003</v>
      </c>
      <c r="R477" s="36">
        <f t="shared" si="45"/>
        <v>1.7865</v>
      </c>
      <c r="S477" s="37">
        <f t="shared" si="46"/>
        <v>3644.46</v>
      </c>
      <c r="T477" s="36" t="s">
        <v>349</v>
      </c>
      <c r="U477" s="31" t="s">
        <v>228</v>
      </c>
      <c r="V477" s="57">
        <v>7.1879</v>
      </c>
      <c r="W477" s="38">
        <f t="shared" si="47"/>
        <v>3701.4538321345594</v>
      </c>
    </row>
    <row r="478" spans="1:23">
      <c r="A478" s="31" t="s">
        <v>996</v>
      </c>
      <c r="B478" s="32">
        <v>45664</v>
      </c>
      <c r="C478" s="32">
        <v>45610</v>
      </c>
      <c r="D478" s="31" t="s">
        <v>263</v>
      </c>
      <c r="E478" s="31" t="s">
        <v>0</v>
      </c>
      <c r="G478" s="31" t="s">
        <v>992</v>
      </c>
      <c r="H478" s="31" t="s">
        <v>989</v>
      </c>
      <c r="I478" s="31" t="s">
        <v>990</v>
      </c>
      <c r="J478" s="34" t="str">
        <f t="shared" si="42"/>
        <v>HDL-</v>
      </c>
      <c r="K478" s="31" t="s">
        <v>10</v>
      </c>
      <c r="L478" s="52">
        <v>550</v>
      </c>
      <c r="M478" s="31" t="s">
        <v>1472</v>
      </c>
      <c r="N478" s="31" t="s">
        <v>11</v>
      </c>
      <c r="O478" s="53">
        <v>13.303100000000001</v>
      </c>
      <c r="P478" s="35">
        <f t="shared" si="43"/>
        <v>7316.71</v>
      </c>
      <c r="Q478" s="36">
        <f t="shared" si="44"/>
        <v>7.3003400000000003</v>
      </c>
      <c r="R478" s="36">
        <f t="shared" si="45"/>
        <v>1.8223</v>
      </c>
      <c r="S478" s="37">
        <f t="shared" si="46"/>
        <v>1002.27</v>
      </c>
      <c r="T478" s="36" t="s">
        <v>349</v>
      </c>
      <c r="U478" s="31" t="s">
        <v>228</v>
      </c>
      <c r="V478" s="57">
        <v>7.1879</v>
      </c>
      <c r="W478" s="38">
        <f t="shared" si="47"/>
        <v>1017.9196983820032</v>
      </c>
    </row>
    <row r="479" spans="1:23">
      <c r="A479" s="31" t="s">
        <v>991</v>
      </c>
      <c r="B479" s="32">
        <v>45664</v>
      </c>
      <c r="C479" s="32">
        <v>45622</v>
      </c>
      <c r="D479" s="31" t="s">
        <v>263</v>
      </c>
      <c r="E479" s="31" t="s">
        <v>0</v>
      </c>
      <c r="G479" s="31" t="s">
        <v>992</v>
      </c>
      <c r="H479" s="31" t="s">
        <v>989</v>
      </c>
      <c r="I479" s="31" t="s">
        <v>990</v>
      </c>
      <c r="J479" s="34" t="str">
        <f t="shared" si="42"/>
        <v>HDL-</v>
      </c>
      <c r="K479" s="31" t="s">
        <v>10</v>
      </c>
      <c r="L479" s="52">
        <v>1020</v>
      </c>
      <c r="M479" s="31" t="s">
        <v>1472</v>
      </c>
      <c r="N479" s="31" t="s">
        <v>11</v>
      </c>
      <c r="O479" s="53">
        <v>13.303100000000001</v>
      </c>
      <c r="P479" s="35">
        <f t="shared" si="43"/>
        <v>13569.16</v>
      </c>
      <c r="Q479" s="36">
        <f t="shared" si="44"/>
        <v>7.3003400000000003</v>
      </c>
      <c r="R479" s="36">
        <f t="shared" si="45"/>
        <v>1.8223</v>
      </c>
      <c r="S479" s="37">
        <f t="shared" si="46"/>
        <v>1858.75</v>
      </c>
      <c r="T479" s="36" t="s">
        <v>349</v>
      </c>
      <c r="U479" s="31" t="s">
        <v>228</v>
      </c>
      <c r="V479" s="57">
        <v>7.1879</v>
      </c>
      <c r="W479" s="38">
        <f t="shared" si="47"/>
        <v>1887.7783497266241</v>
      </c>
    </row>
    <row r="480" spans="1:23">
      <c r="A480" s="31" t="s">
        <v>1289</v>
      </c>
      <c r="B480" s="32">
        <v>45660</v>
      </c>
      <c r="C480" s="32">
        <v>45639</v>
      </c>
      <c r="D480" s="31" t="s">
        <v>252</v>
      </c>
      <c r="E480" s="31" t="s">
        <v>253</v>
      </c>
      <c r="G480" s="31" t="s">
        <v>1290</v>
      </c>
      <c r="H480" s="31" t="s">
        <v>775</v>
      </c>
      <c r="I480" s="31" t="s">
        <v>776</v>
      </c>
      <c r="J480" s="34" t="str">
        <f t="shared" si="42"/>
        <v>GLID</v>
      </c>
      <c r="K480" s="31" t="s">
        <v>10</v>
      </c>
      <c r="L480" s="52">
        <v>1910</v>
      </c>
      <c r="M480" s="31" t="s">
        <v>1472</v>
      </c>
      <c r="N480" s="31" t="s">
        <v>11</v>
      </c>
      <c r="O480" s="53">
        <v>13.6808</v>
      </c>
      <c r="P480" s="35">
        <f t="shared" si="43"/>
        <v>26130.33</v>
      </c>
      <c r="Q480" s="36">
        <f t="shared" si="44"/>
        <v>7.3003400000000003</v>
      </c>
      <c r="R480" s="36">
        <f t="shared" si="45"/>
        <v>1.8740000000000001</v>
      </c>
      <c r="S480" s="37">
        <f t="shared" si="46"/>
        <v>3579.34</v>
      </c>
      <c r="T480" s="36" t="s">
        <v>349</v>
      </c>
      <c r="U480" s="31" t="s">
        <v>78</v>
      </c>
      <c r="V480" s="57">
        <v>7.1879</v>
      </c>
      <c r="W480" s="38">
        <f t="shared" si="47"/>
        <v>3635.3215821032568</v>
      </c>
    </row>
    <row r="481" spans="1:23">
      <c r="A481" s="31" t="s">
        <v>777</v>
      </c>
      <c r="B481" s="32">
        <v>45666</v>
      </c>
      <c r="C481" s="32">
        <v>45644</v>
      </c>
      <c r="D481" s="31" t="s">
        <v>569</v>
      </c>
      <c r="E481" s="31" t="s">
        <v>570</v>
      </c>
      <c r="G481" s="31" t="s">
        <v>762</v>
      </c>
      <c r="H481" s="31" t="s">
        <v>775</v>
      </c>
      <c r="I481" s="31" t="s">
        <v>776</v>
      </c>
      <c r="J481" s="34" t="str">
        <f t="shared" si="42"/>
        <v>GLID</v>
      </c>
      <c r="K481" s="31" t="s">
        <v>10</v>
      </c>
      <c r="L481" s="52">
        <v>1560</v>
      </c>
      <c r="M481" s="31" t="s">
        <v>1472</v>
      </c>
      <c r="N481" s="31" t="s">
        <v>11</v>
      </c>
      <c r="O481" s="53">
        <v>13.818</v>
      </c>
      <c r="P481" s="35">
        <f t="shared" si="43"/>
        <v>21556.080000000002</v>
      </c>
      <c r="Q481" s="36">
        <f t="shared" si="44"/>
        <v>7.3003400000000003</v>
      </c>
      <c r="R481" s="36">
        <f t="shared" si="45"/>
        <v>1.8928</v>
      </c>
      <c r="S481" s="37">
        <f t="shared" si="46"/>
        <v>2952.77</v>
      </c>
      <c r="T481" s="36" t="s">
        <v>349</v>
      </c>
      <c r="U481" s="31" t="s">
        <v>78</v>
      </c>
      <c r="V481" s="57">
        <v>7.1879</v>
      </c>
      <c r="W481" s="38">
        <f t="shared" si="47"/>
        <v>2998.9398850846565</v>
      </c>
    </row>
    <row r="482" spans="1:23">
      <c r="A482" s="31" t="s">
        <v>777</v>
      </c>
      <c r="B482" s="32">
        <v>45659</v>
      </c>
      <c r="C482" s="32">
        <v>45644</v>
      </c>
      <c r="D482" s="31" t="s">
        <v>569</v>
      </c>
      <c r="E482" s="31" t="s">
        <v>570</v>
      </c>
      <c r="G482" s="31" t="s">
        <v>1418</v>
      </c>
      <c r="H482" s="31" t="s">
        <v>775</v>
      </c>
      <c r="I482" s="31" t="s">
        <v>776</v>
      </c>
      <c r="J482" s="34" t="str">
        <f t="shared" si="42"/>
        <v>GLID</v>
      </c>
      <c r="K482" s="31" t="s">
        <v>10</v>
      </c>
      <c r="L482" s="52">
        <v>960</v>
      </c>
      <c r="M482" s="31" t="s">
        <v>1472</v>
      </c>
      <c r="N482" s="31" t="s">
        <v>11</v>
      </c>
      <c r="O482" s="53">
        <v>13.818</v>
      </c>
      <c r="P482" s="35">
        <f t="shared" si="43"/>
        <v>13265.28</v>
      </c>
      <c r="Q482" s="36">
        <f t="shared" si="44"/>
        <v>7.3003400000000003</v>
      </c>
      <c r="R482" s="36">
        <f t="shared" si="45"/>
        <v>1.8928</v>
      </c>
      <c r="S482" s="37">
        <f t="shared" si="46"/>
        <v>1817.09</v>
      </c>
      <c r="T482" s="36" t="s">
        <v>349</v>
      </c>
      <c r="U482" s="31" t="s">
        <v>78</v>
      </c>
      <c r="V482" s="57">
        <v>7.1879</v>
      </c>
      <c r="W482" s="38">
        <f t="shared" si="47"/>
        <v>1845.501467744404</v>
      </c>
    </row>
    <row r="483" spans="1:23">
      <c r="A483" s="31" t="s">
        <v>987</v>
      </c>
      <c r="B483" s="32">
        <v>45664</v>
      </c>
      <c r="C483" s="32">
        <v>45602</v>
      </c>
      <c r="D483" s="31" t="s">
        <v>981</v>
      </c>
      <c r="E483" s="31" t="s">
        <v>982</v>
      </c>
      <c r="G483" s="31" t="s">
        <v>984</v>
      </c>
      <c r="H483" s="31" t="s">
        <v>985</v>
      </c>
      <c r="I483" s="31" t="s">
        <v>986</v>
      </c>
      <c r="J483" s="34" t="str">
        <f t="shared" si="42"/>
        <v>HDL-</v>
      </c>
      <c r="K483" s="31" t="s">
        <v>10</v>
      </c>
      <c r="L483" s="52">
        <v>1010</v>
      </c>
      <c r="M483" s="31" t="s">
        <v>1472</v>
      </c>
      <c r="N483" s="31" t="s">
        <v>11</v>
      </c>
      <c r="O483" s="53">
        <v>13.8696</v>
      </c>
      <c r="P483" s="35">
        <f t="shared" si="43"/>
        <v>14008.3</v>
      </c>
      <c r="Q483" s="36">
        <f t="shared" si="44"/>
        <v>7.3003400000000003</v>
      </c>
      <c r="R483" s="36">
        <f t="shared" si="45"/>
        <v>1.8998999999999999</v>
      </c>
      <c r="S483" s="37">
        <f t="shared" si="46"/>
        <v>1918.9</v>
      </c>
      <c r="T483" s="36" t="s">
        <v>349</v>
      </c>
      <c r="U483" s="31" t="s">
        <v>228</v>
      </c>
      <c r="V483" s="57">
        <v>7.1879</v>
      </c>
      <c r="W483" s="38">
        <f t="shared" si="47"/>
        <v>1948.8718540881205</v>
      </c>
    </row>
    <row r="484" spans="1:23">
      <c r="A484" s="31" t="s">
        <v>778</v>
      </c>
      <c r="B484" s="32">
        <v>45666</v>
      </c>
      <c r="C484" s="32">
        <v>45639</v>
      </c>
      <c r="D484" s="31" t="s">
        <v>569</v>
      </c>
      <c r="E484" s="31" t="s">
        <v>570</v>
      </c>
      <c r="G484" s="31" t="s">
        <v>762</v>
      </c>
      <c r="H484" s="31" t="s">
        <v>775</v>
      </c>
      <c r="I484" s="31" t="s">
        <v>776</v>
      </c>
      <c r="J484" s="34" t="str">
        <f t="shared" si="42"/>
        <v>GLID</v>
      </c>
      <c r="K484" s="31" t="s">
        <v>10</v>
      </c>
      <c r="L484" s="52">
        <v>1010</v>
      </c>
      <c r="M484" s="31" t="s">
        <v>1472</v>
      </c>
      <c r="N484" s="31" t="s">
        <v>11</v>
      </c>
      <c r="O484" s="53">
        <v>14.1</v>
      </c>
      <c r="P484" s="35">
        <f t="shared" si="43"/>
        <v>14241</v>
      </c>
      <c r="Q484" s="36">
        <f t="shared" si="44"/>
        <v>7.3003400000000003</v>
      </c>
      <c r="R484" s="36">
        <f t="shared" si="45"/>
        <v>1.9314</v>
      </c>
      <c r="S484" s="37">
        <f t="shared" si="46"/>
        <v>1950.71</v>
      </c>
      <c r="T484" s="36" t="s">
        <v>349</v>
      </c>
      <c r="U484" s="31" t="s">
        <v>78</v>
      </c>
      <c r="V484" s="57">
        <v>7.1879</v>
      </c>
      <c r="W484" s="38">
        <f t="shared" si="47"/>
        <v>1981.2462610776442</v>
      </c>
    </row>
    <row r="485" spans="1:23">
      <c r="A485" s="31" t="s">
        <v>995</v>
      </c>
      <c r="B485" s="32">
        <v>45664</v>
      </c>
      <c r="C485" s="32">
        <v>45610</v>
      </c>
      <c r="D485" s="31" t="s">
        <v>263</v>
      </c>
      <c r="E485" s="31" t="s">
        <v>0</v>
      </c>
      <c r="G485" s="31" t="s">
        <v>992</v>
      </c>
      <c r="H485" s="31" t="s">
        <v>993</v>
      </c>
      <c r="I485" s="31" t="s">
        <v>994</v>
      </c>
      <c r="J485" s="34" t="str">
        <f t="shared" si="42"/>
        <v>HDL-</v>
      </c>
      <c r="K485" s="31" t="s">
        <v>10</v>
      </c>
      <c r="L485" s="52">
        <v>1550</v>
      </c>
      <c r="M485" s="31" t="s">
        <v>1472</v>
      </c>
      <c r="N485" s="31" t="s">
        <v>11</v>
      </c>
      <c r="O485" s="53">
        <v>14.150399999999999</v>
      </c>
      <c r="P485" s="35">
        <f t="shared" si="43"/>
        <v>21933.119999999999</v>
      </c>
      <c r="Q485" s="36">
        <f t="shared" si="44"/>
        <v>7.3003400000000003</v>
      </c>
      <c r="R485" s="36">
        <f t="shared" si="45"/>
        <v>1.9382999999999999</v>
      </c>
      <c r="S485" s="37">
        <f t="shared" si="46"/>
        <v>3004.37</v>
      </c>
      <c r="T485" s="36" t="s">
        <v>349</v>
      </c>
      <c r="U485" s="31" t="s">
        <v>228</v>
      </c>
      <c r="V485" s="57">
        <v>7.1879</v>
      </c>
      <c r="W485" s="38">
        <f t="shared" si="47"/>
        <v>3051.3947049903309</v>
      </c>
    </row>
    <row r="486" spans="1:23">
      <c r="A486" s="31" t="s">
        <v>449</v>
      </c>
      <c r="B486" s="32">
        <v>45670</v>
      </c>
      <c r="C486" s="32">
        <v>45663</v>
      </c>
      <c r="D486" s="31" t="s">
        <v>5</v>
      </c>
      <c r="E486" s="31" t="s">
        <v>6</v>
      </c>
      <c r="G486" s="31" t="s">
        <v>450</v>
      </c>
      <c r="H486" s="31" t="s">
        <v>447</v>
      </c>
      <c r="I486" s="31" t="s">
        <v>448</v>
      </c>
      <c r="J486" s="34" t="str">
        <f t="shared" si="42"/>
        <v>BOX-</v>
      </c>
      <c r="K486" s="31" t="s">
        <v>10</v>
      </c>
      <c r="L486" s="52">
        <v>1010</v>
      </c>
      <c r="M486" s="31" t="s">
        <v>1472</v>
      </c>
      <c r="N486" s="31" t="s">
        <v>11</v>
      </c>
      <c r="O486" s="53">
        <v>15.95</v>
      </c>
      <c r="P486" s="35">
        <f t="shared" si="43"/>
        <v>16109.5</v>
      </c>
      <c r="Q486" s="36">
        <f t="shared" si="44"/>
        <v>7.3003400000000003</v>
      </c>
      <c r="R486" s="36">
        <f t="shared" si="45"/>
        <v>2.1848000000000001</v>
      </c>
      <c r="S486" s="37">
        <f t="shared" si="46"/>
        <v>2206.65</v>
      </c>
      <c r="T486" s="36" t="s">
        <v>349</v>
      </c>
      <c r="U486" s="31" t="s">
        <v>1</v>
      </c>
      <c r="V486" s="57">
        <v>7.1879</v>
      </c>
      <c r="W486" s="38">
        <f t="shared" si="47"/>
        <v>2241.1970116445691</v>
      </c>
    </row>
    <row r="487" spans="1:23">
      <c r="A487" s="31" t="s">
        <v>900</v>
      </c>
      <c r="B487" s="32">
        <v>45666</v>
      </c>
      <c r="C487" s="32">
        <v>45639</v>
      </c>
      <c r="D487" s="31" t="s">
        <v>898</v>
      </c>
      <c r="E487" s="31" t="s">
        <v>899</v>
      </c>
      <c r="G487" s="31" t="s">
        <v>901</v>
      </c>
      <c r="H487" s="31" t="s">
        <v>896</v>
      </c>
      <c r="I487" s="31" t="s">
        <v>897</v>
      </c>
      <c r="J487" s="34" t="str">
        <f t="shared" si="42"/>
        <v>GLID</v>
      </c>
      <c r="K487" s="31" t="s">
        <v>10</v>
      </c>
      <c r="L487" s="52">
        <v>1900</v>
      </c>
      <c r="M487" s="31" t="s">
        <v>1472</v>
      </c>
      <c r="N487" s="31" t="s">
        <v>11</v>
      </c>
      <c r="O487" s="53">
        <v>16.5</v>
      </c>
      <c r="P487" s="35">
        <f t="shared" si="43"/>
        <v>31350</v>
      </c>
      <c r="Q487" s="36">
        <f t="shared" si="44"/>
        <v>7.3003400000000003</v>
      </c>
      <c r="R487" s="36">
        <f t="shared" si="45"/>
        <v>2.2602000000000002</v>
      </c>
      <c r="S487" s="37">
        <f t="shared" si="46"/>
        <v>4294.38</v>
      </c>
      <c r="T487" s="36" t="s">
        <v>349</v>
      </c>
      <c r="U487" s="31" t="s">
        <v>78</v>
      </c>
      <c r="V487" s="57">
        <v>7.1879</v>
      </c>
      <c r="W487" s="38">
        <f t="shared" si="47"/>
        <v>4361.496403678404</v>
      </c>
    </row>
    <row r="488" spans="1:23">
      <c r="A488" s="31" t="s">
        <v>270</v>
      </c>
      <c r="B488" s="32">
        <v>45673</v>
      </c>
      <c r="C488" s="32">
        <v>45651</v>
      </c>
      <c r="D488" s="31" t="s">
        <v>268</v>
      </c>
      <c r="E488" s="31" t="s">
        <v>269</v>
      </c>
      <c r="G488" s="31" t="s">
        <v>271</v>
      </c>
      <c r="H488" s="31" t="s">
        <v>266</v>
      </c>
      <c r="I488" s="31" t="s">
        <v>267</v>
      </c>
      <c r="J488" s="34" t="str">
        <f t="shared" si="42"/>
        <v>POLM</v>
      </c>
      <c r="K488" s="31" t="s">
        <v>10</v>
      </c>
      <c r="L488" s="52">
        <v>400</v>
      </c>
      <c r="M488" s="31" t="s">
        <v>136</v>
      </c>
      <c r="N488" s="31" t="s">
        <v>11</v>
      </c>
      <c r="O488" s="53">
        <v>43.3628</v>
      </c>
      <c r="P488" s="35">
        <f t="shared" si="43"/>
        <v>17345.12</v>
      </c>
      <c r="Q488" s="36">
        <f t="shared" si="44"/>
        <v>7.3003400000000003</v>
      </c>
      <c r="R488" s="36">
        <f t="shared" si="45"/>
        <v>5.9398</v>
      </c>
      <c r="S488" s="37">
        <f t="shared" si="46"/>
        <v>2375.92</v>
      </c>
      <c r="T488" s="36" t="s">
        <v>349</v>
      </c>
      <c r="U488" s="31" t="s">
        <v>272</v>
      </c>
      <c r="V488" s="57">
        <v>7.1879</v>
      </c>
      <c r="W488" s="38">
        <f t="shared" si="47"/>
        <v>2413.0997927071885</v>
      </c>
    </row>
    <row r="489" spans="1:23">
      <c r="A489" s="31" t="s">
        <v>676</v>
      </c>
      <c r="B489" s="32">
        <v>45667</v>
      </c>
      <c r="C489" s="32">
        <v>45638</v>
      </c>
      <c r="D489" s="31" t="s">
        <v>311</v>
      </c>
      <c r="E489" s="31" t="s">
        <v>312</v>
      </c>
      <c r="G489" s="31" t="s">
        <v>675</v>
      </c>
      <c r="H489" s="31" t="s">
        <v>341</v>
      </c>
      <c r="I489" s="31" t="s">
        <v>342</v>
      </c>
      <c r="J489" s="34" t="str">
        <f t="shared" si="42"/>
        <v>INM-</v>
      </c>
      <c r="K489" s="31" t="s">
        <v>10</v>
      </c>
      <c r="L489" s="52">
        <v>25</v>
      </c>
      <c r="M489" s="31" t="s">
        <v>186</v>
      </c>
      <c r="N489" s="31" t="s">
        <v>11</v>
      </c>
      <c r="O489" s="53">
        <v>63.008800000000001</v>
      </c>
      <c r="P489" s="35">
        <f t="shared" si="43"/>
        <v>1575.22</v>
      </c>
      <c r="Q489" s="36">
        <f t="shared" si="44"/>
        <v>7.3003400000000003</v>
      </c>
      <c r="R489" s="36">
        <f t="shared" si="45"/>
        <v>8.6309000000000005</v>
      </c>
      <c r="S489" s="37">
        <f t="shared" si="46"/>
        <v>215.77</v>
      </c>
      <c r="T489" s="36" t="s">
        <v>349</v>
      </c>
      <c r="U489" s="31" t="s">
        <v>327</v>
      </c>
      <c r="V489" s="57">
        <v>7.1879</v>
      </c>
      <c r="W489" s="38">
        <f t="shared" si="47"/>
        <v>219.1488473684943</v>
      </c>
    </row>
    <row r="490" spans="1:23">
      <c r="A490" s="31" t="s">
        <v>343</v>
      </c>
      <c r="B490" s="32">
        <v>45672</v>
      </c>
      <c r="C490" s="32">
        <v>45652</v>
      </c>
      <c r="D490" s="31" t="s">
        <v>311</v>
      </c>
      <c r="E490" s="31" t="s">
        <v>312</v>
      </c>
      <c r="G490" s="31" t="s">
        <v>344</v>
      </c>
      <c r="H490" s="31" t="s">
        <v>341</v>
      </c>
      <c r="I490" s="31" t="s">
        <v>342</v>
      </c>
      <c r="J490" s="34" t="str">
        <f t="shared" si="42"/>
        <v>INM-</v>
      </c>
      <c r="K490" s="31" t="s">
        <v>10</v>
      </c>
      <c r="L490" s="52">
        <v>100</v>
      </c>
      <c r="M490" s="31" t="s">
        <v>186</v>
      </c>
      <c r="N490" s="31" t="s">
        <v>11</v>
      </c>
      <c r="O490" s="53">
        <v>63.008800000000001</v>
      </c>
      <c r="P490" s="35">
        <f t="shared" si="43"/>
        <v>6300.88</v>
      </c>
      <c r="Q490" s="36">
        <f t="shared" si="44"/>
        <v>7.3003400000000003</v>
      </c>
      <c r="R490" s="36">
        <f t="shared" si="45"/>
        <v>8.6309000000000005</v>
      </c>
      <c r="S490" s="37">
        <f t="shared" si="46"/>
        <v>863.09</v>
      </c>
      <c r="T490" s="36" t="s">
        <v>349</v>
      </c>
      <c r="U490" s="31" t="s">
        <v>327</v>
      </c>
      <c r="V490" s="57">
        <v>7.1879</v>
      </c>
      <c r="W490" s="38">
        <f t="shared" si="47"/>
        <v>876.59538947397721</v>
      </c>
    </row>
    <row r="491" spans="1:23">
      <c r="A491" s="31" t="s">
        <v>333</v>
      </c>
      <c r="B491" s="32">
        <v>45672</v>
      </c>
      <c r="C491" s="32">
        <v>45657</v>
      </c>
      <c r="D491" s="31" t="s">
        <v>311</v>
      </c>
      <c r="E491" s="31" t="s">
        <v>312</v>
      </c>
      <c r="G491" s="31" t="s">
        <v>326</v>
      </c>
      <c r="H491" s="31" t="s">
        <v>331</v>
      </c>
      <c r="I491" s="31" t="s">
        <v>332</v>
      </c>
      <c r="J491" s="34" t="str">
        <f t="shared" si="42"/>
        <v>INM-</v>
      </c>
      <c r="K491" s="31" t="s">
        <v>10</v>
      </c>
      <c r="L491" s="52">
        <v>25</v>
      </c>
      <c r="M491" s="31" t="s">
        <v>186</v>
      </c>
      <c r="N491" s="31" t="s">
        <v>11</v>
      </c>
      <c r="O491" s="53">
        <v>64.778800000000004</v>
      </c>
      <c r="P491" s="35">
        <f t="shared" si="43"/>
        <v>1619.47</v>
      </c>
      <c r="Q491" s="36">
        <f t="shared" si="44"/>
        <v>7.3003400000000003</v>
      </c>
      <c r="R491" s="36">
        <f t="shared" si="45"/>
        <v>8.8734000000000002</v>
      </c>
      <c r="S491" s="37">
        <f t="shared" si="46"/>
        <v>221.84</v>
      </c>
      <c r="T491" s="36" t="s">
        <v>349</v>
      </c>
      <c r="U491" s="31" t="s">
        <v>327</v>
      </c>
      <c r="V491" s="57">
        <v>7.1879</v>
      </c>
      <c r="W491" s="38">
        <f t="shared" si="47"/>
        <v>225.30502650287292</v>
      </c>
    </row>
    <row r="492" spans="1:23">
      <c r="A492" s="31" t="s">
        <v>677</v>
      </c>
      <c r="B492" s="32">
        <v>45667</v>
      </c>
      <c r="C492" s="32">
        <v>45638</v>
      </c>
      <c r="D492" s="31" t="s">
        <v>311</v>
      </c>
      <c r="E492" s="31" t="s">
        <v>312</v>
      </c>
      <c r="G492" s="31" t="s">
        <v>675</v>
      </c>
      <c r="H492" s="31" t="s">
        <v>328</v>
      </c>
      <c r="I492" s="31" t="s">
        <v>329</v>
      </c>
      <c r="J492" s="34" t="str">
        <f t="shared" si="42"/>
        <v>INM-</v>
      </c>
      <c r="K492" s="31" t="s">
        <v>10</v>
      </c>
      <c r="L492" s="52">
        <v>25</v>
      </c>
      <c r="M492" s="31" t="s">
        <v>186</v>
      </c>
      <c r="N492" s="31" t="s">
        <v>11</v>
      </c>
      <c r="O492" s="53">
        <v>69.026499999999999</v>
      </c>
      <c r="P492" s="35">
        <f t="shared" si="43"/>
        <v>1725.66</v>
      </c>
      <c r="Q492" s="36">
        <f t="shared" si="44"/>
        <v>7.3003400000000003</v>
      </c>
      <c r="R492" s="36">
        <f t="shared" si="45"/>
        <v>9.4551999999999996</v>
      </c>
      <c r="S492" s="37">
        <f t="shared" si="46"/>
        <v>236.38</v>
      </c>
      <c r="T492" s="36" t="s">
        <v>349</v>
      </c>
      <c r="U492" s="31" t="s">
        <v>327</v>
      </c>
      <c r="V492" s="57">
        <v>7.1879</v>
      </c>
      <c r="W492" s="38">
        <f t="shared" si="47"/>
        <v>240.07881300518926</v>
      </c>
    </row>
    <row r="493" spans="1:23">
      <c r="A493" s="31" t="s">
        <v>674</v>
      </c>
      <c r="B493" s="32">
        <v>45667</v>
      </c>
      <c r="C493" s="32">
        <v>45638</v>
      </c>
      <c r="D493" s="31" t="s">
        <v>311</v>
      </c>
      <c r="E493" s="31" t="s">
        <v>312</v>
      </c>
      <c r="G493" s="31" t="s">
        <v>675</v>
      </c>
      <c r="H493" s="31" t="s">
        <v>323</v>
      </c>
      <c r="I493" s="31" t="s">
        <v>324</v>
      </c>
      <c r="J493" s="34" t="str">
        <f t="shared" si="42"/>
        <v>INM-</v>
      </c>
      <c r="K493" s="31" t="s">
        <v>10</v>
      </c>
      <c r="L493" s="52">
        <v>50</v>
      </c>
      <c r="M493" s="31" t="s">
        <v>186</v>
      </c>
      <c r="N493" s="31" t="s">
        <v>11</v>
      </c>
      <c r="O493" s="53">
        <v>69.026499999999999</v>
      </c>
      <c r="P493" s="35">
        <f t="shared" si="43"/>
        <v>3451.33</v>
      </c>
      <c r="Q493" s="36">
        <f t="shared" si="44"/>
        <v>7.3003400000000003</v>
      </c>
      <c r="R493" s="36">
        <f t="shared" si="45"/>
        <v>9.4551999999999996</v>
      </c>
      <c r="S493" s="37">
        <f t="shared" si="46"/>
        <v>472.76</v>
      </c>
      <c r="T493" s="36" t="s">
        <v>349</v>
      </c>
      <c r="U493" s="31" t="s">
        <v>327</v>
      </c>
      <c r="V493" s="57">
        <v>7.1879</v>
      </c>
      <c r="W493" s="38">
        <f t="shared" si="47"/>
        <v>480.15762601037852</v>
      </c>
    </row>
    <row r="494" spans="1:23">
      <c r="A494" s="31" t="s">
        <v>340</v>
      </c>
      <c r="B494" s="32">
        <v>45672</v>
      </c>
      <c r="C494" s="32">
        <v>45657</v>
      </c>
      <c r="D494" s="31" t="s">
        <v>311</v>
      </c>
      <c r="E494" s="31" t="s">
        <v>312</v>
      </c>
      <c r="G494" s="31" t="s">
        <v>326</v>
      </c>
      <c r="H494" s="31" t="s">
        <v>328</v>
      </c>
      <c r="I494" s="31" t="s">
        <v>329</v>
      </c>
      <c r="J494" s="34" t="str">
        <f t="shared" si="42"/>
        <v>INM-</v>
      </c>
      <c r="K494" s="31" t="s">
        <v>10</v>
      </c>
      <c r="L494" s="52">
        <v>25</v>
      </c>
      <c r="M494" s="31" t="s">
        <v>186</v>
      </c>
      <c r="N494" s="31" t="s">
        <v>11</v>
      </c>
      <c r="O494" s="53">
        <v>69.026499999999999</v>
      </c>
      <c r="P494" s="35">
        <f t="shared" si="43"/>
        <v>1725.66</v>
      </c>
      <c r="Q494" s="36">
        <f t="shared" si="44"/>
        <v>7.3003400000000003</v>
      </c>
      <c r="R494" s="36">
        <f t="shared" si="45"/>
        <v>9.4551999999999996</v>
      </c>
      <c r="S494" s="37">
        <f t="shared" si="46"/>
        <v>236.38</v>
      </c>
      <c r="T494" s="36" t="s">
        <v>349</v>
      </c>
      <c r="U494" s="31" t="s">
        <v>327</v>
      </c>
      <c r="V494" s="57">
        <v>7.1879</v>
      </c>
      <c r="W494" s="38">
        <f t="shared" si="47"/>
        <v>240.07881300518926</v>
      </c>
    </row>
    <row r="495" spans="1:23">
      <c r="A495" s="31" t="s">
        <v>330</v>
      </c>
      <c r="B495" s="32">
        <v>45672</v>
      </c>
      <c r="C495" s="32">
        <v>45657</v>
      </c>
      <c r="D495" s="31" t="s">
        <v>311</v>
      </c>
      <c r="E495" s="31" t="s">
        <v>312</v>
      </c>
      <c r="G495" s="31" t="s">
        <v>326</v>
      </c>
      <c r="H495" s="31" t="s">
        <v>328</v>
      </c>
      <c r="I495" s="31" t="s">
        <v>329</v>
      </c>
      <c r="J495" s="34" t="str">
        <f t="shared" si="42"/>
        <v>INM-</v>
      </c>
      <c r="K495" s="31" t="s">
        <v>10</v>
      </c>
      <c r="L495" s="52">
        <v>75</v>
      </c>
      <c r="M495" s="31" t="s">
        <v>186</v>
      </c>
      <c r="N495" s="31" t="s">
        <v>11</v>
      </c>
      <c r="O495" s="53">
        <v>69.026499999999999</v>
      </c>
      <c r="P495" s="35">
        <f t="shared" si="43"/>
        <v>5176.99</v>
      </c>
      <c r="Q495" s="36">
        <f t="shared" si="44"/>
        <v>7.3003400000000003</v>
      </c>
      <c r="R495" s="36">
        <f t="shared" si="45"/>
        <v>9.4551999999999996</v>
      </c>
      <c r="S495" s="37">
        <f t="shared" si="46"/>
        <v>709.14</v>
      </c>
      <c r="T495" s="36" t="s">
        <v>349</v>
      </c>
      <c r="U495" s="31" t="s">
        <v>327</v>
      </c>
      <c r="V495" s="57">
        <v>7.1879</v>
      </c>
      <c r="W495" s="38">
        <f t="shared" si="47"/>
        <v>720.23643901556784</v>
      </c>
    </row>
    <row r="496" spans="1:23">
      <c r="A496" s="31" t="s">
        <v>325</v>
      </c>
      <c r="B496" s="32">
        <v>45672</v>
      </c>
      <c r="C496" s="32">
        <v>45657</v>
      </c>
      <c r="D496" s="31" t="s">
        <v>311</v>
      </c>
      <c r="E496" s="31" t="s">
        <v>312</v>
      </c>
      <c r="G496" s="31" t="s">
        <v>326</v>
      </c>
      <c r="H496" s="31" t="s">
        <v>323</v>
      </c>
      <c r="I496" s="31" t="s">
        <v>324</v>
      </c>
      <c r="J496" s="34" t="str">
        <f t="shared" si="42"/>
        <v>INM-</v>
      </c>
      <c r="K496" s="31" t="s">
        <v>10</v>
      </c>
      <c r="L496" s="52">
        <v>25</v>
      </c>
      <c r="M496" s="31" t="s">
        <v>186</v>
      </c>
      <c r="N496" s="31" t="s">
        <v>11</v>
      </c>
      <c r="O496" s="53">
        <v>69.026499999999999</v>
      </c>
      <c r="P496" s="35">
        <f t="shared" si="43"/>
        <v>1725.66</v>
      </c>
      <c r="Q496" s="36">
        <f t="shared" si="44"/>
        <v>7.3003400000000003</v>
      </c>
      <c r="R496" s="36">
        <f t="shared" si="45"/>
        <v>9.4551999999999996</v>
      </c>
      <c r="S496" s="37">
        <f t="shared" si="46"/>
        <v>236.38</v>
      </c>
      <c r="T496" s="36" t="s">
        <v>349</v>
      </c>
      <c r="U496" s="31" t="s">
        <v>327</v>
      </c>
      <c r="V496" s="57">
        <v>7.1879</v>
      </c>
      <c r="W496" s="38">
        <f t="shared" si="47"/>
        <v>240.07881300518926</v>
      </c>
    </row>
    <row r="497" spans="1:23">
      <c r="A497" s="31" t="s">
        <v>336</v>
      </c>
      <c r="B497" s="32">
        <v>45672</v>
      </c>
      <c r="C497" s="32">
        <v>45657</v>
      </c>
      <c r="D497" s="31" t="s">
        <v>311</v>
      </c>
      <c r="E497" s="31" t="s">
        <v>312</v>
      </c>
      <c r="G497" s="31" t="s">
        <v>326</v>
      </c>
      <c r="H497" s="31" t="s">
        <v>334</v>
      </c>
      <c r="I497" s="31" t="s">
        <v>335</v>
      </c>
      <c r="J497" s="34" t="str">
        <f t="shared" si="42"/>
        <v>EXM-</v>
      </c>
      <c r="K497" s="31" t="s">
        <v>10</v>
      </c>
      <c r="L497" s="52">
        <v>75</v>
      </c>
      <c r="M497" s="31" t="s">
        <v>186</v>
      </c>
      <c r="N497" s="31" t="s">
        <v>11</v>
      </c>
      <c r="O497" s="53">
        <v>70.353999999999999</v>
      </c>
      <c r="P497" s="35">
        <f t="shared" si="43"/>
        <v>5276.55</v>
      </c>
      <c r="Q497" s="36">
        <f t="shared" si="44"/>
        <v>7.3003400000000003</v>
      </c>
      <c r="R497" s="36">
        <f t="shared" si="45"/>
        <v>9.6371000000000002</v>
      </c>
      <c r="S497" s="37">
        <f t="shared" si="46"/>
        <v>722.78</v>
      </c>
      <c r="T497" s="36" t="s">
        <v>349</v>
      </c>
      <c r="U497" s="31" t="s">
        <v>315</v>
      </c>
      <c r="V497" s="57">
        <v>7.1879</v>
      </c>
      <c r="W497" s="38">
        <f t="shared" si="47"/>
        <v>734.08784206791972</v>
      </c>
    </row>
    <row r="498" spans="1:23">
      <c r="A498" s="31" t="s">
        <v>339</v>
      </c>
      <c r="B498" s="32">
        <v>45672</v>
      </c>
      <c r="C498" s="32">
        <v>45657</v>
      </c>
      <c r="D498" s="31" t="s">
        <v>311</v>
      </c>
      <c r="E498" s="31" t="s">
        <v>312</v>
      </c>
      <c r="G498" s="31" t="s">
        <v>326</v>
      </c>
      <c r="H498" s="31" t="s">
        <v>337</v>
      </c>
      <c r="I498" s="31" t="s">
        <v>338</v>
      </c>
      <c r="J498" s="34" t="str">
        <f t="shared" si="42"/>
        <v>EXM-</v>
      </c>
      <c r="K498" s="31" t="s">
        <v>10</v>
      </c>
      <c r="L498" s="52">
        <v>75</v>
      </c>
      <c r="M498" s="31" t="s">
        <v>186</v>
      </c>
      <c r="N498" s="31" t="s">
        <v>11</v>
      </c>
      <c r="O498" s="53">
        <v>71.769900000000007</v>
      </c>
      <c r="P498" s="35">
        <f t="shared" si="43"/>
        <v>5382.74</v>
      </c>
      <c r="Q498" s="36">
        <f t="shared" si="44"/>
        <v>7.3003400000000003</v>
      </c>
      <c r="R498" s="36">
        <f t="shared" si="45"/>
        <v>9.8309999999999995</v>
      </c>
      <c r="S498" s="37">
        <f t="shared" si="46"/>
        <v>737.33</v>
      </c>
      <c r="T498" s="36" t="s">
        <v>349</v>
      </c>
      <c r="U498" s="31" t="s">
        <v>315</v>
      </c>
      <c r="V498" s="57">
        <v>7.1879</v>
      </c>
      <c r="W498" s="38">
        <f t="shared" si="47"/>
        <v>748.86162857023612</v>
      </c>
    </row>
    <row r="499" spans="1:23">
      <c r="A499" s="31" t="s">
        <v>1239</v>
      </c>
      <c r="B499" s="32">
        <v>45663</v>
      </c>
      <c r="C499" s="32">
        <v>45638</v>
      </c>
      <c r="D499" s="31" t="s">
        <v>311</v>
      </c>
      <c r="E499" s="31" t="s">
        <v>312</v>
      </c>
      <c r="G499" s="31" t="s">
        <v>1236</v>
      </c>
      <c r="H499" s="31" t="s">
        <v>1237</v>
      </c>
      <c r="I499" s="31" t="s">
        <v>1238</v>
      </c>
      <c r="J499" s="34" t="str">
        <f t="shared" si="42"/>
        <v>EXM-</v>
      </c>
      <c r="K499" s="31" t="s">
        <v>10</v>
      </c>
      <c r="L499" s="52">
        <v>25</v>
      </c>
      <c r="M499" s="31" t="s">
        <v>186</v>
      </c>
      <c r="N499" s="31" t="s">
        <v>11</v>
      </c>
      <c r="O499" s="53">
        <v>90.177000000000007</v>
      </c>
      <c r="P499" s="35">
        <f t="shared" si="43"/>
        <v>2254.4299999999998</v>
      </c>
      <c r="Q499" s="36">
        <f t="shared" si="44"/>
        <v>7.3003400000000003</v>
      </c>
      <c r="R499" s="36">
        <f t="shared" si="45"/>
        <v>12.352399999999999</v>
      </c>
      <c r="S499" s="37">
        <f t="shared" si="46"/>
        <v>308.81</v>
      </c>
      <c r="T499" s="36" t="s">
        <v>349</v>
      </c>
      <c r="U499" s="31" t="s">
        <v>315</v>
      </c>
      <c r="V499" s="57">
        <v>7.1879</v>
      </c>
      <c r="W499" s="38">
        <f t="shared" si="47"/>
        <v>313.64167559370611</v>
      </c>
    </row>
    <row r="500" spans="1:23">
      <c r="A500" s="31" t="s">
        <v>1243</v>
      </c>
      <c r="B500" s="32">
        <v>45663</v>
      </c>
      <c r="C500" s="32">
        <v>45638</v>
      </c>
      <c r="D500" s="31" t="s">
        <v>311</v>
      </c>
      <c r="E500" s="31" t="s">
        <v>312</v>
      </c>
      <c r="G500" s="31" t="s">
        <v>1244</v>
      </c>
      <c r="H500" s="31" t="s">
        <v>662</v>
      </c>
      <c r="I500" s="31" t="s">
        <v>663</v>
      </c>
      <c r="J500" s="34" t="str">
        <f t="shared" si="42"/>
        <v>INM-</v>
      </c>
      <c r="K500" s="31" t="s">
        <v>10</v>
      </c>
      <c r="L500" s="52">
        <v>50</v>
      </c>
      <c r="M500" s="31" t="s">
        <v>186</v>
      </c>
      <c r="N500" s="31" t="s">
        <v>11</v>
      </c>
      <c r="O500" s="53">
        <v>92.743399999999994</v>
      </c>
      <c r="P500" s="35">
        <f t="shared" si="43"/>
        <v>4637.17</v>
      </c>
      <c r="Q500" s="36">
        <f t="shared" si="44"/>
        <v>7.3003400000000003</v>
      </c>
      <c r="R500" s="36">
        <f t="shared" si="45"/>
        <v>12.704000000000001</v>
      </c>
      <c r="S500" s="37">
        <f t="shared" si="46"/>
        <v>635.20000000000005</v>
      </c>
      <c r="T500" s="36" t="s">
        <v>349</v>
      </c>
      <c r="U500" s="31" t="s">
        <v>327</v>
      </c>
      <c r="V500" s="57">
        <v>7.1879</v>
      </c>
      <c r="W500" s="38">
        <f t="shared" si="47"/>
        <v>645.13557506364862</v>
      </c>
    </row>
    <row r="501" spans="1:23">
      <c r="A501" s="31" t="s">
        <v>672</v>
      </c>
      <c r="B501" s="32">
        <v>45667</v>
      </c>
      <c r="C501" s="32">
        <v>45643</v>
      </c>
      <c r="D501" s="31" t="s">
        <v>311</v>
      </c>
      <c r="E501" s="31" t="s">
        <v>312</v>
      </c>
      <c r="G501" s="31" t="s">
        <v>665</v>
      </c>
      <c r="H501" s="31" t="s">
        <v>662</v>
      </c>
      <c r="I501" s="31" t="s">
        <v>663</v>
      </c>
      <c r="J501" s="34" t="str">
        <f t="shared" si="42"/>
        <v>INM-</v>
      </c>
      <c r="K501" s="31" t="s">
        <v>10</v>
      </c>
      <c r="L501" s="52">
        <v>50</v>
      </c>
      <c r="M501" s="31" t="s">
        <v>186</v>
      </c>
      <c r="N501" s="31" t="s">
        <v>11</v>
      </c>
      <c r="O501" s="53">
        <v>92.743399999999994</v>
      </c>
      <c r="P501" s="35">
        <f t="shared" si="43"/>
        <v>4637.17</v>
      </c>
      <c r="Q501" s="36">
        <f t="shared" si="44"/>
        <v>7.3003400000000003</v>
      </c>
      <c r="R501" s="36">
        <f t="shared" si="45"/>
        <v>12.704000000000001</v>
      </c>
      <c r="S501" s="37">
        <f t="shared" si="46"/>
        <v>635.20000000000005</v>
      </c>
      <c r="T501" s="36" t="s">
        <v>349</v>
      </c>
      <c r="U501" s="31" t="s">
        <v>327</v>
      </c>
      <c r="V501" s="57">
        <v>7.1879</v>
      </c>
      <c r="W501" s="38">
        <f t="shared" si="47"/>
        <v>645.13557506364862</v>
      </c>
    </row>
    <row r="502" spans="1:23">
      <c r="A502" s="31" t="s">
        <v>664</v>
      </c>
      <c r="B502" s="32">
        <v>45667</v>
      </c>
      <c r="C502" s="32">
        <v>45643</v>
      </c>
      <c r="D502" s="31" t="s">
        <v>311</v>
      </c>
      <c r="E502" s="31" t="s">
        <v>312</v>
      </c>
      <c r="G502" s="31" t="s">
        <v>665</v>
      </c>
      <c r="H502" s="31" t="s">
        <v>662</v>
      </c>
      <c r="I502" s="31" t="s">
        <v>663</v>
      </c>
      <c r="J502" s="34" t="str">
        <f t="shared" si="42"/>
        <v>INM-</v>
      </c>
      <c r="K502" s="31" t="s">
        <v>10</v>
      </c>
      <c r="L502" s="52">
        <v>100</v>
      </c>
      <c r="M502" s="31" t="s">
        <v>186</v>
      </c>
      <c r="N502" s="31" t="s">
        <v>11</v>
      </c>
      <c r="O502" s="53">
        <v>92.743399999999994</v>
      </c>
      <c r="P502" s="35">
        <f t="shared" si="43"/>
        <v>9274.34</v>
      </c>
      <c r="Q502" s="36">
        <f t="shared" si="44"/>
        <v>7.3003400000000003</v>
      </c>
      <c r="R502" s="36">
        <f t="shared" si="45"/>
        <v>12.704000000000001</v>
      </c>
      <c r="S502" s="37">
        <f t="shared" si="46"/>
        <v>1270.4000000000001</v>
      </c>
      <c r="T502" s="36" t="s">
        <v>349</v>
      </c>
      <c r="U502" s="31" t="s">
        <v>327</v>
      </c>
      <c r="V502" s="57">
        <v>7.1879</v>
      </c>
      <c r="W502" s="38">
        <f t="shared" si="47"/>
        <v>1290.2711501272972</v>
      </c>
    </row>
    <row r="503" spans="1:23">
      <c r="A503" s="31" t="s">
        <v>313</v>
      </c>
      <c r="B503" s="32">
        <v>45672</v>
      </c>
      <c r="C503" s="32">
        <v>45664</v>
      </c>
      <c r="D503" s="31" t="s">
        <v>311</v>
      </c>
      <c r="E503" s="31" t="s">
        <v>312</v>
      </c>
      <c r="G503" s="31" t="s">
        <v>314</v>
      </c>
      <c r="H503" s="31" t="s">
        <v>309</v>
      </c>
      <c r="I503" s="31" t="s">
        <v>310</v>
      </c>
      <c r="J503" s="34" t="str">
        <f t="shared" si="42"/>
        <v>EXM-</v>
      </c>
      <c r="K503" s="31" t="s">
        <v>10</v>
      </c>
      <c r="L503" s="52">
        <v>25</v>
      </c>
      <c r="M503" s="31" t="s">
        <v>186</v>
      </c>
      <c r="N503" s="31" t="s">
        <v>11</v>
      </c>
      <c r="O503" s="53">
        <v>102.0354</v>
      </c>
      <c r="P503" s="35">
        <f t="shared" si="43"/>
        <v>2550.89</v>
      </c>
      <c r="Q503" s="36">
        <f t="shared" si="44"/>
        <v>7.3003400000000003</v>
      </c>
      <c r="R503" s="36">
        <f t="shared" si="45"/>
        <v>13.976800000000001</v>
      </c>
      <c r="S503" s="37">
        <f t="shared" si="46"/>
        <v>349.42</v>
      </c>
      <c r="T503" s="36" t="s">
        <v>349</v>
      </c>
      <c r="U503" s="31" t="s">
        <v>315</v>
      </c>
      <c r="V503" s="57">
        <v>7.1879</v>
      </c>
      <c r="W503" s="38">
        <f t="shared" si="47"/>
        <v>354.88598895365823</v>
      </c>
    </row>
    <row r="504" spans="1:23">
      <c r="A504" s="31" t="s">
        <v>668</v>
      </c>
      <c r="B504" s="32">
        <v>45667</v>
      </c>
      <c r="C504" s="32">
        <v>45643</v>
      </c>
      <c r="D504" s="31" t="s">
        <v>311</v>
      </c>
      <c r="E504" s="31" t="s">
        <v>312</v>
      </c>
      <c r="G504" s="31" t="s">
        <v>665</v>
      </c>
      <c r="H504" s="31" t="s">
        <v>666</v>
      </c>
      <c r="I504" s="31" t="s">
        <v>667</v>
      </c>
      <c r="J504" s="34" t="str">
        <f t="shared" si="42"/>
        <v>INM-</v>
      </c>
      <c r="K504" s="31" t="s">
        <v>10</v>
      </c>
      <c r="L504" s="52">
        <v>50</v>
      </c>
      <c r="M504" s="31" t="s">
        <v>186</v>
      </c>
      <c r="N504" s="31" t="s">
        <v>11</v>
      </c>
      <c r="O504" s="53">
        <v>105.0442</v>
      </c>
      <c r="P504" s="35">
        <f t="shared" si="43"/>
        <v>5252.21</v>
      </c>
      <c r="Q504" s="36">
        <f t="shared" si="44"/>
        <v>7.3003400000000003</v>
      </c>
      <c r="R504" s="36">
        <f t="shared" si="45"/>
        <v>14.3889</v>
      </c>
      <c r="S504" s="37">
        <f t="shared" si="46"/>
        <v>719.45</v>
      </c>
      <c r="T504" s="36" t="s">
        <v>349</v>
      </c>
      <c r="U504" s="31" t="s">
        <v>327</v>
      </c>
      <c r="V504" s="57">
        <v>7.1879</v>
      </c>
      <c r="W504" s="38">
        <f t="shared" si="47"/>
        <v>730.70159573728074</v>
      </c>
    </row>
    <row r="505" spans="1:23">
      <c r="A505" s="31" t="s">
        <v>673</v>
      </c>
      <c r="B505" s="32">
        <v>45667</v>
      </c>
      <c r="C505" s="32">
        <v>45643</v>
      </c>
      <c r="D505" s="31" t="s">
        <v>311</v>
      </c>
      <c r="E505" s="31" t="s">
        <v>312</v>
      </c>
      <c r="G505" s="31" t="s">
        <v>665</v>
      </c>
      <c r="H505" s="31" t="s">
        <v>669</v>
      </c>
      <c r="I505" s="31" t="s">
        <v>670</v>
      </c>
      <c r="J505" s="34" t="str">
        <f t="shared" si="42"/>
        <v>INM-</v>
      </c>
      <c r="K505" s="31" t="s">
        <v>10</v>
      </c>
      <c r="L505" s="52">
        <v>25</v>
      </c>
      <c r="M505" s="31" t="s">
        <v>186</v>
      </c>
      <c r="N505" s="31" t="s">
        <v>11</v>
      </c>
      <c r="O505" s="53">
        <v>110.17700000000001</v>
      </c>
      <c r="P505" s="35">
        <f t="shared" si="43"/>
        <v>2754.43</v>
      </c>
      <c r="Q505" s="36">
        <f t="shared" si="44"/>
        <v>7.3003400000000003</v>
      </c>
      <c r="R505" s="36">
        <f t="shared" si="45"/>
        <v>15.092000000000001</v>
      </c>
      <c r="S505" s="37">
        <f t="shared" si="46"/>
        <v>377.3</v>
      </c>
      <c r="T505" s="36" t="s">
        <v>349</v>
      </c>
      <c r="U505" s="31" t="s">
        <v>327</v>
      </c>
      <c r="V505" s="57">
        <v>7.1879</v>
      </c>
      <c r="W505" s="38">
        <f t="shared" si="47"/>
        <v>383.20302174487682</v>
      </c>
    </row>
    <row r="506" spans="1:23">
      <c r="A506" s="31" t="s">
        <v>671</v>
      </c>
      <c r="B506" s="32">
        <v>45667</v>
      </c>
      <c r="C506" s="32">
        <v>45643</v>
      </c>
      <c r="D506" s="31" t="s">
        <v>311</v>
      </c>
      <c r="E506" s="31" t="s">
        <v>312</v>
      </c>
      <c r="G506" s="31" t="s">
        <v>665</v>
      </c>
      <c r="H506" s="31" t="s">
        <v>669</v>
      </c>
      <c r="I506" s="31" t="s">
        <v>670</v>
      </c>
      <c r="J506" s="34" t="str">
        <f t="shared" si="42"/>
        <v>INM-</v>
      </c>
      <c r="K506" s="31" t="s">
        <v>10</v>
      </c>
      <c r="L506" s="52">
        <v>75</v>
      </c>
      <c r="M506" s="31" t="s">
        <v>186</v>
      </c>
      <c r="N506" s="31" t="s">
        <v>11</v>
      </c>
      <c r="O506" s="53">
        <v>110.17700000000001</v>
      </c>
      <c r="P506" s="35">
        <f t="shared" si="43"/>
        <v>8263.2800000000007</v>
      </c>
      <c r="Q506" s="36">
        <f t="shared" si="44"/>
        <v>7.3003400000000003</v>
      </c>
      <c r="R506" s="36">
        <f t="shared" si="45"/>
        <v>15.092000000000001</v>
      </c>
      <c r="S506" s="37">
        <f t="shared" si="46"/>
        <v>1131.9000000000001</v>
      </c>
      <c r="T506" s="36" t="s">
        <v>349</v>
      </c>
      <c r="U506" s="31" t="s">
        <v>327</v>
      </c>
      <c r="V506" s="57">
        <v>7.1879</v>
      </c>
      <c r="W506" s="38">
        <f t="shared" si="47"/>
        <v>1149.6090652346304</v>
      </c>
    </row>
    <row r="507" spans="1:23">
      <c r="A507" s="31" t="s">
        <v>322</v>
      </c>
      <c r="B507" s="32">
        <v>45672</v>
      </c>
      <c r="C507" s="32">
        <v>45657</v>
      </c>
      <c r="D507" s="31" t="s">
        <v>311</v>
      </c>
      <c r="E507" s="31" t="s">
        <v>312</v>
      </c>
      <c r="G507" s="31" t="s">
        <v>319</v>
      </c>
      <c r="H507" s="31" t="s">
        <v>320</v>
      </c>
      <c r="I507" s="31" t="s">
        <v>321</v>
      </c>
      <c r="J507" s="34" t="str">
        <f t="shared" si="42"/>
        <v>EXM-</v>
      </c>
      <c r="K507" s="31" t="s">
        <v>10</v>
      </c>
      <c r="L507" s="52">
        <v>125</v>
      </c>
      <c r="M507" s="31" t="s">
        <v>186</v>
      </c>
      <c r="N507" s="31" t="s">
        <v>11</v>
      </c>
      <c r="O507" s="53">
        <v>110.6195</v>
      </c>
      <c r="P507" s="35">
        <f t="shared" si="43"/>
        <v>13827.44</v>
      </c>
      <c r="Q507" s="36">
        <f t="shared" si="44"/>
        <v>7.3003400000000003</v>
      </c>
      <c r="R507" s="36">
        <f t="shared" si="45"/>
        <v>15.152699999999999</v>
      </c>
      <c r="S507" s="37">
        <f t="shared" si="46"/>
        <v>1894.09</v>
      </c>
      <c r="T507" s="36" t="s">
        <v>349</v>
      </c>
      <c r="U507" s="31" t="s">
        <v>315</v>
      </c>
      <c r="V507" s="57">
        <v>7.1879</v>
      </c>
      <c r="W507" s="38">
        <f t="shared" si="47"/>
        <v>1923.7103326423573</v>
      </c>
    </row>
    <row r="508" spans="1:23">
      <c r="A508" s="31" t="s">
        <v>1235</v>
      </c>
      <c r="B508" s="32">
        <v>45663</v>
      </c>
      <c r="C508" s="32">
        <v>45638</v>
      </c>
      <c r="D508" s="31" t="s">
        <v>311</v>
      </c>
      <c r="E508" s="31" t="s">
        <v>312</v>
      </c>
      <c r="G508" s="31" t="s">
        <v>1236</v>
      </c>
      <c r="H508" s="31" t="s">
        <v>316</v>
      </c>
      <c r="I508" s="31" t="s">
        <v>317</v>
      </c>
      <c r="J508" s="34" t="str">
        <f t="shared" si="42"/>
        <v>EXM-</v>
      </c>
      <c r="K508" s="31" t="s">
        <v>10</v>
      </c>
      <c r="L508" s="52">
        <v>25</v>
      </c>
      <c r="M508" s="31" t="s">
        <v>186</v>
      </c>
      <c r="N508" s="31" t="s">
        <v>11</v>
      </c>
      <c r="O508" s="53">
        <v>117.3451</v>
      </c>
      <c r="P508" s="35">
        <f t="shared" si="43"/>
        <v>2933.63</v>
      </c>
      <c r="Q508" s="36">
        <f t="shared" si="44"/>
        <v>7.3003400000000003</v>
      </c>
      <c r="R508" s="36">
        <f t="shared" si="45"/>
        <v>16.073899999999998</v>
      </c>
      <c r="S508" s="37">
        <f t="shared" si="46"/>
        <v>401.85</v>
      </c>
      <c r="T508" s="36" t="s">
        <v>349</v>
      </c>
      <c r="U508" s="31" t="s">
        <v>315</v>
      </c>
      <c r="V508" s="57">
        <v>7.1879</v>
      </c>
      <c r="W508" s="38">
        <f t="shared" si="47"/>
        <v>408.13415601218719</v>
      </c>
    </row>
    <row r="509" spans="1:23">
      <c r="A509" s="31" t="s">
        <v>318</v>
      </c>
      <c r="B509" s="32">
        <v>45672</v>
      </c>
      <c r="C509" s="32">
        <v>45657</v>
      </c>
      <c r="D509" s="31" t="s">
        <v>311</v>
      </c>
      <c r="E509" s="31" t="s">
        <v>312</v>
      </c>
      <c r="G509" s="31" t="s">
        <v>319</v>
      </c>
      <c r="H509" s="31" t="s">
        <v>316</v>
      </c>
      <c r="I509" s="31" t="s">
        <v>317</v>
      </c>
      <c r="J509" s="34" t="str">
        <f t="shared" si="42"/>
        <v>EXM-</v>
      </c>
      <c r="K509" s="31" t="s">
        <v>10</v>
      </c>
      <c r="L509" s="52">
        <v>25</v>
      </c>
      <c r="M509" s="31" t="s">
        <v>186</v>
      </c>
      <c r="N509" s="31" t="s">
        <v>11</v>
      </c>
      <c r="O509" s="53">
        <v>117.3451</v>
      </c>
      <c r="P509" s="35">
        <f t="shared" si="43"/>
        <v>2933.63</v>
      </c>
      <c r="Q509" s="36">
        <f t="shared" si="44"/>
        <v>7.3003400000000003</v>
      </c>
      <c r="R509" s="36">
        <f t="shared" si="45"/>
        <v>16.073899999999998</v>
      </c>
      <c r="S509" s="37">
        <f t="shared" si="46"/>
        <v>401.85</v>
      </c>
      <c r="T509" s="36" t="s">
        <v>349</v>
      </c>
      <c r="U509" s="31" t="s">
        <v>315</v>
      </c>
      <c r="V509" s="57">
        <v>7.1879</v>
      </c>
      <c r="W509" s="38">
        <f t="shared" si="47"/>
        <v>408.13415601218719</v>
      </c>
    </row>
    <row r="510" spans="1:23">
      <c r="A510" s="31" t="s">
        <v>1242</v>
      </c>
      <c r="B510" s="32">
        <v>45663</v>
      </c>
      <c r="C510" s="32">
        <v>45638</v>
      </c>
      <c r="D510" s="31" t="s">
        <v>311</v>
      </c>
      <c r="E510" s="31" t="s">
        <v>312</v>
      </c>
      <c r="G510" s="31" t="s">
        <v>1236</v>
      </c>
      <c r="H510" s="31" t="s">
        <v>1240</v>
      </c>
      <c r="I510" s="31" t="s">
        <v>1241</v>
      </c>
      <c r="J510" s="34" t="str">
        <f t="shared" si="42"/>
        <v>EXM-</v>
      </c>
      <c r="K510" s="31" t="s">
        <v>10</v>
      </c>
      <c r="L510" s="52">
        <v>50</v>
      </c>
      <c r="M510" s="31" t="s">
        <v>186</v>
      </c>
      <c r="N510" s="31" t="s">
        <v>11</v>
      </c>
      <c r="O510" s="53">
        <v>118.6726</v>
      </c>
      <c r="P510" s="35">
        <f t="shared" si="43"/>
        <v>5933.63</v>
      </c>
      <c r="Q510" s="36">
        <f t="shared" si="44"/>
        <v>7.3003400000000003</v>
      </c>
      <c r="R510" s="36">
        <f t="shared" si="45"/>
        <v>16.255800000000001</v>
      </c>
      <c r="S510" s="37">
        <f t="shared" si="46"/>
        <v>812.79</v>
      </c>
      <c r="T510" s="36" t="s">
        <v>349</v>
      </c>
      <c r="U510" s="31" t="s">
        <v>315</v>
      </c>
      <c r="V510" s="57">
        <v>7.1879</v>
      </c>
      <c r="W510" s="38">
        <f t="shared" si="47"/>
        <v>825.50258072594215</v>
      </c>
    </row>
    <row r="511" spans="1:23">
      <c r="A511" s="31" t="s">
        <v>661</v>
      </c>
      <c r="B511" s="32">
        <v>45667</v>
      </c>
      <c r="C511" s="32">
        <v>45651</v>
      </c>
      <c r="D511" s="31" t="s">
        <v>311</v>
      </c>
      <c r="E511" s="31" t="s">
        <v>312</v>
      </c>
      <c r="G511" s="31" t="s">
        <v>658</v>
      </c>
      <c r="H511" s="31" t="s">
        <v>659</v>
      </c>
      <c r="I511" s="31" t="s">
        <v>660</v>
      </c>
      <c r="J511" s="34" t="str">
        <f t="shared" si="42"/>
        <v>INM-</v>
      </c>
      <c r="K511" s="31" t="s">
        <v>10</v>
      </c>
      <c r="L511" s="52">
        <v>25</v>
      </c>
      <c r="M511" s="31" t="s">
        <v>186</v>
      </c>
      <c r="N511" s="31" t="s">
        <v>11</v>
      </c>
      <c r="O511" s="53">
        <v>197.3451</v>
      </c>
      <c r="P511" s="35">
        <f t="shared" si="43"/>
        <v>4933.63</v>
      </c>
      <c r="Q511" s="36">
        <f t="shared" si="44"/>
        <v>7.3003400000000003</v>
      </c>
      <c r="R511" s="36">
        <f t="shared" si="45"/>
        <v>27.032299999999999</v>
      </c>
      <c r="S511" s="37">
        <f t="shared" si="46"/>
        <v>675.81</v>
      </c>
      <c r="T511" s="36" t="s">
        <v>349</v>
      </c>
      <c r="U511" s="31" t="s">
        <v>327</v>
      </c>
      <c r="V511" s="57">
        <v>7.1879</v>
      </c>
      <c r="W511" s="38">
        <f t="shared" si="47"/>
        <v>686.37954061687003</v>
      </c>
    </row>
    <row r="512" spans="1:23">
      <c r="A512" s="31" t="s">
        <v>657</v>
      </c>
      <c r="B512" s="32">
        <v>45667</v>
      </c>
      <c r="C512" s="32">
        <v>45651</v>
      </c>
      <c r="D512" s="31" t="s">
        <v>311</v>
      </c>
      <c r="E512" s="31" t="s">
        <v>312</v>
      </c>
      <c r="G512" s="31" t="s">
        <v>658</v>
      </c>
      <c r="H512" s="31" t="s">
        <v>655</v>
      </c>
      <c r="I512" s="31" t="s">
        <v>656</v>
      </c>
      <c r="J512" s="34" t="str">
        <f t="shared" si="42"/>
        <v>INM-</v>
      </c>
      <c r="K512" s="31" t="s">
        <v>10</v>
      </c>
      <c r="L512" s="52">
        <v>25</v>
      </c>
      <c r="M512" s="31" t="s">
        <v>186</v>
      </c>
      <c r="N512" s="31" t="s">
        <v>11</v>
      </c>
      <c r="O512" s="53">
        <v>197.3451</v>
      </c>
      <c r="P512" s="35">
        <f t="shared" si="43"/>
        <v>4933.63</v>
      </c>
      <c r="Q512" s="36">
        <f t="shared" si="44"/>
        <v>7.3003400000000003</v>
      </c>
      <c r="R512" s="36">
        <f t="shared" si="45"/>
        <v>27.032299999999999</v>
      </c>
      <c r="S512" s="37">
        <f t="shared" si="46"/>
        <v>675.81</v>
      </c>
      <c r="T512" s="36" t="s">
        <v>349</v>
      </c>
      <c r="U512" s="31" t="s">
        <v>327</v>
      </c>
      <c r="V512" s="57">
        <v>7.1879</v>
      </c>
      <c r="W512" s="38">
        <f t="shared" si="47"/>
        <v>686.37954061687003</v>
      </c>
    </row>
    <row r="513" spans="1:23">
      <c r="A513" s="31" t="s">
        <v>1280</v>
      </c>
      <c r="B513" s="32">
        <v>45660</v>
      </c>
      <c r="C513" s="32">
        <v>45644</v>
      </c>
      <c r="D513" s="31" t="s">
        <v>1278</v>
      </c>
      <c r="E513" s="31" t="s">
        <v>1279</v>
      </c>
      <c r="G513" s="31" t="s">
        <v>1281</v>
      </c>
      <c r="H513" s="31" t="s">
        <v>1276</v>
      </c>
      <c r="I513" s="31" t="s">
        <v>1277</v>
      </c>
      <c r="J513" s="34" t="str">
        <f t="shared" si="42"/>
        <v>POLM</v>
      </c>
      <c r="K513" s="31" t="s">
        <v>10</v>
      </c>
      <c r="L513" s="52">
        <v>200</v>
      </c>
      <c r="M513" s="31" t="s">
        <v>1472</v>
      </c>
      <c r="N513" s="31" t="s">
        <v>11</v>
      </c>
      <c r="O513" s="53">
        <v>210</v>
      </c>
      <c r="P513" s="35">
        <f t="shared" si="43"/>
        <v>42000</v>
      </c>
      <c r="Q513" s="36">
        <f t="shared" si="44"/>
        <v>7.3003400000000003</v>
      </c>
      <c r="R513" s="36">
        <f t="shared" si="45"/>
        <v>28.765799999999999</v>
      </c>
      <c r="S513" s="37">
        <f t="shared" si="46"/>
        <v>5753.16</v>
      </c>
      <c r="T513" s="36" t="s">
        <v>349</v>
      </c>
      <c r="U513" s="31" t="s">
        <v>272</v>
      </c>
      <c r="V513" s="57">
        <v>7.1879</v>
      </c>
      <c r="W513" s="38">
        <f t="shared" si="47"/>
        <v>5843.1530766983396</v>
      </c>
    </row>
    <row r="514" spans="1:23">
      <c r="A514" s="31" t="s">
        <v>1829</v>
      </c>
      <c r="B514" s="32">
        <v>45708</v>
      </c>
      <c r="C514" s="32">
        <v>45671</v>
      </c>
      <c r="D514" s="31" t="s">
        <v>169</v>
      </c>
      <c r="E514" s="31" t="s">
        <v>170</v>
      </c>
      <c r="G514" s="31" t="s">
        <v>2137</v>
      </c>
      <c r="H514" s="31" t="s">
        <v>1561</v>
      </c>
      <c r="I514" s="31" t="s">
        <v>1562</v>
      </c>
      <c r="J514" s="34" t="str">
        <f t="shared" ref="J514:J577" si="48">+LEFT(U514,4)</f>
        <v>STKR</v>
      </c>
      <c r="K514" s="31" t="s">
        <v>10</v>
      </c>
      <c r="L514" s="53">
        <v>5100</v>
      </c>
      <c r="M514" s="31" t="s">
        <v>1472</v>
      </c>
      <c r="N514" s="31" t="s">
        <v>11</v>
      </c>
      <c r="O514" s="53">
        <v>3.2000000000000001E-2</v>
      </c>
      <c r="P514" s="35">
        <f t="shared" ref="P514:P577" si="49">ROUND(O514*L514,2)</f>
        <v>163.19999999999999</v>
      </c>
      <c r="Q514" s="36">
        <f t="shared" ref="Q514:Q577" si="50">IF(N514="HKD",7.8,IF(N514="CNY",7.30034,1))</f>
        <v>7.3003400000000003</v>
      </c>
      <c r="R514" s="36">
        <f t="shared" ref="R514:R577" si="51">+ROUND(O514/Q514,4)</f>
        <v>4.4000000000000003E-3</v>
      </c>
      <c r="S514" s="37">
        <f t="shared" ref="S514:S577" si="52">ROUND(R514*L514,2)</f>
        <v>22.44</v>
      </c>
      <c r="T514" s="36" t="s">
        <v>349</v>
      </c>
      <c r="U514" s="31" t="s">
        <v>18</v>
      </c>
      <c r="V514" s="57">
        <v>7.1692999999999998</v>
      </c>
      <c r="W514" s="38">
        <f t="shared" ref="W514:W577" si="53">IF(N514="CNY",O514/V514*L514,1)</f>
        <v>22.763728676439818</v>
      </c>
    </row>
    <row r="515" spans="1:23">
      <c r="A515" s="31" t="s">
        <v>1830</v>
      </c>
      <c r="B515" s="32">
        <v>45713</v>
      </c>
      <c r="C515" s="32">
        <v>45670</v>
      </c>
      <c r="D515" s="31" t="s">
        <v>162</v>
      </c>
      <c r="E515" s="31" t="s">
        <v>163</v>
      </c>
      <c r="G515" s="31" t="s">
        <v>2138</v>
      </c>
      <c r="H515" s="31" t="s">
        <v>599</v>
      </c>
      <c r="I515" s="31" t="s">
        <v>600</v>
      </c>
      <c r="J515" s="34" t="str">
        <f t="shared" si="48"/>
        <v>SCR-</v>
      </c>
      <c r="K515" s="31" t="s">
        <v>10</v>
      </c>
      <c r="L515" s="53">
        <v>3400</v>
      </c>
      <c r="M515" s="31" t="s">
        <v>1472</v>
      </c>
      <c r="N515" s="31" t="s">
        <v>11</v>
      </c>
      <c r="O515" s="53">
        <v>4.1200000000000001E-2</v>
      </c>
      <c r="P515" s="35">
        <f t="shared" si="49"/>
        <v>140.08000000000001</v>
      </c>
      <c r="Q515" s="36">
        <f t="shared" si="50"/>
        <v>7.3003400000000003</v>
      </c>
      <c r="R515" s="36">
        <f t="shared" si="51"/>
        <v>5.5999999999999999E-3</v>
      </c>
      <c r="S515" s="37">
        <f t="shared" si="52"/>
        <v>19.04</v>
      </c>
      <c r="T515" s="36" t="s">
        <v>349</v>
      </c>
      <c r="U515" s="31" t="s">
        <v>166</v>
      </c>
      <c r="V515" s="57">
        <v>7.1692999999999998</v>
      </c>
      <c r="W515" s="38">
        <f t="shared" si="53"/>
        <v>19.538867113944178</v>
      </c>
    </row>
    <row r="516" spans="1:23">
      <c r="A516" s="31" t="s">
        <v>1830</v>
      </c>
      <c r="B516" s="32">
        <v>45712</v>
      </c>
      <c r="C516" s="32">
        <v>45670</v>
      </c>
      <c r="D516" s="31" t="s">
        <v>162</v>
      </c>
      <c r="E516" s="31" t="s">
        <v>163</v>
      </c>
      <c r="G516" s="31" t="s">
        <v>2139</v>
      </c>
      <c r="H516" s="31" t="s">
        <v>599</v>
      </c>
      <c r="I516" s="31" t="s">
        <v>600</v>
      </c>
      <c r="J516" s="34" t="str">
        <f t="shared" si="48"/>
        <v>SCR-</v>
      </c>
      <c r="K516" s="31" t="s">
        <v>10</v>
      </c>
      <c r="L516" s="53">
        <v>22600</v>
      </c>
      <c r="M516" s="31" t="s">
        <v>1472</v>
      </c>
      <c r="N516" s="31" t="s">
        <v>11</v>
      </c>
      <c r="O516" s="53">
        <v>4.1200000000000001E-2</v>
      </c>
      <c r="P516" s="35">
        <f t="shared" si="49"/>
        <v>931.12</v>
      </c>
      <c r="Q516" s="36">
        <f t="shared" si="50"/>
        <v>7.3003400000000003</v>
      </c>
      <c r="R516" s="36">
        <f t="shared" si="51"/>
        <v>5.5999999999999999E-3</v>
      </c>
      <c r="S516" s="37">
        <f t="shared" si="52"/>
        <v>126.56</v>
      </c>
      <c r="T516" s="36" t="s">
        <v>349</v>
      </c>
      <c r="U516" s="31" t="s">
        <v>166</v>
      </c>
      <c r="V516" s="57">
        <v>7.1692999999999998</v>
      </c>
      <c r="W516" s="38">
        <f t="shared" si="53"/>
        <v>129.87599905151131</v>
      </c>
    </row>
    <row r="517" spans="1:23">
      <c r="A517" s="31" t="s">
        <v>1830</v>
      </c>
      <c r="B517" s="32">
        <v>45712</v>
      </c>
      <c r="C517" s="32">
        <v>45670</v>
      </c>
      <c r="D517" s="31" t="s">
        <v>162</v>
      </c>
      <c r="E517" s="31" t="s">
        <v>163</v>
      </c>
      <c r="G517" s="31" t="s">
        <v>2140</v>
      </c>
      <c r="H517" s="31" t="s">
        <v>599</v>
      </c>
      <c r="I517" s="31" t="s">
        <v>600</v>
      </c>
      <c r="J517" s="34" t="str">
        <f t="shared" si="48"/>
        <v>SCR-</v>
      </c>
      <c r="K517" s="31" t="s">
        <v>10</v>
      </c>
      <c r="L517" s="53">
        <v>-26000</v>
      </c>
      <c r="M517" s="31" t="s">
        <v>1472</v>
      </c>
      <c r="N517" s="31" t="s">
        <v>11</v>
      </c>
      <c r="O517" s="53">
        <v>4.1200000000000001E-2</v>
      </c>
      <c r="P517" s="35">
        <f t="shared" si="49"/>
        <v>-1071.2</v>
      </c>
      <c r="Q517" s="36">
        <f t="shared" si="50"/>
        <v>7.3003400000000003</v>
      </c>
      <c r="R517" s="36">
        <f t="shared" si="51"/>
        <v>5.5999999999999999E-3</v>
      </c>
      <c r="S517" s="37">
        <f t="shared" si="52"/>
        <v>-145.6</v>
      </c>
      <c r="T517" s="36" t="s">
        <v>349</v>
      </c>
      <c r="U517" s="31" t="s">
        <v>166</v>
      </c>
      <c r="V517" s="57">
        <v>7.1692999999999998</v>
      </c>
      <c r="W517" s="38">
        <f t="shared" si="53"/>
        <v>-149.41486616545549</v>
      </c>
    </row>
    <row r="518" spans="1:23">
      <c r="A518" s="31" t="s">
        <v>1830</v>
      </c>
      <c r="B518" s="32">
        <v>45712</v>
      </c>
      <c r="C518" s="32">
        <v>45670</v>
      </c>
      <c r="D518" s="31" t="s">
        <v>162</v>
      </c>
      <c r="E518" s="31" t="s">
        <v>163</v>
      </c>
      <c r="G518" s="31" t="s">
        <v>2139</v>
      </c>
      <c r="H518" s="31" t="s">
        <v>599</v>
      </c>
      <c r="I518" s="31" t="s">
        <v>600</v>
      </c>
      <c r="J518" s="34" t="str">
        <f t="shared" si="48"/>
        <v>SCR-</v>
      </c>
      <c r="K518" s="31" t="s">
        <v>10</v>
      </c>
      <c r="L518" s="53">
        <v>26000</v>
      </c>
      <c r="M518" s="31" t="s">
        <v>1472</v>
      </c>
      <c r="N518" s="31" t="s">
        <v>11</v>
      </c>
      <c r="O518" s="53">
        <v>4.1200000000000001E-2</v>
      </c>
      <c r="P518" s="35">
        <f t="shared" si="49"/>
        <v>1071.2</v>
      </c>
      <c r="Q518" s="36">
        <f t="shared" si="50"/>
        <v>7.3003400000000003</v>
      </c>
      <c r="R518" s="36">
        <f t="shared" si="51"/>
        <v>5.5999999999999999E-3</v>
      </c>
      <c r="S518" s="37">
        <f t="shared" si="52"/>
        <v>145.6</v>
      </c>
      <c r="T518" s="36" t="s">
        <v>349</v>
      </c>
      <c r="U518" s="31" t="s">
        <v>166</v>
      </c>
      <c r="V518" s="57">
        <v>7.1692999999999998</v>
      </c>
      <c r="W518" s="38">
        <f t="shared" si="53"/>
        <v>149.41486616545549</v>
      </c>
    </row>
    <row r="519" spans="1:23">
      <c r="A519" s="31" t="s">
        <v>1831</v>
      </c>
      <c r="B519" s="32">
        <v>45708</v>
      </c>
      <c r="C519" s="32">
        <v>45671</v>
      </c>
      <c r="D519" s="31" t="s">
        <v>101</v>
      </c>
      <c r="E519" s="31" t="s">
        <v>102</v>
      </c>
      <c r="G519" s="31" t="s">
        <v>2141</v>
      </c>
      <c r="H519" s="31" t="s">
        <v>1563</v>
      </c>
      <c r="I519" s="31" t="s">
        <v>1564</v>
      </c>
      <c r="J519" s="34" t="str">
        <f t="shared" si="48"/>
        <v>STKR</v>
      </c>
      <c r="K519" s="31" t="s">
        <v>10</v>
      </c>
      <c r="L519" s="53">
        <v>2270</v>
      </c>
      <c r="M519" s="31" t="s">
        <v>1472</v>
      </c>
      <c r="N519" s="31" t="s">
        <v>11</v>
      </c>
      <c r="O519" s="53">
        <v>0.05</v>
      </c>
      <c r="P519" s="35">
        <f t="shared" si="49"/>
        <v>113.5</v>
      </c>
      <c r="Q519" s="36">
        <f t="shared" si="50"/>
        <v>7.3003400000000003</v>
      </c>
      <c r="R519" s="36">
        <f t="shared" si="51"/>
        <v>6.7999999999999996E-3</v>
      </c>
      <c r="S519" s="37">
        <f t="shared" si="52"/>
        <v>15.44</v>
      </c>
      <c r="T519" s="36" t="s">
        <v>349</v>
      </c>
      <c r="U519" s="31" t="s">
        <v>18</v>
      </c>
      <c r="V519" s="57">
        <v>7.1692999999999998</v>
      </c>
      <c r="W519" s="38">
        <f t="shared" si="53"/>
        <v>15.831392186126958</v>
      </c>
    </row>
    <row r="520" spans="1:23">
      <c r="A520" s="31" t="s">
        <v>1832</v>
      </c>
      <c r="B520" s="32">
        <v>45708</v>
      </c>
      <c r="C520" s="32">
        <v>45698</v>
      </c>
      <c r="D520" s="31" t="s">
        <v>101</v>
      </c>
      <c r="E520" s="31" t="s">
        <v>102</v>
      </c>
      <c r="G520" s="31" t="s">
        <v>2141</v>
      </c>
      <c r="H520" s="31" t="s">
        <v>1565</v>
      </c>
      <c r="I520" s="31" t="s">
        <v>1566</v>
      </c>
      <c r="J520" s="34" t="str">
        <f t="shared" si="48"/>
        <v>STKR</v>
      </c>
      <c r="K520" s="31" t="s">
        <v>10</v>
      </c>
      <c r="L520" s="53">
        <v>510</v>
      </c>
      <c r="M520" s="31" t="s">
        <v>1472</v>
      </c>
      <c r="N520" s="31" t="s">
        <v>11</v>
      </c>
      <c r="O520" s="53">
        <v>0.05</v>
      </c>
      <c r="P520" s="35">
        <f t="shared" si="49"/>
        <v>25.5</v>
      </c>
      <c r="Q520" s="36">
        <f t="shared" si="50"/>
        <v>7.3003400000000003</v>
      </c>
      <c r="R520" s="36">
        <f t="shared" si="51"/>
        <v>6.7999999999999996E-3</v>
      </c>
      <c r="S520" s="37">
        <f t="shared" si="52"/>
        <v>3.47</v>
      </c>
      <c r="T520" s="36" t="s">
        <v>349</v>
      </c>
      <c r="U520" s="31" t="s">
        <v>18</v>
      </c>
      <c r="V520" s="57">
        <v>7.1692999999999998</v>
      </c>
      <c r="W520" s="38">
        <f t="shared" si="53"/>
        <v>3.5568326056937218</v>
      </c>
    </row>
    <row r="521" spans="1:23">
      <c r="A521" s="31" t="s">
        <v>1833</v>
      </c>
      <c r="B521" s="32">
        <v>45708</v>
      </c>
      <c r="C521" s="32">
        <v>45698</v>
      </c>
      <c r="D521" s="31" t="s">
        <v>101</v>
      </c>
      <c r="E521" s="31" t="s">
        <v>102</v>
      </c>
      <c r="G521" s="31" t="s">
        <v>2141</v>
      </c>
      <c r="H521" s="31" t="s">
        <v>1261</v>
      </c>
      <c r="I521" s="31" t="s">
        <v>1262</v>
      </c>
      <c r="J521" s="34" t="str">
        <f t="shared" si="48"/>
        <v>STKR</v>
      </c>
      <c r="K521" s="31" t="s">
        <v>10</v>
      </c>
      <c r="L521" s="53">
        <v>1010</v>
      </c>
      <c r="M521" s="31" t="s">
        <v>1472</v>
      </c>
      <c r="N521" s="31" t="s">
        <v>11</v>
      </c>
      <c r="O521" s="53">
        <v>0.05</v>
      </c>
      <c r="P521" s="35">
        <f t="shared" si="49"/>
        <v>50.5</v>
      </c>
      <c r="Q521" s="36">
        <f t="shared" si="50"/>
        <v>7.3003400000000003</v>
      </c>
      <c r="R521" s="36">
        <f t="shared" si="51"/>
        <v>6.7999999999999996E-3</v>
      </c>
      <c r="S521" s="37">
        <f t="shared" si="52"/>
        <v>6.87</v>
      </c>
      <c r="T521" s="36" t="s">
        <v>349</v>
      </c>
      <c r="U521" s="31" t="s">
        <v>18</v>
      </c>
      <c r="V521" s="57">
        <v>7.1692999999999998</v>
      </c>
      <c r="W521" s="38">
        <f t="shared" si="53"/>
        <v>7.0439233955895277</v>
      </c>
    </row>
    <row r="522" spans="1:23">
      <c r="A522" s="31" t="s">
        <v>1834</v>
      </c>
      <c r="B522" s="32">
        <v>45708</v>
      </c>
      <c r="C522" s="32">
        <v>45674</v>
      </c>
      <c r="D522" s="31" t="s">
        <v>806</v>
      </c>
      <c r="E522" s="31" t="s">
        <v>807</v>
      </c>
      <c r="G522" s="31" t="s">
        <v>2142</v>
      </c>
      <c r="H522" s="31" t="s">
        <v>1567</v>
      </c>
      <c r="I522" s="31" t="s">
        <v>1568</v>
      </c>
      <c r="J522" s="34" t="str">
        <f t="shared" si="48"/>
        <v>BAG-</v>
      </c>
      <c r="K522" s="31" t="s">
        <v>10</v>
      </c>
      <c r="L522" s="53">
        <v>10000</v>
      </c>
      <c r="M522" s="31" t="s">
        <v>1472</v>
      </c>
      <c r="N522" s="31" t="s">
        <v>11</v>
      </c>
      <c r="O522" s="53">
        <v>5.2999999999999999E-2</v>
      </c>
      <c r="P522" s="35">
        <f t="shared" si="49"/>
        <v>530</v>
      </c>
      <c r="Q522" s="36">
        <f t="shared" si="50"/>
        <v>7.3003400000000003</v>
      </c>
      <c r="R522" s="36">
        <f t="shared" si="51"/>
        <v>7.3000000000000001E-3</v>
      </c>
      <c r="S522" s="37">
        <f t="shared" si="52"/>
        <v>73</v>
      </c>
      <c r="T522" s="36" t="s">
        <v>349</v>
      </c>
      <c r="U522" s="31" t="s">
        <v>810</v>
      </c>
      <c r="V522" s="57">
        <v>7.1692999999999998</v>
      </c>
      <c r="W522" s="38">
        <f t="shared" si="53"/>
        <v>73.926324745791078</v>
      </c>
    </row>
    <row r="523" spans="1:23">
      <c r="A523" s="31" t="s">
        <v>1835</v>
      </c>
      <c r="B523" s="32">
        <v>45708</v>
      </c>
      <c r="C523" s="32">
        <v>45674</v>
      </c>
      <c r="D523" s="31" t="s">
        <v>806</v>
      </c>
      <c r="E523" s="31" t="s">
        <v>807</v>
      </c>
      <c r="G523" s="31" t="s">
        <v>2143</v>
      </c>
      <c r="H523" s="31" t="s">
        <v>1569</v>
      </c>
      <c r="I523" s="31" t="s">
        <v>1570</v>
      </c>
      <c r="J523" s="34" t="str">
        <f t="shared" si="48"/>
        <v>BAG-</v>
      </c>
      <c r="K523" s="31" t="s">
        <v>10</v>
      </c>
      <c r="L523" s="53">
        <v>7160</v>
      </c>
      <c r="M523" s="31" t="s">
        <v>1472</v>
      </c>
      <c r="N523" s="31" t="s">
        <v>11</v>
      </c>
      <c r="O523" s="53">
        <v>0.06</v>
      </c>
      <c r="P523" s="35">
        <f t="shared" si="49"/>
        <v>429.6</v>
      </c>
      <c r="Q523" s="36">
        <f t="shared" si="50"/>
        <v>7.3003400000000003</v>
      </c>
      <c r="R523" s="36">
        <f t="shared" si="51"/>
        <v>8.2000000000000007E-3</v>
      </c>
      <c r="S523" s="37">
        <f t="shared" si="52"/>
        <v>58.71</v>
      </c>
      <c r="T523" s="36" t="s">
        <v>349</v>
      </c>
      <c r="U523" s="31" t="s">
        <v>810</v>
      </c>
      <c r="V523" s="57">
        <v>7.1692999999999998</v>
      </c>
      <c r="W523" s="38">
        <f t="shared" si="53"/>
        <v>59.922168133569528</v>
      </c>
    </row>
    <row r="524" spans="1:23">
      <c r="A524" s="31" t="s">
        <v>1836</v>
      </c>
      <c r="B524" s="32">
        <v>45708</v>
      </c>
      <c r="C524" s="32">
        <v>45674</v>
      </c>
      <c r="D524" s="31" t="s">
        <v>806</v>
      </c>
      <c r="E524" s="31" t="s">
        <v>807</v>
      </c>
      <c r="G524" s="31" t="s">
        <v>2142</v>
      </c>
      <c r="H524" s="31" t="s">
        <v>1571</v>
      </c>
      <c r="I524" s="31" t="s">
        <v>1572</v>
      </c>
      <c r="J524" s="34" t="str">
        <f t="shared" si="48"/>
        <v>BAG-</v>
      </c>
      <c r="K524" s="31" t="s">
        <v>10</v>
      </c>
      <c r="L524" s="53">
        <v>7000</v>
      </c>
      <c r="M524" s="31" t="s">
        <v>1472</v>
      </c>
      <c r="N524" s="31" t="s">
        <v>11</v>
      </c>
      <c r="O524" s="53">
        <v>0.06</v>
      </c>
      <c r="P524" s="35">
        <f t="shared" si="49"/>
        <v>420</v>
      </c>
      <c r="Q524" s="36">
        <f t="shared" si="50"/>
        <v>7.3003400000000003</v>
      </c>
      <c r="R524" s="36">
        <f t="shared" si="51"/>
        <v>8.2000000000000007E-3</v>
      </c>
      <c r="S524" s="37">
        <f t="shared" si="52"/>
        <v>57.4</v>
      </c>
      <c r="T524" s="36" t="s">
        <v>349</v>
      </c>
      <c r="U524" s="31" t="s">
        <v>810</v>
      </c>
      <c r="V524" s="57">
        <v>7.1692999999999998</v>
      </c>
      <c r="W524" s="38">
        <f t="shared" si="53"/>
        <v>58.583125270249539</v>
      </c>
    </row>
    <row r="525" spans="1:23">
      <c r="A525" s="31" t="s">
        <v>1837</v>
      </c>
      <c r="B525" s="32">
        <v>45708</v>
      </c>
      <c r="C525" s="32">
        <v>45671</v>
      </c>
      <c r="D525" s="31" t="s">
        <v>169</v>
      </c>
      <c r="E525" s="31" t="s">
        <v>170</v>
      </c>
      <c r="G525" s="31" t="s">
        <v>2137</v>
      </c>
      <c r="H525" s="31" t="s">
        <v>1573</v>
      </c>
      <c r="I525" s="31" t="s">
        <v>1574</v>
      </c>
      <c r="J525" s="34" t="str">
        <f t="shared" si="48"/>
        <v>STKR</v>
      </c>
      <c r="K525" s="31" t="s">
        <v>10</v>
      </c>
      <c r="L525" s="53">
        <v>1010</v>
      </c>
      <c r="M525" s="31" t="s">
        <v>1472</v>
      </c>
      <c r="N525" s="31" t="s">
        <v>11</v>
      </c>
      <c r="O525" s="53">
        <v>7.0000000000000007E-2</v>
      </c>
      <c r="P525" s="35">
        <f t="shared" si="49"/>
        <v>70.7</v>
      </c>
      <c r="Q525" s="36">
        <f t="shared" si="50"/>
        <v>7.3003400000000003</v>
      </c>
      <c r="R525" s="36">
        <f t="shared" si="51"/>
        <v>9.5999999999999992E-3</v>
      </c>
      <c r="S525" s="37">
        <f t="shared" si="52"/>
        <v>9.6999999999999993</v>
      </c>
      <c r="T525" s="36" t="s">
        <v>349</v>
      </c>
      <c r="U525" s="31" t="s">
        <v>18</v>
      </c>
      <c r="V525" s="57">
        <v>7.1692999999999998</v>
      </c>
      <c r="W525" s="38">
        <f t="shared" si="53"/>
        <v>9.8614927538253401</v>
      </c>
    </row>
    <row r="526" spans="1:23">
      <c r="A526" s="31" t="s">
        <v>1838</v>
      </c>
      <c r="B526" s="32">
        <v>45708</v>
      </c>
      <c r="C526" s="32">
        <v>45671</v>
      </c>
      <c r="D526" s="31" t="s">
        <v>169</v>
      </c>
      <c r="E526" s="31" t="s">
        <v>170</v>
      </c>
      <c r="G526" s="31" t="s">
        <v>2137</v>
      </c>
      <c r="H526" s="31" t="s">
        <v>1575</v>
      </c>
      <c r="I526" s="31" t="s">
        <v>1576</v>
      </c>
      <c r="J526" s="34" t="str">
        <f t="shared" si="48"/>
        <v>STKR</v>
      </c>
      <c r="K526" s="31" t="s">
        <v>10</v>
      </c>
      <c r="L526" s="53">
        <v>1010</v>
      </c>
      <c r="M526" s="31" t="s">
        <v>1472</v>
      </c>
      <c r="N526" s="31" t="s">
        <v>11</v>
      </c>
      <c r="O526" s="53">
        <v>7.0000000000000007E-2</v>
      </c>
      <c r="P526" s="35">
        <f t="shared" si="49"/>
        <v>70.7</v>
      </c>
      <c r="Q526" s="36">
        <f t="shared" si="50"/>
        <v>7.3003400000000003</v>
      </c>
      <c r="R526" s="36">
        <f t="shared" si="51"/>
        <v>9.5999999999999992E-3</v>
      </c>
      <c r="S526" s="37">
        <f t="shared" si="52"/>
        <v>9.6999999999999993</v>
      </c>
      <c r="T526" s="36" t="s">
        <v>349</v>
      </c>
      <c r="U526" s="31" t="s">
        <v>18</v>
      </c>
      <c r="V526" s="57">
        <v>7.1692999999999998</v>
      </c>
      <c r="W526" s="38">
        <f t="shared" si="53"/>
        <v>9.8614927538253401</v>
      </c>
    </row>
    <row r="527" spans="1:23">
      <c r="A527" s="31" t="s">
        <v>1839</v>
      </c>
      <c r="B527" s="32">
        <v>45712</v>
      </c>
      <c r="C527" s="32">
        <v>45674</v>
      </c>
      <c r="D527" s="31" t="s">
        <v>162</v>
      </c>
      <c r="E527" s="31" t="s">
        <v>163</v>
      </c>
      <c r="G527" s="31" t="s">
        <v>2139</v>
      </c>
      <c r="H527" s="31" t="s">
        <v>592</v>
      </c>
      <c r="I527" s="31" t="s">
        <v>593</v>
      </c>
      <c r="J527" s="34" t="str">
        <f t="shared" si="48"/>
        <v>SCR-</v>
      </c>
      <c r="K527" s="31" t="s">
        <v>10</v>
      </c>
      <c r="L527" s="53">
        <v>3100</v>
      </c>
      <c r="M527" s="31" t="s">
        <v>1472</v>
      </c>
      <c r="N527" s="31" t="s">
        <v>11</v>
      </c>
      <c r="O527" s="53">
        <v>7.0000000000000007E-2</v>
      </c>
      <c r="P527" s="35">
        <f t="shared" si="49"/>
        <v>217</v>
      </c>
      <c r="Q527" s="36">
        <f t="shared" si="50"/>
        <v>7.3003400000000003</v>
      </c>
      <c r="R527" s="36">
        <f t="shared" si="51"/>
        <v>9.5999999999999992E-3</v>
      </c>
      <c r="S527" s="37">
        <f t="shared" si="52"/>
        <v>29.76</v>
      </c>
      <c r="T527" s="36" t="s">
        <v>349</v>
      </c>
      <c r="U527" s="31" t="s">
        <v>166</v>
      </c>
      <c r="V527" s="57">
        <v>7.1692999999999998</v>
      </c>
      <c r="W527" s="38">
        <f t="shared" si="53"/>
        <v>30.267948056295598</v>
      </c>
    </row>
    <row r="528" spans="1:23">
      <c r="A528" s="31" t="s">
        <v>1840</v>
      </c>
      <c r="B528" s="32">
        <v>45698</v>
      </c>
      <c r="C528" s="32">
        <v>45643</v>
      </c>
      <c r="D528" s="31" t="s">
        <v>169</v>
      </c>
      <c r="E528" s="31" t="s">
        <v>170</v>
      </c>
      <c r="G528" s="31" t="s">
        <v>2144</v>
      </c>
      <c r="H528" s="31" t="s">
        <v>1577</v>
      </c>
      <c r="I528" s="31" t="s">
        <v>1578</v>
      </c>
      <c r="J528" s="34" t="str">
        <f t="shared" si="48"/>
        <v>STKR</v>
      </c>
      <c r="K528" s="31" t="s">
        <v>10</v>
      </c>
      <c r="L528" s="53">
        <v>1010</v>
      </c>
      <c r="M528" s="31" t="s">
        <v>1472</v>
      </c>
      <c r="N528" s="31" t="s">
        <v>11</v>
      </c>
      <c r="O528" s="53">
        <v>0.08</v>
      </c>
      <c r="P528" s="35">
        <f t="shared" si="49"/>
        <v>80.8</v>
      </c>
      <c r="Q528" s="36">
        <f t="shared" si="50"/>
        <v>7.3003400000000003</v>
      </c>
      <c r="R528" s="36">
        <f t="shared" si="51"/>
        <v>1.0999999999999999E-2</v>
      </c>
      <c r="S528" s="37">
        <f t="shared" si="52"/>
        <v>11.11</v>
      </c>
      <c r="T528" s="36" t="s">
        <v>349</v>
      </c>
      <c r="U528" s="31" t="s">
        <v>18</v>
      </c>
      <c r="V528" s="57">
        <v>7.1692999999999998</v>
      </c>
      <c r="W528" s="38">
        <f t="shared" si="53"/>
        <v>11.270277432943246</v>
      </c>
    </row>
    <row r="529" spans="1:23">
      <c r="A529" s="31" t="s">
        <v>1841</v>
      </c>
      <c r="B529" s="32">
        <v>45708</v>
      </c>
      <c r="C529" s="32">
        <v>45667</v>
      </c>
      <c r="D529" s="31" t="s">
        <v>806</v>
      </c>
      <c r="E529" s="31" t="s">
        <v>807</v>
      </c>
      <c r="G529" s="31" t="s">
        <v>2142</v>
      </c>
      <c r="H529" s="31" t="s">
        <v>1579</v>
      </c>
      <c r="I529" s="31" t="s">
        <v>1580</v>
      </c>
      <c r="J529" s="34" t="str">
        <f t="shared" si="48"/>
        <v>BAG-</v>
      </c>
      <c r="K529" s="31" t="s">
        <v>10</v>
      </c>
      <c r="L529" s="53">
        <v>10000</v>
      </c>
      <c r="M529" s="31" t="s">
        <v>1472</v>
      </c>
      <c r="N529" s="31" t="s">
        <v>11</v>
      </c>
      <c r="O529" s="53">
        <v>0.08</v>
      </c>
      <c r="P529" s="35">
        <f t="shared" si="49"/>
        <v>800</v>
      </c>
      <c r="Q529" s="36">
        <f t="shared" si="50"/>
        <v>7.3003400000000003</v>
      </c>
      <c r="R529" s="36">
        <f t="shared" si="51"/>
        <v>1.0999999999999999E-2</v>
      </c>
      <c r="S529" s="37">
        <f t="shared" si="52"/>
        <v>110</v>
      </c>
      <c r="T529" s="36" t="s">
        <v>349</v>
      </c>
      <c r="U529" s="31" t="s">
        <v>810</v>
      </c>
      <c r="V529" s="57">
        <v>7.1692999999999998</v>
      </c>
      <c r="W529" s="38">
        <f t="shared" si="53"/>
        <v>111.58690527666579</v>
      </c>
    </row>
    <row r="530" spans="1:23">
      <c r="A530" s="31" t="s">
        <v>1842</v>
      </c>
      <c r="B530" s="32">
        <v>45708</v>
      </c>
      <c r="C530" s="32">
        <v>45672</v>
      </c>
      <c r="D530" s="31" t="s">
        <v>806</v>
      </c>
      <c r="E530" s="31" t="s">
        <v>807</v>
      </c>
      <c r="G530" s="31" t="s">
        <v>2143</v>
      </c>
      <c r="H530" s="31" t="s">
        <v>821</v>
      </c>
      <c r="I530" s="31" t="s">
        <v>822</v>
      </c>
      <c r="J530" s="34" t="str">
        <f t="shared" si="48"/>
        <v>BAG-</v>
      </c>
      <c r="K530" s="31" t="s">
        <v>10</v>
      </c>
      <c r="L530" s="53">
        <v>3000</v>
      </c>
      <c r="M530" s="31" t="s">
        <v>1472</v>
      </c>
      <c r="N530" s="31" t="s">
        <v>11</v>
      </c>
      <c r="O530" s="53">
        <v>0.08</v>
      </c>
      <c r="P530" s="35">
        <f t="shared" si="49"/>
        <v>240</v>
      </c>
      <c r="Q530" s="36">
        <f t="shared" si="50"/>
        <v>7.3003400000000003</v>
      </c>
      <c r="R530" s="36">
        <f t="shared" si="51"/>
        <v>1.0999999999999999E-2</v>
      </c>
      <c r="S530" s="37">
        <f t="shared" si="52"/>
        <v>33</v>
      </c>
      <c r="T530" s="36" t="s">
        <v>349</v>
      </c>
      <c r="U530" s="31" t="s">
        <v>810</v>
      </c>
      <c r="V530" s="57">
        <v>7.1692999999999998</v>
      </c>
      <c r="W530" s="38">
        <f t="shared" si="53"/>
        <v>33.476071582999737</v>
      </c>
    </row>
    <row r="531" spans="1:23">
      <c r="A531" s="31" t="s">
        <v>1843</v>
      </c>
      <c r="B531" s="32">
        <v>45698</v>
      </c>
      <c r="C531" s="32">
        <v>45698</v>
      </c>
      <c r="D531" s="31" t="s">
        <v>101</v>
      </c>
      <c r="E531" s="31" t="s">
        <v>102</v>
      </c>
      <c r="G531" s="31" t="s">
        <v>2145</v>
      </c>
      <c r="H531" s="31" t="s">
        <v>1581</v>
      </c>
      <c r="I531" s="31" t="s">
        <v>1582</v>
      </c>
      <c r="J531" s="34" t="str">
        <f t="shared" si="48"/>
        <v>STKR</v>
      </c>
      <c r="K531" s="31" t="s">
        <v>10</v>
      </c>
      <c r="L531" s="53">
        <v>600</v>
      </c>
      <c r="M531" s="31" t="s">
        <v>1472</v>
      </c>
      <c r="N531" s="31" t="s">
        <v>11</v>
      </c>
      <c r="O531" s="53">
        <v>8.3299999999999999E-2</v>
      </c>
      <c r="P531" s="35">
        <f t="shared" si="49"/>
        <v>49.98</v>
      </c>
      <c r="Q531" s="36">
        <f t="shared" si="50"/>
        <v>7.3003400000000003</v>
      </c>
      <c r="R531" s="36">
        <f t="shared" si="51"/>
        <v>1.14E-2</v>
      </c>
      <c r="S531" s="37">
        <f t="shared" si="52"/>
        <v>6.84</v>
      </c>
      <c r="T531" s="36" t="s">
        <v>349</v>
      </c>
      <c r="U531" s="31" t="s">
        <v>18</v>
      </c>
      <c r="V531" s="57">
        <v>7.1692999999999998</v>
      </c>
      <c r="W531" s="38">
        <f t="shared" si="53"/>
        <v>6.9713919071596955</v>
      </c>
    </row>
    <row r="532" spans="1:23">
      <c r="A532" s="31" t="s">
        <v>1844</v>
      </c>
      <c r="B532" s="32">
        <v>45708</v>
      </c>
      <c r="C532" s="32">
        <v>45667</v>
      </c>
      <c r="D532" s="31" t="s">
        <v>806</v>
      </c>
      <c r="E532" s="31" t="s">
        <v>807</v>
      </c>
      <c r="G532" s="31" t="s">
        <v>2142</v>
      </c>
      <c r="H532" s="31" t="s">
        <v>1583</v>
      </c>
      <c r="I532" s="31" t="s">
        <v>1584</v>
      </c>
      <c r="J532" s="34" t="str">
        <f t="shared" si="48"/>
        <v>BAG-</v>
      </c>
      <c r="K532" s="31" t="s">
        <v>10</v>
      </c>
      <c r="L532" s="53">
        <v>3000</v>
      </c>
      <c r="M532" s="31" t="s">
        <v>1472</v>
      </c>
      <c r="N532" s="31" t="s">
        <v>11</v>
      </c>
      <c r="O532" s="53">
        <v>8.5000000000000006E-2</v>
      </c>
      <c r="P532" s="35">
        <f t="shared" si="49"/>
        <v>255</v>
      </c>
      <c r="Q532" s="36">
        <f t="shared" si="50"/>
        <v>7.3003400000000003</v>
      </c>
      <c r="R532" s="36">
        <f t="shared" si="51"/>
        <v>1.1599999999999999E-2</v>
      </c>
      <c r="S532" s="37">
        <f t="shared" si="52"/>
        <v>34.799999999999997</v>
      </c>
      <c r="T532" s="36" t="s">
        <v>349</v>
      </c>
      <c r="U532" s="31" t="s">
        <v>810</v>
      </c>
      <c r="V532" s="57">
        <v>7.1692999999999998</v>
      </c>
      <c r="W532" s="38">
        <f t="shared" si="53"/>
        <v>35.568326056937224</v>
      </c>
    </row>
    <row r="533" spans="1:23">
      <c r="A533" s="31" t="s">
        <v>1845</v>
      </c>
      <c r="B533" s="32">
        <v>45708</v>
      </c>
      <c r="C533" s="32">
        <v>45667</v>
      </c>
      <c r="D533" s="31" t="s">
        <v>806</v>
      </c>
      <c r="E533" s="31" t="s">
        <v>807</v>
      </c>
      <c r="G533" s="31" t="s">
        <v>2142</v>
      </c>
      <c r="H533" s="31" t="s">
        <v>1585</v>
      </c>
      <c r="I533" s="31" t="s">
        <v>1586</v>
      </c>
      <c r="J533" s="34" t="str">
        <f t="shared" si="48"/>
        <v>BAG-</v>
      </c>
      <c r="K533" s="31" t="s">
        <v>10</v>
      </c>
      <c r="L533" s="53">
        <v>10000</v>
      </c>
      <c r="M533" s="31" t="s">
        <v>1472</v>
      </c>
      <c r="N533" s="31" t="s">
        <v>11</v>
      </c>
      <c r="O533" s="53">
        <v>0.09</v>
      </c>
      <c r="P533" s="35">
        <f t="shared" si="49"/>
        <v>900</v>
      </c>
      <c r="Q533" s="36">
        <f t="shared" si="50"/>
        <v>7.3003400000000003</v>
      </c>
      <c r="R533" s="36">
        <f t="shared" si="51"/>
        <v>1.23E-2</v>
      </c>
      <c r="S533" s="37">
        <f t="shared" si="52"/>
        <v>123</v>
      </c>
      <c r="T533" s="36" t="s">
        <v>349</v>
      </c>
      <c r="U533" s="31" t="s">
        <v>810</v>
      </c>
      <c r="V533" s="57">
        <v>7.1692999999999998</v>
      </c>
      <c r="W533" s="38">
        <f t="shared" si="53"/>
        <v>125.535268436249</v>
      </c>
    </row>
    <row r="534" spans="1:23">
      <c r="A534" s="31" t="s">
        <v>1846</v>
      </c>
      <c r="B534" s="32">
        <v>45712</v>
      </c>
      <c r="C534" s="32">
        <v>45674</v>
      </c>
      <c r="D534" s="31" t="s">
        <v>162</v>
      </c>
      <c r="E534" s="31" t="s">
        <v>163</v>
      </c>
      <c r="G534" s="31" t="s">
        <v>2139</v>
      </c>
      <c r="H534" s="31" t="s">
        <v>583</v>
      </c>
      <c r="I534" s="31" t="s">
        <v>584</v>
      </c>
      <c r="J534" s="34" t="str">
        <f t="shared" si="48"/>
        <v>SCR-</v>
      </c>
      <c r="K534" s="31" t="s">
        <v>10</v>
      </c>
      <c r="L534" s="53">
        <v>2000</v>
      </c>
      <c r="M534" s="31" t="s">
        <v>1472</v>
      </c>
      <c r="N534" s="31" t="s">
        <v>11</v>
      </c>
      <c r="O534" s="53">
        <v>9.2999999999999999E-2</v>
      </c>
      <c r="P534" s="35">
        <f t="shared" si="49"/>
        <v>186</v>
      </c>
      <c r="Q534" s="36">
        <f t="shared" si="50"/>
        <v>7.3003400000000003</v>
      </c>
      <c r="R534" s="36">
        <f t="shared" si="51"/>
        <v>1.2699999999999999E-2</v>
      </c>
      <c r="S534" s="37">
        <f t="shared" si="52"/>
        <v>25.4</v>
      </c>
      <c r="T534" s="36" t="s">
        <v>349</v>
      </c>
      <c r="U534" s="31" t="s">
        <v>166</v>
      </c>
      <c r="V534" s="57">
        <v>7.1692999999999998</v>
      </c>
      <c r="W534" s="38">
        <f t="shared" si="53"/>
        <v>25.943955476824797</v>
      </c>
    </row>
    <row r="535" spans="1:23">
      <c r="A535" s="31" t="s">
        <v>1847</v>
      </c>
      <c r="B535" s="32">
        <v>45712</v>
      </c>
      <c r="C535" s="32">
        <v>45664</v>
      </c>
      <c r="D535" s="31" t="s">
        <v>128</v>
      </c>
      <c r="E535" s="31" t="s">
        <v>129</v>
      </c>
      <c r="G535" s="31" t="s">
        <v>2146</v>
      </c>
      <c r="H535" s="31" t="s">
        <v>1587</v>
      </c>
      <c r="I535" s="31" t="s">
        <v>1588</v>
      </c>
      <c r="J535" s="34" t="str">
        <f t="shared" si="48"/>
        <v>RIV-</v>
      </c>
      <c r="K535" s="31" t="s">
        <v>10</v>
      </c>
      <c r="L535" s="53">
        <v>10000</v>
      </c>
      <c r="M535" s="31" t="s">
        <v>1472</v>
      </c>
      <c r="N535" s="31" t="s">
        <v>11</v>
      </c>
      <c r="O535" s="53">
        <v>9.6100000000000005E-2</v>
      </c>
      <c r="P535" s="35">
        <f t="shared" si="49"/>
        <v>961</v>
      </c>
      <c r="Q535" s="36">
        <f t="shared" si="50"/>
        <v>7.3003400000000003</v>
      </c>
      <c r="R535" s="36">
        <f t="shared" si="51"/>
        <v>1.32E-2</v>
      </c>
      <c r="S535" s="37">
        <f t="shared" si="52"/>
        <v>132</v>
      </c>
      <c r="T535" s="36" t="s">
        <v>349</v>
      </c>
      <c r="U535" s="31" t="s">
        <v>132</v>
      </c>
      <c r="V535" s="57">
        <v>7.1692999999999998</v>
      </c>
      <c r="W535" s="38">
        <f t="shared" si="53"/>
        <v>134.0437699635948</v>
      </c>
    </row>
    <row r="536" spans="1:23">
      <c r="A536" s="31" t="s">
        <v>1848</v>
      </c>
      <c r="B536" s="32">
        <v>45712</v>
      </c>
      <c r="C536" s="32">
        <v>45674</v>
      </c>
      <c r="D536" s="31" t="s">
        <v>128</v>
      </c>
      <c r="E536" s="31" t="s">
        <v>129</v>
      </c>
      <c r="G536" s="31" t="s">
        <v>2146</v>
      </c>
      <c r="H536" s="31" t="s">
        <v>1587</v>
      </c>
      <c r="I536" s="31" t="s">
        <v>1588</v>
      </c>
      <c r="J536" s="34" t="str">
        <f t="shared" si="48"/>
        <v>RIV-</v>
      </c>
      <c r="K536" s="31" t="s">
        <v>10</v>
      </c>
      <c r="L536" s="53">
        <v>3000</v>
      </c>
      <c r="M536" s="31" t="s">
        <v>1472</v>
      </c>
      <c r="N536" s="31" t="s">
        <v>11</v>
      </c>
      <c r="O536" s="53">
        <v>9.6100000000000005E-2</v>
      </c>
      <c r="P536" s="35">
        <f t="shared" si="49"/>
        <v>288.3</v>
      </c>
      <c r="Q536" s="36">
        <f t="shared" si="50"/>
        <v>7.3003400000000003</v>
      </c>
      <c r="R536" s="36">
        <f t="shared" si="51"/>
        <v>1.32E-2</v>
      </c>
      <c r="S536" s="37">
        <f t="shared" si="52"/>
        <v>39.6</v>
      </c>
      <c r="T536" s="36" t="s">
        <v>349</v>
      </c>
      <c r="U536" s="31" t="s">
        <v>132</v>
      </c>
      <c r="V536" s="57">
        <v>7.1692999999999998</v>
      </c>
      <c r="W536" s="38">
        <f t="shared" si="53"/>
        <v>40.213130989078437</v>
      </c>
    </row>
    <row r="537" spans="1:23">
      <c r="A537" s="31" t="s">
        <v>1849</v>
      </c>
      <c r="B537" s="32">
        <v>45712</v>
      </c>
      <c r="C537" s="32">
        <v>45670</v>
      </c>
      <c r="D537" s="31" t="s">
        <v>162</v>
      </c>
      <c r="E537" s="31" t="s">
        <v>163</v>
      </c>
      <c r="G537" s="31" t="s">
        <v>2139</v>
      </c>
      <c r="H537" s="31" t="s">
        <v>578</v>
      </c>
      <c r="I537" s="31" t="s">
        <v>579</v>
      </c>
      <c r="J537" s="34" t="str">
        <f t="shared" si="48"/>
        <v>SCR-</v>
      </c>
      <c r="K537" s="31" t="s">
        <v>10</v>
      </c>
      <c r="L537" s="53">
        <v>1040</v>
      </c>
      <c r="M537" s="31" t="s">
        <v>1472</v>
      </c>
      <c r="N537" s="31" t="s">
        <v>11</v>
      </c>
      <c r="O537" s="53">
        <v>9.8000000000000004E-2</v>
      </c>
      <c r="P537" s="35">
        <f t="shared" si="49"/>
        <v>101.92</v>
      </c>
      <c r="Q537" s="36">
        <f t="shared" si="50"/>
        <v>7.3003400000000003</v>
      </c>
      <c r="R537" s="36">
        <f t="shared" si="51"/>
        <v>1.34E-2</v>
      </c>
      <c r="S537" s="37">
        <f t="shared" si="52"/>
        <v>13.94</v>
      </c>
      <c r="T537" s="36" t="s">
        <v>349</v>
      </c>
      <c r="U537" s="31" t="s">
        <v>166</v>
      </c>
      <c r="V537" s="57">
        <v>7.1692999999999998</v>
      </c>
      <c r="W537" s="38">
        <f t="shared" si="53"/>
        <v>14.216171732247222</v>
      </c>
    </row>
    <row r="538" spans="1:23">
      <c r="A538" s="31" t="s">
        <v>1850</v>
      </c>
      <c r="B538" s="32">
        <v>45712</v>
      </c>
      <c r="C538" s="32">
        <v>45671</v>
      </c>
      <c r="D538" s="31" t="s">
        <v>162</v>
      </c>
      <c r="E538" s="31" t="s">
        <v>163</v>
      </c>
      <c r="G538" s="31" t="s">
        <v>2139</v>
      </c>
      <c r="H538" s="31" t="s">
        <v>578</v>
      </c>
      <c r="I538" s="31" t="s">
        <v>579</v>
      </c>
      <c r="J538" s="34" t="str">
        <f t="shared" si="48"/>
        <v>SCR-</v>
      </c>
      <c r="K538" s="31" t="s">
        <v>10</v>
      </c>
      <c r="L538" s="53">
        <v>10000</v>
      </c>
      <c r="M538" s="31" t="s">
        <v>1472</v>
      </c>
      <c r="N538" s="31" t="s">
        <v>11</v>
      </c>
      <c r="O538" s="53">
        <v>9.8000000000000004E-2</v>
      </c>
      <c r="P538" s="35">
        <f t="shared" si="49"/>
        <v>980</v>
      </c>
      <c r="Q538" s="36">
        <f t="shared" si="50"/>
        <v>7.3003400000000003</v>
      </c>
      <c r="R538" s="36">
        <f t="shared" si="51"/>
        <v>1.34E-2</v>
      </c>
      <c r="S538" s="37">
        <f t="shared" si="52"/>
        <v>134</v>
      </c>
      <c r="T538" s="36" t="s">
        <v>349</v>
      </c>
      <c r="U538" s="31" t="s">
        <v>166</v>
      </c>
      <c r="V538" s="57">
        <v>7.1692999999999998</v>
      </c>
      <c r="W538" s="38">
        <f t="shared" si="53"/>
        <v>136.69395896391558</v>
      </c>
    </row>
    <row r="539" spans="1:23">
      <c r="A539" s="31" t="s">
        <v>1851</v>
      </c>
      <c r="B539" s="32">
        <v>45712</v>
      </c>
      <c r="C539" s="32">
        <v>45695</v>
      </c>
      <c r="D539" s="31" t="s">
        <v>162</v>
      </c>
      <c r="E539" s="31" t="s">
        <v>163</v>
      </c>
      <c r="G539" s="31" t="s">
        <v>2139</v>
      </c>
      <c r="H539" s="31" t="s">
        <v>578</v>
      </c>
      <c r="I539" s="31" t="s">
        <v>579</v>
      </c>
      <c r="J539" s="34" t="str">
        <f t="shared" si="48"/>
        <v>SCR-</v>
      </c>
      <c r="K539" s="31" t="s">
        <v>10</v>
      </c>
      <c r="L539" s="53">
        <v>2200</v>
      </c>
      <c r="M539" s="31" t="s">
        <v>1472</v>
      </c>
      <c r="N539" s="31" t="s">
        <v>11</v>
      </c>
      <c r="O539" s="53">
        <v>9.8000000000000004E-2</v>
      </c>
      <c r="P539" s="35">
        <f t="shared" si="49"/>
        <v>215.6</v>
      </c>
      <c r="Q539" s="36">
        <f t="shared" si="50"/>
        <v>7.3003400000000003</v>
      </c>
      <c r="R539" s="36">
        <f t="shared" si="51"/>
        <v>1.34E-2</v>
      </c>
      <c r="S539" s="37">
        <f t="shared" si="52"/>
        <v>29.48</v>
      </c>
      <c r="T539" s="36" t="s">
        <v>349</v>
      </c>
      <c r="U539" s="31" t="s">
        <v>166</v>
      </c>
      <c r="V539" s="57">
        <v>7.1692999999999998</v>
      </c>
      <c r="W539" s="38">
        <f t="shared" si="53"/>
        <v>30.072670972061431</v>
      </c>
    </row>
    <row r="540" spans="1:23">
      <c r="A540" s="31" t="s">
        <v>1852</v>
      </c>
      <c r="B540" s="32">
        <v>45712</v>
      </c>
      <c r="C540" s="32">
        <v>45674</v>
      </c>
      <c r="D540" s="31" t="s">
        <v>128</v>
      </c>
      <c r="E540" s="31" t="s">
        <v>129</v>
      </c>
      <c r="G540" s="31" t="s">
        <v>2146</v>
      </c>
      <c r="H540" s="31" t="s">
        <v>950</v>
      </c>
      <c r="I540" s="31" t="s">
        <v>951</v>
      </c>
      <c r="J540" s="34" t="str">
        <f t="shared" si="48"/>
        <v>RIV-</v>
      </c>
      <c r="K540" s="31" t="s">
        <v>10</v>
      </c>
      <c r="L540" s="53">
        <v>2000</v>
      </c>
      <c r="M540" s="31" t="s">
        <v>1472</v>
      </c>
      <c r="N540" s="31" t="s">
        <v>11</v>
      </c>
      <c r="O540" s="53">
        <v>0.1016</v>
      </c>
      <c r="P540" s="35">
        <f t="shared" si="49"/>
        <v>203.2</v>
      </c>
      <c r="Q540" s="36">
        <f t="shared" si="50"/>
        <v>7.3003400000000003</v>
      </c>
      <c r="R540" s="36">
        <f t="shared" si="51"/>
        <v>1.3899999999999999E-2</v>
      </c>
      <c r="S540" s="37">
        <f t="shared" si="52"/>
        <v>27.8</v>
      </c>
      <c r="T540" s="36" t="s">
        <v>349</v>
      </c>
      <c r="U540" s="31" t="s">
        <v>132</v>
      </c>
      <c r="V540" s="57">
        <v>7.1692999999999998</v>
      </c>
      <c r="W540" s="38">
        <f t="shared" si="53"/>
        <v>28.343073940273108</v>
      </c>
    </row>
    <row r="541" spans="1:23">
      <c r="A541" s="31" t="s">
        <v>1853</v>
      </c>
      <c r="B541" s="32">
        <v>45698</v>
      </c>
      <c r="C541" s="32">
        <v>45698</v>
      </c>
      <c r="D541" s="31" t="s">
        <v>101</v>
      </c>
      <c r="E541" s="31" t="s">
        <v>102</v>
      </c>
      <c r="G541" s="31" t="s">
        <v>2145</v>
      </c>
      <c r="H541" s="31" t="s">
        <v>1589</v>
      </c>
      <c r="I541" s="31" t="s">
        <v>1590</v>
      </c>
      <c r="J541" s="34" t="str">
        <f t="shared" si="48"/>
        <v>STKR</v>
      </c>
      <c r="K541" s="31" t="s">
        <v>10</v>
      </c>
      <c r="L541" s="53">
        <v>600</v>
      </c>
      <c r="M541" s="31" t="s">
        <v>1472</v>
      </c>
      <c r="N541" s="31" t="s">
        <v>11</v>
      </c>
      <c r="O541" s="53">
        <v>0.10829999999999999</v>
      </c>
      <c r="P541" s="35">
        <f t="shared" si="49"/>
        <v>64.98</v>
      </c>
      <c r="Q541" s="36">
        <f t="shared" si="50"/>
        <v>7.3003400000000003</v>
      </c>
      <c r="R541" s="36">
        <f t="shared" si="51"/>
        <v>1.4800000000000001E-2</v>
      </c>
      <c r="S541" s="37">
        <f t="shared" si="52"/>
        <v>8.8800000000000008</v>
      </c>
      <c r="T541" s="36" t="s">
        <v>349</v>
      </c>
      <c r="U541" s="31" t="s">
        <v>18</v>
      </c>
      <c r="V541" s="57">
        <v>7.1692999999999998</v>
      </c>
      <c r="W541" s="38">
        <f t="shared" si="53"/>
        <v>9.063646381097179</v>
      </c>
    </row>
    <row r="542" spans="1:23">
      <c r="A542" s="31" t="s">
        <v>1854</v>
      </c>
      <c r="B542" s="32">
        <v>45698</v>
      </c>
      <c r="C542" s="32">
        <v>45698</v>
      </c>
      <c r="D542" s="31" t="s">
        <v>101</v>
      </c>
      <c r="E542" s="31" t="s">
        <v>102</v>
      </c>
      <c r="G542" s="31" t="s">
        <v>2145</v>
      </c>
      <c r="H542" s="31" t="s">
        <v>1591</v>
      </c>
      <c r="I542" s="31" t="s">
        <v>1592</v>
      </c>
      <c r="J542" s="34" t="str">
        <f t="shared" si="48"/>
        <v>STKR</v>
      </c>
      <c r="K542" s="31" t="s">
        <v>10</v>
      </c>
      <c r="L542" s="53">
        <v>600</v>
      </c>
      <c r="M542" s="31" t="s">
        <v>1472</v>
      </c>
      <c r="N542" s="31" t="s">
        <v>11</v>
      </c>
      <c r="O542" s="53">
        <v>0.10829999999999999</v>
      </c>
      <c r="P542" s="35">
        <f t="shared" si="49"/>
        <v>64.98</v>
      </c>
      <c r="Q542" s="36">
        <f t="shared" si="50"/>
        <v>7.3003400000000003</v>
      </c>
      <c r="R542" s="36">
        <f t="shared" si="51"/>
        <v>1.4800000000000001E-2</v>
      </c>
      <c r="S542" s="37">
        <f t="shared" si="52"/>
        <v>8.8800000000000008</v>
      </c>
      <c r="T542" s="36" t="s">
        <v>349</v>
      </c>
      <c r="U542" s="31" t="s">
        <v>18</v>
      </c>
      <c r="V542" s="57">
        <v>7.1692999999999998</v>
      </c>
      <c r="W542" s="38">
        <f t="shared" si="53"/>
        <v>9.063646381097179</v>
      </c>
    </row>
    <row r="543" spans="1:23">
      <c r="A543" s="31" t="s">
        <v>1855</v>
      </c>
      <c r="B543" s="32">
        <v>45698</v>
      </c>
      <c r="C543" s="32">
        <v>45698</v>
      </c>
      <c r="D543" s="31" t="s">
        <v>101</v>
      </c>
      <c r="E543" s="31" t="s">
        <v>102</v>
      </c>
      <c r="G543" s="31" t="s">
        <v>2145</v>
      </c>
      <c r="H543" s="31" t="s">
        <v>1593</v>
      </c>
      <c r="I543" s="31" t="s">
        <v>1594</v>
      </c>
      <c r="J543" s="34" t="str">
        <f t="shared" si="48"/>
        <v>STKR</v>
      </c>
      <c r="K543" s="31" t="s">
        <v>10</v>
      </c>
      <c r="L543" s="53">
        <v>600</v>
      </c>
      <c r="M543" s="31" t="s">
        <v>1472</v>
      </c>
      <c r="N543" s="31" t="s">
        <v>11</v>
      </c>
      <c r="O543" s="53">
        <v>0.10829999999999999</v>
      </c>
      <c r="P543" s="35">
        <f t="shared" si="49"/>
        <v>64.98</v>
      </c>
      <c r="Q543" s="36">
        <f t="shared" si="50"/>
        <v>7.3003400000000003</v>
      </c>
      <c r="R543" s="36">
        <f t="shared" si="51"/>
        <v>1.4800000000000001E-2</v>
      </c>
      <c r="S543" s="37">
        <f t="shared" si="52"/>
        <v>8.8800000000000008</v>
      </c>
      <c r="T543" s="36" t="s">
        <v>349</v>
      </c>
      <c r="U543" s="31" t="s">
        <v>18</v>
      </c>
      <c r="V543" s="57">
        <v>7.1692999999999998</v>
      </c>
      <c r="W543" s="38">
        <f t="shared" si="53"/>
        <v>9.063646381097179</v>
      </c>
    </row>
    <row r="544" spans="1:23">
      <c r="A544" s="31" t="s">
        <v>1856</v>
      </c>
      <c r="B544" s="32">
        <v>45698</v>
      </c>
      <c r="C544" s="32">
        <v>45698</v>
      </c>
      <c r="D544" s="31" t="s">
        <v>101</v>
      </c>
      <c r="E544" s="31" t="s">
        <v>102</v>
      </c>
      <c r="G544" s="31" t="s">
        <v>2145</v>
      </c>
      <c r="H544" s="31" t="s">
        <v>1595</v>
      </c>
      <c r="I544" s="31" t="s">
        <v>1596</v>
      </c>
      <c r="J544" s="34" t="str">
        <f t="shared" si="48"/>
        <v>STKR</v>
      </c>
      <c r="K544" s="31" t="s">
        <v>10</v>
      </c>
      <c r="L544" s="53">
        <v>600</v>
      </c>
      <c r="M544" s="31" t="s">
        <v>1472</v>
      </c>
      <c r="N544" s="31" t="s">
        <v>11</v>
      </c>
      <c r="O544" s="53">
        <v>0.10829999999999999</v>
      </c>
      <c r="P544" s="35">
        <f t="shared" si="49"/>
        <v>64.98</v>
      </c>
      <c r="Q544" s="36">
        <f t="shared" si="50"/>
        <v>7.3003400000000003</v>
      </c>
      <c r="R544" s="36">
        <f t="shared" si="51"/>
        <v>1.4800000000000001E-2</v>
      </c>
      <c r="S544" s="37">
        <f t="shared" si="52"/>
        <v>8.8800000000000008</v>
      </c>
      <c r="T544" s="36" t="s">
        <v>349</v>
      </c>
      <c r="U544" s="31" t="s">
        <v>18</v>
      </c>
      <c r="V544" s="57">
        <v>7.1692999999999998</v>
      </c>
      <c r="W544" s="38">
        <f t="shared" si="53"/>
        <v>9.063646381097179</v>
      </c>
    </row>
    <row r="545" spans="1:23">
      <c r="A545" s="31" t="s">
        <v>1857</v>
      </c>
      <c r="B545" s="32">
        <v>45705</v>
      </c>
      <c r="C545" s="32">
        <v>45695</v>
      </c>
      <c r="D545" s="31" t="s">
        <v>143</v>
      </c>
      <c r="E545" s="31" t="s">
        <v>144</v>
      </c>
      <c r="G545" s="31" t="s">
        <v>2147</v>
      </c>
      <c r="H545" s="31" t="s">
        <v>245</v>
      </c>
      <c r="I545" s="31" t="s">
        <v>246</v>
      </c>
      <c r="J545" s="34" t="str">
        <f t="shared" si="48"/>
        <v>WHR-</v>
      </c>
      <c r="K545" s="31" t="s">
        <v>10</v>
      </c>
      <c r="L545" s="53">
        <v>4000</v>
      </c>
      <c r="M545" s="31" t="s">
        <v>1472</v>
      </c>
      <c r="N545" s="31" t="s">
        <v>11</v>
      </c>
      <c r="O545" s="53">
        <v>0.1096</v>
      </c>
      <c r="P545" s="35">
        <f t="shared" si="49"/>
        <v>438.4</v>
      </c>
      <c r="Q545" s="36">
        <f t="shared" si="50"/>
        <v>7.3003400000000003</v>
      </c>
      <c r="R545" s="36">
        <f t="shared" si="51"/>
        <v>1.4999999999999999E-2</v>
      </c>
      <c r="S545" s="37">
        <f t="shared" si="52"/>
        <v>60</v>
      </c>
      <c r="T545" s="36" t="s">
        <v>349</v>
      </c>
      <c r="U545" s="31" t="s">
        <v>248</v>
      </c>
      <c r="V545" s="57">
        <v>7.1692999999999998</v>
      </c>
      <c r="W545" s="38">
        <f t="shared" si="53"/>
        <v>61.149624091612857</v>
      </c>
    </row>
    <row r="546" spans="1:23">
      <c r="A546" s="31" t="s">
        <v>1858</v>
      </c>
      <c r="B546" s="32">
        <v>45705</v>
      </c>
      <c r="C546" s="32">
        <v>45698</v>
      </c>
      <c r="D546" s="31" t="s">
        <v>143</v>
      </c>
      <c r="E546" s="31" t="s">
        <v>144</v>
      </c>
      <c r="G546" s="31" t="s">
        <v>2147</v>
      </c>
      <c r="H546" s="31" t="s">
        <v>245</v>
      </c>
      <c r="I546" s="31" t="s">
        <v>246</v>
      </c>
      <c r="J546" s="34" t="str">
        <f t="shared" si="48"/>
        <v>WHR-</v>
      </c>
      <c r="K546" s="31" t="s">
        <v>10</v>
      </c>
      <c r="L546" s="53">
        <v>10000</v>
      </c>
      <c r="M546" s="31" t="s">
        <v>1472</v>
      </c>
      <c r="N546" s="31" t="s">
        <v>11</v>
      </c>
      <c r="O546" s="53">
        <v>0.1096</v>
      </c>
      <c r="P546" s="35">
        <f t="shared" si="49"/>
        <v>1096</v>
      </c>
      <c r="Q546" s="36">
        <f t="shared" si="50"/>
        <v>7.3003400000000003</v>
      </c>
      <c r="R546" s="36">
        <f t="shared" si="51"/>
        <v>1.4999999999999999E-2</v>
      </c>
      <c r="S546" s="37">
        <f t="shared" si="52"/>
        <v>150</v>
      </c>
      <c r="T546" s="36" t="s">
        <v>349</v>
      </c>
      <c r="U546" s="31" t="s">
        <v>248</v>
      </c>
      <c r="V546" s="57">
        <v>7.1692999999999998</v>
      </c>
      <c r="W546" s="38">
        <f t="shared" si="53"/>
        <v>152.87406022903215</v>
      </c>
    </row>
    <row r="547" spans="1:23">
      <c r="A547" s="31" t="s">
        <v>1859</v>
      </c>
      <c r="B547" s="32">
        <v>45708</v>
      </c>
      <c r="C547" s="32">
        <v>45671</v>
      </c>
      <c r="D547" s="31" t="s">
        <v>101</v>
      </c>
      <c r="E547" s="31" t="s">
        <v>102</v>
      </c>
      <c r="G547" s="31" t="s">
        <v>2141</v>
      </c>
      <c r="H547" s="31" t="s">
        <v>99</v>
      </c>
      <c r="I547" s="31" t="s">
        <v>100</v>
      </c>
      <c r="J547" s="34" t="str">
        <f t="shared" si="48"/>
        <v>STKR</v>
      </c>
      <c r="K547" s="31" t="s">
        <v>10</v>
      </c>
      <c r="L547" s="53">
        <v>1010</v>
      </c>
      <c r="M547" s="31" t="s">
        <v>1472</v>
      </c>
      <c r="N547" s="31" t="s">
        <v>11</v>
      </c>
      <c r="O547" s="53">
        <v>0.11</v>
      </c>
      <c r="P547" s="35">
        <f t="shared" si="49"/>
        <v>111.1</v>
      </c>
      <c r="Q547" s="36">
        <f t="shared" si="50"/>
        <v>7.3003400000000003</v>
      </c>
      <c r="R547" s="36">
        <f t="shared" si="51"/>
        <v>1.5100000000000001E-2</v>
      </c>
      <c r="S547" s="37">
        <f t="shared" si="52"/>
        <v>15.25</v>
      </c>
      <c r="T547" s="36" t="s">
        <v>349</v>
      </c>
      <c r="U547" s="31" t="s">
        <v>18</v>
      </c>
      <c r="V547" s="57">
        <v>7.1692999999999998</v>
      </c>
      <c r="W547" s="38">
        <f t="shared" si="53"/>
        <v>15.496631470296961</v>
      </c>
    </row>
    <row r="548" spans="1:23">
      <c r="A548" s="31" t="s">
        <v>1860</v>
      </c>
      <c r="B548" s="32">
        <v>45708</v>
      </c>
      <c r="C548" s="32">
        <v>45671</v>
      </c>
      <c r="D548" s="31" t="s">
        <v>101</v>
      </c>
      <c r="E548" s="31" t="s">
        <v>102</v>
      </c>
      <c r="G548" s="31" t="s">
        <v>2141</v>
      </c>
      <c r="H548" s="31" t="s">
        <v>1597</v>
      </c>
      <c r="I548" s="31" t="s">
        <v>1598</v>
      </c>
      <c r="J548" s="34" t="str">
        <f t="shared" si="48"/>
        <v>STKR</v>
      </c>
      <c r="K548" s="31" t="s">
        <v>10</v>
      </c>
      <c r="L548" s="53">
        <v>1010</v>
      </c>
      <c r="M548" s="31" t="s">
        <v>1472</v>
      </c>
      <c r="N548" s="31" t="s">
        <v>11</v>
      </c>
      <c r="O548" s="53">
        <v>0.11</v>
      </c>
      <c r="P548" s="35">
        <f t="shared" si="49"/>
        <v>111.1</v>
      </c>
      <c r="Q548" s="36">
        <f t="shared" si="50"/>
        <v>7.3003400000000003</v>
      </c>
      <c r="R548" s="36">
        <f t="shared" si="51"/>
        <v>1.5100000000000001E-2</v>
      </c>
      <c r="S548" s="37">
        <f t="shared" si="52"/>
        <v>15.25</v>
      </c>
      <c r="T548" s="36" t="s">
        <v>349</v>
      </c>
      <c r="U548" s="31" t="s">
        <v>18</v>
      </c>
      <c r="V548" s="57">
        <v>7.1692999999999998</v>
      </c>
      <c r="W548" s="38">
        <f t="shared" si="53"/>
        <v>15.496631470296961</v>
      </c>
    </row>
    <row r="549" spans="1:23">
      <c r="A549" s="31" t="s">
        <v>1861</v>
      </c>
      <c r="B549" s="32">
        <v>45708</v>
      </c>
      <c r="C549" s="32">
        <v>45667</v>
      </c>
      <c r="D549" s="31" t="s">
        <v>806</v>
      </c>
      <c r="E549" s="31" t="s">
        <v>807</v>
      </c>
      <c r="G549" s="31" t="s">
        <v>2142</v>
      </c>
      <c r="H549" s="31" t="s">
        <v>1599</v>
      </c>
      <c r="I549" s="31" t="s">
        <v>1600</v>
      </c>
      <c r="J549" s="34" t="str">
        <f t="shared" si="48"/>
        <v>BAG-</v>
      </c>
      <c r="K549" s="31" t="s">
        <v>10</v>
      </c>
      <c r="L549" s="53">
        <v>10000</v>
      </c>
      <c r="M549" s="31" t="s">
        <v>1472</v>
      </c>
      <c r="N549" s="31" t="s">
        <v>11</v>
      </c>
      <c r="O549" s="53">
        <v>0.12</v>
      </c>
      <c r="P549" s="35">
        <f t="shared" si="49"/>
        <v>1200</v>
      </c>
      <c r="Q549" s="36">
        <f t="shared" si="50"/>
        <v>7.3003400000000003</v>
      </c>
      <c r="R549" s="36">
        <f t="shared" si="51"/>
        <v>1.6400000000000001E-2</v>
      </c>
      <c r="S549" s="37">
        <f t="shared" si="52"/>
        <v>164</v>
      </c>
      <c r="T549" s="36" t="s">
        <v>349</v>
      </c>
      <c r="U549" s="31" t="s">
        <v>810</v>
      </c>
      <c r="V549" s="57">
        <v>7.1692999999999998</v>
      </c>
      <c r="W549" s="38">
        <f t="shared" si="53"/>
        <v>167.38035791499868</v>
      </c>
    </row>
    <row r="550" spans="1:23">
      <c r="A550" s="31" t="s">
        <v>1862</v>
      </c>
      <c r="B550" s="32">
        <v>45699</v>
      </c>
      <c r="C550" s="32">
        <v>45674</v>
      </c>
      <c r="D550" s="31" t="s">
        <v>569</v>
      </c>
      <c r="E550" s="31" t="s">
        <v>570</v>
      </c>
      <c r="G550" s="31" t="s">
        <v>2148</v>
      </c>
      <c r="H550" s="31" t="s">
        <v>1412</v>
      </c>
      <c r="I550" s="31" t="s">
        <v>1413</v>
      </c>
      <c r="J550" s="34" t="str">
        <f t="shared" si="48"/>
        <v>WHR-</v>
      </c>
      <c r="K550" s="31" t="s">
        <v>10</v>
      </c>
      <c r="L550" s="53">
        <v>500</v>
      </c>
      <c r="M550" s="31" t="s">
        <v>1472</v>
      </c>
      <c r="N550" s="31" t="s">
        <v>11</v>
      </c>
      <c r="O550" s="53">
        <v>0.12</v>
      </c>
      <c r="P550" s="35">
        <f t="shared" si="49"/>
        <v>60</v>
      </c>
      <c r="Q550" s="36">
        <f t="shared" si="50"/>
        <v>7.3003400000000003</v>
      </c>
      <c r="R550" s="36">
        <f t="shared" si="51"/>
        <v>1.6400000000000001E-2</v>
      </c>
      <c r="S550" s="37">
        <f t="shared" si="52"/>
        <v>8.1999999999999993</v>
      </c>
      <c r="T550" s="36" t="s">
        <v>349</v>
      </c>
      <c r="U550" s="31" t="s">
        <v>248</v>
      </c>
      <c r="V550" s="57">
        <v>7.1692999999999998</v>
      </c>
      <c r="W550" s="38">
        <f t="shared" si="53"/>
        <v>8.3690178957499342</v>
      </c>
    </row>
    <row r="551" spans="1:23">
      <c r="A551" s="31" t="s">
        <v>1863</v>
      </c>
      <c r="B551" s="32">
        <v>45708</v>
      </c>
      <c r="C551" s="32">
        <v>45679</v>
      </c>
      <c r="D551" s="31" t="s">
        <v>806</v>
      </c>
      <c r="E551" s="31" t="s">
        <v>807</v>
      </c>
      <c r="G551" s="31" t="s">
        <v>2142</v>
      </c>
      <c r="H551" s="31" t="s">
        <v>1601</v>
      </c>
      <c r="I551" s="31" t="s">
        <v>1602</v>
      </c>
      <c r="J551" s="34" t="str">
        <f t="shared" si="48"/>
        <v>BAG-</v>
      </c>
      <c r="K551" s="31" t="s">
        <v>10</v>
      </c>
      <c r="L551" s="53">
        <v>10000</v>
      </c>
      <c r="M551" s="31" t="s">
        <v>1472</v>
      </c>
      <c r="N551" s="31" t="s">
        <v>11</v>
      </c>
      <c r="O551" s="53">
        <v>0.128</v>
      </c>
      <c r="P551" s="35">
        <f t="shared" si="49"/>
        <v>1280</v>
      </c>
      <c r="Q551" s="36">
        <f t="shared" si="50"/>
        <v>7.3003400000000003</v>
      </c>
      <c r="R551" s="36">
        <f t="shared" si="51"/>
        <v>1.7500000000000002E-2</v>
      </c>
      <c r="S551" s="37">
        <f t="shared" si="52"/>
        <v>175</v>
      </c>
      <c r="T551" s="36" t="s">
        <v>349</v>
      </c>
      <c r="U551" s="31" t="s">
        <v>810</v>
      </c>
      <c r="V551" s="57">
        <v>7.1692999999999998</v>
      </c>
      <c r="W551" s="38">
        <f t="shared" si="53"/>
        <v>178.53904844266526</v>
      </c>
    </row>
    <row r="552" spans="1:23">
      <c r="A552" s="31" t="s">
        <v>1864</v>
      </c>
      <c r="B552" s="32">
        <v>45712</v>
      </c>
      <c r="C552" s="32">
        <v>45664</v>
      </c>
      <c r="D552" s="31" t="s">
        <v>235</v>
      </c>
      <c r="E552" s="31" t="s">
        <v>236</v>
      </c>
      <c r="G552" s="31" t="s">
        <v>2149</v>
      </c>
      <c r="H552" s="31" t="s">
        <v>1352</v>
      </c>
      <c r="I552" s="31" t="s">
        <v>1353</v>
      </c>
      <c r="J552" s="34" t="str">
        <f t="shared" si="48"/>
        <v>RIV-</v>
      </c>
      <c r="K552" s="31" t="s">
        <v>10</v>
      </c>
      <c r="L552" s="53">
        <v>4800</v>
      </c>
      <c r="M552" s="31" t="s">
        <v>1472</v>
      </c>
      <c r="N552" s="31" t="s">
        <v>11</v>
      </c>
      <c r="O552" s="53">
        <v>0.13550000000000001</v>
      </c>
      <c r="P552" s="35">
        <f t="shared" si="49"/>
        <v>650.4</v>
      </c>
      <c r="Q552" s="36">
        <f t="shared" si="50"/>
        <v>7.3003400000000003</v>
      </c>
      <c r="R552" s="36">
        <f t="shared" si="51"/>
        <v>1.8599999999999998E-2</v>
      </c>
      <c r="S552" s="37">
        <f t="shared" si="52"/>
        <v>89.28</v>
      </c>
      <c r="T552" s="36" t="s">
        <v>349</v>
      </c>
      <c r="U552" s="31" t="s">
        <v>132</v>
      </c>
      <c r="V552" s="57">
        <v>7.1692999999999998</v>
      </c>
      <c r="W552" s="38">
        <f t="shared" si="53"/>
        <v>90.720153989929287</v>
      </c>
    </row>
    <row r="553" spans="1:23">
      <c r="A553" s="31" t="s">
        <v>1865</v>
      </c>
      <c r="B553" s="32">
        <v>45712</v>
      </c>
      <c r="C553" s="32">
        <v>45670</v>
      </c>
      <c r="D553" s="31" t="s">
        <v>162</v>
      </c>
      <c r="E553" s="31" t="s">
        <v>163</v>
      </c>
      <c r="G553" s="31" t="s">
        <v>2139</v>
      </c>
      <c r="H553" s="31" t="s">
        <v>160</v>
      </c>
      <c r="I553" s="31" t="s">
        <v>161</v>
      </c>
      <c r="J553" s="34" t="str">
        <f t="shared" si="48"/>
        <v>SCR-</v>
      </c>
      <c r="K553" s="31" t="s">
        <v>10</v>
      </c>
      <c r="L553" s="53">
        <v>27000</v>
      </c>
      <c r="M553" s="31" t="s">
        <v>1472</v>
      </c>
      <c r="N553" s="31" t="s">
        <v>11</v>
      </c>
      <c r="O553" s="53">
        <v>0.13919999999999999</v>
      </c>
      <c r="P553" s="35">
        <f t="shared" si="49"/>
        <v>3758.4</v>
      </c>
      <c r="Q553" s="36">
        <f t="shared" si="50"/>
        <v>7.3003400000000003</v>
      </c>
      <c r="R553" s="36">
        <f t="shared" si="51"/>
        <v>1.9099999999999999E-2</v>
      </c>
      <c r="S553" s="37">
        <f t="shared" si="52"/>
        <v>515.70000000000005</v>
      </c>
      <c r="T553" s="36" t="s">
        <v>349</v>
      </c>
      <c r="U553" s="31" t="s">
        <v>166</v>
      </c>
      <c r="V553" s="57">
        <v>7.1692999999999998</v>
      </c>
      <c r="W553" s="38">
        <f t="shared" si="53"/>
        <v>524.23528098977579</v>
      </c>
    </row>
    <row r="554" spans="1:23">
      <c r="A554" s="31" t="s">
        <v>1866</v>
      </c>
      <c r="B554" s="32">
        <v>45708</v>
      </c>
      <c r="C554" s="32">
        <v>45672</v>
      </c>
      <c r="D554" s="31" t="s">
        <v>806</v>
      </c>
      <c r="E554" s="31" t="s">
        <v>807</v>
      </c>
      <c r="G554" s="31" t="s">
        <v>2143</v>
      </c>
      <c r="H554" s="31" t="s">
        <v>1603</v>
      </c>
      <c r="I554" s="31" t="s">
        <v>1604</v>
      </c>
      <c r="J554" s="34" t="str">
        <f t="shared" si="48"/>
        <v>BAG-</v>
      </c>
      <c r="K554" s="31" t="s">
        <v>10</v>
      </c>
      <c r="L554" s="53">
        <v>10000</v>
      </c>
      <c r="M554" s="31" t="s">
        <v>1472</v>
      </c>
      <c r="N554" s="31" t="s">
        <v>11</v>
      </c>
      <c r="O554" s="53">
        <v>0.158</v>
      </c>
      <c r="P554" s="35">
        <f t="shared" si="49"/>
        <v>1580</v>
      </c>
      <c r="Q554" s="36">
        <f t="shared" si="50"/>
        <v>7.3003400000000003</v>
      </c>
      <c r="R554" s="36">
        <f t="shared" si="51"/>
        <v>2.1600000000000001E-2</v>
      </c>
      <c r="S554" s="37">
        <f t="shared" si="52"/>
        <v>216</v>
      </c>
      <c r="T554" s="36" t="s">
        <v>349</v>
      </c>
      <c r="U554" s="31" t="s">
        <v>810</v>
      </c>
      <c r="V554" s="57">
        <v>7.1692999999999998</v>
      </c>
      <c r="W554" s="38">
        <f t="shared" si="53"/>
        <v>220.38413792141495</v>
      </c>
    </row>
    <row r="555" spans="1:23">
      <c r="A555" s="31" t="s">
        <v>1867</v>
      </c>
      <c r="B555" s="32">
        <v>45705</v>
      </c>
      <c r="C555" s="32">
        <v>45671</v>
      </c>
      <c r="D555" s="31" t="s">
        <v>235</v>
      </c>
      <c r="E555" s="31" t="s">
        <v>236</v>
      </c>
      <c r="G555" s="31" t="s">
        <v>2150</v>
      </c>
      <c r="H555" s="31" t="s">
        <v>239</v>
      </c>
      <c r="I555" s="31" t="s">
        <v>240</v>
      </c>
      <c r="J555" s="34" t="str">
        <f t="shared" si="48"/>
        <v>RIV-</v>
      </c>
      <c r="K555" s="31" t="s">
        <v>10</v>
      </c>
      <c r="L555" s="53">
        <v>10000</v>
      </c>
      <c r="M555" s="31" t="s">
        <v>1472</v>
      </c>
      <c r="N555" s="31" t="s">
        <v>11</v>
      </c>
      <c r="O555" s="53">
        <v>0.16120000000000001</v>
      </c>
      <c r="P555" s="35">
        <f t="shared" si="49"/>
        <v>1612</v>
      </c>
      <c r="Q555" s="36">
        <f t="shared" si="50"/>
        <v>7.3003400000000003</v>
      </c>
      <c r="R555" s="36">
        <f t="shared" si="51"/>
        <v>2.2100000000000002E-2</v>
      </c>
      <c r="S555" s="37">
        <f t="shared" si="52"/>
        <v>221</v>
      </c>
      <c r="T555" s="36" t="s">
        <v>349</v>
      </c>
      <c r="U555" s="31" t="s">
        <v>132</v>
      </c>
      <c r="V555" s="57">
        <v>7.1692999999999998</v>
      </c>
      <c r="W555" s="38">
        <f t="shared" si="53"/>
        <v>224.84761413248157</v>
      </c>
    </row>
    <row r="556" spans="1:23">
      <c r="A556" s="31" t="s">
        <v>1868</v>
      </c>
      <c r="B556" s="32">
        <v>45705</v>
      </c>
      <c r="C556" s="32">
        <v>45674</v>
      </c>
      <c r="D556" s="31" t="s">
        <v>235</v>
      </c>
      <c r="E556" s="31" t="s">
        <v>236</v>
      </c>
      <c r="G556" s="31" t="s">
        <v>2150</v>
      </c>
      <c r="H556" s="31" t="s">
        <v>239</v>
      </c>
      <c r="I556" s="31" t="s">
        <v>240</v>
      </c>
      <c r="J556" s="34" t="str">
        <f t="shared" si="48"/>
        <v>RIV-</v>
      </c>
      <c r="K556" s="31" t="s">
        <v>10</v>
      </c>
      <c r="L556" s="53">
        <v>15000</v>
      </c>
      <c r="M556" s="31" t="s">
        <v>1472</v>
      </c>
      <c r="N556" s="31" t="s">
        <v>11</v>
      </c>
      <c r="O556" s="53">
        <v>0.16120000000000001</v>
      </c>
      <c r="P556" s="35">
        <f t="shared" si="49"/>
        <v>2418</v>
      </c>
      <c r="Q556" s="36">
        <f t="shared" si="50"/>
        <v>7.3003400000000003</v>
      </c>
      <c r="R556" s="36">
        <f t="shared" si="51"/>
        <v>2.2100000000000002E-2</v>
      </c>
      <c r="S556" s="37">
        <f t="shared" si="52"/>
        <v>331.5</v>
      </c>
      <c r="T556" s="36" t="s">
        <v>349</v>
      </c>
      <c r="U556" s="31" t="s">
        <v>132</v>
      </c>
      <c r="V556" s="57">
        <v>7.1692999999999998</v>
      </c>
      <c r="W556" s="38">
        <f t="shared" si="53"/>
        <v>337.27142119872235</v>
      </c>
    </row>
    <row r="557" spans="1:23">
      <c r="A557" s="31" t="s">
        <v>1869</v>
      </c>
      <c r="B557" s="32">
        <v>45708</v>
      </c>
      <c r="C557" s="32">
        <v>45667</v>
      </c>
      <c r="D557" s="31" t="s">
        <v>806</v>
      </c>
      <c r="E557" s="31" t="s">
        <v>807</v>
      </c>
      <c r="G557" s="31" t="s">
        <v>2142</v>
      </c>
      <c r="H557" s="31" t="s">
        <v>1605</v>
      </c>
      <c r="I557" s="31" t="s">
        <v>1606</v>
      </c>
      <c r="J557" s="34" t="str">
        <f t="shared" si="48"/>
        <v>BAG-</v>
      </c>
      <c r="K557" s="31" t="s">
        <v>10</v>
      </c>
      <c r="L557" s="53">
        <v>15000</v>
      </c>
      <c r="M557" s="31" t="s">
        <v>1472</v>
      </c>
      <c r="N557" s="31" t="s">
        <v>11</v>
      </c>
      <c r="O557" s="53">
        <v>0.17</v>
      </c>
      <c r="P557" s="35">
        <f t="shared" si="49"/>
        <v>2550</v>
      </c>
      <c r="Q557" s="36">
        <f t="shared" si="50"/>
        <v>7.3003400000000003</v>
      </c>
      <c r="R557" s="36">
        <f t="shared" si="51"/>
        <v>2.3300000000000001E-2</v>
      </c>
      <c r="S557" s="37">
        <f t="shared" si="52"/>
        <v>349.5</v>
      </c>
      <c r="T557" s="36" t="s">
        <v>349</v>
      </c>
      <c r="U557" s="31" t="s">
        <v>810</v>
      </c>
      <c r="V557" s="57">
        <v>7.1692999999999998</v>
      </c>
      <c r="W557" s="38">
        <f t="shared" si="53"/>
        <v>355.68326056937224</v>
      </c>
    </row>
    <row r="558" spans="1:23">
      <c r="A558" s="31" t="s">
        <v>1870</v>
      </c>
      <c r="B558" s="32">
        <v>45708</v>
      </c>
      <c r="C558" s="32">
        <v>45674</v>
      </c>
      <c r="D558" s="31" t="s">
        <v>806</v>
      </c>
      <c r="E558" s="31" t="s">
        <v>807</v>
      </c>
      <c r="G558" s="31" t="s">
        <v>2142</v>
      </c>
      <c r="H558" s="31" t="s">
        <v>1605</v>
      </c>
      <c r="I558" s="31" t="s">
        <v>1606</v>
      </c>
      <c r="J558" s="34" t="str">
        <f t="shared" si="48"/>
        <v>BAG-</v>
      </c>
      <c r="K558" s="31" t="s">
        <v>10</v>
      </c>
      <c r="L558" s="53">
        <v>5000</v>
      </c>
      <c r="M558" s="31" t="s">
        <v>1472</v>
      </c>
      <c r="N558" s="31" t="s">
        <v>11</v>
      </c>
      <c r="O558" s="53">
        <v>0.17</v>
      </c>
      <c r="P558" s="35">
        <f t="shared" si="49"/>
        <v>850</v>
      </c>
      <c r="Q558" s="36">
        <f t="shared" si="50"/>
        <v>7.3003400000000003</v>
      </c>
      <c r="R558" s="36">
        <f t="shared" si="51"/>
        <v>2.3300000000000001E-2</v>
      </c>
      <c r="S558" s="37">
        <f t="shared" si="52"/>
        <v>116.5</v>
      </c>
      <c r="T558" s="36" t="s">
        <v>349</v>
      </c>
      <c r="U558" s="31" t="s">
        <v>810</v>
      </c>
      <c r="V558" s="57">
        <v>7.1692999999999998</v>
      </c>
      <c r="W558" s="38">
        <f t="shared" si="53"/>
        <v>118.56108685645741</v>
      </c>
    </row>
    <row r="559" spans="1:23">
      <c r="A559" s="31" t="s">
        <v>1871</v>
      </c>
      <c r="B559" s="32">
        <v>45708</v>
      </c>
      <c r="C559" s="32">
        <v>45679</v>
      </c>
      <c r="D559" s="31" t="s">
        <v>806</v>
      </c>
      <c r="E559" s="31" t="s">
        <v>807</v>
      </c>
      <c r="G559" s="31" t="s">
        <v>2143</v>
      </c>
      <c r="H559" s="31" t="s">
        <v>1607</v>
      </c>
      <c r="I559" s="31" t="s">
        <v>1608</v>
      </c>
      <c r="J559" s="34" t="str">
        <f t="shared" si="48"/>
        <v>BAG-</v>
      </c>
      <c r="K559" s="31" t="s">
        <v>10</v>
      </c>
      <c r="L559" s="53">
        <v>20000</v>
      </c>
      <c r="M559" s="31" t="s">
        <v>1472</v>
      </c>
      <c r="N559" s="31" t="s">
        <v>11</v>
      </c>
      <c r="O559" s="53">
        <v>0.17299999999999999</v>
      </c>
      <c r="P559" s="35">
        <f t="shared" si="49"/>
        <v>3460</v>
      </c>
      <c r="Q559" s="36">
        <f t="shared" si="50"/>
        <v>7.3003400000000003</v>
      </c>
      <c r="R559" s="36">
        <f t="shared" si="51"/>
        <v>2.3699999999999999E-2</v>
      </c>
      <c r="S559" s="37">
        <f t="shared" si="52"/>
        <v>474</v>
      </c>
      <c r="T559" s="36" t="s">
        <v>349</v>
      </c>
      <c r="U559" s="31" t="s">
        <v>810</v>
      </c>
      <c r="V559" s="57">
        <v>7.1692999999999998</v>
      </c>
      <c r="W559" s="38">
        <f t="shared" si="53"/>
        <v>482.61336532157952</v>
      </c>
    </row>
    <row r="560" spans="1:23">
      <c r="A560" s="31" t="s">
        <v>1872</v>
      </c>
      <c r="B560" s="32">
        <v>45712</v>
      </c>
      <c r="C560" s="32">
        <v>45664</v>
      </c>
      <c r="D560" s="31" t="s">
        <v>235</v>
      </c>
      <c r="E560" s="31" t="s">
        <v>236</v>
      </c>
      <c r="G560" s="31" t="s">
        <v>2149</v>
      </c>
      <c r="H560" s="31" t="s">
        <v>1361</v>
      </c>
      <c r="I560" s="31" t="s">
        <v>1362</v>
      </c>
      <c r="J560" s="34" t="str">
        <f t="shared" si="48"/>
        <v>RIV-</v>
      </c>
      <c r="K560" s="31" t="s">
        <v>10</v>
      </c>
      <c r="L560" s="53">
        <v>17000</v>
      </c>
      <c r="M560" s="31" t="s">
        <v>1472</v>
      </c>
      <c r="N560" s="31" t="s">
        <v>11</v>
      </c>
      <c r="O560" s="53">
        <v>0.17649999999999999</v>
      </c>
      <c r="P560" s="35">
        <f t="shared" si="49"/>
        <v>3000.5</v>
      </c>
      <c r="Q560" s="36">
        <f t="shared" si="50"/>
        <v>7.3003400000000003</v>
      </c>
      <c r="R560" s="36">
        <f t="shared" si="51"/>
        <v>2.4199999999999999E-2</v>
      </c>
      <c r="S560" s="37">
        <f t="shared" si="52"/>
        <v>411.4</v>
      </c>
      <c r="T560" s="36" t="s">
        <v>349</v>
      </c>
      <c r="U560" s="31" t="s">
        <v>132</v>
      </c>
      <c r="V560" s="57">
        <v>7.1692999999999998</v>
      </c>
      <c r="W560" s="38">
        <f t="shared" si="53"/>
        <v>418.52063660329458</v>
      </c>
    </row>
    <row r="561" spans="1:23">
      <c r="A561" s="31" t="s">
        <v>1873</v>
      </c>
      <c r="B561" s="32">
        <v>45712</v>
      </c>
      <c r="C561" s="32">
        <v>45695</v>
      </c>
      <c r="D561" s="31" t="s">
        <v>235</v>
      </c>
      <c r="E561" s="31" t="s">
        <v>236</v>
      </c>
      <c r="G561" s="31" t="s">
        <v>2149</v>
      </c>
      <c r="H561" s="31" t="s">
        <v>1361</v>
      </c>
      <c r="I561" s="31" t="s">
        <v>1362</v>
      </c>
      <c r="J561" s="34" t="str">
        <f t="shared" si="48"/>
        <v>RIV-</v>
      </c>
      <c r="K561" s="31" t="s">
        <v>10</v>
      </c>
      <c r="L561" s="53">
        <v>3000</v>
      </c>
      <c r="M561" s="31" t="s">
        <v>1472</v>
      </c>
      <c r="N561" s="31" t="s">
        <v>11</v>
      </c>
      <c r="O561" s="53">
        <v>0.17649999999999999</v>
      </c>
      <c r="P561" s="35">
        <f t="shared" si="49"/>
        <v>529.5</v>
      </c>
      <c r="Q561" s="36">
        <f t="shared" si="50"/>
        <v>7.3003400000000003</v>
      </c>
      <c r="R561" s="36">
        <f t="shared" si="51"/>
        <v>2.4199999999999999E-2</v>
      </c>
      <c r="S561" s="37">
        <f t="shared" si="52"/>
        <v>72.599999999999994</v>
      </c>
      <c r="T561" s="36" t="s">
        <v>349</v>
      </c>
      <c r="U561" s="31" t="s">
        <v>132</v>
      </c>
      <c r="V561" s="57">
        <v>7.1692999999999998</v>
      </c>
      <c r="W561" s="38">
        <f t="shared" si="53"/>
        <v>73.856582929993166</v>
      </c>
    </row>
    <row r="562" spans="1:23">
      <c r="A562" s="31" t="s">
        <v>1874</v>
      </c>
      <c r="B562" s="32">
        <v>45712</v>
      </c>
      <c r="C562" s="32">
        <v>45670</v>
      </c>
      <c r="D562" s="31" t="s">
        <v>28</v>
      </c>
      <c r="E562" s="31" t="s">
        <v>29</v>
      </c>
      <c r="G562" s="31" t="s">
        <v>2151</v>
      </c>
      <c r="H562" s="31" t="s">
        <v>1175</v>
      </c>
      <c r="I562" s="31" t="s">
        <v>1176</v>
      </c>
      <c r="J562" s="34" t="str">
        <f t="shared" si="48"/>
        <v>MISC</v>
      </c>
      <c r="K562" s="31" t="s">
        <v>10</v>
      </c>
      <c r="L562" s="53">
        <v>5000</v>
      </c>
      <c r="M562" s="31" t="s">
        <v>1472</v>
      </c>
      <c r="N562" s="31" t="s">
        <v>11</v>
      </c>
      <c r="O562" s="53">
        <v>0.18160000000000001</v>
      </c>
      <c r="P562" s="35">
        <f t="shared" si="49"/>
        <v>908</v>
      </c>
      <c r="Q562" s="36">
        <f t="shared" si="50"/>
        <v>7.3003400000000003</v>
      </c>
      <c r="R562" s="36">
        <f t="shared" si="51"/>
        <v>2.4899999999999999E-2</v>
      </c>
      <c r="S562" s="37">
        <f t="shared" si="52"/>
        <v>124.5</v>
      </c>
      <c r="T562" s="36" t="s">
        <v>349</v>
      </c>
      <c r="U562" s="31" t="s">
        <v>25</v>
      </c>
      <c r="V562" s="57">
        <v>7.1692999999999998</v>
      </c>
      <c r="W562" s="38">
        <f t="shared" si="53"/>
        <v>126.65113748901568</v>
      </c>
    </row>
    <row r="563" spans="1:23">
      <c r="A563" s="31" t="s">
        <v>1875</v>
      </c>
      <c r="B563" s="32">
        <v>45712</v>
      </c>
      <c r="C563" s="32">
        <v>45671</v>
      </c>
      <c r="D563" s="31" t="s">
        <v>28</v>
      </c>
      <c r="E563" s="31" t="s">
        <v>29</v>
      </c>
      <c r="G563" s="31" t="s">
        <v>2151</v>
      </c>
      <c r="H563" s="31" t="s">
        <v>1175</v>
      </c>
      <c r="I563" s="31" t="s">
        <v>1176</v>
      </c>
      <c r="J563" s="34" t="str">
        <f t="shared" si="48"/>
        <v>MISC</v>
      </c>
      <c r="K563" s="31" t="s">
        <v>10</v>
      </c>
      <c r="L563" s="53">
        <v>18000</v>
      </c>
      <c r="M563" s="31" t="s">
        <v>1472</v>
      </c>
      <c r="N563" s="31" t="s">
        <v>11</v>
      </c>
      <c r="O563" s="53">
        <v>0.18160000000000001</v>
      </c>
      <c r="P563" s="35">
        <f t="shared" si="49"/>
        <v>3268.8</v>
      </c>
      <c r="Q563" s="36">
        <f t="shared" si="50"/>
        <v>7.3003400000000003</v>
      </c>
      <c r="R563" s="36">
        <f t="shared" si="51"/>
        <v>2.4899999999999999E-2</v>
      </c>
      <c r="S563" s="37">
        <f t="shared" si="52"/>
        <v>448.2</v>
      </c>
      <c r="T563" s="36" t="s">
        <v>349</v>
      </c>
      <c r="U563" s="31" t="s">
        <v>25</v>
      </c>
      <c r="V563" s="57">
        <v>7.1692999999999998</v>
      </c>
      <c r="W563" s="38">
        <f t="shared" si="53"/>
        <v>455.94409496045643</v>
      </c>
    </row>
    <row r="564" spans="1:23">
      <c r="A564" s="31" t="s">
        <v>1876</v>
      </c>
      <c r="B564" s="32">
        <v>45712</v>
      </c>
      <c r="C564" s="32">
        <v>45695</v>
      </c>
      <c r="D564" s="31" t="s">
        <v>28</v>
      </c>
      <c r="E564" s="31" t="s">
        <v>29</v>
      </c>
      <c r="G564" s="31" t="s">
        <v>2151</v>
      </c>
      <c r="H564" s="31" t="s">
        <v>1175</v>
      </c>
      <c r="I564" s="31" t="s">
        <v>1176</v>
      </c>
      <c r="J564" s="34" t="str">
        <f t="shared" si="48"/>
        <v>MISC</v>
      </c>
      <c r="K564" s="31" t="s">
        <v>10</v>
      </c>
      <c r="L564" s="53">
        <v>3000</v>
      </c>
      <c r="M564" s="31" t="s">
        <v>1472</v>
      </c>
      <c r="N564" s="31" t="s">
        <v>11</v>
      </c>
      <c r="O564" s="53">
        <v>0.1835</v>
      </c>
      <c r="P564" s="35">
        <f t="shared" si="49"/>
        <v>550.5</v>
      </c>
      <c r="Q564" s="36">
        <f t="shared" si="50"/>
        <v>7.3003400000000003</v>
      </c>
      <c r="R564" s="36">
        <f t="shared" si="51"/>
        <v>2.5100000000000001E-2</v>
      </c>
      <c r="S564" s="37">
        <f t="shared" si="52"/>
        <v>75.3</v>
      </c>
      <c r="T564" s="36" t="s">
        <v>349</v>
      </c>
      <c r="U564" s="31" t="s">
        <v>25</v>
      </c>
      <c r="V564" s="57">
        <v>7.1692999999999998</v>
      </c>
      <c r="W564" s="38">
        <f t="shared" si="53"/>
        <v>76.785739193505648</v>
      </c>
    </row>
    <row r="565" spans="1:23">
      <c r="A565" s="31" t="s">
        <v>1877</v>
      </c>
      <c r="B565" s="32">
        <v>45708</v>
      </c>
      <c r="C565" s="32">
        <v>45667</v>
      </c>
      <c r="D565" s="31" t="s">
        <v>806</v>
      </c>
      <c r="E565" s="31" t="s">
        <v>807</v>
      </c>
      <c r="G565" s="31" t="s">
        <v>2142</v>
      </c>
      <c r="H565" s="31" t="s">
        <v>1609</v>
      </c>
      <c r="I565" s="31" t="s">
        <v>1610</v>
      </c>
      <c r="J565" s="34" t="str">
        <f t="shared" si="48"/>
        <v>BAG-</v>
      </c>
      <c r="K565" s="31" t="s">
        <v>10</v>
      </c>
      <c r="L565" s="53">
        <v>5000</v>
      </c>
      <c r="M565" s="31" t="s">
        <v>1472</v>
      </c>
      <c r="N565" s="31" t="s">
        <v>11</v>
      </c>
      <c r="O565" s="53">
        <v>0.185</v>
      </c>
      <c r="P565" s="35">
        <f t="shared" si="49"/>
        <v>925</v>
      </c>
      <c r="Q565" s="36">
        <f t="shared" si="50"/>
        <v>7.3003400000000003</v>
      </c>
      <c r="R565" s="36">
        <f t="shared" si="51"/>
        <v>2.53E-2</v>
      </c>
      <c r="S565" s="37">
        <f t="shared" si="52"/>
        <v>126.5</v>
      </c>
      <c r="T565" s="36" t="s">
        <v>349</v>
      </c>
      <c r="U565" s="31" t="s">
        <v>810</v>
      </c>
      <c r="V565" s="57">
        <v>7.1692999999999998</v>
      </c>
      <c r="W565" s="38">
        <f t="shared" si="53"/>
        <v>129.0223592261448</v>
      </c>
    </row>
    <row r="566" spans="1:23">
      <c r="A566" s="31" t="s">
        <v>1878</v>
      </c>
      <c r="B566" s="32">
        <v>45708</v>
      </c>
      <c r="C566" s="32">
        <v>45667</v>
      </c>
      <c r="D566" s="31" t="s">
        <v>806</v>
      </c>
      <c r="E566" s="31" t="s">
        <v>807</v>
      </c>
      <c r="G566" s="31" t="s">
        <v>2142</v>
      </c>
      <c r="H566" s="31" t="s">
        <v>1611</v>
      </c>
      <c r="I566" s="31" t="s">
        <v>1612</v>
      </c>
      <c r="J566" s="34" t="str">
        <f t="shared" si="48"/>
        <v>BAG-</v>
      </c>
      <c r="K566" s="31" t="s">
        <v>10</v>
      </c>
      <c r="L566" s="53">
        <v>4000</v>
      </c>
      <c r="M566" s="31" t="s">
        <v>1472</v>
      </c>
      <c r="N566" s="31" t="s">
        <v>11</v>
      </c>
      <c r="O566" s="53">
        <v>0.22</v>
      </c>
      <c r="P566" s="35">
        <f t="shared" si="49"/>
        <v>880</v>
      </c>
      <c r="Q566" s="36">
        <f t="shared" si="50"/>
        <v>7.3003400000000003</v>
      </c>
      <c r="R566" s="36">
        <f t="shared" si="51"/>
        <v>3.0099999999999998E-2</v>
      </c>
      <c r="S566" s="37">
        <f t="shared" si="52"/>
        <v>120.4</v>
      </c>
      <c r="T566" s="36" t="s">
        <v>349</v>
      </c>
      <c r="U566" s="31" t="s">
        <v>810</v>
      </c>
      <c r="V566" s="57">
        <v>7.1692999999999998</v>
      </c>
      <c r="W566" s="38">
        <f t="shared" si="53"/>
        <v>122.74559580433237</v>
      </c>
    </row>
    <row r="567" spans="1:23">
      <c r="A567" s="31" t="s">
        <v>1879</v>
      </c>
      <c r="B567" s="32">
        <v>45701</v>
      </c>
      <c r="C567" s="32">
        <v>45671</v>
      </c>
      <c r="D567" s="31" t="s">
        <v>169</v>
      </c>
      <c r="E567" s="31" t="s">
        <v>170</v>
      </c>
      <c r="G567" s="31" t="s">
        <v>2152</v>
      </c>
      <c r="H567" s="31" t="s">
        <v>1613</v>
      </c>
      <c r="I567" s="31" t="s">
        <v>1614</v>
      </c>
      <c r="J567" s="34" t="str">
        <f t="shared" si="48"/>
        <v>U&amp;C-</v>
      </c>
      <c r="K567" s="31" t="s">
        <v>10</v>
      </c>
      <c r="L567" s="53">
        <v>4000</v>
      </c>
      <c r="M567" s="31" t="s">
        <v>1472</v>
      </c>
      <c r="N567" s="31" t="s">
        <v>11</v>
      </c>
      <c r="O567" s="53">
        <v>0.22839999999999999</v>
      </c>
      <c r="P567" s="35">
        <f t="shared" si="49"/>
        <v>913.6</v>
      </c>
      <c r="Q567" s="36">
        <f t="shared" si="50"/>
        <v>7.3003400000000003</v>
      </c>
      <c r="R567" s="36">
        <f t="shared" si="51"/>
        <v>3.1300000000000001E-2</v>
      </c>
      <c r="S567" s="37">
        <f t="shared" si="52"/>
        <v>125.2</v>
      </c>
      <c r="T567" s="36" t="s">
        <v>349</v>
      </c>
      <c r="U567" s="31" t="s">
        <v>177</v>
      </c>
      <c r="V567" s="57">
        <v>7.1692999999999998</v>
      </c>
      <c r="W567" s="38">
        <f t="shared" si="53"/>
        <v>127.43224582595234</v>
      </c>
    </row>
    <row r="568" spans="1:23">
      <c r="A568" s="31" t="s">
        <v>1880</v>
      </c>
      <c r="B568" s="32">
        <v>45712</v>
      </c>
      <c r="C568" s="32">
        <v>45698</v>
      </c>
      <c r="D568" s="31" t="s">
        <v>235</v>
      </c>
      <c r="E568" s="31" t="s">
        <v>236</v>
      </c>
      <c r="G568" s="31" t="s">
        <v>2153</v>
      </c>
      <c r="H568" s="31" t="s">
        <v>1358</v>
      </c>
      <c r="I568" s="31" t="s">
        <v>1359</v>
      </c>
      <c r="J568" s="34" t="str">
        <f t="shared" si="48"/>
        <v>RIV-</v>
      </c>
      <c r="K568" s="31" t="s">
        <v>10</v>
      </c>
      <c r="L568" s="53">
        <v>8000</v>
      </c>
      <c r="M568" s="31" t="s">
        <v>1472</v>
      </c>
      <c r="N568" s="31" t="s">
        <v>11</v>
      </c>
      <c r="O568" s="53">
        <v>0.2331</v>
      </c>
      <c r="P568" s="35">
        <f t="shared" si="49"/>
        <v>1864.8</v>
      </c>
      <c r="Q568" s="36">
        <f t="shared" si="50"/>
        <v>7.3003400000000003</v>
      </c>
      <c r="R568" s="36">
        <f t="shared" si="51"/>
        <v>3.1899999999999998E-2</v>
      </c>
      <c r="S568" s="37">
        <f t="shared" si="52"/>
        <v>255.2</v>
      </c>
      <c r="T568" s="36" t="s">
        <v>349</v>
      </c>
      <c r="U568" s="31" t="s">
        <v>132</v>
      </c>
      <c r="V568" s="57">
        <v>7.1692999999999998</v>
      </c>
      <c r="W568" s="38">
        <f t="shared" si="53"/>
        <v>260.10907619990797</v>
      </c>
    </row>
    <row r="569" spans="1:23">
      <c r="A569" s="31" t="s">
        <v>1881</v>
      </c>
      <c r="B569" s="32">
        <v>45708</v>
      </c>
      <c r="C569" s="32">
        <v>45674</v>
      </c>
      <c r="D569" s="31" t="s">
        <v>806</v>
      </c>
      <c r="E569" s="31" t="s">
        <v>807</v>
      </c>
      <c r="G569" s="31" t="s">
        <v>2142</v>
      </c>
      <c r="H569" s="31" t="s">
        <v>1615</v>
      </c>
      <c r="I569" s="31" t="s">
        <v>1616</v>
      </c>
      <c r="J569" s="34" t="str">
        <f t="shared" si="48"/>
        <v>BAG-</v>
      </c>
      <c r="K569" s="31" t="s">
        <v>10</v>
      </c>
      <c r="L569" s="53">
        <v>2000</v>
      </c>
      <c r="M569" s="31" t="s">
        <v>1472</v>
      </c>
      <c r="N569" s="31" t="s">
        <v>11</v>
      </c>
      <c r="O569" s="53">
        <v>0.23499999999999999</v>
      </c>
      <c r="P569" s="35">
        <f t="shared" si="49"/>
        <v>470</v>
      </c>
      <c r="Q569" s="36">
        <f t="shared" si="50"/>
        <v>7.3003400000000003</v>
      </c>
      <c r="R569" s="36">
        <f t="shared" si="51"/>
        <v>3.2199999999999999E-2</v>
      </c>
      <c r="S569" s="37">
        <f t="shared" si="52"/>
        <v>64.400000000000006</v>
      </c>
      <c r="T569" s="36" t="s">
        <v>349</v>
      </c>
      <c r="U569" s="31" t="s">
        <v>810</v>
      </c>
      <c r="V569" s="57">
        <v>7.1692999999999998</v>
      </c>
      <c r="W569" s="38">
        <f t="shared" si="53"/>
        <v>65.557306850041144</v>
      </c>
    </row>
    <row r="570" spans="1:23">
      <c r="A570" s="31" t="s">
        <v>1882</v>
      </c>
      <c r="B570" s="32">
        <v>45708</v>
      </c>
      <c r="C570" s="32">
        <v>45706</v>
      </c>
      <c r="D570" s="31" t="s">
        <v>169</v>
      </c>
      <c r="E570" s="31" t="s">
        <v>170</v>
      </c>
      <c r="G570" s="31" t="s">
        <v>2154</v>
      </c>
      <c r="H570" s="31" t="s">
        <v>1617</v>
      </c>
      <c r="I570" s="31" t="s">
        <v>1618</v>
      </c>
      <c r="J570" s="34" t="str">
        <f t="shared" si="48"/>
        <v>WACD</v>
      </c>
      <c r="K570" s="31" t="s">
        <v>10</v>
      </c>
      <c r="L570" s="53">
        <v>1000</v>
      </c>
      <c r="M570" s="31" t="s">
        <v>1472</v>
      </c>
      <c r="N570" s="31" t="s">
        <v>11</v>
      </c>
      <c r="O570" s="53">
        <v>0.252</v>
      </c>
      <c r="P570" s="35">
        <f t="shared" si="49"/>
        <v>252</v>
      </c>
      <c r="Q570" s="36">
        <f t="shared" si="50"/>
        <v>7.3003400000000003</v>
      </c>
      <c r="R570" s="36">
        <f t="shared" si="51"/>
        <v>3.4500000000000003E-2</v>
      </c>
      <c r="S570" s="37">
        <f t="shared" si="52"/>
        <v>34.5</v>
      </c>
      <c r="T570" s="36" t="s">
        <v>349</v>
      </c>
      <c r="U570" s="31" t="s">
        <v>635</v>
      </c>
      <c r="V570" s="57">
        <v>7.1692999999999998</v>
      </c>
      <c r="W570" s="38">
        <f t="shared" si="53"/>
        <v>35.149875162149719</v>
      </c>
    </row>
    <row r="571" spans="1:23">
      <c r="A571" s="31" t="s">
        <v>1883</v>
      </c>
      <c r="B571" s="32">
        <v>45701</v>
      </c>
      <c r="C571" s="32">
        <v>45671</v>
      </c>
      <c r="D571" s="31" t="s">
        <v>169</v>
      </c>
      <c r="E571" s="31" t="s">
        <v>170</v>
      </c>
      <c r="G571" s="31" t="s">
        <v>2152</v>
      </c>
      <c r="H571" s="31" t="s">
        <v>1114</v>
      </c>
      <c r="I571" s="31" t="s">
        <v>1115</v>
      </c>
      <c r="J571" s="34" t="str">
        <f t="shared" si="48"/>
        <v>U&amp;C-</v>
      </c>
      <c r="K571" s="31" t="s">
        <v>10</v>
      </c>
      <c r="L571" s="53">
        <v>2020</v>
      </c>
      <c r="M571" s="31" t="s">
        <v>1472</v>
      </c>
      <c r="N571" s="31" t="s">
        <v>11</v>
      </c>
      <c r="O571" s="53">
        <v>0.26700000000000002</v>
      </c>
      <c r="P571" s="35">
        <f t="shared" si="49"/>
        <v>539.34</v>
      </c>
      <c r="Q571" s="36">
        <f t="shared" si="50"/>
        <v>7.3003400000000003</v>
      </c>
      <c r="R571" s="36">
        <f t="shared" si="51"/>
        <v>3.6600000000000001E-2</v>
      </c>
      <c r="S571" s="37">
        <f t="shared" si="52"/>
        <v>73.930000000000007</v>
      </c>
      <c r="T571" s="36" t="s">
        <v>349</v>
      </c>
      <c r="U571" s="31" t="s">
        <v>177</v>
      </c>
      <c r="V571" s="57">
        <v>7.1692999999999998</v>
      </c>
      <c r="W571" s="38">
        <f t="shared" si="53"/>
        <v>75.229101864896165</v>
      </c>
    </row>
    <row r="572" spans="1:23">
      <c r="A572" s="31" t="s">
        <v>1884</v>
      </c>
      <c r="B572" s="32">
        <v>45702</v>
      </c>
      <c r="C572" s="32">
        <v>45671</v>
      </c>
      <c r="D572" s="31" t="s">
        <v>169</v>
      </c>
      <c r="E572" s="31" t="s">
        <v>170</v>
      </c>
      <c r="G572" s="31" t="s">
        <v>2155</v>
      </c>
      <c r="H572" s="31" t="s">
        <v>1619</v>
      </c>
      <c r="I572" s="31" t="s">
        <v>1620</v>
      </c>
      <c r="J572" s="34" t="str">
        <f t="shared" si="48"/>
        <v>U&amp;C-</v>
      </c>
      <c r="K572" s="31" t="s">
        <v>10</v>
      </c>
      <c r="L572" s="53">
        <v>1510</v>
      </c>
      <c r="M572" s="31" t="s">
        <v>1472</v>
      </c>
      <c r="N572" s="31" t="s">
        <v>11</v>
      </c>
      <c r="O572" s="53">
        <v>0.27500000000000002</v>
      </c>
      <c r="P572" s="35">
        <f t="shared" si="49"/>
        <v>415.25</v>
      </c>
      <c r="Q572" s="36">
        <f t="shared" si="50"/>
        <v>7.3003400000000003</v>
      </c>
      <c r="R572" s="36">
        <f t="shared" si="51"/>
        <v>3.7699999999999997E-2</v>
      </c>
      <c r="S572" s="37">
        <f t="shared" si="52"/>
        <v>56.93</v>
      </c>
      <c r="T572" s="36" t="s">
        <v>349</v>
      </c>
      <c r="U572" s="31" t="s">
        <v>177</v>
      </c>
      <c r="V572" s="57">
        <v>7.1692999999999998</v>
      </c>
      <c r="W572" s="38">
        <f t="shared" si="53"/>
        <v>57.920578020169337</v>
      </c>
    </row>
    <row r="573" spans="1:23">
      <c r="A573" s="31" t="s">
        <v>1885</v>
      </c>
      <c r="B573" s="32">
        <v>45712</v>
      </c>
      <c r="C573" s="32">
        <v>45698</v>
      </c>
      <c r="D573" s="31" t="s">
        <v>235</v>
      </c>
      <c r="E573" s="31" t="s">
        <v>236</v>
      </c>
      <c r="G573" s="31" t="s">
        <v>2153</v>
      </c>
      <c r="H573" s="31" t="s">
        <v>1371</v>
      </c>
      <c r="I573" s="31" t="s">
        <v>1372</v>
      </c>
      <c r="J573" s="34" t="str">
        <f t="shared" si="48"/>
        <v>SCR-</v>
      </c>
      <c r="K573" s="31" t="s">
        <v>10</v>
      </c>
      <c r="L573" s="53">
        <v>200</v>
      </c>
      <c r="M573" s="31" t="s">
        <v>1472</v>
      </c>
      <c r="N573" s="31" t="s">
        <v>11</v>
      </c>
      <c r="O573" s="53">
        <v>0.28810000000000002</v>
      </c>
      <c r="P573" s="35">
        <f t="shared" si="49"/>
        <v>57.62</v>
      </c>
      <c r="Q573" s="36">
        <f t="shared" si="50"/>
        <v>7.3003400000000003</v>
      </c>
      <c r="R573" s="36">
        <f t="shared" si="51"/>
        <v>3.95E-2</v>
      </c>
      <c r="S573" s="37">
        <f t="shared" si="52"/>
        <v>7.9</v>
      </c>
      <c r="T573" s="36" t="s">
        <v>349</v>
      </c>
      <c r="U573" s="31" t="s">
        <v>166</v>
      </c>
      <c r="V573" s="57">
        <v>7.1692999999999998</v>
      </c>
      <c r="W573" s="38">
        <f t="shared" si="53"/>
        <v>8.037046852551855</v>
      </c>
    </row>
    <row r="574" spans="1:23">
      <c r="A574" s="31" t="s">
        <v>1885</v>
      </c>
      <c r="B574" s="32">
        <v>45712</v>
      </c>
      <c r="C574" s="32">
        <v>45698</v>
      </c>
      <c r="D574" s="31" t="s">
        <v>235</v>
      </c>
      <c r="E574" s="31" t="s">
        <v>236</v>
      </c>
      <c r="G574" s="31" t="s">
        <v>2153</v>
      </c>
      <c r="H574" s="31" t="s">
        <v>1371</v>
      </c>
      <c r="I574" s="31" t="s">
        <v>1372</v>
      </c>
      <c r="J574" s="34" t="str">
        <f t="shared" si="48"/>
        <v>SCR-</v>
      </c>
      <c r="K574" s="31" t="s">
        <v>10</v>
      </c>
      <c r="L574" s="53">
        <v>500</v>
      </c>
      <c r="M574" s="31" t="s">
        <v>1472</v>
      </c>
      <c r="N574" s="31" t="s">
        <v>11</v>
      </c>
      <c r="O574" s="53">
        <v>0.28810000000000002</v>
      </c>
      <c r="P574" s="35">
        <f t="shared" si="49"/>
        <v>144.05000000000001</v>
      </c>
      <c r="Q574" s="36">
        <f t="shared" si="50"/>
        <v>7.3003400000000003</v>
      </c>
      <c r="R574" s="36">
        <f t="shared" si="51"/>
        <v>3.95E-2</v>
      </c>
      <c r="S574" s="37">
        <f t="shared" si="52"/>
        <v>19.75</v>
      </c>
      <c r="T574" s="36" t="s">
        <v>349</v>
      </c>
      <c r="U574" s="31" t="s">
        <v>166</v>
      </c>
      <c r="V574" s="57">
        <v>7.1692999999999998</v>
      </c>
      <c r="W574" s="38">
        <f t="shared" si="53"/>
        <v>20.092617131379637</v>
      </c>
    </row>
    <row r="575" spans="1:23">
      <c r="A575" s="31" t="s">
        <v>1886</v>
      </c>
      <c r="B575" s="32">
        <v>45702</v>
      </c>
      <c r="C575" s="32">
        <v>45674</v>
      </c>
      <c r="D575" s="31" t="s">
        <v>169</v>
      </c>
      <c r="E575" s="31" t="s">
        <v>170</v>
      </c>
      <c r="G575" s="31" t="s">
        <v>2156</v>
      </c>
      <c r="H575" s="31" t="s">
        <v>1095</v>
      </c>
      <c r="I575" s="31" t="s">
        <v>1096</v>
      </c>
      <c r="J575" s="34" t="str">
        <f t="shared" si="48"/>
        <v>PAP-</v>
      </c>
      <c r="K575" s="31" t="s">
        <v>10</v>
      </c>
      <c r="L575" s="53">
        <v>20000</v>
      </c>
      <c r="M575" s="31" t="s">
        <v>1472</v>
      </c>
      <c r="N575" s="31" t="s">
        <v>11</v>
      </c>
      <c r="O575" s="53">
        <v>0.28999999999999998</v>
      </c>
      <c r="P575" s="35">
        <f t="shared" si="49"/>
        <v>5800</v>
      </c>
      <c r="Q575" s="36">
        <f t="shared" si="50"/>
        <v>7.3003400000000003</v>
      </c>
      <c r="R575" s="36">
        <f t="shared" si="51"/>
        <v>3.9699999999999999E-2</v>
      </c>
      <c r="S575" s="37">
        <f t="shared" si="52"/>
        <v>794</v>
      </c>
      <c r="T575" s="36" t="s">
        <v>349</v>
      </c>
      <c r="U575" s="31" t="s">
        <v>1094</v>
      </c>
      <c r="V575" s="57">
        <v>7.1692999999999998</v>
      </c>
      <c r="W575" s="38">
        <f t="shared" si="53"/>
        <v>809.00506325582683</v>
      </c>
    </row>
    <row r="576" spans="1:23">
      <c r="A576" s="31" t="s">
        <v>1887</v>
      </c>
      <c r="B576" s="32">
        <v>45715</v>
      </c>
      <c r="C576" s="32">
        <v>45712</v>
      </c>
      <c r="D576" s="31" t="s">
        <v>5</v>
      </c>
      <c r="E576" s="31" t="s">
        <v>6</v>
      </c>
      <c r="G576" s="31" t="s">
        <v>2157</v>
      </c>
      <c r="H576" s="31" t="s">
        <v>1621</v>
      </c>
      <c r="I576" s="31" t="s">
        <v>1622</v>
      </c>
      <c r="J576" s="34" t="str">
        <f t="shared" si="48"/>
        <v>STKR</v>
      </c>
      <c r="K576" s="31" t="s">
        <v>10</v>
      </c>
      <c r="L576" s="53">
        <v>3530</v>
      </c>
      <c r="M576" s="31" t="s">
        <v>1472</v>
      </c>
      <c r="N576" s="31" t="s">
        <v>11</v>
      </c>
      <c r="O576" s="53">
        <v>0.28999999999999998</v>
      </c>
      <c r="P576" s="35">
        <f t="shared" si="49"/>
        <v>1023.7</v>
      </c>
      <c r="Q576" s="36">
        <f t="shared" si="50"/>
        <v>7.3003400000000003</v>
      </c>
      <c r="R576" s="36">
        <f t="shared" si="51"/>
        <v>3.9699999999999999E-2</v>
      </c>
      <c r="S576" s="37">
        <f t="shared" si="52"/>
        <v>140.13999999999999</v>
      </c>
      <c r="T576" s="36" t="s">
        <v>349</v>
      </c>
      <c r="U576" s="31" t="s">
        <v>18</v>
      </c>
      <c r="V576" s="57">
        <v>7.1692999999999998</v>
      </c>
      <c r="W576" s="38">
        <f t="shared" si="53"/>
        <v>142.78939366465343</v>
      </c>
    </row>
    <row r="577" spans="1:23">
      <c r="A577" s="31" t="s">
        <v>1888</v>
      </c>
      <c r="B577" s="32">
        <v>45708</v>
      </c>
      <c r="C577" s="32">
        <v>45667</v>
      </c>
      <c r="D577" s="31" t="s">
        <v>806</v>
      </c>
      <c r="E577" s="31" t="s">
        <v>807</v>
      </c>
      <c r="G577" s="31" t="s">
        <v>2142</v>
      </c>
      <c r="H577" s="31" t="s">
        <v>1623</v>
      </c>
      <c r="I577" s="31" t="s">
        <v>1624</v>
      </c>
      <c r="J577" s="34" t="str">
        <f t="shared" si="48"/>
        <v>BAG-</v>
      </c>
      <c r="K577" s="31" t="s">
        <v>10</v>
      </c>
      <c r="L577" s="53">
        <v>4000</v>
      </c>
      <c r="M577" s="31" t="s">
        <v>1472</v>
      </c>
      <c r="N577" s="31" t="s">
        <v>11</v>
      </c>
      <c r="O577" s="53">
        <v>0.3</v>
      </c>
      <c r="P577" s="35">
        <f t="shared" si="49"/>
        <v>1200</v>
      </c>
      <c r="Q577" s="36">
        <f t="shared" si="50"/>
        <v>7.3003400000000003</v>
      </c>
      <c r="R577" s="36">
        <f t="shared" si="51"/>
        <v>4.1099999999999998E-2</v>
      </c>
      <c r="S577" s="37">
        <f t="shared" si="52"/>
        <v>164.4</v>
      </c>
      <c r="T577" s="36" t="s">
        <v>349</v>
      </c>
      <c r="U577" s="31" t="s">
        <v>810</v>
      </c>
      <c r="V577" s="57">
        <v>7.1692999999999998</v>
      </c>
      <c r="W577" s="38">
        <f t="shared" si="53"/>
        <v>167.38035791499865</v>
      </c>
    </row>
    <row r="578" spans="1:23">
      <c r="A578" s="31" t="s">
        <v>1889</v>
      </c>
      <c r="B578" s="32">
        <v>45702</v>
      </c>
      <c r="C578" s="32">
        <v>45677</v>
      </c>
      <c r="D578" s="31" t="s">
        <v>169</v>
      </c>
      <c r="E578" s="31" t="s">
        <v>170</v>
      </c>
      <c r="G578" s="31" t="s">
        <v>2155</v>
      </c>
      <c r="H578" s="31" t="s">
        <v>1625</v>
      </c>
      <c r="I578" s="31" t="s">
        <v>1626</v>
      </c>
      <c r="J578" s="34" t="str">
        <f t="shared" ref="J578:J641" si="54">+LEFT(U578,4)</f>
        <v>U&amp;C-</v>
      </c>
      <c r="K578" s="31" t="s">
        <v>10</v>
      </c>
      <c r="L578" s="53">
        <v>1200</v>
      </c>
      <c r="M578" s="31" t="s">
        <v>1472</v>
      </c>
      <c r="N578" s="31" t="s">
        <v>11</v>
      </c>
      <c r="O578" s="53">
        <v>0.32300000000000001</v>
      </c>
      <c r="P578" s="35">
        <f t="shared" ref="P578:P641" si="55">ROUND(O578*L578,2)</f>
        <v>387.6</v>
      </c>
      <c r="Q578" s="36">
        <f t="shared" ref="Q578:Q641" si="56">IF(N578="HKD",7.8,IF(N578="CNY",7.30034,1))</f>
        <v>7.3003400000000003</v>
      </c>
      <c r="R578" s="36">
        <f t="shared" ref="R578:R641" si="57">+ROUND(O578/Q578,4)</f>
        <v>4.4200000000000003E-2</v>
      </c>
      <c r="S578" s="37">
        <f t="shared" ref="S578:S641" si="58">ROUND(R578*L578,2)</f>
        <v>53.04</v>
      </c>
      <c r="T578" s="36" t="s">
        <v>349</v>
      </c>
      <c r="U578" s="31" t="s">
        <v>177</v>
      </c>
      <c r="V578" s="57">
        <v>7.1692999999999998</v>
      </c>
      <c r="W578" s="38">
        <f t="shared" ref="W578:W641" si="59">IF(N578="CNY",O578/V578*L578,1)</f>
        <v>54.063855606544578</v>
      </c>
    </row>
    <row r="579" spans="1:23">
      <c r="A579" s="31" t="s">
        <v>1890</v>
      </c>
      <c r="B579" s="32">
        <v>45708</v>
      </c>
      <c r="C579" s="32">
        <v>45671</v>
      </c>
      <c r="D579" s="31" t="s">
        <v>169</v>
      </c>
      <c r="E579" s="31" t="s">
        <v>170</v>
      </c>
      <c r="G579" s="31" t="s">
        <v>2154</v>
      </c>
      <c r="H579" s="31" t="s">
        <v>1627</v>
      </c>
      <c r="I579" s="31" t="s">
        <v>1628</v>
      </c>
      <c r="J579" s="34" t="str">
        <f t="shared" si="54"/>
        <v>WACD</v>
      </c>
      <c r="K579" s="31" t="s">
        <v>10</v>
      </c>
      <c r="L579" s="53">
        <v>1500</v>
      </c>
      <c r="M579" s="31" t="s">
        <v>1472</v>
      </c>
      <c r="N579" s="31" t="s">
        <v>11</v>
      </c>
      <c r="O579" s="53">
        <v>0.39200000000000002</v>
      </c>
      <c r="P579" s="35">
        <f t="shared" si="55"/>
        <v>588</v>
      </c>
      <c r="Q579" s="36">
        <f t="shared" si="56"/>
        <v>7.3003400000000003</v>
      </c>
      <c r="R579" s="36">
        <f t="shared" si="57"/>
        <v>5.3699999999999998E-2</v>
      </c>
      <c r="S579" s="37">
        <f t="shared" si="58"/>
        <v>80.55</v>
      </c>
      <c r="T579" s="36" t="s">
        <v>349</v>
      </c>
      <c r="U579" s="31" t="s">
        <v>635</v>
      </c>
      <c r="V579" s="57">
        <v>7.1692999999999998</v>
      </c>
      <c r="W579" s="38">
        <f t="shared" si="59"/>
        <v>82.016375378349352</v>
      </c>
    </row>
    <row r="580" spans="1:23">
      <c r="A580" s="31" t="s">
        <v>1891</v>
      </c>
      <c r="B580" s="32">
        <v>45699</v>
      </c>
      <c r="C580" s="32">
        <v>45674</v>
      </c>
      <c r="D580" s="31" t="s">
        <v>569</v>
      </c>
      <c r="E580" s="31" t="s">
        <v>570</v>
      </c>
      <c r="G580" s="31" t="s">
        <v>2148</v>
      </c>
      <c r="H580" s="31" t="s">
        <v>772</v>
      </c>
      <c r="I580" s="31" t="s">
        <v>773</v>
      </c>
      <c r="J580" s="34" t="str">
        <f t="shared" si="54"/>
        <v>WHR-</v>
      </c>
      <c r="K580" s="31" t="s">
        <v>10</v>
      </c>
      <c r="L580" s="53">
        <v>1300</v>
      </c>
      <c r="M580" s="31" t="s">
        <v>1472</v>
      </c>
      <c r="N580" s="31" t="s">
        <v>11</v>
      </c>
      <c r="O580" s="53">
        <v>0.45</v>
      </c>
      <c r="P580" s="35">
        <f t="shared" si="55"/>
        <v>585</v>
      </c>
      <c r="Q580" s="36">
        <f t="shared" si="56"/>
        <v>7.3003400000000003</v>
      </c>
      <c r="R580" s="36">
        <f t="shared" si="57"/>
        <v>6.1600000000000002E-2</v>
      </c>
      <c r="S580" s="37">
        <f t="shared" si="58"/>
        <v>80.08</v>
      </c>
      <c r="T580" s="36" t="s">
        <v>349</v>
      </c>
      <c r="U580" s="31" t="s">
        <v>248</v>
      </c>
      <c r="V580" s="57">
        <v>7.1692999999999998</v>
      </c>
      <c r="W580" s="38">
        <f t="shared" si="59"/>
        <v>81.597924483561854</v>
      </c>
    </row>
    <row r="581" spans="1:23">
      <c r="A581" s="31" t="s">
        <v>1892</v>
      </c>
      <c r="B581" s="32">
        <v>45712</v>
      </c>
      <c r="C581" s="32">
        <v>45695</v>
      </c>
      <c r="D581" s="31" t="s">
        <v>235</v>
      </c>
      <c r="E581" s="31" t="s">
        <v>236</v>
      </c>
      <c r="G581" s="31" t="s">
        <v>2149</v>
      </c>
      <c r="H581" s="31" t="s">
        <v>1344</v>
      </c>
      <c r="I581" s="31" t="s">
        <v>1345</v>
      </c>
      <c r="J581" s="34" t="str">
        <f t="shared" si="54"/>
        <v>SCR-</v>
      </c>
      <c r="K581" s="31" t="s">
        <v>10</v>
      </c>
      <c r="L581" s="53">
        <v>1750</v>
      </c>
      <c r="M581" s="31" t="s">
        <v>1472</v>
      </c>
      <c r="N581" s="31" t="s">
        <v>11</v>
      </c>
      <c r="O581" s="53">
        <v>0.47449999999999998</v>
      </c>
      <c r="P581" s="35">
        <f t="shared" si="55"/>
        <v>830.38</v>
      </c>
      <c r="Q581" s="36">
        <f t="shared" si="56"/>
        <v>7.3003400000000003</v>
      </c>
      <c r="R581" s="36">
        <f t="shared" si="57"/>
        <v>6.5000000000000002E-2</v>
      </c>
      <c r="S581" s="37">
        <f t="shared" si="58"/>
        <v>113.75</v>
      </c>
      <c r="T581" s="36" t="s">
        <v>349</v>
      </c>
      <c r="U581" s="31" t="s">
        <v>166</v>
      </c>
      <c r="V581" s="57">
        <v>7.1692999999999998</v>
      </c>
      <c r="W581" s="38">
        <f t="shared" si="59"/>
        <v>115.82372058638919</v>
      </c>
    </row>
    <row r="582" spans="1:23">
      <c r="A582" s="31" t="s">
        <v>1893</v>
      </c>
      <c r="B582" s="32">
        <v>45712</v>
      </c>
      <c r="C582" s="32">
        <v>45695</v>
      </c>
      <c r="D582" s="31" t="s">
        <v>28</v>
      </c>
      <c r="E582" s="31" t="s">
        <v>29</v>
      </c>
      <c r="G582" s="31" t="s">
        <v>2158</v>
      </c>
      <c r="H582" s="31" t="s">
        <v>1629</v>
      </c>
      <c r="I582" s="31" t="s">
        <v>1630</v>
      </c>
      <c r="J582" s="34" t="str">
        <f t="shared" si="54"/>
        <v>FG--</v>
      </c>
      <c r="K582" s="31" t="s">
        <v>10</v>
      </c>
      <c r="L582" s="53">
        <v>2000</v>
      </c>
      <c r="M582" s="31" t="s">
        <v>1472</v>
      </c>
      <c r="N582" s="31" t="s">
        <v>11</v>
      </c>
      <c r="O582" s="53">
        <v>0.47620000000000001</v>
      </c>
      <c r="P582" s="35">
        <f t="shared" si="55"/>
        <v>952.4</v>
      </c>
      <c r="Q582" s="36">
        <f t="shared" si="56"/>
        <v>7.3003400000000003</v>
      </c>
      <c r="R582" s="36">
        <f t="shared" si="57"/>
        <v>6.5199999999999994E-2</v>
      </c>
      <c r="S582" s="37">
        <f t="shared" si="58"/>
        <v>130.4</v>
      </c>
      <c r="T582" s="36" t="s">
        <v>349</v>
      </c>
      <c r="U582" s="31" t="s">
        <v>64</v>
      </c>
      <c r="V582" s="57">
        <v>7.1692999999999998</v>
      </c>
      <c r="W582" s="38">
        <f t="shared" si="59"/>
        <v>132.84421073187062</v>
      </c>
    </row>
    <row r="583" spans="1:23">
      <c r="A583" s="31" t="s">
        <v>1894</v>
      </c>
      <c r="B583" s="32">
        <v>45713</v>
      </c>
      <c r="C583" s="32">
        <v>45670</v>
      </c>
      <c r="D583" s="31" t="s">
        <v>709</v>
      </c>
      <c r="E583" s="31" t="s">
        <v>710</v>
      </c>
      <c r="G583" s="31" t="s">
        <v>2159</v>
      </c>
      <c r="H583" s="31" t="s">
        <v>726</v>
      </c>
      <c r="I583" s="31" t="s">
        <v>727</v>
      </c>
      <c r="J583" s="34" t="str">
        <f t="shared" si="54"/>
        <v>KNOB</v>
      </c>
      <c r="K583" s="31" t="s">
        <v>10</v>
      </c>
      <c r="L583" s="53">
        <v>6100</v>
      </c>
      <c r="M583" s="31" t="s">
        <v>1472</v>
      </c>
      <c r="N583" s="31" t="s">
        <v>11</v>
      </c>
      <c r="O583" s="53">
        <v>0.54969999999999997</v>
      </c>
      <c r="P583" s="35">
        <f t="shared" si="55"/>
        <v>3353.17</v>
      </c>
      <c r="Q583" s="36">
        <f t="shared" si="56"/>
        <v>7.3003400000000003</v>
      </c>
      <c r="R583" s="36">
        <f t="shared" si="57"/>
        <v>7.5300000000000006E-2</v>
      </c>
      <c r="S583" s="37">
        <f t="shared" si="58"/>
        <v>459.33</v>
      </c>
      <c r="T583" s="36" t="s">
        <v>349</v>
      </c>
      <c r="U583" s="31" t="s">
        <v>32</v>
      </c>
      <c r="V583" s="57">
        <v>7.1692999999999998</v>
      </c>
      <c r="W583" s="38">
        <f t="shared" si="59"/>
        <v>467.71232895819679</v>
      </c>
    </row>
    <row r="584" spans="1:23">
      <c r="A584" s="31" t="s">
        <v>1895</v>
      </c>
      <c r="B584" s="32">
        <v>45713</v>
      </c>
      <c r="C584" s="32">
        <v>45671</v>
      </c>
      <c r="D584" s="31" t="s">
        <v>709</v>
      </c>
      <c r="E584" s="31" t="s">
        <v>710</v>
      </c>
      <c r="G584" s="31" t="s">
        <v>2159</v>
      </c>
      <c r="H584" s="31" t="s">
        <v>726</v>
      </c>
      <c r="I584" s="31" t="s">
        <v>727</v>
      </c>
      <c r="J584" s="34" t="str">
        <f t="shared" si="54"/>
        <v>KNOB</v>
      </c>
      <c r="K584" s="31" t="s">
        <v>10</v>
      </c>
      <c r="L584" s="53">
        <v>12300</v>
      </c>
      <c r="M584" s="31" t="s">
        <v>1472</v>
      </c>
      <c r="N584" s="31" t="s">
        <v>11</v>
      </c>
      <c r="O584" s="53">
        <v>0.54969999999999997</v>
      </c>
      <c r="P584" s="35">
        <f t="shared" si="55"/>
        <v>6761.31</v>
      </c>
      <c r="Q584" s="36">
        <f t="shared" si="56"/>
        <v>7.3003400000000003</v>
      </c>
      <c r="R584" s="36">
        <f t="shared" si="57"/>
        <v>7.5300000000000006E-2</v>
      </c>
      <c r="S584" s="37">
        <f t="shared" si="58"/>
        <v>926.19</v>
      </c>
      <c r="T584" s="36" t="s">
        <v>349</v>
      </c>
      <c r="U584" s="31" t="s">
        <v>32</v>
      </c>
      <c r="V584" s="57">
        <v>7.1692999999999998</v>
      </c>
      <c r="W584" s="38">
        <f t="shared" si="59"/>
        <v>943.09207314521643</v>
      </c>
    </row>
    <row r="585" spans="1:23">
      <c r="A585" s="31" t="s">
        <v>1896</v>
      </c>
      <c r="B585" s="32">
        <v>45713</v>
      </c>
      <c r="C585" s="32">
        <v>45695</v>
      </c>
      <c r="D585" s="31" t="s">
        <v>709</v>
      </c>
      <c r="E585" s="31" t="s">
        <v>710</v>
      </c>
      <c r="G585" s="31" t="s">
        <v>2159</v>
      </c>
      <c r="H585" s="31" t="s">
        <v>726</v>
      </c>
      <c r="I585" s="31" t="s">
        <v>727</v>
      </c>
      <c r="J585" s="34" t="str">
        <f t="shared" si="54"/>
        <v>KNOB</v>
      </c>
      <c r="K585" s="31" t="s">
        <v>10</v>
      </c>
      <c r="L585" s="53">
        <v>10000</v>
      </c>
      <c r="M585" s="31" t="s">
        <v>1472</v>
      </c>
      <c r="N585" s="31" t="s">
        <v>11</v>
      </c>
      <c r="O585" s="53">
        <v>0.54969999999999997</v>
      </c>
      <c r="P585" s="35">
        <f t="shared" si="55"/>
        <v>5497</v>
      </c>
      <c r="Q585" s="36">
        <f t="shared" si="56"/>
        <v>7.3003400000000003</v>
      </c>
      <c r="R585" s="36">
        <f t="shared" si="57"/>
        <v>7.5300000000000006E-2</v>
      </c>
      <c r="S585" s="37">
        <f t="shared" si="58"/>
        <v>753</v>
      </c>
      <c r="T585" s="36" t="s">
        <v>349</v>
      </c>
      <c r="U585" s="31" t="s">
        <v>32</v>
      </c>
      <c r="V585" s="57">
        <v>7.1692999999999998</v>
      </c>
      <c r="W585" s="38">
        <f t="shared" si="59"/>
        <v>766.74152288228981</v>
      </c>
    </row>
    <row r="586" spans="1:23">
      <c r="A586" s="31" t="s">
        <v>1897</v>
      </c>
      <c r="B586" s="32">
        <v>45712</v>
      </c>
      <c r="C586" s="32">
        <v>45671</v>
      </c>
      <c r="D586" s="31" t="s">
        <v>28</v>
      </c>
      <c r="E586" s="31" t="s">
        <v>29</v>
      </c>
      <c r="G586" s="31" t="s">
        <v>2151</v>
      </c>
      <c r="H586" s="31" t="s">
        <v>1170</v>
      </c>
      <c r="I586" s="31" t="s">
        <v>1171</v>
      </c>
      <c r="J586" s="34" t="str">
        <f t="shared" si="54"/>
        <v>BRKT</v>
      </c>
      <c r="K586" s="31" t="s">
        <v>10</v>
      </c>
      <c r="L586" s="53">
        <v>8500</v>
      </c>
      <c r="M586" s="31" t="s">
        <v>1472</v>
      </c>
      <c r="N586" s="31" t="s">
        <v>11</v>
      </c>
      <c r="O586" s="53">
        <v>0.5877</v>
      </c>
      <c r="P586" s="35">
        <f t="shared" si="55"/>
        <v>4995.45</v>
      </c>
      <c r="Q586" s="36">
        <f t="shared" si="56"/>
        <v>7.3003400000000003</v>
      </c>
      <c r="R586" s="36">
        <f t="shared" si="57"/>
        <v>8.0500000000000002E-2</v>
      </c>
      <c r="S586" s="37">
        <f t="shared" si="58"/>
        <v>684.25</v>
      </c>
      <c r="T586" s="36" t="s">
        <v>349</v>
      </c>
      <c r="U586" s="31" t="s">
        <v>442</v>
      </c>
      <c r="V586" s="57">
        <v>7.1692999999999998</v>
      </c>
      <c r="W586" s="38">
        <f t="shared" si="59"/>
        <v>696.78350745540013</v>
      </c>
    </row>
    <row r="587" spans="1:23">
      <c r="A587" s="31" t="s">
        <v>1898</v>
      </c>
      <c r="B587" s="32">
        <v>45712</v>
      </c>
      <c r="C587" s="32">
        <v>45670</v>
      </c>
      <c r="D587" s="31" t="s">
        <v>28</v>
      </c>
      <c r="E587" s="31" t="s">
        <v>29</v>
      </c>
      <c r="G587" s="31" t="s">
        <v>2151</v>
      </c>
      <c r="H587" s="31" t="s">
        <v>1170</v>
      </c>
      <c r="I587" s="31" t="s">
        <v>1171</v>
      </c>
      <c r="J587" s="34" t="str">
        <f t="shared" si="54"/>
        <v>BRKT</v>
      </c>
      <c r="K587" s="31" t="s">
        <v>10</v>
      </c>
      <c r="L587" s="53">
        <v>2000</v>
      </c>
      <c r="M587" s="31" t="s">
        <v>1472</v>
      </c>
      <c r="N587" s="31" t="s">
        <v>11</v>
      </c>
      <c r="O587" s="53">
        <v>0.59379999999999999</v>
      </c>
      <c r="P587" s="35">
        <f t="shared" si="55"/>
        <v>1187.5999999999999</v>
      </c>
      <c r="Q587" s="36">
        <f t="shared" si="56"/>
        <v>7.3003400000000003</v>
      </c>
      <c r="R587" s="36">
        <f t="shared" si="57"/>
        <v>8.1299999999999997E-2</v>
      </c>
      <c r="S587" s="37">
        <f t="shared" si="58"/>
        <v>162.6</v>
      </c>
      <c r="T587" s="36" t="s">
        <v>349</v>
      </c>
      <c r="U587" s="31" t="s">
        <v>442</v>
      </c>
      <c r="V587" s="57">
        <v>7.1692999999999998</v>
      </c>
      <c r="W587" s="38">
        <f t="shared" si="59"/>
        <v>165.65076088321035</v>
      </c>
    </row>
    <row r="588" spans="1:23">
      <c r="A588" s="31" t="s">
        <v>1899</v>
      </c>
      <c r="B588" s="32">
        <v>45712</v>
      </c>
      <c r="C588" s="32">
        <v>45695</v>
      </c>
      <c r="D588" s="31" t="s">
        <v>28</v>
      </c>
      <c r="E588" s="31" t="s">
        <v>29</v>
      </c>
      <c r="G588" s="31" t="s">
        <v>2151</v>
      </c>
      <c r="H588" s="31" t="s">
        <v>1170</v>
      </c>
      <c r="I588" s="31" t="s">
        <v>1171</v>
      </c>
      <c r="J588" s="34" t="str">
        <f t="shared" si="54"/>
        <v>BRKT</v>
      </c>
      <c r="K588" s="31" t="s">
        <v>10</v>
      </c>
      <c r="L588" s="53">
        <v>4000</v>
      </c>
      <c r="M588" s="31" t="s">
        <v>1472</v>
      </c>
      <c r="N588" s="31" t="s">
        <v>11</v>
      </c>
      <c r="O588" s="53">
        <v>0.59379999999999999</v>
      </c>
      <c r="P588" s="35">
        <f t="shared" si="55"/>
        <v>2375.1999999999998</v>
      </c>
      <c r="Q588" s="36">
        <f t="shared" si="56"/>
        <v>7.3003400000000003</v>
      </c>
      <c r="R588" s="36">
        <f t="shared" si="57"/>
        <v>8.1299999999999997E-2</v>
      </c>
      <c r="S588" s="37">
        <f t="shared" si="58"/>
        <v>325.2</v>
      </c>
      <c r="T588" s="36" t="s">
        <v>349</v>
      </c>
      <c r="U588" s="31" t="s">
        <v>442</v>
      </c>
      <c r="V588" s="57">
        <v>7.1692999999999998</v>
      </c>
      <c r="W588" s="38">
        <f t="shared" si="59"/>
        <v>331.30152176642071</v>
      </c>
    </row>
    <row r="589" spans="1:23">
      <c r="A589" s="31" t="s">
        <v>1900</v>
      </c>
      <c r="B589" s="32">
        <v>45713</v>
      </c>
      <c r="C589" s="32">
        <v>45695</v>
      </c>
      <c r="D589" s="31" t="s">
        <v>709</v>
      </c>
      <c r="E589" s="31" t="s">
        <v>710</v>
      </c>
      <c r="G589" s="31" t="s">
        <v>2160</v>
      </c>
      <c r="H589" s="31" t="s">
        <v>713</v>
      </c>
      <c r="I589" s="31" t="s">
        <v>714</v>
      </c>
      <c r="J589" s="34" t="str">
        <f t="shared" si="54"/>
        <v>KNOB</v>
      </c>
      <c r="K589" s="31" t="s">
        <v>10</v>
      </c>
      <c r="L589" s="53">
        <v>1700</v>
      </c>
      <c r="M589" s="31" t="s">
        <v>1472</v>
      </c>
      <c r="N589" s="31" t="s">
        <v>11</v>
      </c>
      <c r="O589" s="53">
        <v>0.61839999999999995</v>
      </c>
      <c r="P589" s="35">
        <f t="shared" si="55"/>
        <v>1051.28</v>
      </c>
      <c r="Q589" s="36">
        <f t="shared" si="56"/>
        <v>7.3003400000000003</v>
      </c>
      <c r="R589" s="36">
        <f t="shared" si="57"/>
        <v>8.4699999999999998E-2</v>
      </c>
      <c r="S589" s="37">
        <f t="shared" si="58"/>
        <v>143.99</v>
      </c>
      <c r="T589" s="36" t="s">
        <v>349</v>
      </c>
      <c r="U589" s="31" t="s">
        <v>32</v>
      </c>
      <c r="V589" s="57">
        <v>7.1692999999999998</v>
      </c>
      <c r="W589" s="38">
        <f t="shared" si="59"/>
        <v>146.63635222406648</v>
      </c>
    </row>
    <row r="590" spans="1:23">
      <c r="A590" s="31" t="s">
        <v>1901</v>
      </c>
      <c r="B590" s="32">
        <v>45712</v>
      </c>
      <c r="C590" s="32">
        <v>45670</v>
      </c>
      <c r="D590" s="31" t="s">
        <v>21</v>
      </c>
      <c r="E590" s="31" t="s">
        <v>22</v>
      </c>
      <c r="G590" s="31" t="s">
        <v>2161</v>
      </c>
      <c r="H590" s="31" t="s">
        <v>1631</v>
      </c>
      <c r="I590" s="31" t="s">
        <v>1632</v>
      </c>
      <c r="J590" s="34" t="str">
        <f t="shared" si="54"/>
        <v>BRKT</v>
      </c>
      <c r="K590" s="31" t="s">
        <v>10</v>
      </c>
      <c r="L590" s="53">
        <v>1050</v>
      </c>
      <c r="M590" s="31" t="s">
        <v>1472</v>
      </c>
      <c r="N590" s="31" t="s">
        <v>11</v>
      </c>
      <c r="O590" s="53">
        <v>0.63419999999999999</v>
      </c>
      <c r="P590" s="35">
        <f t="shared" si="55"/>
        <v>665.91</v>
      </c>
      <c r="Q590" s="36">
        <f t="shared" si="56"/>
        <v>7.3003400000000003</v>
      </c>
      <c r="R590" s="36">
        <f t="shared" si="57"/>
        <v>8.6900000000000005E-2</v>
      </c>
      <c r="S590" s="37">
        <f t="shared" si="58"/>
        <v>91.25</v>
      </c>
      <c r="T590" s="36" t="s">
        <v>349</v>
      </c>
      <c r="U590" s="31" t="s">
        <v>442</v>
      </c>
      <c r="V590" s="57">
        <v>7.1692999999999998</v>
      </c>
      <c r="W590" s="38">
        <f t="shared" si="59"/>
        <v>92.883545115980638</v>
      </c>
    </row>
    <row r="591" spans="1:23">
      <c r="A591" s="31" t="s">
        <v>1902</v>
      </c>
      <c r="B591" s="32">
        <v>45698</v>
      </c>
      <c r="C591" s="32">
        <v>45698</v>
      </c>
      <c r="D591" s="31" t="s">
        <v>101</v>
      </c>
      <c r="E591" s="31" t="s">
        <v>102</v>
      </c>
      <c r="G591" s="31" t="s">
        <v>2145</v>
      </c>
      <c r="H591" s="31" t="s">
        <v>1633</v>
      </c>
      <c r="I591" s="31" t="s">
        <v>1634</v>
      </c>
      <c r="J591" s="34" t="str">
        <f t="shared" si="54"/>
        <v>STKR</v>
      </c>
      <c r="K591" s="31" t="s">
        <v>10</v>
      </c>
      <c r="L591" s="53">
        <v>100</v>
      </c>
      <c r="M591" s="31" t="s">
        <v>1472</v>
      </c>
      <c r="N591" s="31" t="s">
        <v>11</v>
      </c>
      <c r="O591" s="53">
        <v>0.65</v>
      </c>
      <c r="P591" s="35">
        <f t="shared" si="55"/>
        <v>65</v>
      </c>
      <c r="Q591" s="36">
        <f t="shared" si="56"/>
        <v>7.3003400000000003</v>
      </c>
      <c r="R591" s="36">
        <f t="shared" si="57"/>
        <v>8.8999999999999996E-2</v>
      </c>
      <c r="S591" s="37">
        <f t="shared" si="58"/>
        <v>8.9</v>
      </c>
      <c r="T591" s="36" t="s">
        <v>349</v>
      </c>
      <c r="U591" s="31" t="s">
        <v>18</v>
      </c>
      <c r="V591" s="57">
        <v>7.1692999999999998</v>
      </c>
      <c r="W591" s="38">
        <f t="shared" si="59"/>
        <v>9.0664360537290953</v>
      </c>
    </row>
    <row r="592" spans="1:23">
      <c r="A592" s="31" t="s">
        <v>1903</v>
      </c>
      <c r="B592" s="32">
        <v>45712</v>
      </c>
      <c r="C592" s="32">
        <v>45695</v>
      </c>
      <c r="D592" s="31" t="s">
        <v>28</v>
      </c>
      <c r="E592" s="31" t="s">
        <v>29</v>
      </c>
      <c r="G592" s="31" t="s">
        <v>2158</v>
      </c>
      <c r="H592" s="31" t="s">
        <v>1152</v>
      </c>
      <c r="I592" s="31" t="s">
        <v>1153</v>
      </c>
      <c r="J592" s="34" t="str">
        <f t="shared" si="54"/>
        <v>BRKT</v>
      </c>
      <c r="K592" s="31" t="s">
        <v>10</v>
      </c>
      <c r="L592" s="53">
        <v>1850</v>
      </c>
      <c r="M592" s="31" t="s">
        <v>1472</v>
      </c>
      <c r="N592" s="31" t="s">
        <v>11</v>
      </c>
      <c r="O592" s="53">
        <v>0.6522</v>
      </c>
      <c r="P592" s="35">
        <f t="shared" si="55"/>
        <v>1206.57</v>
      </c>
      <c r="Q592" s="36">
        <f t="shared" si="56"/>
        <v>7.3003400000000003</v>
      </c>
      <c r="R592" s="36">
        <f t="shared" si="57"/>
        <v>8.9300000000000004E-2</v>
      </c>
      <c r="S592" s="37">
        <f t="shared" si="58"/>
        <v>165.21</v>
      </c>
      <c r="T592" s="36" t="s">
        <v>349</v>
      </c>
      <c r="U592" s="31" t="s">
        <v>442</v>
      </c>
      <c r="V592" s="57">
        <v>7.1692999999999998</v>
      </c>
      <c r="W592" s="38">
        <f t="shared" si="59"/>
        <v>168.29676537458332</v>
      </c>
    </row>
    <row r="593" spans="1:23">
      <c r="A593" s="31" t="s">
        <v>1904</v>
      </c>
      <c r="B593" s="32">
        <v>45712</v>
      </c>
      <c r="C593" s="32">
        <v>45695</v>
      </c>
      <c r="D593" s="31" t="s">
        <v>2247</v>
      </c>
      <c r="E593" s="31" t="s">
        <v>2248</v>
      </c>
      <c r="G593" s="31" t="s">
        <v>2162</v>
      </c>
      <c r="H593" s="31" t="s">
        <v>1635</v>
      </c>
      <c r="I593" s="31" t="s">
        <v>1636</v>
      </c>
      <c r="J593" s="34" t="str">
        <f t="shared" si="54"/>
        <v>KNOB</v>
      </c>
      <c r="K593" s="31" t="s">
        <v>10</v>
      </c>
      <c r="L593" s="53">
        <v>2000</v>
      </c>
      <c r="M593" s="31" t="s">
        <v>1472</v>
      </c>
      <c r="N593" s="31" t="s">
        <v>11</v>
      </c>
      <c r="O593" s="53">
        <v>0.68910000000000005</v>
      </c>
      <c r="P593" s="35">
        <f t="shared" si="55"/>
        <v>1378.2</v>
      </c>
      <c r="Q593" s="36">
        <f t="shared" si="56"/>
        <v>7.3003400000000003</v>
      </c>
      <c r="R593" s="36">
        <f t="shared" si="57"/>
        <v>9.4399999999999998E-2</v>
      </c>
      <c r="S593" s="37">
        <f t="shared" si="58"/>
        <v>188.8</v>
      </c>
      <c r="T593" s="36" t="s">
        <v>349</v>
      </c>
      <c r="U593" s="31" t="s">
        <v>32</v>
      </c>
      <c r="V593" s="57">
        <v>7.1692999999999998</v>
      </c>
      <c r="W593" s="38">
        <f t="shared" si="59"/>
        <v>192.236341065376</v>
      </c>
    </row>
    <row r="594" spans="1:23">
      <c r="A594" s="31" t="s">
        <v>1905</v>
      </c>
      <c r="B594" s="32">
        <v>45715</v>
      </c>
      <c r="C594" s="32">
        <v>45715</v>
      </c>
      <c r="D594" s="31" t="s">
        <v>5</v>
      </c>
      <c r="E594" s="31" t="s">
        <v>6</v>
      </c>
      <c r="G594" s="31" t="s">
        <v>2163</v>
      </c>
      <c r="H594" s="31" t="s">
        <v>1637</v>
      </c>
      <c r="I594" s="31" t="s">
        <v>1638</v>
      </c>
      <c r="J594" s="34" t="str">
        <f t="shared" si="54"/>
        <v>U&amp;C-</v>
      </c>
      <c r="K594" s="31" t="s">
        <v>10</v>
      </c>
      <c r="L594" s="53">
        <v>1000</v>
      </c>
      <c r="M594" s="31" t="s">
        <v>1472</v>
      </c>
      <c r="N594" s="31" t="s">
        <v>11</v>
      </c>
      <c r="O594" s="53">
        <v>0.69</v>
      </c>
      <c r="P594" s="35">
        <f t="shared" si="55"/>
        <v>690</v>
      </c>
      <c r="Q594" s="36">
        <f t="shared" si="56"/>
        <v>7.3003400000000003</v>
      </c>
      <c r="R594" s="36">
        <f t="shared" si="57"/>
        <v>9.4500000000000001E-2</v>
      </c>
      <c r="S594" s="37">
        <f t="shared" si="58"/>
        <v>94.5</v>
      </c>
      <c r="T594" s="36" t="s">
        <v>349</v>
      </c>
      <c r="U594" s="31" t="s">
        <v>177</v>
      </c>
      <c r="V594" s="57">
        <v>7.1692999999999998</v>
      </c>
      <c r="W594" s="38">
        <f t="shared" si="59"/>
        <v>96.243705801124236</v>
      </c>
    </row>
    <row r="595" spans="1:23">
      <c r="A595" s="31" t="s">
        <v>1906</v>
      </c>
      <c r="B595" s="32">
        <v>45716</v>
      </c>
      <c r="C595" s="32">
        <v>45715</v>
      </c>
      <c r="D595" s="31" t="s">
        <v>128</v>
      </c>
      <c r="E595" s="31" t="s">
        <v>129</v>
      </c>
      <c r="G595" s="31" t="s">
        <v>2164</v>
      </c>
      <c r="H595" s="31" t="s">
        <v>1639</v>
      </c>
      <c r="I595" s="31" t="s">
        <v>1640</v>
      </c>
      <c r="J595" s="34" t="str">
        <f t="shared" si="54"/>
        <v>FG--</v>
      </c>
      <c r="K595" s="31" t="s">
        <v>10</v>
      </c>
      <c r="L595" s="53">
        <v>50</v>
      </c>
      <c r="M595" s="31" t="s">
        <v>1472</v>
      </c>
      <c r="N595" s="31" t="s">
        <v>11</v>
      </c>
      <c r="O595" s="53">
        <v>0.71950000000000003</v>
      </c>
      <c r="P595" s="35">
        <f t="shared" si="55"/>
        <v>35.979999999999997</v>
      </c>
      <c r="Q595" s="36">
        <f t="shared" si="56"/>
        <v>7.3003400000000003</v>
      </c>
      <c r="R595" s="36">
        <f t="shared" si="57"/>
        <v>9.8599999999999993E-2</v>
      </c>
      <c r="S595" s="37">
        <f t="shared" si="58"/>
        <v>4.93</v>
      </c>
      <c r="T595" s="36" t="s">
        <v>349</v>
      </c>
      <c r="U595" s="31" t="s">
        <v>64</v>
      </c>
      <c r="V595" s="57">
        <v>7.1692999999999998</v>
      </c>
      <c r="W595" s="38">
        <f t="shared" si="59"/>
        <v>5.0179236466600647</v>
      </c>
    </row>
    <row r="596" spans="1:23">
      <c r="A596" s="31" t="s">
        <v>1907</v>
      </c>
      <c r="B596" s="32">
        <v>45706</v>
      </c>
      <c r="C596" s="32">
        <v>45674</v>
      </c>
      <c r="D596" s="31" t="s">
        <v>121</v>
      </c>
      <c r="E596" s="31" t="s">
        <v>122</v>
      </c>
      <c r="G596" s="31" t="s">
        <v>2165</v>
      </c>
      <c r="H596" s="31" t="s">
        <v>1306</v>
      </c>
      <c r="I596" s="31" t="s">
        <v>1307</v>
      </c>
      <c r="J596" s="34" t="str">
        <f t="shared" si="54"/>
        <v>ANYD</v>
      </c>
      <c r="K596" s="31" t="s">
        <v>10</v>
      </c>
      <c r="L596" s="53">
        <v>2000</v>
      </c>
      <c r="M596" s="31" t="s">
        <v>1472</v>
      </c>
      <c r="N596" s="31" t="s">
        <v>11</v>
      </c>
      <c r="O596" s="53">
        <v>0.8</v>
      </c>
      <c r="P596" s="35">
        <f t="shared" si="55"/>
        <v>1600</v>
      </c>
      <c r="Q596" s="36">
        <f t="shared" si="56"/>
        <v>7.3003400000000003</v>
      </c>
      <c r="R596" s="36">
        <f t="shared" si="57"/>
        <v>0.1096</v>
      </c>
      <c r="S596" s="37">
        <f t="shared" si="58"/>
        <v>219.2</v>
      </c>
      <c r="T596" s="36" t="s">
        <v>349</v>
      </c>
      <c r="U596" s="31" t="s">
        <v>36</v>
      </c>
      <c r="V596" s="57">
        <v>7.1692999999999998</v>
      </c>
      <c r="W596" s="38">
        <f t="shared" si="59"/>
        <v>223.17381055333158</v>
      </c>
    </row>
    <row r="597" spans="1:23">
      <c r="A597" s="31" t="s">
        <v>1908</v>
      </c>
      <c r="B597" s="32">
        <v>45706</v>
      </c>
      <c r="C597" s="32">
        <v>45677</v>
      </c>
      <c r="D597" s="31" t="s">
        <v>121</v>
      </c>
      <c r="E597" s="31" t="s">
        <v>122</v>
      </c>
      <c r="G597" s="31" t="s">
        <v>2165</v>
      </c>
      <c r="H597" s="31" t="s">
        <v>1548</v>
      </c>
      <c r="I597" s="31" t="s">
        <v>1549</v>
      </c>
      <c r="J597" s="34" t="str">
        <f t="shared" si="54"/>
        <v>ANYD</v>
      </c>
      <c r="K597" s="31" t="s">
        <v>10</v>
      </c>
      <c r="L597" s="53">
        <v>1020</v>
      </c>
      <c r="M597" s="31" t="s">
        <v>1472</v>
      </c>
      <c r="N597" s="31" t="s">
        <v>11</v>
      </c>
      <c r="O597" s="53">
        <v>0.8</v>
      </c>
      <c r="P597" s="35">
        <f t="shared" si="55"/>
        <v>816</v>
      </c>
      <c r="Q597" s="36">
        <f t="shared" si="56"/>
        <v>7.3003400000000003</v>
      </c>
      <c r="R597" s="36">
        <f t="shared" si="57"/>
        <v>0.1096</v>
      </c>
      <c r="S597" s="37">
        <f t="shared" si="58"/>
        <v>111.79</v>
      </c>
      <c r="T597" s="36" t="s">
        <v>349</v>
      </c>
      <c r="U597" s="31" t="s">
        <v>36</v>
      </c>
      <c r="V597" s="57">
        <v>7.1692999999999998</v>
      </c>
      <c r="W597" s="38">
        <f t="shared" si="59"/>
        <v>113.8186433821991</v>
      </c>
    </row>
    <row r="598" spans="1:23">
      <c r="A598" s="31" t="s">
        <v>1909</v>
      </c>
      <c r="B598" s="32">
        <v>45713</v>
      </c>
      <c r="C598" s="32">
        <v>45674</v>
      </c>
      <c r="D598" s="31" t="s">
        <v>709</v>
      </c>
      <c r="E598" s="31" t="s">
        <v>710</v>
      </c>
      <c r="G598" s="31" t="s">
        <v>2166</v>
      </c>
      <c r="H598" s="31" t="s">
        <v>1641</v>
      </c>
      <c r="I598" s="31" t="s">
        <v>1642</v>
      </c>
      <c r="J598" s="34" t="str">
        <f t="shared" si="54"/>
        <v>KNOB</v>
      </c>
      <c r="K598" s="31" t="s">
        <v>10</v>
      </c>
      <c r="L598" s="53">
        <v>600</v>
      </c>
      <c r="M598" s="31" t="s">
        <v>1472</v>
      </c>
      <c r="N598" s="31" t="s">
        <v>11</v>
      </c>
      <c r="O598" s="53">
        <v>0.89419999999999999</v>
      </c>
      <c r="P598" s="35">
        <f t="shared" si="55"/>
        <v>536.52</v>
      </c>
      <c r="Q598" s="36">
        <f t="shared" si="56"/>
        <v>7.3003400000000003</v>
      </c>
      <c r="R598" s="36">
        <f t="shared" si="57"/>
        <v>0.1225</v>
      </c>
      <c r="S598" s="37">
        <f t="shared" si="58"/>
        <v>73.5</v>
      </c>
      <c r="T598" s="36" t="s">
        <v>349</v>
      </c>
      <c r="U598" s="31" t="s">
        <v>32</v>
      </c>
      <c r="V598" s="57">
        <v>7.1692999999999998</v>
      </c>
      <c r="W598" s="38">
        <f t="shared" si="59"/>
        <v>74.835758023795904</v>
      </c>
    </row>
    <row r="599" spans="1:23">
      <c r="A599" s="31" t="s">
        <v>1910</v>
      </c>
      <c r="B599" s="32">
        <v>45713</v>
      </c>
      <c r="C599" s="32">
        <v>45674</v>
      </c>
      <c r="D599" s="31" t="s">
        <v>709</v>
      </c>
      <c r="E599" s="31" t="s">
        <v>710</v>
      </c>
      <c r="G599" s="31" t="s">
        <v>2166</v>
      </c>
      <c r="H599" s="31" t="s">
        <v>1641</v>
      </c>
      <c r="I599" s="31" t="s">
        <v>1642</v>
      </c>
      <c r="J599" s="34" t="str">
        <f t="shared" si="54"/>
        <v>KNOB</v>
      </c>
      <c r="K599" s="31" t="s">
        <v>10</v>
      </c>
      <c r="L599" s="53">
        <v>200</v>
      </c>
      <c r="M599" s="31" t="s">
        <v>1472</v>
      </c>
      <c r="N599" s="31" t="s">
        <v>11</v>
      </c>
      <c r="O599" s="53">
        <v>0.89419999999999999</v>
      </c>
      <c r="P599" s="35">
        <f t="shared" si="55"/>
        <v>178.84</v>
      </c>
      <c r="Q599" s="36">
        <f t="shared" si="56"/>
        <v>7.3003400000000003</v>
      </c>
      <c r="R599" s="36">
        <f t="shared" si="57"/>
        <v>0.1225</v>
      </c>
      <c r="S599" s="37">
        <f t="shared" si="58"/>
        <v>24.5</v>
      </c>
      <c r="T599" s="36" t="s">
        <v>349</v>
      </c>
      <c r="U599" s="31" t="s">
        <v>32</v>
      </c>
      <c r="V599" s="57">
        <v>7.1692999999999998</v>
      </c>
      <c r="W599" s="38">
        <f t="shared" si="59"/>
        <v>24.945252674598635</v>
      </c>
    </row>
    <row r="600" spans="1:23">
      <c r="A600" s="31" t="s">
        <v>1911</v>
      </c>
      <c r="B600" s="32">
        <v>45712</v>
      </c>
      <c r="C600" s="32">
        <v>45698</v>
      </c>
      <c r="D600" s="31" t="s">
        <v>28</v>
      </c>
      <c r="E600" s="31" t="s">
        <v>29</v>
      </c>
      <c r="G600" s="31" t="s">
        <v>2158</v>
      </c>
      <c r="H600" s="31" t="s">
        <v>1643</v>
      </c>
      <c r="I600" s="31" t="s">
        <v>1644</v>
      </c>
      <c r="J600" s="34" t="str">
        <f t="shared" si="54"/>
        <v>FG--</v>
      </c>
      <c r="K600" s="31" t="s">
        <v>10</v>
      </c>
      <c r="L600" s="53">
        <v>1350</v>
      </c>
      <c r="M600" s="31" t="s">
        <v>1472</v>
      </c>
      <c r="N600" s="31" t="s">
        <v>11</v>
      </c>
      <c r="O600" s="53">
        <v>0.97430000000000005</v>
      </c>
      <c r="P600" s="35">
        <f t="shared" si="55"/>
        <v>1315.31</v>
      </c>
      <c r="Q600" s="36">
        <f t="shared" si="56"/>
        <v>7.3003400000000003</v>
      </c>
      <c r="R600" s="36">
        <f t="shared" si="57"/>
        <v>0.13350000000000001</v>
      </c>
      <c r="S600" s="37">
        <f t="shared" si="58"/>
        <v>180.23</v>
      </c>
      <c r="T600" s="36" t="s">
        <v>349</v>
      </c>
      <c r="U600" s="31" t="s">
        <v>64</v>
      </c>
      <c r="V600" s="57">
        <v>7.1692999999999998</v>
      </c>
      <c r="W600" s="38">
        <f t="shared" si="59"/>
        <v>183.46351805615612</v>
      </c>
    </row>
    <row r="601" spans="1:23">
      <c r="A601" s="31" t="s">
        <v>1912</v>
      </c>
      <c r="B601" s="32">
        <v>45714</v>
      </c>
      <c r="C601" s="32">
        <v>45671</v>
      </c>
      <c r="D601" s="31" t="s">
        <v>128</v>
      </c>
      <c r="E601" s="31" t="s">
        <v>129</v>
      </c>
      <c r="G601" s="31" t="s">
        <v>2167</v>
      </c>
      <c r="H601" s="31" t="s">
        <v>443</v>
      </c>
      <c r="I601" s="31" t="s">
        <v>444</v>
      </c>
      <c r="J601" s="34" t="str">
        <f t="shared" si="54"/>
        <v>FG--</v>
      </c>
      <c r="K601" s="31" t="s">
        <v>10</v>
      </c>
      <c r="L601" s="53">
        <v>1000</v>
      </c>
      <c r="M601" s="31" t="s">
        <v>1472</v>
      </c>
      <c r="N601" s="31" t="s">
        <v>11</v>
      </c>
      <c r="O601" s="53">
        <v>1.0021</v>
      </c>
      <c r="P601" s="35">
        <f t="shared" si="55"/>
        <v>1002.1</v>
      </c>
      <c r="Q601" s="36">
        <f t="shared" si="56"/>
        <v>7.3003400000000003</v>
      </c>
      <c r="R601" s="36">
        <f t="shared" si="57"/>
        <v>0.13730000000000001</v>
      </c>
      <c r="S601" s="37">
        <f t="shared" si="58"/>
        <v>137.30000000000001</v>
      </c>
      <c r="T601" s="36" t="s">
        <v>349</v>
      </c>
      <c r="U601" s="31" t="s">
        <v>64</v>
      </c>
      <c r="V601" s="57">
        <v>7.1692999999999998</v>
      </c>
      <c r="W601" s="38">
        <f t="shared" si="59"/>
        <v>139.77654722218347</v>
      </c>
    </row>
    <row r="602" spans="1:23">
      <c r="A602" s="31" t="s">
        <v>1913</v>
      </c>
      <c r="B602" s="32">
        <v>45714</v>
      </c>
      <c r="C602" s="32">
        <v>45670</v>
      </c>
      <c r="D602" s="31" t="s">
        <v>128</v>
      </c>
      <c r="E602" s="31" t="s">
        <v>129</v>
      </c>
      <c r="G602" s="31" t="s">
        <v>2167</v>
      </c>
      <c r="H602" s="31" t="s">
        <v>443</v>
      </c>
      <c r="I602" s="31" t="s">
        <v>444</v>
      </c>
      <c r="J602" s="34" t="str">
        <f t="shared" si="54"/>
        <v>FG--</v>
      </c>
      <c r="K602" s="31" t="s">
        <v>10</v>
      </c>
      <c r="L602" s="53">
        <v>4020</v>
      </c>
      <c r="M602" s="31" t="s">
        <v>1472</v>
      </c>
      <c r="N602" s="31" t="s">
        <v>11</v>
      </c>
      <c r="O602" s="53">
        <v>1.0124</v>
      </c>
      <c r="P602" s="35">
        <f t="shared" si="55"/>
        <v>4069.85</v>
      </c>
      <c r="Q602" s="36">
        <f t="shared" si="56"/>
        <v>7.3003400000000003</v>
      </c>
      <c r="R602" s="36">
        <f t="shared" si="57"/>
        <v>0.13869999999999999</v>
      </c>
      <c r="S602" s="37">
        <f t="shared" si="58"/>
        <v>557.57000000000005</v>
      </c>
      <c r="T602" s="36" t="s">
        <v>349</v>
      </c>
      <c r="U602" s="31" t="s">
        <v>64</v>
      </c>
      <c r="V602" s="57">
        <v>7.1692999999999998</v>
      </c>
      <c r="W602" s="38">
        <f t="shared" si="59"/>
        <v>567.6771790830345</v>
      </c>
    </row>
    <row r="603" spans="1:23">
      <c r="A603" s="31" t="s">
        <v>1914</v>
      </c>
      <c r="B603" s="32">
        <v>45713</v>
      </c>
      <c r="C603" s="32">
        <v>45653</v>
      </c>
      <c r="D603" s="31" t="s">
        <v>709</v>
      </c>
      <c r="E603" s="31" t="s">
        <v>710</v>
      </c>
      <c r="G603" s="31" t="s">
        <v>2166</v>
      </c>
      <c r="H603" s="31" t="s">
        <v>1645</v>
      </c>
      <c r="I603" s="31" t="s">
        <v>1646</v>
      </c>
      <c r="J603" s="34" t="str">
        <f t="shared" si="54"/>
        <v>T&amp;G-</v>
      </c>
      <c r="K603" s="31" t="s">
        <v>10</v>
      </c>
      <c r="L603" s="53">
        <v>20000</v>
      </c>
      <c r="M603" s="31" t="s">
        <v>1472</v>
      </c>
      <c r="N603" s="31" t="s">
        <v>11</v>
      </c>
      <c r="O603" s="53">
        <v>1.0768</v>
      </c>
      <c r="P603" s="35">
        <f t="shared" si="55"/>
        <v>21536</v>
      </c>
      <c r="Q603" s="36">
        <f t="shared" si="56"/>
        <v>7.3003400000000003</v>
      </c>
      <c r="R603" s="36">
        <f t="shared" si="57"/>
        <v>0.14749999999999999</v>
      </c>
      <c r="S603" s="37">
        <f t="shared" si="58"/>
        <v>2950</v>
      </c>
      <c r="T603" s="36" t="s">
        <v>349</v>
      </c>
      <c r="U603" s="31" t="s">
        <v>2245</v>
      </c>
      <c r="V603" s="57">
        <v>7.1692999999999998</v>
      </c>
      <c r="W603" s="38">
        <f t="shared" si="59"/>
        <v>3003.9194900478428</v>
      </c>
    </row>
    <row r="604" spans="1:23">
      <c r="A604" s="31" t="s">
        <v>1915</v>
      </c>
      <c r="B604" s="32">
        <v>45713</v>
      </c>
      <c r="C604" s="32">
        <v>45674</v>
      </c>
      <c r="D604" s="31" t="s">
        <v>709</v>
      </c>
      <c r="E604" s="31" t="s">
        <v>710</v>
      </c>
      <c r="G604" s="31" t="s">
        <v>2166</v>
      </c>
      <c r="H604" s="31" t="s">
        <v>1647</v>
      </c>
      <c r="I604" s="31" t="s">
        <v>1648</v>
      </c>
      <c r="J604" s="34" t="str">
        <f t="shared" si="54"/>
        <v>KNOB</v>
      </c>
      <c r="K604" s="31" t="s">
        <v>10</v>
      </c>
      <c r="L604" s="53">
        <v>510</v>
      </c>
      <c r="M604" s="31" t="s">
        <v>1472</v>
      </c>
      <c r="N604" s="31" t="s">
        <v>11</v>
      </c>
      <c r="O604" s="53">
        <v>1.0902000000000001</v>
      </c>
      <c r="P604" s="35">
        <f t="shared" si="55"/>
        <v>556</v>
      </c>
      <c r="Q604" s="36">
        <f t="shared" si="56"/>
        <v>7.3003400000000003</v>
      </c>
      <c r="R604" s="36">
        <f t="shared" si="57"/>
        <v>0.14929999999999999</v>
      </c>
      <c r="S604" s="37">
        <f t="shared" si="58"/>
        <v>76.14</v>
      </c>
      <c r="T604" s="36" t="s">
        <v>349</v>
      </c>
      <c r="U604" s="31" t="s">
        <v>32</v>
      </c>
      <c r="V604" s="57">
        <v>7.1692999999999998</v>
      </c>
      <c r="W604" s="38">
        <f t="shared" si="59"/>
        <v>77.553178134545917</v>
      </c>
    </row>
    <row r="605" spans="1:23">
      <c r="A605" s="31" t="s">
        <v>1916</v>
      </c>
      <c r="B605" s="32">
        <v>45713</v>
      </c>
      <c r="C605" s="32">
        <v>45695</v>
      </c>
      <c r="D605" s="31" t="s">
        <v>709</v>
      </c>
      <c r="E605" s="31" t="s">
        <v>710</v>
      </c>
      <c r="G605" s="31" t="s">
        <v>2159</v>
      </c>
      <c r="H605" s="31" t="s">
        <v>1649</v>
      </c>
      <c r="I605" s="31" t="s">
        <v>1650</v>
      </c>
      <c r="J605" s="34" t="str">
        <f t="shared" si="54"/>
        <v>HDL-</v>
      </c>
      <c r="K605" s="31" t="s">
        <v>10</v>
      </c>
      <c r="L605" s="53">
        <v>3050</v>
      </c>
      <c r="M605" s="31" t="s">
        <v>1472</v>
      </c>
      <c r="N605" s="31" t="s">
        <v>11</v>
      </c>
      <c r="O605" s="53">
        <v>1.1255999999999999</v>
      </c>
      <c r="P605" s="35">
        <f t="shared" si="55"/>
        <v>3433.08</v>
      </c>
      <c r="Q605" s="36">
        <f t="shared" si="56"/>
        <v>7.3003400000000003</v>
      </c>
      <c r="R605" s="36">
        <f t="shared" si="57"/>
        <v>0.1542</v>
      </c>
      <c r="S605" s="37">
        <f t="shared" si="58"/>
        <v>470.31</v>
      </c>
      <c r="T605" s="36" t="s">
        <v>349</v>
      </c>
      <c r="U605" s="31" t="s">
        <v>228</v>
      </c>
      <c r="V605" s="57">
        <v>7.1692999999999998</v>
      </c>
      <c r="W605" s="38">
        <f t="shared" si="59"/>
        <v>478.85846595901967</v>
      </c>
    </row>
    <row r="606" spans="1:23">
      <c r="A606" s="31" t="s">
        <v>1917</v>
      </c>
      <c r="B606" s="32">
        <v>45712</v>
      </c>
      <c r="C606" s="32">
        <v>45698</v>
      </c>
      <c r="D606" s="31" t="s">
        <v>268</v>
      </c>
      <c r="E606" s="31" t="s">
        <v>269</v>
      </c>
      <c r="G606" s="31" t="s">
        <v>2168</v>
      </c>
      <c r="H606" s="31" t="s">
        <v>1651</v>
      </c>
      <c r="I606" s="31" t="s">
        <v>1652</v>
      </c>
      <c r="J606" s="34" t="str">
        <f t="shared" si="54"/>
        <v>MISC</v>
      </c>
      <c r="K606" s="31" t="s">
        <v>10</v>
      </c>
      <c r="L606" s="53">
        <v>47</v>
      </c>
      <c r="M606" s="31" t="s">
        <v>136</v>
      </c>
      <c r="N606" s="31" t="s">
        <v>11</v>
      </c>
      <c r="O606" s="53">
        <v>1.2390000000000001</v>
      </c>
      <c r="P606" s="35">
        <f t="shared" si="55"/>
        <v>58.23</v>
      </c>
      <c r="Q606" s="36">
        <f t="shared" si="56"/>
        <v>7.3003400000000003</v>
      </c>
      <c r="R606" s="36">
        <f t="shared" si="57"/>
        <v>0.16969999999999999</v>
      </c>
      <c r="S606" s="37">
        <f t="shared" si="58"/>
        <v>7.98</v>
      </c>
      <c r="T606" s="36" t="s">
        <v>349</v>
      </c>
      <c r="U606" s="31" t="s">
        <v>25</v>
      </c>
      <c r="V606" s="57">
        <v>7.1692999999999998</v>
      </c>
      <c r="W606" s="38">
        <f t="shared" si="59"/>
        <v>8.1225503187200978</v>
      </c>
    </row>
    <row r="607" spans="1:23">
      <c r="A607" s="31" t="s">
        <v>1918</v>
      </c>
      <c r="B607" s="32">
        <v>45712</v>
      </c>
      <c r="C607" s="32">
        <v>45670</v>
      </c>
      <c r="D607" s="31" t="s">
        <v>28</v>
      </c>
      <c r="E607" s="31" t="s">
        <v>29</v>
      </c>
      <c r="G607" s="31" t="s">
        <v>2158</v>
      </c>
      <c r="H607" s="31" t="s">
        <v>1167</v>
      </c>
      <c r="I607" s="31" t="s">
        <v>1168</v>
      </c>
      <c r="J607" s="34" t="str">
        <f t="shared" si="54"/>
        <v>FG--</v>
      </c>
      <c r="K607" s="31" t="s">
        <v>10</v>
      </c>
      <c r="L607" s="53">
        <v>2010</v>
      </c>
      <c r="M607" s="31" t="s">
        <v>1472</v>
      </c>
      <c r="N607" s="31" t="s">
        <v>11</v>
      </c>
      <c r="O607" s="53">
        <v>1.2692000000000001</v>
      </c>
      <c r="P607" s="35">
        <f t="shared" si="55"/>
        <v>2551.09</v>
      </c>
      <c r="Q607" s="36">
        <f t="shared" si="56"/>
        <v>7.3003400000000003</v>
      </c>
      <c r="R607" s="36">
        <f t="shared" si="57"/>
        <v>0.1739</v>
      </c>
      <c r="S607" s="37">
        <f t="shared" si="58"/>
        <v>349.54</v>
      </c>
      <c r="T607" s="36" t="s">
        <v>349</v>
      </c>
      <c r="U607" s="31" t="s">
        <v>64</v>
      </c>
      <c r="V607" s="57">
        <v>7.1692999999999998</v>
      </c>
      <c r="W607" s="38">
        <f t="shared" si="59"/>
        <v>355.83557669507491</v>
      </c>
    </row>
    <row r="608" spans="1:23">
      <c r="A608" s="31" t="s">
        <v>1919</v>
      </c>
      <c r="B608" s="32">
        <v>45713</v>
      </c>
      <c r="C608" s="32">
        <v>45695</v>
      </c>
      <c r="D608" s="31" t="s">
        <v>709</v>
      </c>
      <c r="E608" s="31" t="s">
        <v>710</v>
      </c>
      <c r="G608" s="31" t="s">
        <v>2159</v>
      </c>
      <c r="H608" s="31" t="s">
        <v>1653</v>
      </c>
      <c r="I608" s="31" t="s">
        <v>1654</v>
      </c>
      <c r="J608" s="34" t="str">
        <f t="shared" si="54"/>
        <v>HDL-</v>
      </c>
      <c r="K608" s="31" t="s">
        <v>10</v>
      </c>
      <c r="L608" s="53">
        <v>3000</v>
      </c>
      <c r="M608" s="31" t="s">
        <v>1472</v>
      </c>
      <c r="N608" s="31" t="s">
        <v>11</v>
      </c>
      <c r="O608" s="53">
        <v>1.278</v>
      </c>
      <c r="P608" s="35">
        <f t="shared" si="55"/>
        <v>3834</v>
      </c>
      <c r="Q608" s="36">
        <f t="shared" si="56"/>
        <v>7.3003400000000003</v>
      </c>
      <c r="R608" s="36">
        <f t="shared" si="57"/>
        <v>0.17510000000000001</v>
      </c>
      <c r="S608" s="37">
        <f t="shared" si="58"/>
        <v>525.29999999999995</v>
      </c>
      <c r="T608" s="36" t="s">
        <v>349</v>
      </c>
      <c r="U608" s="31" t="s">
        <v>228</v>
      </c>
      <c r="V608" s="57">
        <v>7.1692999999999998</v>
      </c>
      <c r="W608" s="38">
        <f t="shared" si="59"/>
        <v>534.78024353842079</v>
      </c>
    </row>
    <row r="609" spans="1:23">
      <c r="A609" s="31" t="s">
        <v>1920</v>
      </c>
      <c r="B609" s="32">
        <v>45709</v>
      </c>
      <c r="C609" s="32">
        <v>45674</v>
      </c>
      <c r="D609" s="31" t="s">
        <v>252</v>
      </c>
      <c r="E609" s="31" t="s">
        <v>253</v>
      </c>
      <c r="G609" s="31" t="s">
        <v>2169</v>
      </c>
      <c r="H609" s="31" t="s">
        <v>1022</v>
      </c>
      <c r="I609" s="31" t="s">
        <v>1023</v>
      </c>
      <c r="J609" s="34" t="str">
        <f t="shared" si="54"/>
        <v>ANYD</v>
      </c>
      <c r="K609" s="31" t="s">
        <v>10</v>
      </c>
      <c r="L609" s="53">
        <v>2050</v>
      </c>
      <c r="M609" s="31" t="s">
        <v>1472</v>
      </c>
      <c r="N609" s="31" t="s">
        <v>11</v>
      </c>
      <c r="O609" s="53">
        <v>1.2838000000000001</v>
      </c>
      <c r="P609" s="35">
        <f t="shared" si="55"/>
        <v>2631.79</v>
      </c>
      <c r="Q609" s="36">
        <f t="shared" si="56"/>
        <v>7.3003400000000003</v>
      </c>
      <c r="R609" s="36">
        <f t="shared" si="57"/>
        <v>0.1759</v>
      </c>
      <c r="S609" s="37">
        <f t="shared" si="58"/>
        <v>360.6</v>
      </c>
      <c r="T609" s="36" t="s">
        <v>349</v>
      </c>
      <c r="U609" s="31" t="s">
        <v>36</v>
      </c>
      <c r="V609" s="57">
        <v>7.1692999999999998</v>
      </c>
      <c r="W609" s="38">
        <f t="shared" si="59"/>
        <v>367.09162679759532</v>
      </c>
    </row>
    <row r="610" spans="1:23">
      <c r="A610" s="31" t="s">
        <v>1921</v>
      </c>
      <c r="B610" s="32">
        <v>45708</v>
      </c>
      <c r="C610" s="32">
        <v>45674</v>
      </c>
      <c r="D610" s="31" t="s">
        <v>169</v>
      </c>
      <c r="E610" s="31" t="s">
        <v>170</v>
      </c>
      <c r="G610" s="31" t="s">
        <v>2170</v>
      </c>
      <c r="H610" s="31" t="s">
        <v>1655</v>
      </c>
      <c r="I610" s="31" t="s">
        <v>1656</v>
      </c>
      <c r="J610" s="34" t="str">
        <f t="shared" si="54"/>
        <v>PRIM</v>
      </c>
      <c r="K610" s="31" t="s">
        <v>10</v>
      </c>
      <c r="L610" s="53">
        <v>2000</v>
      </c>
      <c r="M610" s="31" t="s">
        <v>1472</v>
      </c>
      <c r="N610" s="31" t="s">
        <v>11</v>
      </c>
      <c r="O610" s="53">
        <v>1.29</v>
      </c>
      <c r="P610" s="35">
        <f t="shared" si="55"/>
        <v>2580</v>
      </c>
      <c r="Q610" s="36">
        <f t="shared" si="56"/>
        <v>7.3003400000000003</v>
      </c>
      <c r="R610" s="36">
        <f t="shared" si="57"/>
        <v>0.1767</v>
      </c>
      <c r="S610" s="37">
        <f t="shared" si="58"/>
        <v>353.4</v>
      </c>
      <c r="T610" s="36" t="s">
        <v>349</v>
      </c>
      <c r="U610" s="31" t="s">
        <v>181</v>
      </c>
      <c r="V610" s="57">
        <v>7.1692999999999998</v>
      </c>
      <c r="W610" s="38">
        <f t="shared" si="59"/>
        <v>359.86776951724721</v>
      </c>
    </row>
    <row r="611" spans="1:23">
      <c r="A611" s="31" t="s">
        <v>1922</v>
      </c>
      <c r="B611" s="32">
        <v>45702</v>
      </c>
      <c r="C611" s="32">
        <v>45674</v>
      </c>
      <c r="D611" s="31" t="s">
        <v>169</v>
      </c>
      <c r="E611" s="31" t="s">
        <v>170</v>
      </c>
      <c r="G611" s="31" t="s">
        <v>2171</v>
      </c>
      <c r="H611" s="31" t="s">
        <v>642</v>
      </c>
      <c r="I611" s="31" t="s">
        <v>643</v>
      </c>
      <c r="J611" s="34" t="str">
        <f t="shared" si="54"/>
        <v>U&amp;C-</v>
      </c>
      <c r="K611" s="31" t="s">
        <v>10</v>
      </c>
      <c r="L611" s="53">
        <v>2020</v>
      </c>
      <c r="M611" s="31" t="s">
        <v>1472</v>
      </c>
      <c r="N611" s="31" t="s">
        <v>11</v>
      </c>
      <c r="O611" s="53">
        <v>1.29</v>
      </c>
      <c r="P611" s="35">
        <f t="shared" si="55"/>
        <v>2605.8000000000002</v>
      </c>
      <c r="Q611" s="36">
        <f t="shared" si="56"/>
        <v>7.3003400000000003</v>
      </c>
      <c r="R611" s="36">
        <f t="shared" si="57"/>
        <v>0.1767</v>
      </c>
      <c r="S611" s="37">
        <f t="shared" si="58"/>
        <v>356.93</v>
      </c>
      <c r="T611" s="36" t="s">
        <v>349</v>
      </c>
      <c r="U611" s="31" t="s">
        <v>177</v>
      </c>
      <c r="V611" s="57">
        <v>7.1692999999999998</v>
      </c>
      <c r="W611" s="38">
        <f t="shared" si="59"/>
        <v>363.46644721241967</v>
      </c>
    </row>
    <row r="612" spans="1:23">
      <c r="A612" s="31" t="s">
        <v>1923</v>
      </c>
      <c r="B612" s="32">
        <v>45702</v>
      </c>
      <c r="C612" s="32">
        <v>45674</v>
      </c>
      <c r="D612" s="31" t="s">
        <v>169</v>
      </c>
      <c r="E612" s="31" t="s">
        <v>170</v>
      </c>
      <c r="G612" s="31" t="s">
        <v>2171</v>
      </c>
      <c r="H612" s="31" t="s">
        <v>1124</v>
      </c>
      <c r="I612" s="31" t="s">
        <v>643</v>
      </c>
      <c r="J612" s="34" t="str">
        <f t="shared" si="54"/>
        <v>U&amp;C-</v>
      </c>
      <c r="K612" s="31" t="s">
        <v>10</v>
      </c>
      <c r="L612" s="53">
        <v>2020</v>
      </c>
      <c r="M612" s="31" t="s">
        <v>1472</v>
      </c>
      <c r="N612" s="31" t="s">
        <v>11</v>
      </c>
      <c r="O612" s="53">
        <v>1.29</v>
      </c>
      <c r="P612" s="35">
        <f t="shared" si="55"/>
        <v>2605.8000000000002</v>
      </c>
      <c r="Q612" s="36">
        <f t="shared" si="56"/>
        <v>7.3003400000000003</v>
      </c>
      <c r="R612" s="36">
        <f t="shared" si="57"/>
        <v>0.1767</v>
      </c>
      <c r="S612" s="37">
        <f t="shared" si="58"/>
        <v>356.93</v>
      </c>
      <c r="T612" s="36" t="s">
        <v>349</v>
      </c>
      <c r="U612" s="31" t="s">
        <v>177</v>
      </c>
      <c r="V612" s="57">
        <v>7.1692999999999998</v>
      </c>
      <c r="W612" s="38">
        <f t="shared" si="59"/>
        <v>363.46644721241967</v>
      </c>
    </row>
    <row r="613" spans="1:23">
      <c r="A613" s="31" t="s">
        <v>1924</v>
      </c>
      <c r="B613" s="32">
        <v>45709</v>
      </c>
      <c r="C613" s="32">
        <v>45677</v>
      </c>
      <c r="D613" s="31" t="s">
        <v>252</v>
      </c>
      <c r="E613" s="31" t="s">
        <v>253</v>
      </c>
      <c r="G613" s="31" t="s">
        <v>2169</v>
      </c>
      <c r="H613" s="31" t="s">
        <v>1022</v>
      </c>
      <c r="I613" s="31" t="s">
        <v>1023</v>
      </c>
      <c r="J613" s="34" t="str">
        <f t="shared" si="54"/>
        <v>ANYD</v>
      </c>
      <c r="K613" s="31" t="s">
        <v>10</v>
      </c>
      <c r="L613" s="53">
        <v>1500</v>
      </c>
      <c r="M613" s="31" t="s">
        <v>1472</v>
      </c>
      <c r="N613" s="31" t="s">
        <v>11</v>
      </c>
      <c r="O613" s="53">
        <v>1.31</v>
      </c>
      <c r="P613" s="35">
        <f t="shared" si="55"/>
        <v>1965</v>
      </c>
      <c r="Q613" s="36">
        <f t="shared" si="56"/>
        <v>7.3003400000000003</v>
      </c>
      <c r="R613" s="36">
        <f t="shared" si="57"/>
        <v>0.1794</v>
      </c>
      <c r="S613" s="37">
        <f t="shared" si="58"/>
        <v>269.10000000000002</v>
      </c>
      <c r="T613" s="36" t="s">
        <v>349</v>
      </c>
      <c r="U613" s="31" t="s">
        <v>36</v>
      </c>
      <c r="V613" s="57">
        <v>7.1692999999999998</v>
      </c>
      <c r="W613" s="38">
        <f t="shared" si="59"/>
        <v>274.08533608581035</v>
      </c>
    </row>
    <row r="614" spans="1:23">
      <c r="A614" s="31" t="s">
        <v>1925</v>
      </c>
      <c r="B614" s="32">
        <v>45709</v>
      </c>
      <c r="C614" s="32">
        <v>45674</v>
      </c>
      <c r="D614" s="31" t="s">
        <v>252</v>
      </c>
      <c r="E614" s="31" t="s">
        <v>253</v>
      </c>
      <c r="G614" s="31" t="s">
        <v>2169</v>
      </c>
      <c r="H614" s="31" t="s">
        <v>682</v>
      </c>
      <c r="I614" s="31" t="s">
        <v>683</v>
      </c>
      <c r="J614" s="34" t="str">
        <f t="shared" si="54"/>
        <v>ANYD</v>
      </c>
      <c r="K614" s="31" t="s">
        <v>10</v>
      </c>
      <c r="L614" s="53">
        <v>3050</v>
      </c>
      <c r="M614" s="31" t="s">
        <v>1472</v>
      </c>
      <c r="N614" s="31" t="s">
        <v>11</v>
      </c>
      <c r="O614" s="53">
        <v>1.3524</v>
      </c>
      <c r="P614" s="35">
        <f t="shared" si="55"/>
        <v>4124.82</v>
      </c>
      <c r="Q614" s="36">
        <f t="shared" si="56"/>
        <v>7.3003400000000003</v>
      </c>
      <c r="R614" s="36">
        <f t="shared" si="57"/>
        <v>0.18529999999999999</v>
      </c>
      <c r="S614" s="37">
        <f t="shared" si="58"/>
        <v>565.16999999999996</v>
      </c>
      <c r="T614" s="36" t="s">
        <v>349</v>
      </c>
      <c r="U614" s="31" t="s">
        <v>36</v>
      </c>
      <c r="V614" s="57">
        <v>7.1692999999999998</v>
      </c>
      <c r="W614" s="38">
        <f t="shared" si="59"/>
        <v>575.34487327912075</v>
      </c>
    </row>
    <row r="615" spans="1:23">
      <c r="A615" s="31" t="s">
        <v>1926</v>
      </c>
      <c r="B615" s="32">
        <v>45712</v>
      </c>
      <c r="C615" s="32">
        <v>45671</v>
      </c>
      <c r="D615" s="31" t="s">
        <v>28</v>
      </c>
      <c r="E615" s="31" t="s">
        <v>29</v>
      </c>
      <c r="G615" s="31" t="s">
        <v>2158</v>
      </c>
      <c r="H615" s="31" t="s">
        <v>1158</v>
      </c>
      <c r="I615" s="31" t="s">
        <v>1159</v>
      </c>
      <c r="J615" s="34" t="str">
        <f t="shared" si="54"/>
        <v>FG--</v>
      </c>
      <c r="K615" s="31" t="s">
        <v>10</v>
      </c>
      <c r="L615" s="53">
        <v>3100</v>
      </c>
      <c r="M615" s="31" t="s">
        <v>1472</v>
      </c>
      <c r="N615" s="31" t="s">
        <v>11</v>
      </c>
      <c r="O615" s="53">
        <v>1.3540000000000001</v>
      </c>
      <c r="P615" s="35">
        <f t="shared" si="55"/>
        <v>4197.3999999999996</v>
      </c>
      <c r="Q615" s="36">
        <f t="shared" si="56"/>
        <v>7.3003400000000003</v>
      </c>
      <c r="R615" s="36">
        <f t="shared" si="57"/>
        <v>0.1855</v>
      </c>
      <c r="S615" s="37">
        <f t="shared" si="58"/>
        <v>575.04999999999995</v>
      </c>
      <c r="T615" s="36" t="s">
        <v>349</v>
      </c>
      <c r="U615" s="31" t="s">
        <v>64</v>
      </c>
      <c r="V615" s="57">
        <v>7.1692999999999998</v>
      </c>
      <c r="W615" s="38">
        <f t="shared" si="59"/>
        <v>585.46859526034621</v>
      </c>
    </row>
    <row r="616" spans="1:23">
      <c r="A616" s="31" t="s">
        <v>1927</v>
      </c>
      <c r="B616" s="32">
        <v>45709</v>
      </c>
      <c r="C616" s="32">
        <v>45674</v>
      </c>
      <c r="D616" s="31" t="s">
        <v>252</v>
      </c>
      <c r="E616" s="31" t="s">
        <v>253</v>
      </c>
      <c r="G616" s="31" t="s">
        <v>2169</v>
      </c>
      <c r="H616" s="31" t="s">
        <v>678</v>
      </c>
      <c r="I616" s="31" t="s">
        <v>679</v>
      </c>
      <c r="J616" s="34" t="str">
        <f t="shared" si="54"/>
        <v>ANYD</v>
      </c>
      <c r="K616" s="31" t="s">
        <v>10</v>
      </c>
      <c r="L616" s="53">
        <v>1000</v>
      </c>
      <c r="M616" s="31" t="s">
        <v>1472</v>
      </c>
      <c r="N616" s="31" t="s">
        <v>11</v>
      </c>
      <c r="O616" s="53">
        <v>1.38</v>
      </c>
      <c r="P616" s="35">
        <f t="shared" si="55"/>
        <v>1380</v>
      </c>
      <c r="Q616" s="36">
        <f t="shared" si="56"/>
        <v>7.3003400000000003</v>
      </c>
      <c r="R616" s="36">
        <f t="shared" si="57"/>
        <v>0.189</v>
      </c>
      <c r="S616" s="37">
        <f t="shared" si="58"/>
        <v>189</v>
      </c>
      <c r="T616" s="36" t="s">
        <v>349</v>
      </c>
      <c r="U616" s="31" t="s">
        <v>36</v>
      </c>
      <c r="V616" s="57">
        <v>7.1692999999999998</v>
      </c>
      <c r="W616" s="38">
        <f t="shared" si="59"/>
        <v>192.48741160224847</v>
      </c>
    </row>
    <row r="617" spans="1:23">
      <c r="A617" s="31" t="s">
        <v>1928</v>
      </c>
      <c r="B617" s="32">
        <v>45709</v>
      </c>
      <c r="C617" s="32">
        <v>45677</v>
      </c>
      <c r="D617" s="31" t="s">
        <v>252</v>
      </c>
      <c r="E617" s="31" t="s">
        <v>253</v>
      </c>
      <c r="G617" s="31" t="s">
        <v>2169</v>
      </c>
      <c r="H617" s="31" t="s">
        <v>678</v>
      </c>
      <c r="I617" s="31" t="s">
        <v>679</v>
      </c>
      <c r="J617" s="34" t="str">
        <f t="shared" si="54"/>
        <v>ANYD</v>
      </c>
      <c r="K617" s="31" t="s">
        <v>10</v>
      </c>
      <c r="L617" s="53">
        <v>1020</v>
      </c>
      <c r="M617" s="31" t="s">
        <v>1472</v>
      </c>
      <c r="N617" s="31" t="s">
        <v>11</v>
      </c>
      <c r="O617" s="53">
        <v>1.38</v>
      </c>
      <c r="P617" s="35">
        <f t="shared" si="55"/>
        <v>1407.6</v>
      </c>
      <c r="Q617" s="36">
        <f t="shared" si="56"/>
        <v>7.3003400000000003</v>
      </c>
      <c r="R617" s="36">
        <f t="shared" si="57"/>
        <v>0.189</v>
      </c>
      <c r="S617" s="37">
        <f t="shared" si="58"/>
        <v>192.78</v>
      </c>
      <c r="T617" s="36" t="s">
        <v>349</v>
      </c>
      <c r="U617" s="31" t="s">
        <v>36</v>
      </c>
      <c r="V617" s="57">
        <v>7.1692999999999998</v>
      </c>
      <c r="W617" s="38">
        <f t="shared" si="59"/>
        <v>196.33715983429343</v>
      </c>
    </row>
    <row r="618" spans="1:23">
      <c r="A618" s="31" t="s">
        <v>1929</v>
      </c>
      <c r="B618" s="32">
        <v>45702</v>
      </c>
      <c r="C618" s="32">
        <v>45674</v>
      </c>
      <c r="D618" s="31" t="s">
        <v>169</v>
      </c>
      <c r="E618" s="31" t="s">
        <v>170</v>
      </c>
      <c r="G618" s="31" t="s">
        <v>2171</v>
      </c>
      <c r="H618" s="31" t="s">
        <v>1657</v>
      </c>
      <c r="I618" s="31" t="s">
        <v>1658</v>
      </c>
      <c r="J618" s="34" t="str">
        <f t="shared" si="54"/>
        <v>PRIM</v>
      </c>
      <c r="K618" s="31" t="s">
        <v>10</v>
      </c>
      <c r="L618" s="53">
        <v>1900</v>
      </c>
      <c r="M618" s="31" t="s">
        <v>1472</v>
      </c>
      <c r="N618" s="31" t="s">
        <v>11</v>
      </c>
      <c r="O618" s="53">
        <v>1.51</v>
      </c>
      <c r="P618" s="35">
        <f t="shared" si="55"/>
        <v>2869</v>
      </c>
      <c r="Q618" s="36">
        <f t="shared" si="56"/>
        <v>7.3003400000000003</v>
      </c>
      <c r="R618" s="36">
        <f t="shared" si="57"/>
        <v>0.20680000000000001</v>
      </c>
      <c r="S618" s="37">
        <f t="shared" si="58"/>
        <v>392.92</v>
      </c>
      <c r="T618" s="36" t="s">
        <v>349</v>
      </c>
      <c r="U618" s="31" t="s">
        <v>181</v>
      </c>
      <c r="V618" s="57">
        <v>7.1692999999999998</v>
      </c>
      <c r="W618" s="38">
        <f t="shared" si="59"/>
        <v>400.1785390484427</v>
      </c>
    </row>
    <row r="619" spans="1:23">
      <c r="A619" s="31" t="s">
        <v>1930</v>
      </c>
      <c r="B619" s="32">
        <v>45713</v>
      </c>
      <c r="C619" s="32">
        <v>45670</v>
      </c>
      <c r="D619" s="31" t="s">
        <v>709</v>
      </c>
      <c r="E619" s="31" t="s">
        <v>710</v>
      </c>
      <c r="G619" s="31" t="s">
        <v>2159</v>
      </c>
      <c r="H619" s="31" t="s">
        <v>729</v>
      </c>
      <c r="I619" s="31" t="s">
        <v>730</v>
      </c>
      <c r="J619" s="34" t="str">
        <f t="shared" si="54"/>
        <v>HDL-</v>
      </c>
      <c r="K619" s="31" t="s">
        <v>10</v>
      </c>
      <c r="L619" s="53">
        <v>6100</v>
      </c>
      <c r="M619" s="31" t="s">
        <v>1472</v>
      </c>
      <c r="N619" s="31" t="s">
        <v>11</v>
      </c>
      <c r="O619" s="53">
        <v>1.5156000000000001</v>
      </c>
      <c r="P619" s="35">
        <f t="shared" si="55"/>
        <v>9245.16</v>
      </c>
      <c r="Q619" s="36">
        <f t="shared" si="56"/>
        <v>7.3003400000000003</v>
      </c>
      <c r="R619" s="36">
        <f t="shared" si="57"/>
        <v>0.20760000000000001</v>
      </c>
      <c r="S619" s="37">
        <f t="shared" si="58"/>
        <v>1266.3599999999999</v>
      </c>
      <c r="T619" s="36" t="s">
        <v>349</v>
      </c>
      <c r="U619" s="31" t="s">
        <v>228</v>
      </c>
      <c r="V619" s="57">
        <v>7.1692999999999998</v>
      </c>
      <c r="W619" s="38">
        <f t="shared" si="59"/>
        <v>1289.5484914845244</v>
      </c>
    </row>
    <row r="620" spans="1:23">
      <c r="A620" s="31" t="s">
        <v>1931</v>
      </c>
      <c r="B620" s="32">
        <v>45713</v>
      </c>
      <c r="C620" s="32">
        <v>45671</v>
      </c>
      <c r="D620" s="31" t="s">
        <v>709</v>
      </c>
      <c r="E620" s="31" t="s">
        <v>710</v>
      </c>
      <c r="G620" s="31" t="s">
        <v>2159</v>
      </c>
      <c r="H620" s="31" t="s">
        <v>729</v>
      </c>
      <c r="I620" s="31" t="s">
        <v>730</v>
      </c>
      <c r="J620" s="34" t="str">
        <f t="shared" si="54"/>
        <v>HDL-</v>
      </c>
      <c r="K620" s="31" t="s">
        <v>10</v>
      </c>
      <c r="L620" s="53">
        <v>8200</v>
      </c>
      <c r="M620" s="31" t="s">
        <v>1472</v>
      </c>
      <c r="N620" s="31" t="s">
        <v>11</v>
      </c>
      <c r="O620" s="53">
        <v>1.5156000000000001</v>
      </c>
      <c r="P620" s="35">
        <f t="shared" si="55"/>
        <v>12427.92</v>
      </c>
      <c r="Q620" s="36">
        <f t="shared" si="56"/>
        <v>7.3003400000000003</v>
      </c>
      <c r="R620" s="36">
        <f t="shared" si="57"/>
        <v>0.20760000000000001</v>
      </c>
      <c r="S620" s="37">
        <f t="shared" si="58"/>
        <v>1702.32</v>
      </c>
      <c r="T620" s="36" t="s">
        <v>349</v>
      </c>
      <c r="U620" s="31" t="s">
        <v>228</v>
      </c>
      <c r="V620" s="57">
        <v>7.1692999999999998</v>
      </c>
      <c r="W620" s="38">
        <f t="shared" si="59"/>
        <v>1733.4914147824754</v>
      </c>
    </row>
    <row r="621" spans="1:23">
      <c r="A621" s="31" t="s">
        <v>1932</v>
      </c>
      <c r="B621" s="32">
        <v>45702</v>
      </c>
      <c r="C621" s="32">
        <v>45674</v>
      </c>
      <c r="D621" s="31" t="s">
        <v>169</v>
      </c>
      <c r="E621" s="31" t="s">
        <v>170</v>
      </c>
      <c r="G621" s="31" t="s">
        <v>2171</v>
      </c>
      <c r="H621" s="31" t="s">
        <v>178</v>
      </c>
      <c r="I621" s="31" t="s">
        <v>179</v>
      </c>
      <c r="J621" s="34" t="str">
        <f t="shared" si="54"/>
        <v>PRIM</v>
      </c>
      <c r="K621" s="31" t="s">
        <v>10</v>
      </c>
      <c r="L621" s="53">
        <v>4000</v>
      </c>
      <c r="M621" s="31" t="s">
        <v>1472</v>
      </c>
      <c r="N621" s="31" t="s">
        <v>11</v>
      </c>
      <c r="O621" s="53">
        <v>1.53</v>
      </c>
      <c r="P621" s="35">
        <f t="shared" si="55"/>
        <v>6120</v>
      </c>
      <c r="Q621" s="36">
        <f t="shared" si="56"/>
        <v>7.3003400000000003</v>
      </c>
      <c r="R621" s="36">
        <f t="shared" si="57"/>
        <v>0.20960000000000001</v>
      </c>
      <c r="S621" s="37">
        <f t="shared" si="58"/>
        <v>838.4</v>
      </c>
      <c r="T621" s="36" t="s">
        <v>349</v>
      </c>
      <c r="U621" s="31" t="s">
        <v>181</v>
      </c>
      <c r="V621" s="57">
        <v>7.1692999999999998</v>
      </c>
      <c r="W621" s="38">
        <f t="shared" si="59"/>
        <v>853.63982536649326</v>
      </c>
    </row>
    <row r="622" spans="1:23">
      <c r="A622" s="31" t="s">
        <v>1933</v>
      </c>
      <c r="B622" s="32">
        <v>45708</v>
      </c>
      <c r="C622" s="32">
        <v>45674</v>
      </c>
      <c r="D622" s="31" t="s">
        <v>169</v>
      </c>
      <c r="E622" s="31" t="s">
        <v>170</v>
      </c>
      <c r="G622" s="31" t="s">
        <v>2170</v>
      </c>
      <c r="H622" s="31" t="s">
        <v>1659</v>
      </c>
      <c r="I622" s="31" t="s">
        <v>643</v>
      </c>
      <c r="J622" s="34" t="str">
        <f t="shared" si="54"/>
        <v>U&amp;C-</v>
      </c>
      <c r="K622" s="31" t="s">
        <v>10</v>
      </c>
      <c r="L622" s="53">
        <v>3000</v>
      </c>
      <c r="M622" s="31" t="s">
        <v>1472</v>
      </c>
      <c r="N622" s="31" t="s">
        <v>11</v>
      </c>
      <c r="O622" s="53">
        <v>1.53</v>
      </c>
      <c r="P622" s="35">
        <f t="shared" si="55"/>
        <v>4590</v>
      </c>
      <c r="Q622" s="36">
        <f t="shared" si="56"/>
        <v>7.3003400000000003</v>
      </c>
      <c r="R622" s="36">
        <f t="shared" si="57"/>
        <v>0.20960000000000001</v>
      </c>
      <c r="S622" s="37">
        <f t="shared" si="58"/>
        <v>628.79999999999995</v>
      </c>
      <c r="T622" s="36" t="s">
        <v>349</v>
      </c>
      <c r="U622" s="31" t="s">
        <v>177</v>
      </c>
      <c r="V622" s="57">
        <v>7.1692999999999998</v>
      </c>
      <c r="W622" s="38">
        <f t="shared" si="59"/>
        <v>640.22986902487003</v>
      </c>
    </row>
    <row r="623" spans="1:23">
      <c r="A623" s="31" t="s">
        <v>1934</v>
      </c>
      <c r="B623" s="32">
        <v>45713</v>
      </c>
      <c r="C623" s="32">
        <v>45695</v>
      </c>
      <c r="D623" s="31" t="s">
        <v>709</v>
      </c>
      <c r="E623" s="31" t="s">
        <v>710</v>
      </c>
      <c r="G623" s="31" t="s">
        <v>2159</v>
      </c>
      <c r="H623" s="31" t="s">
        <v>729</v>
      </c>
      <c r="I623" s="31" t="s">
        <v>730</v>
      </c>
      <c r="J623" s="34" t="str">
        <f t="shared" si="54"/>
        <v>HDL-</v>
      </c>
      <c r="K623" s="31" t="s">
        <v>10</v>
      </c>
      <c r="L623" s="53">
        <v>2000</v>
      </c>
      <c r="M623" s="31" t="s">
        <v>1472</v>
      </c>
      <c r="N623" s="31" t="s">
        <v>11</v>
      </c>
      <c r="O623" s="53">
        <v>1.5313000000000001</v>
      </c>
      <c r="P623" s="35">
        <f t="shared" si="55"/>
        <v>3062.6</v>
      </c>
      <c r="Q623" s="36">
        <f t="shared" si="56"/>
        <v>7.3003400000000003</v>
      </c>
      <c r="R623" s="36">
        <f t="shared" si="57"/>
        <v>0.20979999999999999</v>
      </c>
      <c r="S623" s="37">
        <f t="shared" si="58"/>
        <v>419.6</v>
      </c>
      <c r="T623" s="36" t="s">
        <v>349</v>
      </c>
      <c r="U623" s="31" t="s">
        <v>228</v>
      </c>
      <c r="V623" s="57">
        <v>7.1692999999999998</v>
      </c>
      <c r="W623" s="38">
        <f t="shared" si="59"/>
        <v>427.18257012539584</v>
      </c>
    </row>
    <row r="624" spans="1:23">
      <c r="A624" s="31" t="s">
        <v>1935</v>
      </c>
      <c r="B624" s="32">
        <v>45713</v>
      </c>
      <c r="C624" s="32">
        <v>45698</v>
      </c>
      <c r="D624" s="31" t="s">
        <v>709</v>
      </c>
      <c r="E624" s="31" t="s">
        <v>710</v>
      </c>
      <c r="G624" s="31" t="s">
        <v>2159</v>
      </c>
      <c r="H624" s="31" t="s">
        <v>729</v>
      </c>
      <c r="I624" s="31" t="s">
        <v>730</v>
      </c>
      <c r="J624" s="34" t="str">
        <f t="shared" si="54"/>
        <v>HDL-</v>
      </c>
      <c r="K624" s="31" t="s">
        <v>10</v>
      </c>
      <c r="L624" s="53">
        <v>2010</v>
      </c>
      <c r="M624" s="31" t="s">
        <v>1472</v>
      </c>
      <c r="N624" s="31" t="s">
        <v>11</v>
      </c>
      <c r="O624" s="53">
        <v>1.5313000000000001</v>
      </c>
      <c r="P624" s="35">
        <f t="shared" si="55"/>
        <v>3077.91</v>
      </c>
      <c r="Q624" s="36">
        <f t="shared" si="56"/>
        <v>7.3003400000000003</v>
      </c>
      <c r="R624" s="36">
        <f t="shared" si="57"/>
        <v>0.20979999999999999</v>
      </c>
      <c r="S624" s="37">
        <f t="shared" si="58"/>
        <v>421.7</v>
      </c>
      <c r="T624" s="36" t="s">
        <v>349</v>
      </c>
      <c r="U624" s="31" t="s">
        <v>228</v>
      </c>
      <c r="V624" s="57">
        <v>7.1692999999999998</v>
      </c>
      <c r="W624" s="38">
        <f t="shared" si="59"/>
        <v>429.31848297602284</v>
      </c>
    </row>
    <row r="625" spans="1:23">
      <c r="A625" s="31" t="s">
        <v>1936</v>
      </c>
      <c r="B625" s="32">
        <v>45699</v>
      </c>
      <c r="C625" s="32">
        <v>45677</v>
      </c>
      <c r="D625" s="31" t="s">
        <v>5</v>
      </c>
      <c r="E625" s="31" t="s">
        <v>6</v>
      </c>
      <c r="G625" s="31" t="s">
        <v>2172</v>
      </c>
      <c r="H625" s="31" t="s">
        <v>1660</v>
      </c>
      <c r="I625" s="31" t="s">
        <v>1661</v>
      </c>
      <c r="J625" s="34" t="str">
        <f t="shared" si="54"/>
        <v>SHTS</v>
      </c>
      <c r="K625" s="31" t="s">
        <v>10</v>
      </c>
      <c r="L625" s="53">
        <v>2020</v>
      </c>
      <c r="M625" s="31" t="s">
        <v>1472</v>
      </c>
      <c r="N625" s="31" t="s">
        <v>11</v>
      </c>
      <c r="O625" s="53">
        <v>1.63</v>
      </c>
      <c r="P625" s="35">
        <f t="shared" si="55"/>
        <v>3292.6</v>
      </c>
      <c r="Q625" s="36">
        <f t="shared" si="56"/>
        <v>7.3003400000000003</v>
      </c>
      <c r="R625" s="36">
        <f t="shared" si="57"/>
        <v>0.2233</v>
      </c>
      <c r="S625" s="37">
        <f t="shared" si="58"/>
        <v>451.07</v>
      </c>
      <c r="T625" s="36" t="s">
        <v>349</v>
      </c>
      <c r="U625" s="31" t="s">
        <v>9</v>
      </c>
      <c r="V625" s="57">
        <v>7.1692999999999998</v>
      </c>
      <c r="W625" s="38">
        <f t="shared" si="59"/>
        <v>459.26380539243718</v>
      </c>
    </row>
    <row r="626" spans="1:23">
      <c r="A626" s="31" t="s">
        <v>1937</v>
      </c>
      <c r="B626" s="32">
        <v>45699</v>
      </c>
      <c r="C626" s="32">
        <v>45677</v>
      </c>
      <c r="D626" s="31" t="s">
        <v>5</v>
      </c>
      <c r="E626" s="31" t="s">
        <v>6</v>
      </c>
      <c r="G626" s="31" t="s">
        <v>2172</v>
      </c>
      <c r="H626" s="31" t="s">
        <v>493</v>
      </c>
      <c r="I626" s="31" t="s">
        <v>494</v>
      </c>
      <c r="J626" s="34" t="str">
        <f t="shared" si="54"/>
        <v>SHTS</v>
      </c>
      <c r="K626" s="31" t="s">
        <v>10</v>
      </c>
      <c r="L626" s="53">
        <v>1010</v>
      </c>
      <c r="M626" s="31" t="s">
        <v>1472</v>
      </c>
      <c r="N626" s="31" t="s">
        <v>11</v>
      </c>
      <c r="O626" s="53">
        <v>1.64</v>
      </c>
      <c r="P626" s="35">
        <f t="shared" si="55"/>
        <v>1656.4</v>
      </c>
      <c r="Q626" s="36">
        <f t="shared" si="56"/>
        <v>7.3003400000000003</v>
      </c>
      <c r="R626" s="36">
        <f t="shared" si="57"/>
        <v>0.22459999999999999</v>
      </c>
      <c r="S626" s="37">
        <f t="shared" si="58"/>
        <v>226.85</v>
      </c>
      <c r="T626" s="36" t="s">
        <v>349</v>
      </c>
      <c r="U626" s="31" t="s">
        <v>9</v>
      </c>
      <c r="V626" s="57">
        <v>7.1692999999999998</v>
      </c>
      <c r="W626" s="38">
        <f t="shared" si="59"/>
        <v>231.04068737533649</v>
      </c>
    </row>
    <row r="627" spans="1:23">
      <c r="A627" s="31" t="s">
        <v>1938</v>
      </c>
      <c r="B627" s="32">
        <v>45707</v>
      </c>
      <c r="C627" s="32">
        <v>45677</v>
      </c>
      <c r="D627" s="31" t="s">
        <v>5</v>
      </c>
      <c r="E627" s="31" t="s">
        <v>6</v>
      </c>
      <c r="G627" s="31" t="s">
        <v>2173</v>
      </c>
      <c r="H627" s="31" t="s">
        <v>493</v>
      </c>
      <c r="I627" s="31" t="s">
        <v>494</v>
      </c>
      <c r="J627" s="34" t="str">
        <f t="shared" si="54"/>
        <v>SHTS</v>
      </c>
      <c r="K627" s="31" t="s">
        <v>10</v>
      </c>
      <c r="L627" s="53">
        <v>2020</v>
      </c>
      <c r="M627" s="31" t="s">
        <v>1472</v>
      </c>
      <c r="N627" s="31" t="s">
        <v>11</v>
      </c>
      <c r="O627" s="53">
        <v>1.64</v>
      </c>
      <c r="P627" s="35">
        <f t="shared" si="55"/>
        <v>3312.8</v>
      </c>
      <c r="Q627" s="36">
        <f t="shared" si="56"/>
        <v>7.3003400000000003</v>
      </c>
      <c r="R627" s="36">
        <f t="shared" si="57"/>
        <v>0.22459999999999999</v>
      </c>
      <c r="S627" s="37">
        <f t="shared" si="58"/>
        <v>453.69</v>
      </c>
      <c r="T627" s="36" t="s">
        <v>349</v>
      </c>
      <c r="U627" s="31" t="s">
        <v>9</v>
      </c>
      <c r="V627" s="57">
        <v>7.1692999999999998</v>
      </c>
      <c r="W627" s="38">
        <f t="shared" si="59"/>
        <v>462.08137475067298</v>
      </c>
    </row>
    <row r="628" spans="1:23">
      <c r="A628" s="31" t="s">
        <v>1939</v>
      </c>
      <c r="B628" s="32">
        <v>45713</v>
      </c>
      <c r="C628" s="32">
        <v>45671</v>
      </c>
      <c r="D628" s="31" t="s">
        <v>709</v>
      </c>
      <c r="E628" s="31" t="s">
        <v>710</v>
      </c>
      <c r="G628" s="31" t="s">
        <v>2159</v>
      </c>
      <c r="H628" s="31" t="s">
        <v>723</v>
      </c>
      <c r="I628" s="31" t="s">
        <v>724</v>
      </c>
      <c r="J628" s="34" t="str">
        <f t="shared" si="54"/>
        <v>SHDL</v>
      </c>
      <c r="K628" s="31" t="s">
        <v>10</v>
      </c>
      <c r="L628" s="53">
        <v>4100</v>
      </c>
      <c r="M628" s="31" t="s">
        <v>1472</v>
      </c>
      <c r="N628" s="31" t="s">
        <v>11</v>
      </c>
      <c r="O628" s="53">
        <v>1.6517999999999999</v>
      </c>
      <c r="P628" s="35">
        <f t="shared" si="55"/>
        <v>6772.38</v>
      </c>
      <c r="Q628" s="36">
        <f t="shared" si="56"/>
        <v>7.3003400000000003</v>
      </c>
      <c r="R628" s="36">
        <f t="shared" si="57"/>
        <v>0.2263</v>
      </c>
      <c r="S628" s="37">
        <f t="shared" si="58"/>
        <v>927.83</v>
      </c>
      <c r="T628" s="36" t="s">
        <v>349</v>
      </c>
      <c r="U628" s="31" t="s">
        <v>722</v>
      </c>
      <c r="V628" s="57">
        <v>7.1692999999999998</v>
      </c>
      <c r="W628" s="38">
        <f t="shared" si="59"/>
        <v>944.63615694698228</v>
      </c>
    </row>
    <row r="629" spans="1:23">
      <c r="A629" s="31" t="s">
        <v>1940</v>
      </c>
      <c r="B629" s="32">
        <v>45713</v>
      </c>
      <c r="C629" s="32">
        <v>45695</v>
      </c>
      <c r="D629" s="31" t="s">
        <v>709</v>
      </c>
      <c r="E629" s="31" t="s">
        <v>710</v>
      </c>
      <c r="G629" s="31" t="s">
        <v>2159</v>
      </c>
      <c r="H629" s="31" t="s">
        <v>723</v>
      </c>
      <c r="I629" s="31" t="s">
        <v>724</v>
      </c>
      <c r="J629" s="34" t="str">
        <f t="shared" si="54"/>
        <v>SHDL</v>
      </c>
      <c r="K629" s="31" t="s">
        <v>10</v>
      </c>
      <c r="L629" s="53">
        <v>2000</v>
      </c>
      <c r="M629" s="31" t="s">
        <v>1472</v>
      </c>
      <c r="N629" s="31" t="s">
        <v>11</v>
      </c>
      <c r="O629" s="53">
        <v>1.6517999999999999</v>
      </c>
      <c r="P629" s="35">
        <f t="shared" si="55"/>
        <v>3303.6</v>
      </c>
      <c r="Q629" s="36">
        <f t="shared" si="56"/>
        <v>7.3003400000000003</v>
      </c>
      <c r="R629" s="36">
        <f t="shared" si="57"/>
        <v>0.2263</v>
      </c>
      <c r="S629" s="37">
        <f t="shared" si="58"/>
        <v>452.6</v>
      </c>
      <c r="T629" s="36" t="s">
        <v>349</v>
      </c>
      <c r="U629" s="31" t="s">
        <v>722</v>
      </c>
      <c r="V629" s="57">
        <v>7.1692999999999998</v>
      </c>
      <c r="W629" s="38">
        <f t="shared" si="59"/>
        <v>460.79812533999137</v>
      </c>
    </row>
    <row r="630" spans="1:23">
      <c r="A630" s="31" t="s">
        <v>1941</v>
      </c>
      <c r="B630" s="32">
        <v>45699</v>
      </c>
      <c r="C630" s="32">
        <v>45653</v>
      </c>
      <c r="D630" s="31" t="s">
        <v>5</v>
      </c>
      <c r="E630" s="31" t="s">
        <v>6</v>
      </c>
      <c r="G630" s="31" t="s">
        <v>2172</v>
      </c>
      <c r="H630" s="31" t="s">
        <v>489</v>
      </c>
      <c r="I630" s="31" t="s">
        <v>490</v>
      </c>
      <c r="J630" s="34" t="str">
        <f t="shared" si="54"/>
        <v>SHTS</v>
      </c>
      <c r="K630" s="31" t="s">
        <v>10</v>
      </c>
      <c r="L630" s="53">
        <v>1010</v>
      </c>
      <c r="M630" s="31" t="s">
        <v>1472</v>
      </c>
      <c r="N630" s="31" t="s">
        <v>11</v>
      </c>
      <c r="O630" s="53">
        <v>1.66</v>
      </c>
      <c r="P630" s="35">
        <f t="shared" si="55"/>
        <v>1676.6</v>
      </c>
      <c r="Q630" s="36">
        <f t="shared" si="56"/>
        <v>7.3003400000000003</v>
      </c>
      <c r="R630" s="36">
        <f t="shared" si="57"/>
        <v>0.22739999999999999</v>
      </c>
      <c r="S630" s="37">
        <f t="shared" si="58"/>
        <v>229.67</v>
      </c>
      <c r="T630" s="36" t="s">
        <v>349</v>
      </c>
      <c r="U630" s="31" t="s">
        <v>9</v>
      </c>
      <c r="V630" s="57">
        <v>7.1692999999999998</v>
      </c>
      <c r="W630" s="38">
        <f t="shared" si="59"/>
        <v>233.85825673357232</v>
      </c>
    </row>
    <row r="631" spans="1:23">
      <c r="A631" s="31" t="s">
        <v>1942</v>
      </c>
      <c r="B631" s="32">
        <v>45699</v>
      </c>
      <c r="C631" s="32">
        <v>45653</v>
      </c>
      <c r="D631" s="31" t="s">
        <v>5</v>
      </c>
      <c r="E631" s="31" t="s">
        <v>6</v>
      </c>
      <c r="G631" s="31" t="s">
        <v>2172</v>
      </c>
      <c r="H631" s="31" t="s">
        <v>489</v>
      </c>
      <c r="I631" s="31" t="s">
        <v>490</v>
      </c>
      <c r="J631" s="34" t="str">
        <f t="shared" si="54"/>
        <v>SHTS</v>
      </c>
      <c r="K631" s="31" t="s">
        <v>10</v>
      </c>
      <c r="L631" s="53">
        <v>2020</v>
      </c>
      <c r="M631" s="31" t="s">
        <v>1472</v>
      </c>
      <c r="N631" s="31" t="s">
        <v>11</v>
      </c>
      <c r="O631" s="53">
        <v>1.66</v>
      </c>
      <c r="P631" s="35">
        <f t="shared" si="55"/>
        <v>3353.2</v>
      </c>
      <c r="Q631" s="36">
        <f t="shared" si="56"/>
        <v>7.3003400000000003</v>
      </c>
      <c r="R631" s="36">
        <f t="shared" si="57"/>
        <v>0.22739999999999999</v>
      </c>
      <c r="S631" s="37">
        <f t="shared" si="58"/>
        <v>459.35</v>
      </c>
      <c r="T631" s="36" t="s">
        <v>349</v>
      </c>
      <c r="U631" s="31" t="s">
        <v>9</v>
      </c>
      <c r="V631" s="57">
        <v>7.1692999999999998</v>
      </c>
      <c r="W631" s="38">
        <f t="shared" si="59"/>
        <v>467.71651346714464</v>
      </c>
    </row>
    <row r="632" spans="1:23">
      <c r="A632" s="31" t="s">
        <v>1943</v>
      </c>
      <c r="B632" s="32">
        <v>45698</v>
      </c>
      <c r="C632" s="32">
        <v>45653</v>
      </c>
      <c r="D632" s="31" t="s">
        <v>5</v>
      </c>
      <c r="E632" s="31" t="s">
        <v>6</v>
      </c>
      <c r="G632" s="31" t="s">
        <v>2174</v>
      </c>
      <c r="H632" s="31" t="s">
        <v>1662</v>
      </c>
      <c r="I632" s="31" t="s">
        <v>1663</v>
      </c>
      <c r="J632" s="34" t="str">
        <f t="shared" si="54"/>
        <v>SHTS</v>
      </c>
      <c r="K632" s="31" t="s">
        <v>10</v>
      </c>
      <c r="L632" s="53">
        <v>1010</v>
      </c>
      <c r="M632" s="31" t="s">
        <v>1472</v>
      </c>
      <c r="N632" s="31" t="s">
        <v>11</v>
      </c>
      <c r="O632" s="53">
        <v>1.77</v>
      </c>
      <c r="P632" s="35">
        <f t="shared" si="55"/>
        <v>1787.7</v>
      </c>
      <c r="Q632" s="36">
        <f t="shared" si="56"/>
        <v>7.3003400000000003</v>
      </c>
      <c r="R632" s="36">
        <f t="shared" si="57"/>
        <v>0.24249999999999999</v>
      </c>
      <c r="S632" s="37">
        <f t="shared" si="58"/>
        <v>244.93</v>
      </c>
      <c r="T632" s="36" t="s">
        <v>349</v>
      </c>
      <c r="U632" s="31" t="s">
        <v>9</v>
      </c>
      <c r="V632" s="57">
        <v>7.1692999999999998</v>
      </c>
      <c r="W632" s="38">
        <f t="shared" si="59"/>
        <v>249.35488820386928</v>
      </c>
    </row>
    <row r="633" spans="1:23">
      <c r="A633" s="31" t="s">
        <v>1944</v>
      </c>
      <c r="B633" s="32">
        <v>45699</v>
      </c>
      <c r="C633" s="32">
        <v>45677</v>
      </c>
      <c r="D633" s="31" t="s">
        <v>5</v>
      </c>
      <c r="E633" s="31" t="s">
        <v>6</v>
      </c>
      <c r="G633" s="31" t="s">
        <v>2172</v>
      </c>
      <c r="H633" s="31" t="s">
        <v>1664</v>
      </c>
      <c r="I633" s="31" t="s">
        <v>1665</v>
      </c>
      <c r="J633" s="34" t="str">
        <f t="shared" si="54"/>
        <v>SHTS</v>
      </c>
      <c r="K633" s="31" t="s">
        <v>10</v>
      </c>
      <c r="L633" s="53">
        <v>3020</v>
      </c>
      <c r="M633" s="31" t="s">
        <v>1472</v>
      </c>
      <c r="N633" s="31" t="s">
        <v>11</v>
      </c>
      <c r="O633" s="53">
        <v>1.82</v>
      </c>
      <c r="P633" s="35">
        <f t="shared" si="55"/>
        <v>5496.4</v>
      </c>
      <c r="Q633" s="36">
        <f t="shared" si="56"/>
        <v>7.3003400000000003</v>
      </c>
      <c r="R633" s="36">
        <f t="shared" si="57"/>
        <v>0.24929999999999999</v>
      </c>
      <c r="S633" s="37">
        <f t="shared" si="58"/>
        <v>752.89</v>
      </c>
      <c r="T633" s="36" t="s">
        <v>349</v>
      </c>
      <c r="U633" s="31" t="s">
        <v>9</v>
      </c>
      <c r="V633" s="57">
        <v>7.1692999999999998</v>
      </c>
      <c r="W633" s="38">
        <f t="shared" si="59"/>
        <v>766.65783270333236</v>
      </c>
    </row>
    <row r="634" spans="1:23">
      <c r="A634" s="31" t="s">
        <v>1945</v>
      </c>
      <c r="B634" s="32">
        <v>45713</v>
      </c>
      <c r="C634" s="32">
        <v>45671</v>
      </c>
      <c r="D634" s="31" t="s">
        <v>709</v>
      </c>
      <c r="E634" s="31" t="s">
        <v>710</v>
      </c>
      <c r="G634" s="31" t="s">
        <v>2166</v>
      </c>
      <c r="H634" s="31" t="s">
        <v>732</v>
      </c>
      <c r="I634" s="31" t="s">
        <v>733</v>
      </c>
      <c r="J634" s="34" t="str">
        <f t="shared" si="54"/>
        <v>HDL-</v>
      </c>
      <c r="K634" s="31" t="s">
        <v>10</v>
      </c>
      <c r="L634" s="53">
        <v>6300</v>
      </c>
      <c r="M634" s="31" t="s">
        <v>1472</v>
      </c>
      <c r="N634" s="31" t="s">
        <v>11</v>
      </c>
      <c r="O634" s="53">
        <v>1.849</v>
      </c>
      <c r="P634" s="35">
        <f t="shared" si="55"/>
        <v>11648.7</v>
      </c>
      <c r="Q634" s="36">
        <f t="shared" si="56"/>
        <v>7.3003400000000003</v>
      </c>
      <c r="R634" s="36">
        <f t="shared" si="57"/>
        <v>0.25330000000000003</v>
      </c>
      <c r="S634" s="37">
        <f t="shared" si="58"/>
        <v>1595.79</v>
      </c>
      <c r="T634" s="36" t="s">
        <v>349</v>
      </c>
      <c r="U634" s="31" t="s">
        <v>228</v>
      </c>
      <c r="V634" s="57">
        <v>7.1692999999999998</v>
      </c>
      <c r="W634" s="38">
        <f t="shared" si="59"/>
        <v>1624.8029793703708</v>
      </c>
    </row>
    <row r="635" spans="1:23">
      <c r="A635" s="31" t="s">
        <v>1946</v>
      </c>
      <c r="B635" s="32">
        <v>45707</v>
      </c>
      <c r="C635" s="32">
        <v>45664</v>
      </c>
      <c r="D635" s="31" t="s">
        <v>2249</v>
      </c>
      <c r="E635" s="31" t="s">
        <v>2250</v>
      </c>
      <c r="G635" s="31" t="s">
        <v>2175</v>
      </c>
      <c r="H635" s="31" t="s">
        <v>1666</v>
      </c>
      <c r="I635" s="31" t="s">
        <v>1667</v>
      </c>
      <c r="J635" s="34" t="str">
        <f t="shared" si="54"/>
        <v>SHDL</v>
      </c>
      <c r="K635" s="31" t="s">
        <v>10</v>
      </c>
      <c r="L635" s="53">
        <v>2000</v>
      </c>
      <c r="M635" s="31" t="s">
        <v>1472</v>
      </c>
      <c r="N635" s="31" t="s">
        <v>11</v>
      </c>
      <c r="O635" s="53">
        <v>1.8651</v>
      </c>
      <c r="P635" s="35">
        <f t="shared" si="55"/>
        <v>3730.2</v>
      </c>
      <c r="Q635" s="36">
        <f t="shared" si="56"/>
        <v>7.3003400000000003</v>
      </c>
      <c r="R635" s="36">
        <f t="shared" si="57"/>
        <v>0.2555</v>
      </c>
      <c r="S635" s="37">
        <f t="shared" si="58"/>
        <v>511</v>
      </c>
      <c r="T635" s="36" t="s">
        <v>349</v>
      </c>
      <c r="U635" s="31" t="s">
        <v>722</v>
      </c>
      <c r="V635" s="57">
        <v>7.1692999999999998</v>
      </c>
      <c r="W635" s="38">
        <f t="shared" si="59"/>
        <v>520.3018425787734</v>
      </c>
    </row>
    <row r="636" spans="1:23">
      <c r="A636" s="31" t="s">
        <v>1947</v>
      </c>
      <c r="B636" s="32">
        <v>45713</v>
      </c>
      <c r="C636" s="32">
        <v>45695</v>
      </c>
      <c r="D636" s="31" t="s">
        <v>709</v>
      </c>
      <c r="E636" s="31" t="s">
        <v>710</v>
      </c>
      <c r="G636" s="31" t="s">
        <v>2166</v>
      </c>
      <c r="H636" s="31" t="s">
        <v>732</v>
      </c>
      <c r="I636" s="31" t="s">
        <v>733</v>
      </c>
      <c r="J636" s="34" t="str">
        <f t="shared" si="54"/>
        <v>HDL-</v>
      </c>
      <c r="K636" s="31" t="s">
        <v>10</v>
      </c>
      <c r="L636" s="53">
        <v>3000</v>
      </c>
      <c r="M636" s="31" t="s">
        <v>1472</v>
      </c>
      <c r="N636" s="31" t="s">
        <v>11</v>
      </c>
      <c r="O636" s="53">
        <v>1.8681000000000001</v>
      </c>
      <c r="P636" s="35">
        <f t="shared" si="55"/>
        <v>5604.3</v>
      </c>
      <c r="Q636" s="36">
        <f t="shared" si="56"/>
        <v>7.3003400000000003</v>
      </c>
      <c r="R636" s="36">
        <f t="shared" si="57"/>
        <v>0.25590000000000002</v>
      </c>
      <c r="S636" s="37">
        <f t="shared" si="58"/>
        <v>767.7</v>
      </c>
      <c r="T636" s="36" t="s">
        <v>349</v>
      </c>
      <c r="U636" s="31" t="s">
        <v>228</v>
      </c>
      <c r="V636" s="57">
        <v>7.1692999999999998</v>
      </c>
      <c r="W636" s="38">
        <f t="shared" si="59"/>
        <v>781.7081165525226</v>
      </c>
    </row>
    <row r="637" spans="1:23">
      <c r="A637" s="31" t="s">
        <v>1948</v>
      </c>
      <c r="B637" s="32">
        <v>45713</v>
      </c>
      <c r="C637" s="32">
        <v>45670</v>
      </c>
      <c r="D637" s="31" t="s">
        <v>709</v>
      </c>
      <c r="E637" s="31" t="s">
        <v>710</v>
      </c>
      <c r="G637" s="31" t="s">
        <v>2160</v>
      </c>
      <c r="H637" s="31" t="s">
        <v>719</v>
      </c>
      <c r="I637" s="31" t="s">
        <v>720</v>
      </c>
      <c r="J637" s="34" t="str">
        <f t="shared" si="54"/>
        <v>SHDL</v>
      </c>
      <c r="K637" s="31" t="s">
        <v>10</v>
      </c>
      <c r="L637" s="53">
        <v>2030</v>
      </c>
      <c r="M637" s="31" t="s">
        <v>1472</v>
      </c>
      <c r="N637" s="31" t="s">
        <v>11</v>
      </c>
      <c r="O637" s="53">
        <v>1.8811</v>
      </c>
      <c r="P637" s="35">
        <f t="shared" si="55"/>
        <v>3818.63</v>
      </c>
      <c r="Q637" s="36">
        <f t="shared" si="56"/>
        <v>7.3003400000000003</v>
      </c>
      <c r="R637" s="36">
        <f t="shared" si="57"/>
        <v>0.25769999999999998</v>
      </c>
      <c r="S637" s="37">
        <f t="shared" si="58"/>
        <v>523.13</v>
      </c>
      <c r="T637" s="36" t="s">
        <v>349</v>
      </c>
      <c r="U637" s="31" t="s">
        <v>722</v>
      </c>
      <c r="V637" s="57">
        <v>7.1692999999999998</v>
      </c>
      <c r="W637" s="38">
        <f t="shared" si="59"/>
        <v>532.63679857168756</v>
      </c>
    </row>
    <row r="638" spans="1:23">
      <c r="A638" s="31" t="s">
        <v>1949</v>
      </c>
      <c r="B638" s="32">
        <v>45713</v>
      </c>
      <c r="C638" s="32">
        <v>45671</v>
      </c>
      <c r="D638" s="31" t="s">
        <v>709</v>
      </c>
      <c r="E638" s="31" t="s">
        <v>710</v>
      </c>
      <c r="G638" s="31" t="s">
        <v>2160</v>
      </c>
      <c r="H638" s="31" t="s">
        <v>719</v>
      </c>
      <c r="I638" s="31" t="s">
        <v>720</v>
      </c>
      <c r="J638" s="34" t="str">
        <f t="shared" si="54"/>
        <v>SHDL</v>
      </c>
      <c r="K638" s="31" t="s">
        <v>10</v>
      </c>
      <c r="L638" s="53">
        <v>4100</v>
      </c>
      <c r="M638" s="31" t="s">
        <v>1472</v>
      </c>
      <c r="N638" s="31" t="s">
        <v>11</v>
      </c>
      <c r="O638" s="53">
        <v>1.8811</v>
      </c>
      <c r="P638" s="35">
        <f t="shared" si="55"/>
        <v>7712.51</v>
      </c>
      <c r="Q638" s="36">
        <f t="shared" si="56"/>
        <v>7.3003400000000003</v>
      </c>
      <c r="R638" s="36">
        <f t="shared" si="57"/>
        <v>0.25769999999999998</v>
      </c>
      <c r="S638" s="37">
        <f t="shared" si="58"/>
        <v>1056.57</v>
      </c>
      <c r="T638" s="36" t="s">
        <v>349</v>
      </c>
      <c r="U638" s="31" t="s">
        <v>722</v>
      </c>
      <c r="V638" s="57">
        <v>7.1692999999999998</v>
      </c>
      <c r="W638" s="38">
        <f t="shared" si="59"/>
        <v>1075.768903519172</v>
      </c>
    </row>
    <row r="639" spans="1:23">
      <c r="A639" s="31" t="s">
        <v>1950</v>
      </c>
      <c r="B639" s="32">
        <v>45713</v>
      </c>
      <c r="C639" s="32">
        <v>45695</v>
      </c>
      <c r="D639" s="31" t="s">
        <v>709</v>
      </c>
      <c r="E639" s="31" t="s">
        <v>710</v>
      </c>
      <c r="G639" s="31" t="s">
        <v>2160</v>
      </c>
      <c r="H639" s="31" t="s">
        <v>719</v>
      </c>
      <c r="I639" s="31" t="s">
        <v>720</v>
      </c>
      <c r="J639" s="34" t="str">
        <f t="shared" si="54"/>
        <v>SHDL</v>
      </c>
      <c r="K639" s="31" t="s">
        <v>10</v>
      </c>
      <c r="L639" s="53">
        <v>2000</v>
      </c>
      <c r="M639" s="31" t="s">
        <v>1472</v>
      </c>
      <c r="N639" s="31" t="s">
        <v>11</v>
      </c>
      <c r="O639" s="53">
        <v>1.8811</v>
      </c>
      <c r="P639" s="35">
        <f t="shared" si="55"/>
        <v>3762.2</v>
      </c>
      <c r="Q639" s="36">
        <f t="shared" si="56"/>
        <v>7.3003400000000003</v>
      </c>
      <c r="R639" s="36">
        <f t="shared" si="57"/>
        <v>0.25769999999999998</v>
      </c>
      <c r="S639" s="37">
        <f t="shared" si="58"/>
        <v>515.4</v>
      </c>
      <c r="T639" s="36" t="s">
        <v>349</v>
      </c>
      <c r="U639" s="31" t="s">
        <v>722</v>
      </c>
      <c r="V639" s="57">
        <v>7.1692999999999998</v>
      </c>
      <c r="W639" s="38">
        <f t="shared" si="59"/>
        <v>524.76531878983997</v>
      </c>
    </row>
    <row r="640" spans="1:23">
      <c r="A640" s="31" t="s">
        <v>1951</v>
      </c>
      <c r="B640" s="32">
        <v>45713</v>
      </c>
      <c r="C640" s="32">
        <v>45670</v>
      </c>
      <c r="D640" s="31" t="s">
        <v>709</v>
      </c>
      <c r="E640" s="31" t="s">
        <v>710</v>
      </c>
      <c r="G640" s="31" t="s">
        <v>2166</v>
      </c>
      <c r="H640" s="31" t="s">
        <v>732</v>
      </c>
      <c r="I640" s="31" t="s">
        <v>733</v>
      </c>
      <c r="J640" s="34" t="str">
        <f t="shared" si="54"/>
        <v>HDL-</v>
      </c>
      <c r="K640" s="31" t="s">
        <v>10</v>
      </c>
      <c r="L640" s="53">
        <v>1900</v>
      </c>
      <c r="M640" s="31" t="s">
        <v>1472</v>
      </c>
      <c r="N640" s="31" t="s">
        <v>11</v>
      </c>
      <c r="O640" s="53">
        <v>1.9061999999999999</v>
      </c>
      <c r="P640" s="35">
        <f t="shared" si="55"/>
        <v>3621.78</v>
      </c>
      <c r="Q640" s="36">
        <f t="shared" si="56"/>
        <v>7.3003400000000003</v>
      </c>
      <c r="R640" s="36">
        <f t="shared" si="57"/>
        <v>0.2611</v>
      </c>
      <c r="S640" s="37">
        <f t="shared" si="58"/>
        <v>496.09</v>
      </c>
      <c r="T640" s="36" t="s">
        <v>349</v>
      </c>
      <c r="U640" s="31" t="s">
        <v>228</v>
      </c>
      <c r="V640" s="57">
        <v>7.1692999999999998</v>
      </c>
      <c r="W640" s="38">
        <f t="shared" si="59"/>
        <v>505.17902724115322</v>
      </c>
    </row>
    <row r="641" spans="1:23">
      <c r="A641" s="31" t="s">
        <v>1952</v>
      </c>
      <c r="B641" s="32">
        <v>45707</v>
      </c>
      <c r="C641" s="32">
        <v>45706</v>
      </c>
      <c r="D641" s="31" t="s">
        <v>5</v>
      </c>
      <c r="E641" s="31" t="s">
        <v>6</v>
      </c>
      <c r="G641" s="31" t="s">
        <v>2173</v>
      </c>
      <c r="H641" s="31" t="s">
        <v>1668</v>
      </c>
      <c r="I641" s="31" t="s">
        <v>1669</v>
      </c>
      <c r="J641" s="34" t="str">
        <f t="shared" si="54"/>
        <v>SHTS</v>
      </c>
      <c r="K641" s="31" t="s">
        <v>10</v>
      </c>
      <c r="L641" s="53">
        <v>2010</v>
      </c>
      <c r="M641" s="31" t="s">
        <v>1472</v>
      </c>
      <c r="N641" s="31" t="s">
        <v>11</v>
      </c>
      <c r="O641" s="53">
        <v>1.96</v>
      </c>
      <c r="P641" s="35">
        <f t="shared" si="55"/>
        <v>3939.6</v>
      </c>
      <c r="Q641" s="36">
        <f t="shared" si="56"/>
        <v>7.3003400000000003</v>
      </c>
      <c r="R641" s="36">
        <f t="shared" si="57"/>
        <v>0.26850000000000002</v>
      </c>
      <c r="S641" s="37">
        <f t="shared" si="58"/>
        <v>539.69000000000005</v>
      </c>
      <c r="T641" s="36" t="s">
        <v>349</v>
      </c>
      <c r="U641" s="31" t="s">
        <v>9</v>
      </c>
      <c r="V641" s="57">
        <v>7.1692999999999998</v>
      </c>
      <c r="W641" s="38">
        <f t="shared" si="59"/>
        <v>549.50971503494065</v>
      </c>
    </row>
    <row r="642" spans="1:23">
      <c r="A642" s="31" t="s">
        <v>1953</v>
      </c>
      <c r="B642" s="32">
        <v>45699</v>
      </c>
      <c r="C642" s="32">
        <v>45677</v>
      </c>
      <c r="D642" s="31" t="s">
        <v>5</v>
      </c>
      <c r="E642" s="31" t="s">
        <v>6</v>
      </c>
      <c r="G642" s="31" t="s">
        <v>2172</v>
      </c>
      <c r="H642" s="31" t="s">
        <v>1670</v>
      </c>
      <c r="I642" s="31" t="s">
        <v>1671</v>
      </c>
      <c r="J642" s="34" t="str">
        <f t="shared" ref="J642:J705" si="60">+LEFT(U642,4)</f>
        <v>SHTS</v>
      </c>
      <c r="K642" s="31" t="s">
        <v>10</v>
      </c>
      <c r="L642" s="53">
        <v>1010</v>
      </c>
      <c r="M642" s="31" t="s">
        <v>1472</v>
      </c>
      <c r="N642" s="31" t="s">
        <v>11</v>
      </c>
      <c r="O642" s="53">
        <v>2.02</v>
      </c>
      <c r="P642" s="35">
        <f t="shared" ref="P642:P705" si="61">ROUND(O642*L642,2)</f>
        <v>2040.2</v>
      </c>
      <c r="Q642" s="36">
        <f t="shared" ref="Q642:Q705" si="62">IF(N642="HKD",7.8,IF(N642="CNY",7.30034,1))</f>
        <v>7.3003400000000003</v>
      </c>
      <c r="R642" s="36">
        <f t="shared" ref="R642:R705" si="63">+ROUND(O642/Q642,4)</f>
        <v>0.2767</v>
      </c>
      <c r="S642" s="37">
        <f t="shared" ref="S642:S705" si="64">ROUND(R642*L642,2)</f>
        <v>279.47000000000003</v>
      </c>
      <c r="T642" s="36" t="s">
        <v>349</v>
      </c>
      <c r="U642" s="31" t="s">
        <v>9</v>
      </c>
      <c r="V642" s="57">
        <v>7.1692999999999998</v>
      </c>
      <c r="W642" s="38">
        <f t="shared" ref="W642:W705" si="65">IF(N642="CNY",O642/V642*L642,1)</f>
        <v>284.57450518181696</v>
      </c>
    </row>
    <row r="643" spans="1:23">
      <c r="A643" s="31" t="s">
        <v>1954</v>
      </c>
      <c r="B643" s="32">
        <v>45715</v>
      </c>
      <c r="C643" s="32">
        <v>45677</v>
      </c>
      <c r="D643" s="31" t="s">
        <v>5</v>
      </c>
      <c r="E643" s="31" t="s">
        <v>6</v>
      </c>
      <c r="G643" s="31" t="s">
        <v>2176</v>
      </c>
      <c r="H643" s="31" t="s">
        <v>1670</v>
      </c>
      <c r="I643" s="31" t="s">
        <v>1671</v>
      </c>
      <c r="J643" s="34" t="str">
        <f t="shared" si="60"/>
        <v>SHTS</v>
      </c>
      <c r="K643" s="31" t="s">
        <v>10</v>
      </c>
      <c r="L643" s="53">
        <v>1010</v>
      </c>
      <c r="M643" s="31" t="s">
        <v>1472</v>
      </c>
      <c r="N643" s="31" t="s">
        <v>11</v>
      </c>
      <c r="O643" s="53">
        <v>2.02</v>
      </c>
      <c r="P643" s="35">
        <f t="shared" si="61"/>
        <v>2040.2</v>
      </c>
      <c r="Q643" s="36">
        <f t="shared" si="62"/>
        <v>7.3003400000000003</v>
      </c>
      <c r="R643" s="36">
        <f t="shared" si="63"/>
        <v>0.2767</v>
      </c>
      <c r="S643" s="37">
        <f t="shared" si="64"/>
        <v>279.47000000000003</v>
      </c>
      <c r="T643" s="36" t="s">
        <v>349</v>
      </c>
      <c r="U643" s="31" t="s">
        <v>9</v>
      </c>
      <c r="V643" s="57">
        <v>7.1692999999999998</v>
      </c>
      <c r="W643" s="38">
        <f t="shared" si="65"/>
        <v>284.57450518181696</v>
      </c>
    </row>
    <row r="644" spans="1:23">
      <c r="A644" s="31" t="s">
        <v>1955</v>
      </c>
      <c r="B644" s="32">
        <v>45699</v>
      </c>
      <c r="C644" s="32">
        <v>45677</v>
      </c>
      <c r="D644" s="31" t="s">
        <v>5</v>
      </c>
      <c r="E644" s="31" t="s">
        <v>6</v>
      </c>
      <c r="G644" s="31" t="s">
        <v>2172</v>
      </c>
      <c r="H644" s="31" t="s">
        <v>1672</v>
      </c>
      <c r="I644" s="31" t="s">
        <v>1673</v>
      </c>
      <c r="J644" s="34" t="str">
        <f t="shared" si="60"/>
        <v>SHTS</v>
      </c>
      <c r="K644" s="31" t="s">
        <v>10</v>
      </c>
      <c r="L644" s="53">
        <v>2020</v>
      </c>
      <c r="M644" s="31" t="s">
        <v>1472</v>
      </c>
      <c r="N644" s="31" t="s">
        <v>11</v>
      </c>
      <c r="O644" s="53">
        <v>2.12</v>
      </c>
      <c r="P644" s="35">
        <f t="shared" si="61"/>
        <v>4282.3999999999996</v>
      </c>
      <c r="Q644" s="36">
        <f t="shared" si="62"/>
        <v>7.3003400000000003</v>
      </c>
      <c r="R644" s="36">
        <f t="shared" si="63"/>
        <v>0.29039999999999999</v>
      </c>
      <c r="S644" s="37">
        <f t="shared" si="64"/>
        <v>586.61</v>
      </c>
      <c r="T644" s="36" t="s">
        <v>349</v>
      </c>
      <c r="U644" s="31" t="s">
        <v>9</v>
      </c>
      <c r="V644" s="57">
        <v>7.1692999999999998</v>
      </c>
      <c r="W644" s="38">
        <f t="shared" si="65"/>
        <v>597.32470394599193</v>
      </c>
    </row>
    <row r="645" spans="1:23">
      <c r="A645" s="31" t="s">
        <v>1956</v>
      </c>
      <c r="B645" s="32">
        <v>45712</v>
      </c>
      <c r="C645" s="32">
        <v>45695</v>
      </c>
      <c r="D645" s="31" t="s">
        <v>651</v>
      </c>
      <c r="E645" s="31" t="s">
        <v>652</v>
      </c>
      <c r="G645" s="31" t="s">
        <v>2177</v>
      </c>
      <c r="H645" s="31" t="s">
        <v>1674</v>
      </c>
      <c r="I645" s="31" t="s">
        <v>1675</v>
      </c>
      <c r="J645" s="34" t="str">
        <f t="shared" si="60"/>
        <v>HDL-</v>
      </c>
      <c r="K645" s="31" t="s">
        <v>10</v>
      </c>
      <c r="L645" s="53">
        <v>1300</v>
      </c>
      <c r="M645" s="31" t="s">
        <v>1472</v>
      </c>
      <c r="N645" s="31" t="s">
        <v>11</v>
      </c>
      <c r="O645" s="53">
        <v>2.1269999999999998</v>
      </c>
      <c r="P645" s="35">
        <f t="shared" si="61"/>
        <v>2765.1</v>
      </c>
      <c r="Q645" s="36">
        <f t="shared" si="62"/>
        <v>7.3003400000000003</v>
      </c>
      <c r="R645" s="36">
        <f t="shared" si="63"/>
        <v>0.29139999999999999</v>
      </c>
      <c r="S645" s="37">
        <f t="shared" si="64"/>
        <v>378.82</v>
      </c>
      <c r="T645" s="36" t="s">
        <v>349</v>
      </c>
      <c r="U645" s="31" t="s">
        <v>228</v>
      </c>
      <c r="V645" s="57">
        <v>7.1692999999999998</v>
      </c>
      <c r="W645" s="38">
        <f t="shared" si="65"/>
        <v>385.68618972563564</v>
      </c>
    </row>
    <row r="646" spans="1:23">
      <c r="A646" s="31" t="s">
        <v>1957</v>
      </c>
      <c r="B646" s="32">
        <v>45712</v>
      </c>
      <c r="C646" s="32">
        <v>45698</v>
      </c>
      <c r="D646" s="31" t="s">
        <v>651</v>
      </c>
      <c r="E646" s="31" t="s">
        <v>652</v>
      </c>
      <c r="G646" s="31" t="s">
        <v>2177</v>
      </c>
      <c r="H646" s="31" t="s">
        <v>1674</v>
      </c>
      <c r="I646" s="31" t="s">
        <v>1675</v>
      </c>
      <c r="J646" s="34" t="str">
        <f t="shared" si="60"/>
        <v>HDL-</v>
      </c>
      <c r="K646" s="31" t="s">
        <v>10</v>
      </c>
      <c r="L646" s="53">
        <v>500</v>
      </c>
      <c r="M646" s="31" t="s">
        <v>1472</v>
      </c>
      <c r="N646" s="31" t="s">
        <v>11</v>
      </c>
      <c r="O646" s="53">
        <v>2.1269999999999998</v>
      </c>
      <c r="P646" s="35">
        <f t="shared" si="61"/>
        <v>1063.5</v>
      </c>
      <c r="Q646" s="36">
        <f t="shared" si="62"/>
        <v>7.3003400000000003</v>
      </c>
      <c r="R646" s="36">
        <f t="shared" si="63"/>
        <v>0.29139999999999999</v>
      </c>
      <c r="S646" s="37">
        <f t="shared" si="64"/>
        <v>145.69999999999999</v>
      </c>
      <c r="T646" s="36" t="s">
        <v>349</v>
      </c>
      <c r="U646" s="31" t="s">
        <v>228</v>
      </c>
      <c r="V646" s="57">
        <v>7.1692999999999998</v>
      </c>
      <c r="W646" s="38">
        <f t="shared" si="65"/>
        <v>148.34084220216755</v>
      </c>
    </row>
    <row r="647" spans="1:23">
      <c r="A647" s="31" t="s">
        <v>1958</v>
      </c>
      <c r="B647" s="32">
        <v>45699</v>
      </c>
      <c r="C647" s="32">
        <v>45677</v>
      </c>
      <c r="D647" s="31" t="s">
        <v>5</v>
      </c>
      <c r="E647" s="31" t="s">
        <v>6</v>
      </c>
      <c r="G647" s="31" t="s">
        <v>2172</v>
      </c>
      <c r="H647" s="31" t="s">
        <v>1676</v>
      </c>
      <c r="I647" s="31" t="s">
        <v>1677</v>
      </c>
      <c r="J647" s="34" t="str">
        <f t="shared" si="60"/>
        <v>SHTS</v>
      </c>
      <c r="K647" s="31" t="s">
        <v>10</v>
      </c>
      <c r="L647" s="53">
        <v>1010</v>
      </c>
      <c r="M647" s="31" t="s">
        <v>1472</v>
      </c>
      <c r="N647" s="31" t="s">
        <v>11</v>
      </c>
      <c r="O647" s="53">
        <v>2.27</v>
      </c>
      <c r="P647" s="35">
        <f t="shared" si="61"/>
        <v>2292.6999999999998</v>
      </c>
      <c r="Q647" s="36">
        <f t="shared" si="62"/>
        <v>7.3003400000000003</v>
      </c>
      <c r="R647" s="36">
        <f t="shared" si="63"/>
        <v>0.31090000000000001</v>
      </c>
      <c r="S647" s="37">
        <f t="shared" si="64"/>
        <v>314.01</v>
      </c>
      <c r="T647" s="36" t="s">
        <v>349</v>
      </c>
      <c r="U647" s="31" t="s">
        <v>9</v>
      </c>
      <c r="V647" s="57">
        <v>7.1692999999999998</v>
      </c>
      <c r="W647" s="38">
        <f t="shared" si="65"/>
        <v>319.79412215976453</v>
      </c>
    </row>
    <row r="648" spans="1:23">
      <c r="A648" s="31" t="s">
        <v>1959</v>
      </c>
      <c r="B648" s="32">
        <v>45712</v>
      </c>
      <c r="C648" s="32">
        <v>45695</v>
      </c>
      <c r="D648" s="31" t="s">
        <v>651</v>
      </c>
      <c r="E648" s="31" t="s">
        <v>652</v>
      </c>
      <c r="G648" s="31" t="s">
        <v>2177</v>
      </c>
      <c r="H648" s="31" t="s">
        <v>1678</v>
      </c>
      <c r="I648" s="31" t="s">
        <v>1679</v>
      </c>
      <c r="J648" s="34" t="str">
        <f t="shared" si="60"/>
        <v>HDL-</v>
      </c>
      <c r="K648" s="31" t="s">
        <v>10</v>
      </c>
      <c r="L648" s="53">
        <v>950</v>
      </c>
      <c r="M648" s="31" t="s">
        <v>1472</v>
      </c>
      <c r="N648" s="31" t="s">
        <v>11</v>
      </c>
      <c r="O648" s="53">
        <v>2.2766999999999999</v>
      </c>
      <c r="P648" s="35">
        <f t="shared" si="61"/>
        <v>2162.87</v>
      </c>
      <c r="Q648" s="36">
        <f t="shared" si="62"/>
        <v>7.3003400000000003</v>
      </c>
      <c r="R648" s="36">
        <f t="shared" si="63"/>
        <v>0.31190000000000001</v>
      </c>
      <c r="S648" s="37">
        <f t="shared" si="64"/>
        <v>296.31</v>
      </c>
      <c r="T648" s="36" t="s">
        <v>349</v>
      </c>
      <c r="U648" s="31" t="s">
        <v>228</v>
      </c>
      <c r="V648" s="57">
        <v>7.1692999999999998</v>
      </c>
      <c r="W648" s="38">
        <f t="shared" si="65"/>
        <v>301.68426485151969</v>
      </c>
    </row>
    <row r="649" spans="1:23">
      <c r="A649" s="31" t="s">
        <v>1960</v>
      </c>
      <c r="B649" s="32">
        <v>45698</v>
      </c>
      <c r="C649" s="32">
        <v>45677</v>
      </c>
      <c r="D649" s="31" t="s">
        <v>5</v>
      </c>
      <c r="E649" s="31" t="s">
        <v>6</v>
      </c>
      <c r="G649" s="31" t="s">
        <v>2174</v>
      </c>
      <c r="H649" s="31" t="s">
        <v>512</v>
      </c>
      <c r="I649" s="31" t="s">
        <v>513</v>
      </c>
      <c r="J649" s="34" t="str">
        <f t="shared" si="60"/>
        <v>SHTS</v>
      </c>
      <c r="K649" s="31" t="s">
        <v>10</v>
      </c>
      <c r="L649" s="53">
        <v>1010</v>
      </c>
      <c r="M649" s="31" t="s">
        <v>1472</v>
      </c>
      <c r="N649" s="31" t="s">
        <v>11</v>
      </c>
      <c r="O649" s="53">
        <v>2.56</v>
      </c>
      <c r="P649" s="35">
        <f t="shared" si="61"/>
        <v>2585.6</v>
      </c>
      <c r="Q649" s="36">
        <f t="shared" si="62"/>
        <v>7.3003400000000003</v>
      </c>
      <c r="R649" s="36">
        <f t="shared" si="63"/>
        <v>0.35070000000000001</v>
      </c>
      <c r="S649" s="37">
        <f t="shared" si="64"/>
        <v>354.21</v>
      </c>
      <c r="T649" s="36" t="s">
        <v>349</v>
      </c>
      <c r="U649" s="31" t="s">
        <v>9</v>
      </c>
      <c r="V649" s="57">
        <v>7.1692999999999998</v>
      </c>
      <c r="W649" s="38">
        <f t="shared" si="65"/>
        <v>360.64887785418387</v>
      </c>
    </row>
    <row r="650" spans="1:23">
      <c r="A650" s="31" t="s">
        <v>1961</v>
      </c>
      <c r="B650" s="32">
        <v>45707</v>
      </c>
      <c r="C650" s="32">
        <v>45677</v>
      </c>
      <c r="D650" s="31" t="s">
        <v>5</v>
      </c>
      <c r="E650" s="31" t="s">
        <v>6</v>
      </c>
      <c r="G650" s="31" t="s">
        <v>2173</v>
      </c>
      <c r="H650" s="31" t="s">
        <v>1680</v>
      </c>
      <c r="I650" s="31" t="s">
        <v>1681</v>
      </c>
      <c r="J650" s="34" t="str">
        <f t="shared" si="60"/>
        <v>SHTS</v>
      </c>
      <c r="K650" s="31" t="s">
        <v>10</v>
      </c>
      <c r="L650" s="53">
        <v>1260</v>
      </c>
      <c r="M650" s="31" t="s">
        <v>1472</v>
      </c>
      <c r="N650" s="31" t="s">
        <v>11</v>
      </c>
      <c r="O650" s="53">
        <v>2.59</v>
      </c>
      <c r="P650" s="35">
        <f t="shared" si="61"/>
        <v>3263.4</v>
      </c>
      <c r="Q650" s="36">
        <f t="shared" si="62"/>
        <v>7.3003400000000003</v>
      </c>
      <c r="R650" s="36">
        <f t="shared" si="63"/>
        <v>0.3548</v>
      </c>
      <c r="S650" s="37">
        <f t="shared" si="64"/>
        <v>447.05</v>
      </c>
      <c r="T650" s="36" t="s">
        <v>349</v>
      </c>
      <c r="U650" s="31" t="s">
        <v>9</v>
      </c>
      <c r="V650" s="57">
        <v>7.1692999999999998</v>
      </c>
      <c r="W650" s="38">
        <f t="shared" si="65"/>
        <v>455.19088334983888</v>
      </c>
    </row>
    <row r="651" spans="1:23">
      <c r="A651" s="31" t="s">
        <v>1962</v>
      </c>
      <c r="B651" s="32">
        <v>45699</v>
      </c>
      <c r="C651" s="32">
        <v>45677</v>
      </c>
      <c r="D651" s="31" t="s">
        <v>5</v>
      </c>
      <c r="E651" s="31" t="s">
        <v>6</v>
      </c>
      <c r="G651" s="31" t="s">
        <v>2172</v>
      </c>
      <c r="H651" s="31" t="s">
        <v>1680</v>
      </c>
      <c r="I651" s="31" t="s">
        <v>1681</v>
      </c>
      <c r="J651" s="34" t="str">
        <f t="shared" si="60"/>
        <v>SHTS</v>
      </c>
      <c r="K651" s="31" t="s">
        <v>10</v>
      </c>
      <c r="L651" s="53">
        <v>1260</v>
      </c>
      <c r="M651" s="31" t="s">
        <v>1472</v>
      </c>
      <c r="N651" s="31" t="s">
        <v>11</v>
      </c>
      <c r="O651" s="53">
        <v>2.59</v>
      </c>
      <c r="P651" s="35">
        <f t="shared" si="61"/>
        <v>3263.4</v>
      </c>
      <c r="Q651" s="36">
        <f t="shared" si="62"/>
        <v>7.3003400000000003</v>
      </c>
      <c r="R651" s="36">
        <f t="shared" si="63"/>
        <v>0.3548</v>
      </c>
      <c r="S651" s="37">
        <f t="shared" si="64"/>
        <v>447.05</v>
      </c>
      <c r="T651" s="36" t="s">
        <v>349</v>
      </c>
      <c r="U651" s="31" t="s">
        <v>9</v>
      </c>
      <c r="V651" s="57">
        <v>7.1692999999999998</v>
      </c>
      <c r="W651" s="38">
        <f t="shared" si="65"/>
        <v>455.19088334983888</v>
      </c>
    </row>
    <row r="652" spans="1:23">
      <c r="A652" s="31" t="s">
        <v>1963</v>
      </c>
      <c r="B652" s="32">
        <v>45713</v>
      </c>
      <c r="C652" s="32">
        <v>45698</v>
      </c>
      <c r="D652" s="31" t="s">
        <v>709</v>
      </c>
      <c r="E652" s="31" t="s">
        <v>710</v>
      </c>
      <c r="G652" s="31" t="s">
        <v>2166</v>
      </c>
      <c r="H652" s="31" t="s">
        <v>1682</v>
      </c>
      <c r="I652" s="31" t="s">
        <v>1683</v>
      </c>
      <c r="J652" s="34" t="str">
        <f t="shared" si="60"/>
        <v>LHDL</v>
      </c>
      <c r="K652" s="31" t="s">
        <v>10</v>
      </c>
      <c r="L652" s="53">
        <v>380</v>
      </c>
      <c r="M652" s="31" t="s">
        <v>1472</v>
      </c>
      <c r="N652" s="31" t="s">
        <v>11</v>
      </c>
      <c r="O652" s="53">
        <v>2.6436000000000002</v>
      </c>
      <c r="P652" s="35">
        <f t="shared" si="61"/>
        <v>1004.57</v>
      </c>
      <c r="Q652" s="36">
        <f t="shared" si="62"/>
        <v>7.3003400000000003</v>
      </c>
      <c r="R652" s="36">
        <f t="shared" si="63"/>
        <v>0.36209999999999998</v>
      </c>
      <c r="S652" s="37">
        <f t="shared" si="64"/>
        <v>137.6</v>
      </c>
      <c r="T652" s="36" t="s">
        <v>349</v>
      </c>
      <c r="U652" s="31" t="s">
        <v>125</v>
      </c>
      <c r="V652" s="57">
        <v>7.1692999999999998</v>
      </c>
      <c r="W652" s="38">
        <f t="shared" si="65"/>
        <v>140.120792824962</v>
      </c>
    </row>
    <row r="653" spans="1:23">
      <c r="A653" s="31" t="s">
        <v>1964</v>
      </c>
      <c r="B653" s="32">
        <v>45713</v>
      </c>
      <c r="C653" s="32">
        <v>45702</v>
      </c>
      <c r="D653" s="31" t="s">
        <v>709</v>
      </c>
      <c r="E653" s="31" t="s">
        <v>710</v>
      </c>
      <c r="G653" s="31" t="s">
        <v>2166</v>
      </c>
      <c r="H653" s="31" t="s">
        <v>1682</v>
      </c>
      <c r="I653" s="31" t="s">
        <v>1683</v>
      </c>
      <c r="J653" s="34" t="str">
        <f t="shared" si="60"/>
        <v>LHDL</v>
      </c>
      <c r="K653" s="31" t="s">
        <v>10</v>
      </c>
      <c r="L653" s="53">
        <v>150</v>
      </c>
      <c r="M653" s="31" t="s">
        <v>1472</v>
      </c>
      <c r="N653" s="31" t="s">
        <v>11</v>
      </c>
      <c r="O653" s="53">
        <v>2.6436000000000002</v>
      </c>
      <c r="P653" s="35">
        <f t="shared" si="61"/>
        <v>396.54</v>
      </c>
      <c r="Q653" s="36">
        <f t="shared" si="62"/>
        <v>7.3003400000000003</v>
      </c>
      <c r="R653" s="36">
        <f t="shared" si="63"/>
        <v>0.36209999999999998</v>
      </c>
      <c r="S653" s="37">
        <f t="shared" si="64"/>
        <v>54.32</v>
      </c>
      <c r="T653" s="36" t="s">
        <v>349</v>
      </c>
      <c r="U653" s="31" t="s">
        <v>125</v>
      </c>
      <c r="V653" s="57">
        <v>7.1692999999999998</v>
      </c>
      <c r="W653" s="38">
        <f t="shared" si="65"/>
        <v>55.310839273011318</v>
      </c>
    </row>
    <row r="654" spans="1:23">
      <c r="A654" s="31" t="s">
        <v>1965</v>
      </c>
      <c r="B654" s="32">
        <v>45713</v>
      </c>
      <c r="C654" s="32">
        <v>45660</v>
      </c>
      <c r="D654" s="31" t="s">
        <v>709</v>
      </c>
      <c r="E654" s="31" t="s">
        <v>710</v>
      </c>
      <c r="G654" s="31" t="s">
        <v>2166</v>
      </c>
      <c r="H654" s="31" t="s">
        <v>1684</v>
      </c>
      <c r="I654" s="31" t="s">
        <v>1685</v>
      </c>
      <c r="J654" s="34" t="str">
        <f t="shared" si="60"/>
        <v>SHDL</v>
      </c>
      <c r="K654" s="31" t="s">
        <v>10</v>
      </c>
      <c r="L654" s="53">
        <v>1800</v>
      </c>
      <c r="M654" s="31" t="s">
        <v>1472</v>
      </c>
      <c r="N654" s="31" t="s">
        <v>11</v>
      </c>
      <c r="O654" s="53">
        <v>2.6659999999999999</v>
      </c>
      <c r="P654" s="35">
        <f t="shared" si="61"/>
        <v>4798.8</v>
      </c>
      <c r="Q654" s="36">
        <f t="shared" si="62"/>
        <v>7.3003400000000003</v>
      </c>
      <c r="R654" s="36">
        <f t="shared" si="63"/>
        <v>0.36520000000000002</v>
      </c>
      <c r="S654" s="37">
        <f t="shared" si="64"/>
        <v>657.36</v>
      </c>
      <c r="T654" s="36" t="s">
        <v>349</v>
      </c>
      <c r="U654" s="31" t="s">
        <v>722</v>
      </c>
      <c r="V654" s="57">
        <v>7.1692999999999998</v>
      </c>
      <c r="W654" s="38">
        <f t="shared" si="65"/>
        <v>669.35405130207971</v>
      </c>
    </row>
    <row r="655" spans="1:23">
      <c r="A655" s="31" t="s">
        <v>1966</v>
      </c>
      <c r="B655" s="32">
        <v>45712</v>
      </c>
      <c r="C655" s="32">
        <v>45707</v>
      </c>
      <c r="D655" s="31" t="s">
        <v>2251</v>
      </c>
      <c r="E655" s="31" t="s">
        <v>2252</v>
      </c>
      <c r="G655" s="31" t="s">
        <v>2178</v>
      </c>
      <c r="H655" s="31" t="s">
        <v>1686</v>
      </c>
      <c r="I655" s="31" t="s">
        <v>1687</v>
      </c>
      <c r="J655" s="34" t="str">
        <f t="shared" si="60"/>
        <v>MISC</v>
      </c>
      <c r="K655" s="31" t="s">
        <v>10</v>
      </c>
      <c r="L655" s="53">
        <v>3000</v>
      </c>
      <c r="M655" s="31" t="s">
        <v>1472</v>
      </c>
      <c r="N655" s="31" t="s">
        <v>11</v>
      </c>
      <c r="O655" s="53">
        <v>2.6814</v>
      </c>
      <c r="P655" s="35">
        <f t="shared" si="61"/>
        <v>8044.2</v>
      </c>
      <c r="Q655" s="36">
        <f t="shared" si="62"/>
        <v>7.3003400000000003</v>
      </c>
      <c r="R655" s="36">
        <f t="shared" si="63"/>
        <v>0.36730000000000002</v>
      </c>
      <c r="S655" s="37">
        <f t="shared" si="64"/>
        <v>1101.9000000000001</v>
      </c>
      <c r="T655" s="36" t="s">
        <v>349</v>
      </c>
      <c r="U655" s="31" t="s">
        <v>25</v>
      </c>
      <c r="V655" s="57">
        <v>7.1692999999999998</v>
      </c>
      <c r="W655" s="38">
        <f t="shared" si="65"/>
        <v>1122.0342292831938</v>
      </c>
    </row>
    <row r="656" spans="1:23">
      <c r="A656" s="31" t="s">
        <v>1967</v>
      </c>
      <c r="B656" s="32">
        <v>45712</v>
      </c>
      <c r="C656" s="32">
        <v>45707</v>
      </c>
      <c r="D656" s="31" t="s">
        <v>2251</v>
      </c>
      <c r="E656" s="31" t="s">
        <v>2252</v>
      </c>
      <c r="G656" s="31" t="s">
        <v>2178</v>
      </c>
      <c r="H656" s="31" t="s">
        <v>1686</v>
      </c>
      <c r="I656" s="31" t="s">
        <v>1687</v>
      </c>
      <c r="J656" s="34" t="str">
        <f t="shared" si="60"/>
        <v>MISC</v>
      </c>
      <c r="K656" s="31" t="s">
        <v>10</v>
      </c>
      <c r="L656" s="53">
        <v>2000</v>
      </c>
      <c r="M656" s="31" t="s">
        <v>1472</v>
      </c>
      <c r="N656" s="31" t="s">
        <v>11</v>
      </c>
      <c r="O656" s="53">
        <v>2.6814</v>
      </c>
      <c r="P656" s="35">
        <f t="shared" si="61"/>
        <v>5362.8</v>
      </c>
      <c r="Q656" s="36">
        <f t="shared" si="62"/>
        <v>7.3003400000000003</v>
      </c>
      <c r="R656" s="36">
        <f t="shared" si="63"/>
        <v>0.36730000000000002</v>
      </c>
      <c r="S656" s="37">
        <f t="shared" si="64"/>
        <v>734.6</v>
      </c>
      <c r="T656" s="36" t="s">
        <v>349</v>
      </c>
      <c r="U656" s="31" t="s">
        <v>25</v>
      </c>
      <c r="V656" s="57">
        <v>7.1692999999999998</v>
      </c>
      <c r="W656" s="38">
        <f t="shared" si="65"/>
        <v>748.02281952212911</v>
      </c>
    </row>
    <row r="657" spans="1:23">
      <c r="A657" s="31" t="s">
        <v>1968</v>
      </c>
      <c r="B657" s="32">
        <v>45714</v>
      </c>
      <c r="C657" s="32">
        <v>45714</v>
      </c>
      <c r="D657" s="31" t="s">
        <v>898</v>
      </c>
      <c r="E657" s="31" t="s">
        <v>899</v>
      </c>
      <c r="G657" s="31" t="s">
        <v>2179</v>
      </c>
      <c r="H657" s="31" t="s">
        <v>1688</v>
      </c>
      <c r="I657" s="31" t="s">
        <v>1188</v>
      </c>
      <c r="J657" s="34" t="str">
        <f t="shared" si="60"/>
        <v>GLID</v>
      </c>
      <c r="K657" s="31" t="s">
        <v>10</v>
      </c>
      <c r="L657" s="53">
        <v>50</v>
      </c>
      <c r="M657" s="31" t="s">
        <v>1472</v>
      </c>
      <c r="N657" s="31" t="s">
        <v>11</v>
      </c>
      <c r="O657" s="53">
        <v>2.6817000000000002</v>
      </c>
      <c r="P657" s="35">
        <f t="shared" si="61"/>
        <v>134.09</v>
      </c>
      <c r="Q657" s="36">
        <f t="shared" si="62"/>
        <v>7.3003400000000003</v>
      </c>
      <c r="R657" s="36">
        <f t="shared" si="63"/>
        <v>0.36730000000000002</v>
      </c>
      <c r="S657" s="37">
        <f t="shared" si="64"/>
        <v>18.37</v>
      </c>
      <c r="T657" s="36" t="s">
        <v>349</v>
      </c>
      <c r="U657" s="31" t="s">
        <v>78</v>
      </c>
      <c r="V657" s="57">
        <v>7.1692999999999998</v>
      </c>
      <c r="W657" s="38">
        <f t="shared" si="65"/>
        <v>18.702662742527167</v>
      </c>
    </row>
    <row r="658" spans="1:23">
      <c r="A658" s="31" t="s">
        <v>1969</v>
      </c>
      <c r="B658" s="32">
        <v>45715</v>
      </c>
      <c r="C658" s="32">
        <v>45664</v>
      </c>
      <c r="D658" s="31" t="s">
        <v>149</v>
      </c>
      <c r="E658" s="31" t="s">
        <v>150</v>
      </c>
      <c r="G658" s="31" t="s">
        <v>2180</v>
      </c>
      <c r="H658" s="31" t="s">
        <v>1689</v>
      </c>
      <c r="I658" s="31" t="s">
        <v>1690</v>
      </c>
      <c r="J658" s="34" t="str">
        <f t="shared" si="60"/>
        <v>GLID</v>
      </c>
      <c r="K658" s="31" t="s">
        <v>10</v>
      </c>
      <c r="L658" s="53">
        <v>330</v>
      </c>
      <c r="M658" s="31" t="s">
        <v>1472</v>
      </c>
      <c r="N658" s="31" t="s">
        <v>11</v>
      </c>
      <c r="O658" s="53">
        <v>2.7103999999999999</v>
      </c>
      <c r="P658" s="35">
        <f t="shared" si="61"/>
        <v>894.43</v>
      </c>
      <c r="Q658" s="36">
        <f t="shared" si="62"/>
        <v>7.3003400000000003</v>
      </c>
      <c r="R658" s="36">
        <f t="shared" si="63"/>
        <v>0.37130000000000002</v>
      </c>
      <c r="S658" s="37">
        <f t="shared" si="64"/>
        <v>122.53</v>
      </c>
      <c r="T658" s="36" t="s">
        <v>349</v>
      </c>
      <c r="U658" s="31" t="s">
        <v>78</v>
      </c>
      <c r="V658" s="57">
        <v>7.1692999999999998</v>
      </c>
      <c r="W658" s="38">
        <f t="shared" si="65"/>
        <v>124.7586235755234</v>
      </c>
    </row>
    <row r="659" spans="1:23">
      <c r="A659" s="31" t="s">
        <v>1969</v>
      </c>
      <c r="B659" s="32">
        <v>45713</v>
      </c>
      <c r="C659" s="32">
        <v>45664</v>
      </c>
      <c r="D659" s="31" t="s">
        <v>149</v>
      </c>
      <c r="E659" s="31" t="s">
        <v>150</v>
      </c>
      <c r="G659" s="31" t="s">
        <v>2181</v>
      </c>
      <c r="H659" s="31" t="s">
        <v>1689</v>
      </c>
      <c r="I659" s="31" t="s">
        <v>1690</v>
      </c>
      <c r="J659" s="34" t="str">
        <f t="shared" si="60"/>
        <v>GLID</v>
      </c>
      <c r="K659" s="31" t="s">
        <v>10</v>
      </c>
      <c r="L659" s="53">
        <v>1200</v>
      </c>
      <c r="M659" s="31" t="s">
        <v>1472</v>
      </c>
      <c r="N659" s="31" t="s">
        <v>11</v>
      </c>
      <c r="O659" s="53">
        <v>2.7103999999999999</v>
      </c>
      <c r="P659" s="35">
        <f t="shared" si="61"/>
        <v>3252.48</v>
      </c>
      <c r="Q659" s="36">
        <f t="shared" si="62"/>
        <v>7.3003400000000003</v>
      </c>
      <c r="R659" s="36">
        <f t="shared" si="63"/>
        <v>0.37130000000000002</v>
      </c>
      <c r="S659" s="37">
        <f t="shared" si="64"/>
        <v>445.56</v>
      </c>
      <c r="T659" s="36" t="s">
        <v>349</v>
      </c>
      <c r="U659" s="31" t="s">
        <v>78</v>
      </c>
      <c r="V659" s="57">
        <v>7.1692999999999998</v>
      </c>
      <c r="W659" s="38">
        <f t="shared" si="65"/>
        <v>453.66772209281237</v>
      </c>
    </row>
    <row r="660" spans="1:23">
      <c r="A660" s="31" t="s">
        <v>1970</v>
      </c>
      <c r="B660" s="32">
        <v>45713</v>
      </c>
      <c r="C660" s="32">
        <v>45698</v>
      </c>
      <c r="D660" s="31" t="s">
        <v>149</v>
      </c>
      <c r="E660" s="31" t="s">
        <v>150</v>
      </c>
      <c r="G660" s="31" t="s">
        <v>2181</v>
      </c>
      <c r="H660" s="31" t="s">
        <v>786</v>
      </c>
      <c r="I660" s="31" t="s">
        <v>787</v>
      </c>
      <c r="J660" s="34" t="str">
        <f t="shared" si="60"/>
        <v>GLID</v>
      </c>
      <c r="K660" s="31" t="s">
        <v>10</v>
      </c>
      <c r="L660" s="53">
        <v>1530</v>
      </c>
      <c r="M660" s="31" t="s">
        <v>1472</v>
      </c>
      <c r="N660" s="31" t="s">
        <v>11</v>
      </c>
      <c r="O660" s="53">
        <v>2.7494000000000001</v>
      </c>
      <c r="P660" s="35">
        <f t="shared" si="61"/>
        <v>4206.58</v>
      </c>
      <c r="Q660" s="36">
        <f t="shared" si="62"/>
        <v>7.3003400000000003</v>
      </c>
      <c r="R660" s="36">
        <f t="shared" si="63"/>
        <v>0.37659999999999999</v>
      </c>
      <c r="S660" s="37">
        <f t="shared" si="64"/>
        <v>576.20000000000005</v>
      </c>
      <c r="T660" s="36" t="s">
        <v>349</v>
      </c>
      <c r="U660" s="31" t="s">
        <v>78</v>
      </c>
      <c r="V660" s="57">
        <v>7.1692999999999998</v>
      </c>
      <c r="W660" s="38">
        <f t="shared" si="65"/>
        <v>586.74933396565916</v>
      </c>
    </row>
    <row r="661" spans="1:23">
      <c r="A661" s="31" t="s">
        <v>1971</v>
      </c>
      <c r="B661" s="32">
        <v>45699</v>
      </c>
      <c r="C661" s="32">
        <v>45674</v>
      </c>
      <c r="D661" s="31" t="s">
        <v>569</v>
      </c>
      <c r="E661" s="31" t="s">
        <v>570</v>
      </c>
      <c r="G661" s="31" t="s">
        <v>2148</v>
      </c>
      <c r="H661" s="31" t="s">
        <v>1425</v>
      </c>
      <c r="I661" s="31" t="s">
        <v>1426</v>
      </c>
      <c r="J661" s="34" t="str">
        <f t="shared" si="60"/>
        <v>ANYD</v>
      </c>
      <c r="K661" s="31" t="s">
        <v>10</v>
      </c>
      <c r="L661" s="53">
        <v>1050</v>
      </c>
      <c r="M661" s="31" t="s">
        <v>1472</v>
      </c>
      <c r="N661" s="31" t="s">
        <v>11</v>
      </c>
      <c r="O661" s="53">
        <v>2.75</v>
      </c>
      <c r="P661" s="35">
        <f t="shared" si="61"/>
        <v>2887.5</v>
      </c>
      <c r="Q661" s="36">
        <f t="shared" si="62"/>
        <v>7.3003400000000003</v>
      </c>
      <c r="R661" s="36">
        <f t="shared" si="63"/>
        <v>0.37669999999999998</v>
      </c>
      <c r="S661" s="37">
        <f t="shared" si="64"/>
        <v>395.54</v>
      </c>
      <c r="T661" s="36" t="s">
        <v>349</v>
      </c>
      <c r="U661" s="31" t="s">
        <v>36</v>
      </c>
      <c r="V661" s="57">
        <v>7.1692999999999998</v>
      </c>
      <c r="W661" s="38">
        <f t="shared" si="65"/>
        <v>402.75898623296553</v>
      </c>
    </row>
    <row r="662" spans="1:23">
      <c r="A662" s="31" t="s">
        <v>1972</v>
      </c>
      <c r="B662" s="32">
        <v>45708</v>
      </c>
      <c r="C662" s="32">
        <v>45677</v>
      </c>
      <c r="D662" s="31" t="s">
        <v>569</v>
      </c>
      <c r="E662" s="31" t="s">
        <v>570</v>
      </c>
      <c r="G662" s="31" t="s">
        <v>2182</v>
      </c>
      <c r="H662" s="31" t="s">
        <v>1425</v>
      </c>
      <c r="I662" s="31" t="s">
        <v>1426</v>
      </c>
      <c r="J662" s="34" t="str">
        <f t="shared" si="60"/>
        <v>ANYD</v>
      </c>
      <c r="K662" s="31" t="s">
        <v>10</v>
      </c>
      <c r="L662" s="53">
        <v>1000</v>
      </c>
      <c r="M662" s="31" t="s">
        <v>1472</v>
      </c>
      <c r="N662" s="31" t="s">
        <v>11</v>
      </c>
      <c r="O662" s="53">
        <v>2.75</v>
      </c>
      <c r="P662" s="35">
        <f t="shared" si="61"/>
        <v>2750</v>
      </c>
      <c r="Q662" s="36">
        <f t="shared" si="62"/>
        <v>7.3003400000000003</v>
      </c>
      <c r="R662" s="36">
        <f t="shared" si="63"/>
        <v>0.37669999999999998</v>
      </c>
      <c r="S662" s="37">
        <f t="shared" si="64"/>
        <v>376.7</v>
      </c>
      <c r="T662" s="36" t="s">
        <v>349</v>
      </c>
      <c r="U662" s="31" t="s">
        <v>36</v>
      </c>
      <c r="V662" s="57">
        <v>7.1692999999999998</v>
      </c>
      <c r="W662" s="38">
        <f t="shared" si="65"/>
        <v>383.5799868885386</v>
      </c>
    </row>
    <row r="663" spans="1:23">
      <c r="A663" s="31" t="s">
        <v>1973</v>
      </c>
      <c r="B663" s="32">
        <v>45698</v>
      </c>
      <c r="C663" s="32">
        <v>45677</v>
      </c>
      <c r="D663" s="31" t="s">
        <v>5</v>
      </c>
      <c r="E663" s="31" t="s">
        <v>6</v>
      </c>
      <c r="G663" s="31" t="s">
        <v>2174</v>
      </c>
      <c r="H663" s="31" t="s">
        <v>1691</v>
      </c>
      <c r="I663" s="31" t="s">
        <v>1692</v>
      </c>
      <c r="J663" s="34" t="str">
        <f t="shared" si="60"/>
        <v>SHTS</v>
      </c>
      <c r="K663" s="31" t="s">
        <v>10</v>
      </c>
      <c r="L663" s="53">
        <v>1010</v>
      </c>
      <c r="M663" s="31" t="s">
        <v>1472</v>
      </c>
      <c r="N663" s="31" t="s">
        <v>11</v>
      </c>
      <c r="O663" s="53">
        <v>2.8</v>
      </c>
      <c r="P663" s="35">
        <f t="shared" si="61"/>
        <v>2828</v>
      </c>
      <c r="Q663" s="36">
        <f t="shared" si="62"/>
        <v>7.3003400000000003</v>
      </c>
      <c r="R663" s="36">
        <f t="shared" si="63"/>
        <v>0.38350000000000001</v>
      </c>
      <c r="S663" s="37">
        <f t="shared" si="64"/>
        <v>387.34</v>
      </c>
      <c r="T663" s="36" t="s">
        <v>349</v>
      </c>
      <c r="U663" s="31" t="s">
        <v>9</v>
      </c>
      <c r="V663" s="57">
        <v>7.1692999999999998</v>
      </c>
      <c r="W663" s="38">
        <f t="shared" si="65"/>
        <v>394.45971015301353</v>
      </c>
    </row>
    <row r="664" spans="1:23">
      <c r="A664" s="31" t="s">
        <v>1974</v>
      </c>
      <c r="B664" s="32">
        <v>45707</v>
      </c>
      <c r="C664" s="32">
        <v>45706</v>
      </c>
      <c r="D664" s="31" t="s">
        <v>5</v>
      </c>
      <c r="E664" s="31" t="s">
        <v>6</v>
      </c>
      <c r="G664" s="31" t="s">
        <v>2183</v>
      </c>
      <c r="H664" s="31" t="s">
        <v>1693</v>
      </c>
      <c r="I664" s="31" t="s">
        <v>1694</v>
      </c>
      <c r="J664" s="34" t="str">
        <f t="shared" si="60"/>
        <v>SHTS</v>
      </c>
      <c r="K664" s="31" t="s">
        <v>10</v>
      </c>
      <c r="L664" s="53">
        <v>1010</v>
      </c>
      <c r="M664" s="31" t="s">
        <v>1472</v>
      </c>
      <c r="N664" s="31" t="s">
        <v>11</v>
      </c>
      <c r="O664" s="53">
        <v>2.9</v>
      </c>
      <c r="P664" s="35">
        <f t="shared" si="61"/>
        <v>2929</v>
      </c>
      <c r="Q664" s="36">
        <f t="shared" si="62"/>
        <v>7.3003400000000003</v>
      </c>
      <c r="R664" s="36">
        <f t="shared" si="63"/>
        <v>0.3972</v>
      </c>
      <c r="S664" s="37">
        <f t="shared" si="64"/>
        <v>401.17</v>
      </c>
      <c r="T664" s="36" t="s">
        <v>349</v>
      </c>
      <c r="U664" s="31" t="s">
        <v>9</v>
      </c>
      <c r="V664" s="57">
        <v>7.1692999999999998</v>
      </c>
      <c r="W664" s="38">
        <f t="shared" si="65"/>
        <v>408.54755694419259</v>
      </c>
    </row>
    <row r="665" spans="1:23">
      <c r="A665" s="31" t="s">
        <v>1975</v>
      </c>
      <c r="B665" s="32">
        <v>45713</v>
      </c>
      <c r="C665" s="32">
        <v>45700</v>
      </c>
      <c r="D665" s="31" t="s">
        <v>149</v>
      </c>
      <c r="E665" s="31" t="s">
        <v>150</v>
      </c>
      <c r="G665" s="31" t="s">
        <v>2181</v>
      </c>
      <c r="H665" s="31" t="s">
        <v>1695</v>
      </c>
      <c r="I665" s="31" t="s">
        <v>1696</v>
      </c>
      <c r="J665" s="34" t="str">
        <f t="shared" si="60"/>
        <v>GLID</v>
      </c>
      <c r="K665" s="31" t="s">
        <v>10</v>
      </c>
      <c r="L665" s="53">
        <v>450</v>
      </c>
      <c r="M665" s="31" t="s">
        <v>1472</v>
      </c>
      <c r="N665" s="31" t="s">
        <v>11</v>
      </c>
      <c r="O665" s="53">
        <v>2.9073000000000002</v>
      </c>
      <c r="P665" s="35">
        <f t="shared" si="61"/>
        <v>1308.29</v>
      </c>
      <c r="Q665" s="36">
        <f t="shared" si="62"/>
        <v>7.3003400000000003</v>
      </c>
      <c r="R665" s="36">
        <f t="shared" si="63"/>
        <v>0.3982</v>
      </c>
      <c r="S665" s="37">
        <f t="shared" si="64"/>
        <v>179.19</v>
      </c>
      <c r="T665" s="36" t="s">
        <v>349</v>
      </c>
      <c r="U665" s="31" t="s">
        <v>78</v>
      </c>
      <c r="V665" s="57">
        <v>7.1692999999999998</v>
      </c>
      <c r="W665" s="38">
        <f t="shared" si="65"/>
        <v>182.4843429623534</v>
      </c>
    </row>
    <row r="666" spans="1:23">
      <c r="A666" s="31" t="s">
        <v>1976</v>
      </c>
      <c r="B666" s="32">
        <v>45715</v>
      </c>
      <c r="C666" s="32">
        <v>45695</v>
      </c>
      <c r="D666" s="31" t="s">
        <v>1006</v>
      </c>
      <c r="E666" s="31" t="s">
        <v>1007</v>
      </c>
      <c r="G666" s="31" t="s">
        <v>2184</v>
      </c>
      <c r="H666" s="31" t="s">
        <v>1697</v>
      </c>
      <c r="I666" s="31" t="s">
        <v>1698</v>
      </c>
      <c r="J666" s="34" t="str">
        <f t="shared" si="60"/>
        <v>ALM-</v>
      </c>
      <c r="K666" s="31" t="s">
        <v>98</v>
      </c>
      <c r="L666" s="53">
        <v>672</v>
      </c>
      <c r="M666" s="31" t="s">
        <v>186</v>
      </c>
      <c r="N666" s="31" t="s">
        <v>11</v>
      </c>
      <c r="O666" s="53">
        <v>2.9203999999999999</v>
      </c>
      <c r="P666" s="35">
        <f t="shared" si="61"/>
        <v>1962.51</v>
      </c>
      <c r="Q666" s="36">
        <f t="shared" si="62"/>
        <v>7.3003400000000003</v>
      </c>
      <c r="R666" s="36">
        <f t="shared" si="63"/>
        <v>0.4</v>
      </c>
      <c r="S666" s="37">
        <f t="shared" si="64"/>
        <v>268.8</v>
      </c>
      <c r="T666" s="36" t="s">
        <v>349</v>
      </c>
      <c r="U666" s="31" t="s">
        <v>191</v>
      </c>
      <c r="V666" s="57">
        <v>7.1692999999999998</v>
      </c>
      <c r="W666" s="38">
        <f t="shared" si="65"/>
        <v>273.73785446277878</v>
      </c>
    </row>
    <row r="667" spans="1:23">
      <c r="A667" s="31" t="s">
        <v>1977</v>
      </c>
      <c r="B667" s="32">
        <v>45715</v>
      </c>
      <c r="C667" s="32">
        <v>45695</v>
      </c>
      <c r="D667" s="31" t="s">
        <v>1006</v>
      </c>
      <c r="E667" s="31" t="s">
        <v>1007</v>
      </c>
      <c r="G667" s="31" t="s">
        <v>2184</v>
      </c>
      <c r="H667" s="31" t="s">
        <v>1019</v>
      </c>
      <c r="I667" s="31" t="s">
        <v>1020</v>
      </c>
      <c r="J667" s="34" t="str">
        <f t="shared" si="60"/>
        <v>ALM-</v>
      </c>
      <c r="K667" s="31" t="s">
        <v>98</v>
      </c>
      <c r="L667" s="53">
        <v>2032</v>
      </c>
      <c r="M667" s="31" t="s">
        <v>186</v>
      </c>
      <c r="N667" s="31" t="s">
        <v>11</v>
      </c>
      <c r="O667" s="53">
        <v>2.9203999999999999</v>
      </c>
      <c r="P667" s="35">
        <f t="shared" si="61"/>
        <v>5934.25</v>
      </c>
      <c r="Q667" s="36">
        <f t="shared" si="62"/>
        <v>7.3003400000000003</v>
      </c>
      <c r="R667" s="36">
        <f t="shared" si="63"/>
        <v>0.4</v>
      </c>
      <c r="S667" s="37">
        <f t="shared" si="64"/>
        <v>812.8</v>
      </c>
      <c r="T667" s="36" t="s">
        <v>349</v>
      </c>
      <c r="U667" s="31" t="s">
        <v>191</v>
      </c>
      <c r="V667" s="57">
        <v>7.1692999999999998</v>
      </c>
      <c r="W667" s="38">
        <f t="shared" si="65"/>
        <v>827.73113135173583</v>
      </c>
    </row>
    <row r="668" spans="1:23">
      <c r="A668" s="31" t="s">
        <v>1978</v>
      </c>
      <c r="B668" s="32">
        <v>45715</v>
      </c>
      <c r="C668" s="32">
        <v>45695</v>
      </c>
      <c r="D668" s="31" t="s">
        <v>1006</v>
      </c>
      <c r="E668" s="31" t="s">
        <v>1007</v>
      </c>
      <c r="G668" s="31" t="s">
        <v>2184</v>
      </c>
      <c r="H668" s="31" t="s">
        <v>1699</v>
      </c>
      <c r="I668" s="31" t="s">
        <v>1700</v>
      </c>
      <c r="J668" s="34" t="str">
        <f t="shared" si="60"/>
        <v>ALM-</v>
      </c>
      <c r="K668" s="31" t="s">
        <v>98</v>
      </c>
      <c r="L668" s="53">
        <v>1564</v>
      </c>
      <c r="M668" s="31" t="s">
        <v>186</v>
      </c>
      <c r="N668" s="31" t="s">
        <v>11</v>
      </c>
      <c r="O668" s="53">
        <v>2.9203999999999999</v>
      </c>
      <c r="P668" s="35">
        <f t="shared" si="61"/>
        <v>4567.51</v>
      </c>
      <c r="Q668" s="36">
        <f t="shared" si="62"/>
        <v>7.3003400000000003</v>
      </c>
      <c r="R668" s="36">
        <f t="shared" si="63"/>
        <v>0.4</v>
      </c>
      <c r="S668" s="37">
        <f t="shared" si="64"/>
        <v>625.6</v>
      </c>
      <c r="T668" s="36" t="s">
        <v>349</v>
      </c>
      <c r="U668" s="31" t="s">
        <v>191</v>
      </c>
      <c r="V668" s="57">
        <v>7.1692999999999998</v>
      </c>
      <c r="W668" s="38">
        <f t="shared" si="65"/>
        <v>637.09226842230066</v>
      </c>
    </row>
    <row r="669" spans="1:23">
      <c r="A669" s="31" t="s">
        <v>1979</v>
      </c>
      <c r="B669" s="32">
        <v>45715</v>
      </c>
      <c r="C669" s="32">
        <v>45695</v>
      </c>
      <c r="D669" s="31" t="s">
        <v>1006</v>
      </c>
      <c r="E669" s="31" t="s">
        <v>1007</v>
      </c>
      <c r="G669" s="31" t="s">
        <v>2184</v>
      </c>
      <c r="H669" s="31" t="s">
        <v>1701</v>
      </c>
      <c r="I669" s="31" t="s">
        <v>1702</v>
      </c>
      <c r="J669" s="34" t="str">
        <f t="shared" si="60"/>
        <v>ALM-</v>
      </c>
      <c r="K669" s="31" t="s">
        <v>98</v>
      </c>
      <c r="L669" s="53">
        <v>1254</v>
      </c>
      <c r="M669" s="31" t="s">
        <v>186</v>
      </c>
      <c r="N669" s="31" t="s">
        <v>11</v>
      </c>
      <c r="O669" s="53">
        <v>2.9203999999999999</v>
      </c>
      <c r="P669" s="35">
        <f t="shared" si="61"/>
        <v>3662.18</v>
      </c>
      <c r="Q669" s="36">
        <f t="shared" si="62"/>
        <v>7.3003400000000003</v>
      </c>
      <c r="R669" s="36">
        <f t="shared" si="63"/>
        <v>0.4</v>
      </c>
      <c r="S669" s="37">
        <f t="shared" si="64"/>
        <v>501.6</v>
      </c>
      <c r="T669" s="36" t="s">
        <v>349</v>
      </c>
      <c r="U669" s="31" t="s">
        <v>191</v>
      </c>
      <c r="V669" s="57">
        <v>7.1692999999999998</v>
      </c>
      <c r="W669" s="38">
        <f t="shared" si="65"/>
        <v>510.81438913143541</v>
      </c>
    </row>
    <row r="670" spans="1:23">
      <c r="A670" s="31" t="s">
        <v>1980</v>
      </c>
      <c r="B670" s="32">
        <v>45715</v>
      </c>
      <c r="C670" s="32">
        <v>45698</v>
      </c>
      <c r="D670" s="31" t="s">
        <v>1006</v>
      </c>
      <c r="E670" s="31" t="s">
        <v>1007</v>
      </c>
      <c r="G670" s="31" t="s">
        <v>2184</v>
      </c>
      <c r="H670" s="31" t="s">
        <v>1703</v>
      </c>
      <c r="I670" s="31" t="s">
        <v>1704</v>
      </c>
      <c r="J670" s="34" t="str">
        <f t="shared" si="60"/>
        <v>ALM-</v>
      </c>
      <c r="K670" s="31" t="s">
        <v>98</v>
      </c>
      <c r="L670" s="53">
        <v>628</v>
      </c>
      <c r="M670" s="31" t="s">
        <v>186</v>
      </c>
      <c r="N670" s="31" t="s">
        <v>11</v>
      </c>
      <c r="O670" s="53">
        <v>2.9203999999999999</v>
      </c>
      <c r="P670" s="35">
        <f t="shared" si="61"/>
        <v>1834.01</v>
      </c>
      <c r="Q670" s="36">
        <f t="shared" si="62"/>
        <v>7.3003400000000003</v>
      </c>
      <c r="R670" s="36">
        <f t="shared" si="63"/>
        <v>0.4</v>
      </c>
      <c r="S670" s="37">
        <f t="shared" si="64"/>
        <v>251.2</v>
      </c>
      <c r="T670" s="36" t="s">
        <v>349</v>
      </c>
      <c r="U670" s="31" t="s">
        <v>191</v>
      </c>
      <c r="V670" s="57">
        <v>7.1692999999999998</v>
      </c>
      <c r="W670" s="38">
        <f t="shared" si="65"/>
        <v>255.81454256343017</v>
      </c>
    </row>
    <row r="671" spans="1:23">
      <c r="A671" s="31" t="s">
        <v>1981</v>
      </c>
      <c r="B671" s="32">
        <v>45715</v>
      </c>
      <c r="C671" s="32">
        <v>45698</v>
      </c>
      <c r="D671" s="31" t="s">
        <v>1006</v>
      </c>
      <c r="E671" s="31" t="s">
        <v>1007</v>
      </c>
      <c r="G671" s="31" t="s">
        <v>2184</v>
      </c>
      <c r="H671" s="31" t="s">
        <v>1705</v>
      </c>
      <c r="I671" s="31" t="s">
        <v>1706</v>
      </c>
      <c r="J671" s="34" t="str">
        <f t="shared" si="60"/>
        <v>ALM-</v>
      </c>
      <c r="K671" s="31" t="s">
        <v>98</v>
      </c>
      <c r="L671" s="53">
        <v>1387</v>
      </c>
      <c r="M671" s="31" t="s">
        <v>186</v>
      </c>
      <c r="N671" s="31" t="s">
        <v>11</v>
      </c>
      <c r="O671" s="53">
        <v>2.9203999999999999</v>
      </c>
      <c r="P671" s="35">
        <f t="shared" si="61"/>
        <v>4050.59</v>
      </c>
      <c r="Q671" s="36">
        <f t="shared" si="62"/>
        <v>7.3003400000000003</v>
      </c>
      <c r="R671" s="36">
        <f t="shared" si="63"/>
        <v>0.4</v>
      </c>
      <c r="S671" s="37">
        <f t="shared" si="64"/>
        <v>554.79999999999995</v>
      </c>
      <c r="T671" s="36" t="s">
        <v>349</v>
      </c>
      <c r="U671" s="31" t="s">
        <v>191</v>
      </c>
      <c r="V671" s="57">
        <v>7.1692999999999998</v>
      </c>
      <c r="W671" s="38">
        <f t="shared" si="65"/>
        <v>564.99167282719372</v>
      </c>
    </row>
    <row r="672" spans="1:23">
      <c r="A672" s="31" t="s">
        <v>1982</v>
      </c>
      <c r="B672" s="32">
        <v>45715</v>
      </c>
      <c r="C672" s="32">
        <v>45698</v>
      </c>
      <c r="D672" s="31" t="s">
        <v>1006</v>
      </c>
      <c r="E672" s="31" t="s">
        <v>1007</v>
      </c>
      <c r="G672" s="31" t="s">
        <v>2184</v>
      </c>
      <c r="H672" s="31" t="s">
        <v>1699</v>
      </c>
      <c r="I672" s="31" t="s">
        <v>1700</v>
      </c>
      <c r="J672" s="34" t="str">
        <f t="shared" si="60"/>
        <v>ALM-</v>
      </c>
      <c r="K672" s="31" t="s">
        <v>98</v>
      </c>
      <c r="L672" s="53">
        <v>756</v>
      </c>
      <c r="M672" s="31" t="s">
        <v>186</v>
      </c>
      <c r="N672" s="31" t="s">
        <v>11</v>
      </c>
      <c r="O672" s="53">
        <v>2.9203999999999999</v>
      </c>
      <c r="P672" s="35">
        <f t="shared" si="61"/>
        <v>2207.8200000000002</v>
      </c>
      <c r="Q672" s="36">
        <f t="shared" si="62"/>
        <v>7.3003400000000003</v>
      </c>
      <c r="R672" s="36">
        <f t="shared" si="63"/>
        <v>0.4</v>
      </c>
      <c r="S672" s="37">
        <f t="shared" si="64"/>
        <v>302.39999999999998</v>
      </c>
      <c r="T672" s="36" t="s">
        <v>349</v>
      </c>
      <c r="U672" s="31" t="s">
        <v>191</v>
      </c>
      <c r="V672" s="57">
        <v>7.1692999999999998</v>
      </c>
      <c r="W672" s="38">
        <f t="shared" si="65"/>
        <v>307.95508627062611</v>
      </c>
    </row>
    <row r="673" spans="1:23">
      <c r="A673" s="31" t="s">
        <v>1983</v>
      </c>
      <c r="B673" s="32">
        <v>45707</v>
      </c>
      <c r="C673" s="32">
        <v>45706</v>
      </c>
      <c r="D673" s="31" t="s">
        <v>5</v>
      </c>
      <c r="E673" s="31" t="s">
        <v>6</v>
      </c>
      <c r="G673" s="31" t="s">
        <v>2183</v>
      </c>
      <c r="H673" s="31" t="s">
        <v>1707</v>
      </c>
      <c r="I673" s="31" t="s">
        <v>1708</v>
      </c>
      <c r="J673" s="34" t="str">
        <f t="shared" si="60"/>
        <v>SHTS</v>
      </c>
      <c r="K673" s="31" t="s">
        <v>10</v>
      </c>
      <c r="L673" s="53">
        <v>1010</v>
      </c>
      <c r="M673" s="31" t="s">
        <v>1472</v>
      </c>
      <c r="N673" s="31" t="s">
        <v>11</v>
      </c>
      <c r="O673" s="53">
        <v>2.96</v>
      </c>
      <c r="P673" s="35">
        <f t="shared" si="61"/>
        <v>2989.6</v>
      </c>
      <c r="Q673" s="36">
        <f t="shared" si="62"/>
        <v>7.3003400000000003</v>
      </c>
      <c r="R673" s="36">
        <f t="shared" si="63"/>
        <v>0.40550000000000003</v>
      </c>
      <c r="S673" s="37">
        <f t="shared" si="64"/>
        <v>409.56</v>
      </c>
      <c r="T673" s="36" t="s">
        <v>349</v>
      </c>
      <c r="U673" s="31" t="s">
        <v>9</v>
      </c>
      <c r="V673" s="57">
        <v>7.1692999999999998</v>
      </c>
      <c r="W673" s="38">
        <f t="shared" si="65"/>
        <v>417.00026501890005</v>
      </c>
    </row>
    <row r="674" spans="1:23">
      <c r="A674" s="31" t="s">
        <v>1984</v>
      </c>
      <c r="B674" s="32">
        <v>45707</v>
      </c>
      <c r="C674" s="32">
        <v>45706</v>
      </c>
      <c r="D674" s="31" t="s">
        <v>5</v>
      </c>
      <c r="E674" s="31" t="s">
        <v>6</v>
      </c>
      <c r="G674" s="31" t="s">
        <v>2173</v>
      </c>
      <c r="H674" s="31" t="s">
        <v>489</v>
      </c>
      <c r="I674" s="31" t="s">
        <v>490</v>
      </c>
      <c r="J674" s="34" t="str">
        <f t="shared" si="60"/>
        <v>SHTS</v>
      </c>
      <c r="K674" s="31" t="s">
        <v>10</v>
      </c>
      <c r="L674" s="53">
        <v>1010</v>
      </c>
      <c r="M674" s="31" t="s">
        <v>1472</v>
      </c>
      <c r="N674" s="31" t="s">
        <v>11</v>
      </c>
      <c r="O674" s="53">
        <v>3</v>
      </c>
      <c r="P674" s="35">
        <f t="shared" si="61"/>
        <v>3030</v>
      </c>
      <c r="Q674" s="36">
        <f t="shared" si="62"/>
        <v>7.3003400000000003</v>
      </c>
      <c r="R674" s="36">
        <f t="shared" si="63"/>
        <v>0.41089999999999999</v>
      </c>
      <c r="S674" s="37">
        <f t="shared" si="64"/>
        <v>415.01</v>
      </c>
      <c r="T674" s="36" t="s">
        <v>349</v>
      </c>
      <c r="U674" s="31" t="s">
        <v>9</v>
      </c>
      <c r="V674" s="57">
        <v>7.1692999999999998</v>
      </c>
      <c r="W674" s="38">
        <f t="shared" si="65"/>
        <v>422.63540373537165</v>
      </c>
    </row>
    <row r="675" spans="1:23">
      <c r="A675" s="31" t="s">
        <v>1985</v>
      </c>
      <c r="B675" s="32">
        <v>45713</v>
      </c>
      <c r="C675" s="32">
        <v>45664</v>
      </c>
      <c r="D675" s="31" t="s">
        <v>149</v>
      </c>
      <c r="E675" s="31" t="s">
        <v>150</v>
      </c>
      <c r="G675" s="31" t="s">
        <v>2181</v>
      </c>
      <c r="H675" s="31" t="s">
        <v>1709</v>
      </c>
      <c r="I675" s="31" t="s">
        <v>1710</v>
      </c>
      <c r="J675" s="34" t="str">
        <f t="shared" si="60"/>
        <v>GLID</v>
      </c>
      <c r="K675" s="31" t="s">
        <v>10</v>
      </c>
      <c r="L675" s="53">
        <v>520</v>
      </c>
      <c r="M675" s="31" t="s">
        <v>1472</v>
      </c>
      <c r="N675" s="31" t="s">
        <v>11</v>
      </c>
      <c r="O675" s="53">
        <v>3.0331000000000001</v>
      </c>
      <c r="P675" s="35">
        <f t="shared" si="61"/>
        <v>1577.21</v>
      </c>
      <c r="Q675" s="36">
        <f t="shared" si="62"/>
        <v>7.3003400000000003</v>
      </c>
      <c r="R675" s="36">
        <f t="shared" si="63"/>
        <v>0.41549999999999998</v>
      </c>
      <c r="S675" s="37">
        <f t="shared" si="64"/>
        <v>216.06</v>
      </c>
      <c r="T675" s="36" t="s">
        <v>349</v>
      </c>
      <c r="U675" s="31" t="s">
        <v>78</v>
      </c>
      <c r="V675" s="57">
        <v>7.1692999999999998</v>
      </c>
      <c r="W675" s="38">
        <f t="shared" si="65"/>
        <v>219.99525755652576</v>
      </c>
    </row>
    <row r="676" spans="1:23">
      <c r="A676" s="31" t="s">
        <v>1986</v>
      </c>
      <c r="B676" s="32">
        <v>45707</v>
      </c>
      <c r="C676" s="32">
        <v>45706</v>
      </c>
      <c r="D676" s="31" t="s">
        <v>5</v>
      </c>
      <c r="E676" s="31" t="s">
        <v>6</v>
      </c>
      <c r="G676" s="31" t="s">
        <v>2185</v>
      </c>
      <c r="H676" s="31" t="s">
        <v>459</v>
      </c>
      <c r="I676" s="31" t="s">
        <v>460</v>
      </c>
      <c r="J676" s="34" t="str">
        <f t="shared" si="60"/>
        <v>BOX-</v>
      </c>
      <c r="K676" s="31" t="s">
        <v>10</v>
      </c>
      <c r="L676" s="53">
        <v>2020</v>
      </c>
      <c r="M676" s="31" t="s">
        <v>1472</v>
      </c>
      <c r="N676" s="31" t="s">
        <v>11</v>
      </c>
      <c r="O676" s="53">
        <v>3.05</v>
      </c>
      <c r="P676" s="35">
        <f t="shared" si="61"/>
        <v>6161</v>
      </c>
      <c r="Q676" s="36">
        <f t="shared" si="62"/>
        <v>7.3003400000000003</v>
      </c>
      <c r="R676" s="36">
        <f t="shared" si="63"/>
        <v>0.4178</v>
      </c>
      <c r="S676" s="37">
        <f t="shared" si="64"/>
        <v>843.96</v>
      </c>
      <c r="T676" s="36" t="s">
        <v>349</v>
      </c>
      <c r="U676" s="31" t="s">
        <v>1</v>
      </c>
      <c r="V676" s="57">
        <v>7.1692999999999998</v>
      </c>
      <c r="W676" s="38">
        <f t="shared" si="65"/>
        <v>859.35865426192231</v>
      </c>
    </row>
    <row r="677" spans="1:23">
      <c r="A677" s="31" t="s">
        <v>1987</v>
      </c>
      <c r="B677" s="32">
        <v>45715</v>
      </c>
      <c r="C677" s="32">
        <v>45714</v>
      </c>
      <c r="D677" s="31" t="s">
        <v>5</v>
      </c>
      <c r="E677" s="31" t="s">
        <v>6</v>
      </c>
      <c r="G677" s="31" t="s">
        <v>2176</v>
      </c>
      <c r="H677" s="31" t="s">
        <v>518</v>
      </c>
      <c r="I677" s="31" t="s">
        <v>519</v>
      </c>
      <c r="J677" s="34" t="str">
        <f t="shared" si="60"/>
        <v>SHTS</v>
      </c>
      <c r="K677" s="31" t="s">
        <v>10</v>
      </c>
      <c r="L677" s="53">
        <v>505</v>
      </c>
      <c r="M677" s="31" t="s">
        <v>1472</v>
      </c>
      <c r="N677" s="31" t="s">
        <v>11</v>
      </c>
      <c r="O677" s="53">
        <v>3.08</v>
      </c>
      <c r="P677" s="35">
        <f t="shared" si="61"/>
        <v>1555.4</v>
      </c>
      <c r="Q677" s="36">
        <f t="shared" si="62"/>
        <v>7.3003400000000003</v>
      </c>
      <c r="R677" s="36">
        <f t="shared" si="63"/>
        <v>0.4219</v>
      </c>
      <c r="S677" s="37">
        <f t="shared" si="64"/>
        <v>213.06</v>
      </c>
      <c r="T677" s="36" t="s">
        <v>349</v>
      </c>
      <c r="U677" s="31" t="s">
        <v>9</v>
      </c>
      <c r="V677" s="57">
        <v>7.1692999999999998</v>
      </c>
      <c r="W677" s="38">
        <f t="shared" si="65"/>
        <v>216.95284058415746</v>
      </c>
    </row>
    <row r="678" spans="1:23">
      <c r="A678" s="31" t="s">
        <v>1988</v>
      </c>
      <c r="B678" s="32">
        <v>45699</v>
      </c>
      <c r="C678" s="32">
        <v>45677</v>
      </c>
      <c r="D678" s="31" t="s">
        <v>5</v>
      </c>
      <c r="E678" s="31" t="s">
        <v>6</v>
      </c>
      <c r="G678" s="31" t="s">
        <v>2172</v>
      </c>
      <c r="H678" s="31" t="s">
        <v>1711</v>
      </c>
      <c r="I678" s="31" t="s">
        <v>1712</v>
      </c>
      <c r="J678" s="34" t="str">
        <f t="shared" si="60"/>
        <v>SHTS</v>
      </c>
      <c r="K678" s="31" t="s">
        <v>10</v>
      </c>
      <c r="L678" s="53">
        <v>1010</v>
      </c>
      <c r="M678" s="31" t="s">
        <v>1472</v>
      </c>
      <c r="N678" s="31" t="s">
        <v>11</v>
      </c>
      <c r="O678" s="53">
        <v>3.09</v>
      </c>
      <c r="P678" s="35">
        <f t="shared" si="61"/>
        <v>3120.9</v>
      </c>
      <c r="Q678" s="36">
        <f t="shared" si="62"/>
        <v>7.3003400000000003</v>
      </c>
      <c r="R678" s="36">
        <f t="shared" si="63"/>
        <v>0.42330000000000001</v>
      </c>
      <c r="S678" s="37">
        <f t="shared" si="64"/>
        <v>427.53</v>
      </c>
      <c r="T678" s="36" t="s">
        <v>349</v>
      </c>
      <c r="U678" s="31" t="s">
        <v>9</v>
      </c>
      <c r="V678" s="57">
        <v>7.1692999999999998</v>
      </c>
      <c r="W678" s="38">
        <f t="shared" si="65"/>
        <v>435.31446584743281</v>
      </c>
    </row>
    <row r="679" spans="1:23">
      <c r="A679" s="31" t="s">
        <v>1989</v>
      </c>
      <c r="B679" s="32">
        <v>45715</v>
      </c>
      <c r="C679" s="32">
        <v>45695</v>
      </c>
      <c r="D679" s="31" t="s">
        <v>1006</v>
      </c>
      <c r="E679" s="31" t="s">
        <v>1007</v>
      </c>
      <c r="G679" s="31" t="s">
        <v>2184</v>
      </c>
      <c r="H679" s="31" t="s">
        <v>1713</v>
      </c>
      <c r="I679" s="31" t="s">
        <v>1714</v>
      </c>
      <c r="J679" s="34" t="str">
        <f t="shared" si="60"/>
        <v>ALM-</v>
      </c>
      <c r="K679" s="31" t="s">
        <v>98</v>
      </c>
      <c r="L679" s="53">
        <v>585</v>
      </c>
      <c r="M679" s="31" t="s">
        <v>186</v>
      </c>
      <c r="N679" s="31" t="s">
        <v>11</v>
      </c>
      <c r="O679" s="53">
        <v>3.0973000000000002</v>
      </c>
      <c r="P679" s="35">
        <f t="shared" si="61"/>
        <v>1811.92</v>
      </c>
      <c r="Q679" s="36">
        <f t="shared" si="62"/>
        <v>7.3003400000000003</v>
      </c>
      <c r="R679" s="36">
        <f t="shared" si="63"/>
        <v>0.42430000000000001</v>
      </c>
      <c r="S679" s="37">
        <f t="shared" si="64"/>
        <v>248.22</v>
      </c>
      <c r="T679" s="36" t="s">
        <v>349</v>
      </c>
      <c r="U679" s="31" t="s">
        <v>191</v>
      </c>
      <c r="V679" s="57">
        <v>7.1692999999999998</v>
      </c>
      <c r="W679" s="38">
        <f t="shared" si="65"/>
        <v>252.73325150293616</v>
      </c>
    </row>
    <row r="680" spans="1:23">
      <c r="A680" s="31" t="s">
        <v>1990</v>
      </c>
      <c r="B680" s="32">
        <v>45715</v>
      </c>
      <c r="C680" s="32">
        <v>45698</v>
      </c>
      <c r="D680" s="31" t="s">
        <v>1006</v>
      </c>
      <c r="E680" s="31" t="s">
        <v>1007</v>
      </c>
      <c r="G680" s="31" t="s">
        <v>2184</v>
      </c>
      <c r="H680" s="31" t="s">
        <v>1016</v>
      </c>
      <c r="I680" s="31" t="s">
        <v>1017</v>
      </c>
      <c r="J680" s="34" t="str">
        <f t="shared" si="60"/>
        <v>ALM-</v>
      </c>
      <c r="K680" s="31" t="s">
        <v>98</v>
      </c>
      <c r="L680" s="53">
        <v>484</v>
      </c>
      <c r="M680" s="31" t="s">
        <v>186</v>
      </c>
      <c r="N680" s="31" t="s">
        <v>11</v>
      </c>
      <c r="O680" s="53">
        <v>3.0973000000000002</v>
      </c>
      <c r="P680" s="35">
        <f t="shared" si="61"/>
        <v>1499.09</v>
      </c>
      <c r="Q680" s="36">
        <f t="shared" si="62"/>
        <v>7.3003400000000003</v>
      </c>
      <c r="R680" s="36">
        <f t="shared" si="63"/>
        <v>0.42430000000000001</v>
      </c>
      <c r="S680" s="37">
        <f t="shared" si="64"/>
        <v>205.36</v>
      </c>
      <c r="T680" s="36" t="s">
        <v>349</v>
      </c>
      <c r="U680" s="31" t="s">
        <v>191</v>
      </c>
      <c r="V680" s="57">
        <v>7.1692999999999998</v>
      </c>
      <c r="W680" s="38">
        <f t="shared" si="65"/>
        <v>209.09896363661727</v>
      </c>
    </row>
    <row r="681" spans="1:23">
      <c r="A681" s="31" t="s">
        <v>1991</v>
      </c>
      <c r="B681" s="32">
        <v>45699</v>
      </c>
      <c r="C681" s="32">
        <v>45677</v>
      </c>
      <c r="D681" s="31" t="s">
        <v>569</v>
      </c>
      <c r="E681" s="31" t="s">
        <v>570</v>
      </c>
      <c r="G681" s="31" t="s">
        <v>2186</v>
      </c>
      <c r="H681" s="31" t="s">
        <v>1419</v>
      </c>
      <c r="I681" s="31" t="s">
        <v>1420</v>
      </c>
      <c r="J681" s="34" t="str">
        <f t="shared" si="60"/>
        <v>ANYD</v>
      </c>
      <c r="K681" s="31" t="s">
        <v>10</v>
      </c>
      <c r="L681" s="53">
        <v>1000</v>
      </c>
      <c r="M681" s="31" t="s">
        <v>1472</v>
      </c>
      <c r="N681" s="31" t="s">
        <v>11</v>
      </c>
      <c r="O681" s="53">
        <v>3.1</v>
      </c>
      <c r="P681" s="35">
        <f t="shared" si="61"/>
        <v>3100</v>
      </c>
      <c r="Q681" s="36">
        <f t="shared" si="62"/>
        <v>7.3003400000000003</v>
      </c>
      <c r="R681" s="36">
        <f t="shared" si="63"/>
        <v>0.42459999999999998</v>
      </c>
      <c r="S681" s="37">
        <f t="shared" si="64"/>
        <v>424.6</v>
      </c>
      <c r="T681" s="36" t="s">
        <v>349</v>
      </c>
      <c r="U681" s="31" t="s">
        <v>36</v>
      </c>
      <c r="V681" s="57">
        <v>7.1692999999999998</v>
      </c>
      <c r="W681" s="38">
        <f t="shared" si="65"/>
        <v>432.39925794707995</v>
      </c>
    </row>
    <row r="682" spans="1:23">
      <c r="A682" s="31" t="s">
        <v>1992</v>
      </c>
      <c r="B682" s="32">
        <v>45714</v>
      </c>
      <c r="C682" s="32">
        <v>45671</v>
      </c>
      <c r="D682" s="31" t="s">
        <v>187</v>
      </c>
      <c r="E682" s="31" t="s">
        <v>188</v>
      </c>
      <c r="G682" s="31" t="s">
        <v>2187</v>
      </c>
      <c r="H682" s="31" t="s">
        <v>211</v>
      </c>
      <c r="I682" s="31" t="s">
        <v>212</v>
      </c>
      <c r="J682" s="34" t="str">
        <f t="shared" si="60"/>
        <v>ALM-</v>
      </c>
      <c r="K682" s="31" t="s">
        <v>98</v>
      </c>
      <c r="L682" s="53">
        <v>1200</v>
      </c>
      <c r="M682" s="31" t="s">
        <v>186</v>
      </c>
      <c r="N682" s="31" t="s">
        <v>11</v>
      </c>
      <c r="O682" s="53">
        <v>3.1415999999999999</v>
      </c>
      <c r="P682" s="35">
        <f t="shared" si="61"/>
        <v>3769.92</v>
      </c>
      <c r="Q682" s="36">
        <f t="shared" si="62"/>
        <v>7.3003400000000003</v>
      </c>
      <c r="R682" s="36">
        <f t="shared" si="63"/>
        <v>0.43030000000000002</v>
      </c>
      <c r="S682" s="37">
        <f t="shared" si="64"/>
        <v>516.36</v>
      </c>
      <c r="T682" s="36" t="s">
        <v>349</v>
      </c>
      <c r="U682" s="31" t="s">
        <v>191</v>
      </c>
      <c r="V682" s="57">
        <v>7.1692999999999998</v>
      </c>
      <c r="W682" s="38">
        <f t="shared" si="65"/>
        <v>525.84213242575981</v>
      </c>
    </row>
    <row r="683" spans="1:23">
      <c r="A683" s="31" t="s">
        <v>1993</v>
      </c>
      <c r="B683" s="32">
        <v>45714</v>
      </c>
      <c r="C683" s="32">
        <v>45671</v>
      </c>
      <c r="D683" s="31" t="s">
        <v>187</v>
      </c>
      <c r="E683" s="31" t="s">
        <v>188</v>
      </c>
      <c r="G683" s="31" t="s">
        <v>2187</v>
      </c>
      <c r="H683" s="31" t="s">
        <v>214</v>
      </c>
      <c r="I683" s="31" t="s">
        <v>215</v>
      </c>
      <c r="J683" s="34" t="str">
        <f t="shared" si="60"/>
        <v>ALM-</v>
      </c>
      <c r="K683" s="31" t="s">
        <v>98</v>
      </c>
      <c r="L683" s="53">
        <v>500</v>
      </c>
      <c r="M683" s="31" t="s">
        <v>186</v>
      </c>
      <c r="N683" s="31" t="s">
        <v>11</v>
      </c>
      <c r="O683" s="53">
        <v>3.1415999999999999</v>
      </c>
      <c r="P683" s="35">
        <f t="shared" si="61"/>
        <v>1570.8</v>
      </c>
      <c r="Q683" s="36">
        <f t="shared" si="62"/>
        <v>7.3003400000000003</v>
      </c>
      <c r="R683" s="36">
        <f t="shared" si="63"/>
        <v>0.43030000000000002</v>
      </c>
      <c r="S683" s="37">
        <f t="shared" si="64"/>
        <v>215.15</v>
      </c>
      <c r="T683" s="36" t="s">
        <v>349</v>
      </c>
      <c r="U683" s="31" t="s">
        <v>191</v>
      </c>
      <c r="V683" s="57">
        <v>7.1692999999999998</v>
      </c>
      <c r="W683" s="38">
        <f t="shared" si="65"/>
        <v>219.10088851073326</v>
      </c>
    </row>
    <row r="684" spans="1:23">
      <c r="A684" s="31" t="s">
        <v>1994</v>
      </c>
      <c r="B684" s="32">
        <v>45714</v>
      </c>
      <c r="C684" s="32">
        <v>45671</v>
      </c>
      <c r="D684" s="31" t="s">
        <v>187</v>
      </c>
      <c r="E684" s="31" t="s">
        <v>188</v>
      </c>
      <c r="G684" s="31" t="s">
        <v>2187</v>
      </c>
      <c r="H684" s="31" t="s">
        <v>199</v>
      </c>
      <c r="I684" s="31" t="s">
        <v>200</v>
      </c>
      <c r="J684" s="34" t="str">
        <f t="shared" si="60"/>
        <v>ALM-</v>
      </c>
      <c r="K684" s="31" t="s">
        <v>98</v>
      </c>
      <c r="L684" s="53">
        <v>1000</v>
      </c>
      <c r="M684" s="31" t="s">
        <v>186</v>
      </c>
      <c r="N684" s="31" t="s">
        <v>11</v>
      </c>
      <c r="O684" s="53">
        <v>3.1415999999999999</v>
      </c>
      <c r="P684" s="35">
        <f t="shared" si="61"/>
        <v>3141.6</v>
      </c>
      <c r="Q684" s="36">
        <f t="shared" si="62"/>
        <v>7.3003400000000003</v>
      </c>
      <c r="R684" s="36">
        <f t="shared" si="63"/>
        <v>0.43030000000000002</v>
      </c>
      <c r="S684" s="37">
        <f t="shared" si="64"/>
        <v>430.3</v>
      </c>
      <c r="T684" s="36" t="s">
        <v>349</v>
      </c>
      <c r="U684" s="31" t="s">
        <v>191</v>
      </c>
      <c r="V684" s="57">
        <v>7.1692999999999998</v>
      </c>
      <c r="W684" s="38">
        <f t="shared" si="65"/>
        <v>438.20177702146651</v>
      </c>
    </row>
    <row r="685" spans="1:23">
      <c r="A685" s="31" t="s">
        <v>1995</v>
      </c>
      <c r="B685" s="32">
        <v>45714</v>
      </c>
      <c r="C685" s="32">
        <v>45675</v>
      </c>
      <c r="D685" s="31" t="s">
        <v>187</v>
      </c>
      <c r="E685" s="31" t="s">
        <v>188</v>
      </c>
      <c r="G685" s="31" t="s">
        <v>2187</v>
      </c>
      <c r="H685" s="31" t="s">
        <v>208</v>
      </c>
      <c r="I685" s="31" t="s">
        <v>209</v>
      </c>
      <c r="J685" s="34" t="str">
        <f t="shared" si="60"/>
        <v>ALM-</v>
      </c>
      <c r="K685" s="31" t="s">
        <v>98</v>
      </c>
      <c r="L685" s="53">
        <v>500</v>
      </c>
      <c r="M685" s="31" t="s">
        <v>186</v>
      </c>
      <c r="N685" s="31" t="s">
        <v>11</v>
      </c>
      <c r="O685" s="53">
        <v>3.1415999999999999</v>
      </c>
      <c r="P685" s="35">
        <f t="shared" si="61"/>
        <v>1570.8</v>
      </c>
      <c r="Q685" s="36">
        <f t="shared" si="62"/>
        <v>7.3003400000000003</v>
      </c>
      <c r="R685" s="36">
        <f t="shared" si="63"/>
        <v>0.43030000000000002</v>
      </c>
      <c r="S685" s="37">
        <f t="shared" si="64"/>
        <v>215.15</v>
      </c>
      <c r="T685" s="36" t="s">
        <v>349</v>
      </c>
      <c r="U685" s="31" t="s">
        <v>191</v>
      </c>
      <c r="V685" s="57">
        <v>7.1692999999999998</v>
      </c>
      <c r="W685" s="38">
        <f t="shared" si="65"/>
        <v>219.10088851073326</v>
      </c>
    </row>
    <row r="686" spans="1:23">
      <c r="A686" s="31" t="s">
        <v>1996</v>
      </c>
      <c r="B686" s="32">
        <v>45714</v>
      </c>
      <c r="C686" s="32">
        <v>45675</v>
      </c>
      <c r="D686" s="31" t="s">
        <v>187</v>
      </c>
      <c r="E686" s="31" t="s">
        <v>188</v>
      </c>
      <c r="G686" s="31" t="s">
        <v>2187</v>
      </c>
      <c r="H686" s="31" t="s">
        <v>202</v>
      </c>
      <c r="I686" s="31" t="s">
        <v>203</v>
      </c>
      <c r="J686" s="34" t="str">
        <f t="shared" si="60"/>
        <v>ALM-</v>
      </c>
      <c r="K686" s="31" t="s">
        <v>98</v>
      </c>
      <c r="L686" s="53">
        <v>300</v>
      </c>
      <c r="M686" s="31" t="s">
        <v>186</v>
      </c>
      <c r="N686" s="31" t="s">
        <v>11</v>
      </c>
      <c r="O686" s="53">
        <v>3.1415999999999999</v>
      </c>
      <c r="P686" s="35">
        <f t="shared" si="61"/>
        <v>942.48</v>
      </c>
      <c r="Q686" s="36">
        <f t="shared" si="62"/>
        <v>7.3003400000000003</v>
      </c>
      <c r="R686" s="36">
        <f t="shared" si="63"/>
        <v>0.43030000000000002</v>
      </c>
      <c r="S686" s="37">
        <f t="shared" si="64"/>
        <v>129.09</v>
      </c>
      <c r="T686" s="36" t="s">
        <v>349</v>
      </c>
      <c r="U686" s="31" t="s">
        <v>191</v>
      </c>
      <c r="V686" s="57">
        <v>7.1692999999999998</v>
      </c>
      <c r="W686" s="38">
        <f t="shared" si="65"/>
        <v>131.46053310643995</v>
      </c>
    </row>
    <row r="687" spans="1:23">
      <c r="A687" s="31" t="s">
        <v>1997</v>
      </c>
      <c r="B687" s="32">
        <v>45714</v>
      </c>
      <c r="C687" s="32">
        <v>45675</v>
      </c>
      <c r="D687" s="31" t="s">
        <v>187</v>
      </c>
      <c r="E687" s="31" t="s">
        <v>188</v>
      </c>
      <c r="G687" s="31" t="s">
        <v>2187</v>
      </c>
      <c r="H687" s="31" t="s">
        <v>1217</v>
      </c>
      <c r="I687" s="31" t="s">
        <v>1218</v>
      </c>
      <c r="J687" s="34" t="str">
        <f t="shared" si="60"/>
        <v>ALM-</v>
      </c>
      <c r="K687" s="31" t="s">
        <v>98</v>
      </c>
      <c r="L687" s="53">
        <v>250</v>
      </c>
      <c r="M687" s="31" t="s">
        <v>186</v>
      </c>
      <c r="N687" s="31" t="s">
        <v>11</v>
      </c>
      <c r="O687" s="53">
        <v>3.1415999999999999</v>
      </c>
      <c r="P687" s="35">
        <f t="shared" si="61"/>
        <v>785.4</v>
      </c>
      <c r="Q687" s="36">
        <f t="shared" si="62"/>
        <v>7.3003400000000003</v>
      </c>
      <c r="R687" s="36">
        <f t="shared" si="63"/>
        <v>0.43030000000000002</v>
      </c>
      <c r="S687" s="37">
        <f t="shared" si="64"/>
        <v>107.58</v>
      </c>
      <c r="T687" s="36" t="s">
        <v>349</v>
      </c>
      <c r="U687" s="31" t="s">
        <v>191</v>
      </c>
      <c r="V687" s="57">
        <v>7.1692999999999998</v>
      </c>
      <c r="W687" s="38">
        <f t="shared" si="65"/>
        <v>109.55044425536663</v>
      </c>
    </row>
    <row r="688" spans="1:23">
      <c r="A688" s="31" t="s">
        <v>1998</v>
      </c>
      <c r="B688" s="32">
        <v>45714</v>
      </c>
      <c r="C688" s="32">
        <v>45675</v>
      </c>
      <c r="D688" s="31" t="s">
        <v>187</v>
      </c>
      <c r="E688" s="31" t="s">
        <v>188</v>
      </c>
      <c r="G688" s="31" t="s">
        <v>2188</v>
      </c>
      <c r="H688" s="31" t="s">
        <v>214</v>
      </c>
      <c r="I688" s="31" t="s">
        <v>215</v>
      </c>
      <c r="J688" s="34" t="str">
        <f t="shared" si="60"/>
        <v>ALM-</v>
      </c>
      <c r="K688" s="31" t="s">
        <v>98</v>
      </c>
      <c r="L688" s="53">
        <v>150</v>
      </c>
      <c r="M688" s="31" t="s">
        <v>186</v>
      </c>
      <c r="N688" s="31" t="s">
        <v>11</v>
      </c>
      <c r="O688" s="53">
        <v>3.1415999999999999</v>
      </c>
      <c r="P688" s="35">
        <f t="shared" si="61"/>
        <v>471.24</v>
      </c>
      <c r="Q688" s="36">
        <f t="shared" si="62"/>
        <v>7.3003400000000003</v>
      </c>
      <c r="R688" s="36">
        <f t="shared" si="63"/>
        <v>0.43030000000000002</v>
      </c>
      <c r="S688" s="37">
        <f t="shared" si="64"/>
        <v>64.55</v>
      </c>
      <c r="T688" s="36" t="s">
        <v>349</v>
      </c>
      <c r="U688" s="31" t="s">
        <v>191</v>
      </c>
      <c r="V688" s="57">
        <v>7.1692999999999998</v>
      </c>
      <c r="W688" s="38">
        <f t="shared" si="65"/>
        <v>65.730266553219977</v>
      </c>
    </row>
    <row r="689" spans="1:23">
      <c r="A689" s="31" t="s">
        <v>1999</v>
      </c>
      <c r="B689" s="32">
        <v>45714</v>
      </c>
      <c r="C689" s="32">
        <v>45698</v>
      </c>
      <c r="D689" s="31" t="s">
        <v>187</v>
      </c>
      <c r="E689" s="31" t="s">
        <v>188</v>
      </c>
      <c r="G689" s="31" t="s">
        <v>2187</v>
      </c>
      <c r="H689" s="31" t="s">
        <v>205</v>
      </c>
      <c r="I689" s="31" t="s">
        <v>206</v>
      </c>
      <c r="J689" s="34" t="str">
        <f t="shared" si="60"/>
        <v>ALM-</v>
      </c>
      <c r="K689" s="31" t="s">
        <v>98</v>
      </c>
      <c r="L689" s="53">
        <v>550</v>
      </c>
      <c r="M689" s="31" t="s">
        <v>186</v>
      </c>
      <c r="N689" s="31" t="s">
        <v>11</v>
      </c>
      <c r="O689" s="53">
        <v>3.1415999999999999</v>
      </c>
      <c r="P689" s="35">
        <f t="shared" si="61"/>
        <v>1727.88</v>
      </c>
      <c r="Q689" s="36">
        <f t="shared" si="62"/>
        <v>7.3003400000000003</v>
      </c>
      <c r="R689" s="36">
        <f t="shared" si="63"/>
        <v>0.43030000000000002</v>
      </c>
      <c r="S689" s="37">
        <f t="shared" si="64"/>
        <v>236.67</v>
      </c>
      <c r="T689" s="36" t="s">
        <v>349</v>
      </c>
      <c r="U689" s="31" t="s">
        <v>191</v>
      </c>
      <c r="V689" s="57">
        <v>7.1692999999999998</v>
      </c>
      <c r="W689" s="38">
        <f t="shared" si="65"/>
        <v>241.01097736180657</v>
      </c>
    </row>
    <row r="690" spans="1:23">
      <c r="A690" s="31" t="s">
        <v>2000</v>
      </c>
      <c r="B690" s="32">
        <v>45714</v>
      </c>
      <c r="C690" s="32">
        <v>45698</v>
      </c>
      <c r="D690" s="31" t="s">
        <v>187</v>
      </c>
      <c r="E690" s="31" t="s">
        <v>188</v>
      </c>
      <c r="G690" s="31" t="s">
        <v>2187</v>
      </c>
      <c r="H690" s="31" t="s">
        <v>214</v>
      </c>
      <c r="I690" s="31" t="s">
        <v>215</v>
      </c>
      <c r="J690" s="34" t="str">
        <f t="shared" si="60"/>
        <v>ALM-</v>
      </c>
      <c r="K690" s="31" t="s">
        <v>98</v>
      </c>
      <c r="L690" s="53">
        <v>300</v>
      </c>
      <c r="M690" s="31" t="s">
        <v>186</v>
      </c>
      <c r="N690" s="31" t="s">
        <v>11</v>
      </c>
      <c r="O690" s="53">
        <v>3.1415999999999999</v>
      </c>
      <c r="P690" s="35">
        <f t="shared" si="61"/>
        <v>942.48</v>
      </c>
      <c r="Q690" s="36">
        <f t="shared" si="62"/>
        <v>7.3003400000000003</v>
      </c>
      <c r="R690" s="36">
        <f t="shared" si="63"/>
        <v>0.43030000000000002</v>
      </c>
      <c r="S690" s="37">
        <f t="shared" si="64"/>
        <v>129.09</v>
      </c>
      <c r="T690" s="36" t="s">
        <v>349</v>
      </c>
      <c r="U690" s="31" t="s">
        <v>191</v>
      </c>
      <c r="V690" s="57">
        <v>7.1692999999999998</v>
      </c>
      <c r="W690" s="38">
        <f t="shared" si="65"/>
        <v>131.46053310643995</v>
      </c>
    </row>
    <row r="691" spans="1:23">
      <c r="A691" s="31" t="s">
        <v>2001</v>
      </c>
      <c r="B691" s="32">
        <v>45714</v>
      </c>
      <c r="C691" s="32">
        <v>45698</v>
      </c>
      <c r="D691" s="31" t="s">
        <v>187</v>
      </c>
      <c r="E691" s="31" t="s">
        <v>188</v>
      </c>
      <c r="G691" s="31" t="s">
        <v>2187</v>
      </c>
      <c r="H691" s="31" t="s">
        <v>211</v>
      </c>
      <c r="I691" s="31" t="s">
        <v>212</v>
      </c>
      <c r="J691" s="34" t="str">
        <f t="shared" si="60"/>
        <v>ALM-</v>
      </c>
      <c r="K691" s="31" t="s">
        <v>98</v>
      </c>
      <c r="L691" s="53">
        <v>1000</v>
      </c>
      <c r="M691" s="31" t="s">
        <v>186</v>
      </c>
      <c r="N691" s="31" t="s">
        <v>11</v>
      </c>
      <c r="O691" s="53">
        <v>3.1415999999999999</v>
      </c>
      <c r="P691" s="35">
        <f t="shared" si="61"/>
        <v>3141.6</v>
      </c>
      <c r="Q691" s="36">
        <f t="shared" si="62"/>
        <v>7.3003400000000003</v>
      </c>
      <c r="R691" s="36">
        <f t="shared" si="63"/>
        <v>0.43030000000000002</v>
      </c>
      <c r="S691" s="37">
        <f t="shared" si="64"/>
        <v>430.3</v>
      </c>
      <c r="T691" s="36" t="s">
        <v>349</v>
      </c>
      <c r="U691" s="31" t="s">
        <v>191</v>
      </c>
      <c r="V691" s="57">
        <v>7.1692999999999998</v>
      </c>
      <c r="W691" s="38">
        <f t="shared" si="65"/>
        <v>438.20177702146651</v>
      </c>
    </row>
    <row r="692" spans="1:23">
      <c r="A692" s="31" t="s">
        <v>2002</v>
      </c>
      <c r="B692" s="32">
        <v>45714</v>
      </c>
      <c r="C692" s="32">
        <v>45698</v>
      </c>
      <c r="D692" s="31" t="s">
        <v>187</v>
      </c>
      <c r="E692" s="31" t="s">
        <v>188</v>
      </c>
      <c r="G692" s="31" t="s">
        <v>2187</v>
      </c>
      <c r="H692" s="31" t="s">
        <v>1715</v>
      </c>
      <c r="I692" s="31" t="s">
        <v>1716</v>
      </c>
      <c r="J692" s="34" t="str">
        <f t="shared" si="60"/>
        <v>ALM-</v>
      </c>
      <c r="K692" s="31" t="s">
        <v>98</v>
      </c>
      <c r="L692" s="53">
        <v>100</v>
      </c>
      <c r="M692" s="31" t="s">
        <v>186</v>
      </c>
      <c r="N692" s="31" t="s">
        <v>11</v>
      </c>
      <c r="O692" s="53">
        <v>3.1415999999999999</v>
      </c>
      <c r="P692" s="35">
        <f t="shared" si="61"/>
        <v>314.16000000000003</v>
      </c>
      <c r="Q692" s="36">
        <f t="shared" si="62"/>
        <v>7.3003400000000003</v>
      </c>
      <c r="R692" s="36">
        <f t="shared" si="63"/>
        <v>0.43030000000000002</v>
      </c>
      <c r="S692" s="37">
        <f t="shared" si="64"/>
        <v>43.03</v>
      </c>
      <c r="T692" s="36" t="s">
        <v>349</v>
      </c>
      <c r="U692" s="31" t="s">
        <v>191</v>
      </c>
      <c r="V692" s="57">
        <v>7.1692999999999998</v>
      </c>
      <c r="W692" s="38">
        <f t="shared" si="65"/>
        <v>43.820177702146651</v>
      </c>
    </row>
    <row r="693" spans="1:23">
      <c r="A693" s="31" t="s">
        <v>2003</v>
      </c>
      <c r="B693" s="32">
        <v>45714</v>
      </c>
      <c r="C693" s="32">
        <v>45698</v>
      </c>
      <c r="D693" s="31" t="s">
        <v>187</v>
      </c>
      <c r="E693" s="31" t="s">
        <v>188</v>
      </c>
      <c r="G693" s="31" t="s">
        <v>2187</v>
      </c>
      <c r="H693" s="31" t="s">
        <v>1717</v>
      </c>
      <c r="I693" s="31" t="s">
        <v>1214</v>
      </c>
      <c r="J693" s="34" t="str">
        <f t="shared" si="60"/>
        <v>ALM-</v>
      </c>
      <c r="K693" s="31" t="s">
        <v>98</v>
      </c>
      <c r="L693" s="53">
        <v>50</v>
      </c>
      <c r="M693" s="31" t="s">
        <v>186</v>
      </c>
      <c r="N693" s="31" t="s">
        <v>11</v>
      </c>
      <c r="O693" s="53">
        <v>3.1415999999999999</v>
      </c>
      <c r="P693" s="35">
        <f t="shared" si="61"/>
        <v>157.08000000000001</v>
      </c>
      <c r="Q693" s="36">
        <f t="shared" si="62"/>
        <v>7.3003400000000003</v>
      </c>
      <c r="R693" s="36">
        <f t="shared" si="63"/>
        <v>0.43030000000000002</v>
      </c>
      <c r="S693" s="37">
        <f t="shared" si="64"/>
        <v>21.52</v>
      </c>
      <c r="T693" s="36" t="s">
        <v>349</v>
      </c>
      <c r="U693" s="31" t="s">
        <v>191</v>
      </c>
      <c r="V693" s="57">
        <v>7.1692999999999998</v>
      </c>
      <c r="W693" s="38">
        <f t="shared" si="65"/>
        <v>21.910088851073326</v>
      </c>
    </row>
    <row r="694" spans="1:23">
      <c r="A694" s="31" t="s">
        <v>2004</v>
      </c>
      <c r="B694" s="32">
        <v>45714</v>
      </c>
      <c r="C694" s="32">
        <v>45698</v>
      </c>
      <c r="D694" s="31" t="s">
        <v>187</v>
      </c>
      <c r="E694" s="31" t="s">
        <v>188</v>
      </c>
      <c r="G694" s="31" t="s">
        <v>2187</v>
      </c>
      <c r="H694" s="31" t="s">
        <v>1718</v>
      </c>
      <c r="I694" s="31" t="s">
        <v>1719</v>
      </c>
      <c r="J694" s="34" t="str">
        <f t="shared" si="60"/>
        <v>ALM-</v>
      </c>
      <c r="K694" s="31" t="s">
        <v>98</v>
      </c>
      <c r="L694" s="53">
        <v>300</v>
      </c>
      <c r="M694" s="31" t="s">
        <v>186</v>
      </c>
      <c r="N694" s="31" t="s">
        <v>11</v>
      </c>
      <c r="O694" s="53">
        <v>3.1415999999999999</v>
      </c>
      <c r="P694" s="35">
        <f t="shared" si="61"/>
        <v>942.48</v>
      </c>
      <c r="Q694" s="36">
        <f t="shared" si="62"/>
        <v>7.3003400000000003</v>
      </c>
      <c r="R694" s="36">
        <f t="shared" si="63"/>
        <v>0.43030000000000002</v>
      </c>
      <c r="S694" s="37">
        <f t="shared" si="64"/>
        <v>129.09</v>
      </c>
      <c r="T694" s="36" t="s">
        <v>349</v>
      </c>
      <c r="U694" s="31" t="s">
        <v>191</v>
      </c>
      <c r="V694" s="57">
        <v>7.1692999999999998</v>
      </c>
      <c r="W694" s="38">
        <f t="shared" si="65"/>
        <v>131.46053310643995</v>
      </c>
    </row>
    <row r="695" spans="1:23">
      <c r="A695" s="31" t="s">
        <v>2005</v>
      </c>
      <c r="B695" s="32">
        <v>45714</v>
      </c>
      <c r="C695" s="32">
        <v>45698</v>
      </c>
      <c r="D695" s="31" t="s">
        <v>187</v>
      </c>
      <c r="E695" s="31" t="s">
        <v>188</v>
      </c>
      <c r="G695" s="31" t="s">
        <v>2187</v>
      </c>
      <c r="H695" s="31" t="s">
        <v>199</v>
      </c>
      <c r="I695" s="31" t="s">
        <v>200</v>
      </c>
      <c r="J695" s="34" t="str">
        <f t="shared" si="60"/>
        <v>ALM-</v>
      </c>
      <c r="K695" s="31" t="s">
        <v>98</v>
      </c>
      <c r="L695" s="53">
        <v>1500</v>
      </c>
      <c r="M695" s="31" t="s">
        <v>186</v>
      </c>
      <c r="N695" s="31" t="s">
        <v>11</v>
      </c>
      <c r="O695" s="53">
        <v>3.1415999999999999</v>
      </c>
      <c r="P695" s="35">
        <f t="shared" si="61"/>
        <v>4712.3999999999996</v>
      </c>
      <c r="Q695" s="36">
        <f t="shared" si="62"/>
        <v>7.3003400000000003</v>
      </c>
      <c r="R695" s="36">
        <f t="shared" si="63"/>
        <v>0.43030000000000002</v>
      </c>
      <c r="S695" s="37">
        <f t="shared" si="64"/>
        <v>645.45000000000005</v>
      </c>
      <c r="T695" s="36" t="s">
        <v>349</v>
      </c>
      <c r="U695" s="31" t="s">
        <v>191</v>
      </c>
      <c r="V695" s="57">
        <v>7.1692999999999998</v>
      </c>
      <c r="W695" s="38">
        <f t="shared" si="65"/>
        <v>657.30266553219974</v>
      </c>
    </row>
    <row r="696" spans="1:23">
      <c r="A696" s="31" t="s">
        <v>2006</v>
      </c>
      <c r="B696" s="32">
        <v>45714</v>
      </c>
      <c r="C696" s="32">
        <v>45698</v>
      </c>
      <c r="D696" s="31" t="s">
        <v>187</v>
      </c>
      <c r="E696" s="31" t="s">
        <v>188</v>
      </c>
      <c r="G696" s="31" t="s">
        <v>2187</v>
      </c>
      <c r="H696" s="31" t="s">
        <v>1720</v>
      </c>
      <c r="I696" s="31" t="s">
        <v>1721</v>
      </c>
      <c r="J696" s="34" t="str">
        <f t="shared" si="60"/>
        <v>ALM-</v>
      </c>
      <c r="K696" s="31" t="s">
        <v>98</v>
      </c>
      <c r="L696" s="53">
        <v>400</v>
      </c>
      <c r="M696" s="31" t="s">
        <v>186</v>
      </c>
      <c r="N696" s="31" t="s">
        <v>11</v>
      </c>
      <c r="O696" s="53">
        <v>3.1415999999999999</v>
      </c>
      <c r="P696" s="35">
        <f t="shared" si="61"/>
        <v>1256.6400000000001</v>
      </c>
      <c r="Q696" s="36">
        <f t="shared" si="62"/>
        <v>7.3003400000000003</v>
      </c>
      <c r="R696" s="36">
        <f t="shared" si="63"/>
        <v>0.43030000000000002</v>
      </c>
      <c r="S696" s="37">
        <f t="shared" si="64"/>
        <v>172.12</v>
      </c>
      <c r="T696" s="36" t="s">
        <v>349</v>
      </c>
      <c r="U696" s="31" t="s">
        <v>191</v>
      </c>
      <c r="V696" s="57">
        <v>7.1692999999999998</v>
      </c>
      <c r="W696" s="38">
        <f t="shared" si="65"/>
        <v>175.2807108085866</v>
      </c>
    </row>
    <row r="697" spans="1:23">
      <c r="A697" s="31" t="s">
        <v>2007</v>
      </c>
      <c r="B697" s="32">
        <v>45714</v>
      </c>
      <c r="C697" s="32">
        <v>45698</v>
      </c>
      <c r="D697" s="31" t="s">
        <v>187</v>
      </c>
      <c r="E697" s="31" t="s">
        <v>188</v>
      </c>
      <c r="G697" s="31" t="s">
        <v>2187</v>
      </c>
      <c r="H697" s="31" t="s">
        <v>1722</v>
      </c>
      <c r="I697" s="31" t="s">
        <v>1723</v>
      </c>
      <c r="J697" s="34" t="str">
        <f t="shared" si="60"/>
        <v>ALM-</v>
      </c>
      <c r="K697" s="31" t="s">
        <v>98</v>
      </c>
      <c r="L697" s="53">
        <v>350</v>
      </c>
      <c r="M697" s="31" t="s">
        <v>186</v>
      </c>
      <c r="N697" s="31" t="s">
        <v>11</v>
      </c>
      <c r="O697" s="53">
        <v>3.1415999999999999</v>
      </c>
      <c r="P697" s="35">
        <f t="shared" si="61"/>
        <v>1099.56</v>
      </c>
      <c r="Q697" s="36">
        <f t="shared" si="62"/>
        <v>7.3003400000000003</v>
      </c>
      <c r="R697" s="36">
        <f t="shared" si="63"/>
        <v>0.43030000000000002</v>
      </c>
      <c r="S697" s="37">
        <f t="shared" si="64"/>
        <v>150.61000000000001</v>
      </c>
      <c r="T697" s="36" t="s">
        <v>349</v>
      </c>
      <c r="U697" s="31" t="s">
        <v>191</v>
      </c>
      <c r="V697" s="57">
        <v>7.1692999999999998</v>
      </c>
      <c r="W697" s="38">
        <f t="shared" si="65"/>
        <v>153.37062195751326</v>
      </c>
    </row>
    <row r="698" spans="1:23">
      <c r="A698" s="31" t="s">
        <v>2008</v>
      </c>
      <c r="B698" s="32">
        <v>45714</v>
      </c>
      <c r="C698" s="32">
        <v>45701</v>
      </c>
      <c r="D698" s="31" t="s">
        <v>187</v>
      </c>
      <c r="E698" s="31" t="s">
        <v>188</v>
      </c>
      <c r="G698" s="31" t="s">
        <v>2189</v>
      </c>
      <c r="H698" s="31" t="s">
        <v>202</v>
      </c>
      <c r="I698" s="31" t="s">
        <v>203</v>
      </c>
      <c r="J698" s="34" t="str">
        <f t="shared" si="60"/>
        <v>ALM-</v>
      </c>
      <c r="K698" s="31" t="s">
        <v>98</v>
      </c>
      <c r="L698" s="53">
        <v>500</v>
      </c>
      <c r="M698" s="31" t="s">
        <v>186</v>
      </c>
      <c r="N698" s="31" t="s">
        <v>11</v>
      </c>
      <c r="O698" s="53">
        <v>3.1415999999999999</v>
      </c>
      <c r="P698" s="35">
        <f t="shared" si="61"/>
        <v>1570.8</v>
      </c>
      <c r="Q698" s="36">
        <f t="shared" si="62"/>
        <v>7.3003400000000003</v>
      </c>
      <c r="R698" s="36">
        <f t="shared" si="63"/>
        <v>0.43030000000000002</v>
      </c>
      <c r="S698" s="37">
        <f t="shared" si="64"/>
        <v>215.15</v>
      </c>
      <c r="T698" s="36" t="s">
        <v>349</v>
      </c>
      <c r="U698" s="31" t="s">
        <v>191</v>
      </c>
      <c r="V698" s="57">
        <v>7.1692999999999998</v>
      </c>
      <c r="W698" s="38">
        <f t="shared" si="65"/>
        <v>219.10088851073326</v>
      </c>
    </row>
    <row r="699" spans="1:23">
      <c r="A699" s="31" t="s">
        <v>2009</v>
      </c>
      <c r="B699" s="32">
        <v>45714</v>
      </c>
      <c r="C699" s="32">
        <v>45701</v>
      </c>
      <c r="D699" s="31" t="s">
        <v>187</v>
      </c>
      <c r="E699" s="31" t="s">
        <v>188</v>
      </c>
      <c r="G699" s="31" t="s">
        <v>2187</v>
      </c>
      <c r="H699" s="31" t="s">
        <v>205</v>
      </c>
      <c r="I699" s="31" t="s">
        <v>206</v>
      </c>
      <c r="J699" s="34" t="str">
        <f t="shared" si="60"/>
        <v>ALM-</v>
      </c>
      <c r="K699" s="31" t="s">
        <v>98</v>
      </c>
      <c r="L699" s="53">
        <v>550</v>
      </c>
      <c r="M699" s="31" t="s">
        <v>186</v>
      </c>
      <c r="N699" s="31" t="s">
        <v>11</v>
      </c>
      <c r="O699" s="53">
        <v>3.1415999999999999</v>
      </c>
      <c r="P699" s="35">
        <f t="shared" si="61"/>
        <v>1727.88</v>
      </c>
      <c r="Q699" s="36">
        <f t="shared" si="62"/>
        <v>7.3003400000000003</v>
      </c>
      <c r="R699" s="36">
        <f t="shared" si="63"/>
        <v>0.43030000000000002</v>
      </c>
      <c r="S699" s="37">
        <f t="shared" si="64"/>
        <v>236.67</v>
      </c>
      <c r="T699" s="36" t="s">
        <v>349</v>
      </c>
      <c r="U699" s="31" t="s">
        <v>191</v>
      </c>
      <c r="V699" s="57">
        <v>7.1692999999999998</v>
      </c>
      <c r="W699" s="38">
        <f t="shared" si="65"/>
        <v>241.01097736180657</v>
      </c>
    </row>
    <row r="700" spans="1:23">
      <c r="A700" s="31" t="s">
        <v>2010</v>
      </c>
      <c r="B700" s="32">
        <v>45715</v>
      </c>
      <c r="C700" s="32">
        <v>45714</v>
      </c>
      <c r="D700" s="31" t="s">
        <v>5</v>
      </c>
      <c r="E700" s="31" t="s">
        <v>6</v>
      </c>
      <c r="G700" s="31" t="s">
        <v>2190</v>
      </c>
      <c r="H700" s="31" t="s">
        <v>1724</v>
      </c>
      <c r="I700" s="31" t="s">
        <v>1725</v>
      </c>
      <c r="J700" s="34" t="str">
        <f t="shared" si="60"/>
        <v>BOX-</v>
      </c>
      <c r="K700" s="31" t="s">
        <v>10</v>
      </c>
      <c r="L700" s="53">
        <v>1500</v>
      </c>
      <c r="M700" s="31" t="s">
        <v>1472</v>
      </c>
      <c r="N700" s="31" t="s">
        <v>11</v>
      </c>
      <c r="O700" s="53">
        <v>3.16</v>
      </c>
      <c r="P700" s="35">
        <f t="shared" si="61"/>
        <v>4740</v>
      </c>
      <c r="Q700" s="36">
        <f t="shared" si="62"/>
        <v>7.3003400000000003</v>
      </c>
      <c r="R700" s="36">
        <f t="shared" si="63"/>
        <v>0.43290000000000001</v>
      </c>
      <c r="S700" s="37">
        <f t="shared" si="64"/>
        <v>649.35</v>
      </c>
      <c r="T700" s="36" t="s">
        <v>349</v>
      </c>
      <c r="U700" s="31" t="s">
        <v>1</v>
      </c>
      <c r="V700" s="57">
        <v>7.1692999999999998</v>
      </c>
      <c r="W700" s="38">
        <f t="shared" si="65"/>
        <v>661.1524137642449</v>
      </c>
    </row>
    <row r="701" spans="1:23">
      <c r="A701" s="31" t="s">
        <v>2011</v>
      </c>
      <c r="B701" s="32">
        <v>45707</v>
      </c>
      <c r="C701" s="32">
        <v>45706</v>
      </c>
      <c r="D701" s="31" t="s">
        <v>5</v>
      </c>
      <c r="E701" s="31" t="s">
        <v>6</v>
      </c>
      <c r="G701" s="31" t="s">
        <v>2173</v>
      </c>
      <c r="H701" s="31" t="s">
        <v>1660</v>
      </c>
      <c r="I701" s="31" t="s">
        <v>1661</v>
      </c>
      <c r="J701" s="34" t="str">
        <f t="shared" si="60"/>
        <v>SHTS</v>
      </c>
      <c r="K701" s="31" t="s">
        <v>10</v>
      </c>
      <c r="L701" s="53">
        <v>1000</v>
      </c>
      <c r="M701" s="31" t="s">
        <v>1472</v>
      </c>
      <c r="N701" s="31" t="s">
        <v>11</v>
      </c>
      <c r="O701" s="53">
        <v>3.18</v>
      </c>
      <c r="P701" s="35">
        <f t="shared" si="61"/>
        <v>3180</v>
      </c>
      <c r="Q701" s="36">
        <f t="shared" si="62"/>
        <v>7.3003400000000003</v>
      </c>
      <c r="R701" s="36">
        <f t="shared" si="63"/>
        <v>0.43559999999999999</v>
      </c>
      <c r="S701" s="37">
        <f t="shared" si="64"/>
        <v>435.6</v>
      </c>
      <c r="T701" s="36" t="s">
        <v>349</v>
      </c>
      <c r="U701" s="31" t="s">
        <v>9</v>
      </c>
      <c r="V701" s="57">
        <v>7.1692999999999998</v>
      </c>
      <c r="W701" s="38">
        <f t="shared" si="65"/>
        <v>443.55794847474652</v>
      </c>
    </row>
    <row r="702" spans="1:23">
      <c r="A702" s="31" t="s">
        <v>2012</v>
      </c>
      <c r="B702" s="32">
        <v>45714</v>
      </c>
      <c r="C702" s="32">
        <v>45714</v>
      </c>
      <c r="D702" s="31" t="s">
        <v>898</v>
      </c>
      <c r="E702" s="31" t="s">
        <v>899</v>
      </c>
      <c r="G702" s="31" t="s">
        <v>2179</v>
      </c>
      <c r="H702" s="31" t="s">
        <v>1726</v>
      </c>
      <c r="I702" s="31" t="s">
        <v>1727</v>
      </c>
      <c r="J702" s="34" t="str">
        <f t="shared" si="60"/>
        <v>GLID</v>
      </c>
      <c r="K702" s="31" t="s">
        <v>10</v>
      </c>
      <c r="L702" s="53">
        <v>75</v>
      </c>
      <c r="M702" s="31" t="s">
        <v>1472</v>
      </c>
      <c r="N702" s="31" t="s">
        <v>11</v>
      </c>
      <c r="O702" s="53">
        <v>3.1972</v>
      </c>
      <c r="P702" s="35">
        <f t="shared" si="61"/>
        <v>239.79</v>
      </c>
      <c r="Q702" s="36">
        <f t="shared" si="62"/>
        <v>7.3003400000000003</v>
      </c>
      <c r="R702" s="36">
        <f t="shared" si="63"/>
        <v>0.438</v>
      </c>
      <c r="S702" s="37">
        <f t="shared" si="64"/>
        <v>32.85</v>
      </c>
      <c r="T702" s="36" t="s">
        <v>349</v>
      </c>
      <c r="U702" s="31" t="s">
        <v>78</v>
      </c>
      <c r="V702" s="57">
        <v>7.1692999999999998</v>
      </c>
      <c r="W702" s="38">
        <f t="shared" si="65"/>
        <v>33.446780020364614</v>
      </c>
    </row>
    <row r="703" spans="1:23">
      <c r="A703" s="31" t="s">
        <v>2013</v>
      </c>
      <c r="B703" s="32">
        <v>45716</v>
      </c>
      <c r="C703" s="32">
        <v>45576</v>
      </c>
      <c r="D703" s="31" t="s">
        <v>94</v>
      </c>
      <c r="E703" s="31" t="s">
        <v>95</v>
      </c>
      <c r="G703" s="31" t="s">
        <v>2191</v>
      </c>
      <c r="H703" s="31" t="s">
        <v>1728</v>
      </c>
      <c r="I703" s="31" t="s">
        <v>1729</v>
      </c>
      <c r="J703" s="34" t="str">
        <f t="shared" si="60"/>
        <v>LID-</v>
      </c>
      <c r="K703" s="31" t="s">
        <v>98</v>
      </c>
      <c r="L703" s="53">
        <v>765</v>
      </c>
      <c r="M703" s="31" t="s">
        <v>1472</v>
      </c>
      <c r="N703" s="31" t="s">
        <v>11</v>
      </c>
      <c r="O703" s="53">
        <v>3.3</v>
      </c>
      <c r="P703" s="35">
        <f t="shared" si="61"/>
        <v>2524.5</v>
      </c>
      <c r="Q703" s="36">
        <f t="shared" si="62"/>
        <v>7.3003400000000003</v>
      </c>
      <c r="R703" s="36">
        <f t="shared" si="63"/>
        <v>0.45200000000000001</v>
      </c>
      <c r="S703" s="37">
        <f t="shared" si="64"/>
        <v>345.78</v>
      </c>
      <c r="T703" s="36" t="s">
        <v>349</v>
      </c>
      <c r="U703" s="31" t="s">
        <v>368</v>
      </c>
      <c r="V703" s="57">
        <v>7.1692999999999998</v>
      </c>
      <c r="W703" s="38">
        <f t="shared" si="65"/>
        <v>352.12642796367845</v>
      </c>
    </row>
    <row r="704" spans="1:23">
      <c r="A704" s="31" t="s">
        <v>2014</v>
      </c>
      <c r="B704" s="32">
        <v>45715</v>
      </c>
      <c r="C704" s="32">
        <v>45664</v>
      </c>
      <c r="D704" s="31" t="s">
        <v>149</v>
      </c>
      <c r="E704" s="31" t="s">
        <v>150</v>
      </c>
      <c r="G704" s="31" t="s">
        <v>2180</v>
      </c>
      <c r="H704" s="31" t="s">
        <v>1730</v>
      </c>
      <c r="I704" s="31" t="s">
        <v>1731</v>
      </c>
      <c r="J704" s="34" t="str">
        <f t="shared" si="60"/>
        <v>GLID</v>
      </c>
      <c r="K704" s="31" t="s">
        <v>10</v>
      </c>
      <c r="L704" s="53">
        <v>1510</v>
      </c>
      <c r="M704" s="31" t="s">
        <v>1472</v>
      </c>
      <c r="N704" s="31" t="s">
        <v>11</v>
      </c>
      <c r="O704" s="53">
        <v>3.3490000000000002</v>
      </c>
      <c r="P704" s="35">
        <f t="shared" si="61"/>
        <v>5056.99</v>
      </c>
      <c r="Q704" s="36">
        <f t="shared" si="62"/>
        <v>7.3003400000000003</v>
      </c>
      <c r="R704" s="36">
        <f t="shared" si="63"/>
        <v>0.4587</v>
      </c>
      <c r="S704" s="37">
        <f t="shared" si="64"/>
        <v>692.64</v>
      </c>
      <c r="T704" s="36" t="s">
        <v>349</v>
      </c>
      <c r="U704" s="31" t="s">
        <v>78</v>
      </c>
      <c r="V704" s="57">
        <v>7.1692999999999998</v>
      </c>
      <c r="W704" s="38">
        <f t="shared" si="65"/>
        <v>705.36733014380764</v>
      </c>
    </row>
    <row r="705" spans="1:23">
      <c r="A705" s="31" t="s">
        <v>2015</v>
      </c>
      <c r="B705" s="32">
        <v>45712</v>
      </c>
      <c r="C705" s="32">
        <v>45706</v>
      </c>
      <c r="D705" s="31" t="s">
        <v>28</v>
      </c>
      <c r="E705" s="31" t="s">
        <v>29</v>
      </c>
      <c r="G705" s="31" t="s">
        <v>2158</v>
      </c>
      <c r="H705" s="31" t="s">
        <v>1155</v>
      </c>
      <c r="I705" s="31" t="s">
        <v>1156</v>
      </c>
      <c r="J705" s="34" t="str">
        <f t="shared" si="60"/>
        <v>KNOB</v>
      </c>
      <c r="K705" s="31" t="s">
        <v>10</v>
      </c>
      <c r="L705" s="53">
        <v>15</v>
      </c>
      <c r="M705" s="31" t="s">
        <v>1472</v>
      </c>
      <c r="N705" s="31" t="s">
        <v>11</v>
      </c>
      <c r="O705" s="53">
        <v>3.3721999999999999</v>
      </c>
      <c r="P705" s="35">
        <f t="shared" si="61"/>
        <v>50.58</v>
      </c>
      <c r="Q705" s="36">
        <f t="shared" si="62"/>
        <v>7.3003400000000003</v>
      </c>
      <c r="R705" s="36">
        <f t="shared" si="63"/>
        <v>0.46189999999999998</v>
      </c>
      <c r="S705" s="37">
        <f t="shared" si="64"/>
        <v>6.93</v>
      </c>
      <c r="T705" s="36" t="s">
        <v>349</v>
      </c>
      <c r="U705" s="31" t="s">
        <v>32</v>
      </c>
      <c r="V705" s="57">
        <v>7.1692999999999998</v>
      </c>
      <c r="W705" s="38">
        <f t="shared" si="65"/>
        <v>7.055500537011981</v>
      </c>
    </row>
    <row r="706" spans="1:23">
      <c r="A706" s="31" t="s">
        <v>2016</v>
      </c>
      <c r="B706" s="32">
        <v>45715</v>
      </c>
      <c r="C706" s="32">
        <v>45714</v>
      </c>
      <c r="D706" s="31" t="s">
        <v>5</v>
      </c>
      <c r="E706" s="31" t="s">
        <v>6</v>
      </c>
      <c r="G706" s="31" t="s">
        <v>2176</v>
      </c>
      <c r="H706" s="31" t="s">
        <v>1732</v>
      </c>
      <c r="I706" s="31" t="s">
        <v>1733</v>
      </c>
      <c r="J706" s="34" t="str">
        <f t="shared" ref="J706:J769" si="66">+LEFT(U706,4)</f>
        <v>SHTS</v>
      </c>
      <c r="K706" s="31" t="s">
        <v>10</v>
      </c>
      <c r="L706" s="53">
        <v>505</v>
      </c>
      <c r="M706" s="31" t="s">
        <v>1472</v>
      </c>
      <c r="N706" s="31" t="s">
        <v>11</v>
      </c>
      <c r="O706" s="53">
        <v>3.4</v>
      </c>
      <c r="P706" s="35">
        <f t="shared" ref="P706:P769" si="67">ROUND(O706*L706,2)</f>
        <v>1717</v>
      </c>
      <c r="Q706" s="36">
        <f t="shared" ref="Q706:Q769" si="68">IF(N706="HKD",7.8,IF(N706="CNY",7.30034,1))</f>
        <v>7.3003400000000003</v>
      </c>
      <c r="R706" s="36">
        <f t="shared" ref="R706:R769" si="69">+ROUND(O706/Q706,4)</f>
        <v>0.4657</v>
      </c>
      <c r="S706" s="37">
        <f t="shared" ref="S706:S769" si="70">ROUND(R706*L706,2)</f>
        <v>235.18</v>
      </c>
      <c r="T706" s="36" t="s">
        <v>349</v>
      </c>
      <c r="U706" s="31" t="s">
        <v>9</v>
      </c>
      <c r="V706" s="57">
        <v>7.1692999999999998</v>
      </c>
      <c r="W706" s="38">
        <f t="shared" ref="W706:W769" si="71">IF(N706="CNY",O706/V706*L706,1)</f>
        <v>239.49339545004395</v>
      </c>
    </row>
    <row r="707" spans="1:23">
      <c r="A707" s="31" t="s">
        <v>2017</v>
      </c>
      <c r="B707" s="32">
        <v>45707</v>
      </c>
      <c r="C707" s="32">
        <v>45636</v>
      </c>
      <c r="D707" s="31" t="s">
        <v>94</v>
      </c>
      <c r="E707" s="31" t="s">
        <v>95</v>
      </c>
      <c r="G707" s="31" t="s">
        <v>2192</v>
      </c>
      <c r="H707" s="31" t="s">
        <v>1001</v>
      </c>
      <c r="I707" s="31" t="s">
        <v>1002</v>
      </c>
      <c r="J707" s="34" t="str">
        <f t="shared" si="66"/>
        <v>LID-</v>
      </c>
      <c r="K707" s="31" t="s">
        <v>369</v>
      </c>
      <c r="L707" s="53">
        <v>760</v>
      </c>
      <c r="M707" s="31" t="s">
        <v>1472</v>
      </c>
      <c r="N707" s="31" t="s">
        <v>11</v>
      </c>
      <c r="O707" s="53">
        <v>3.42</v>
      </c>
      <c r="P707" s="35">
        <f t="shared" si="67"/>
        <v>2599.1999999999998</v>
      </c>
      <c r="Q707" s="36">
        <f t="shared" si="68"/>
        <v>7.3003400000000003</v>
      </c>
      <c r="R707" s="36">
        <f t="shared" si="69"/>
        <v>0.46850000000000003</v>
      </c>
      <c r="S707" s="37">
        <f t="shared" si="70"/>
        <v>356.06</v>
      </c>
      <c r="T707" s="36" t="s">
        <v>349</v>
      </c>
      <c r="U707" s="31" t="s">
        <v>368</v>
      </c>
      <c r="V707" s="57">
        <v>7.1692999999999998</v>
      </c>
      <c r="W707" s="38">
        <f t="shared" si="71"/>
        <v>362.54585524388716</v>
      </c>
    </row>
    <row r="708" spans="1:23">
      <c r="A708" s="31" t="s">
        <v>2017</v>
      </c>
      <c r="B708" s="32">
        <v>45705</v>
      </c>
      <c r="C708" s="32">
        <v>45636</v>
      </c>
      <c r="D708" s="31" t="s">
        <v>94</v>
      </c>
      <c r="E708" s="31" t="s">
        <v>95</v>
      </c>
      <c r="G708" s="31" t="s">
        <v>2193</v>
      </c>
      <c r="H708" s="31" t="s">
        <v>1001</v>
      </c>
      <c r="I708" s="31" t="s">
        <v>1002</v>
      </c>
      <c r="J708" s="34" t="str">
        <f t="shared" si="66"/>
        <v>LID-</v>
      </c>
      <c r="K708" s="31" t="s">
        <v>369</v>
      </c>
      <c r="L708" s="53">
        <v>3360</v>
      </c>
      <c r="M708" s="31" t="s">
        <v>1472</v>
      </c>
      <c r="N708" s="31" t="s">
        <v>11</v>
      </c>
      <c r="O708" s="53">
        <v>3.42</v>
      </c>
      <c r="P708" s="35">
        <f t="shared" si="67"/>
        <v>11491.2</v>
      </c>
      <c r="Q708" s="36">
        <f t="shared" si="68"/>
        <v>7.3003400000000003</v>
      </c>
      <c r="R708" s="36">
        <f t="shared" si="69"/>
        <v>0.46850000000000003</v>
      </c>
      <c r="S708" s="37">
        <f t="shared" si="70"/>
        <v>1574.16</v>
      </c>
      <c r="T708" s="36" t="s">
        <v>349</v>
      </c>
      <c r="U708" s="31" t="s">
        <v>368</v>
      </c>
      <c r="V708" s="57">
        <v>7.1692999999999998</v>
      </c>
      <c r="W708" s="38">
        <f t="shared" si="71"/>
        <v>1602.8343073940275</v>
      </c>
    </row>
    <row r="709" spans="1:23">
      <c r="A709" s="31" t="s">
        <v>2018</v>
      </c>
      <c r="B709" s="32">
        <v>45707</v>
      </c>
      <c r="C709" s="32">
        <v>45636</v>
      </c>
      <c r="D709" s="31" t="s">
        <v>94</v>
      </c>
      <c r="E709" s="31" t="s">
        <v>95</v>
      </c>
      <c r="G709" s="31" t="s">
        <v>2192</v>
      </c>
      <c r="H709" s="31" t="s">
        <v>1001</v>
      </c>
      <c r="I709" s="31" t="s">
        <v>1002</v>
      </c>
      <c r="J709" s="34" t="str">
        <f t="shared" si="66"/>
        <v>LID-</v>
      </c>
      <c r="K709" s="31" t="s">
        <v>369</v>
      </c>
      <c r="L709" s="53">
        <v>1030</v>
      </c>
      <c r="M709" s="31" t="s">
        <v>1472</v>
      </c>
      <c r="N709" s="31" t="s">
        <v>11</v>
      </c>
      <c r="O709" s="53">
        <v>3.42</v>
      </c>
      <c r="P709" s="35">
        <f t="shared" si="67"/>
        <v>3522.6</v>
      </c>
      <c r="Q709" s="36">
        <f t="shared" si="68"/>
        <v>7.3003400000000003</v>
      </c>
      <c r="R709" s="36">
        <f t="shared" si="69"/>
        <v>0.46850000000000003</v>
      </c>
      <c r="S709" s="37">
        <f t="shared" si="70"/>
        <v>482.56</v>
      </c>
      <c r="T709" s="36" t="s">
        <v>349</v>
      </c>
      <c r="U709" s="31" t="s">
        <v>368</v>
      </c>
      <c r="V709" s="57">
        <v>7.1692999999999998</v>
      </c>
      <c r="W709" s="38">
        <f t="shared" si="71"/>
        <v>491.34504065947863</v>
      </c>
    </row>
    <row r="710" spans="1:23">
      <c r="A710" s="31" t="s">
        <v>2019</v>
      </c>
      <c r="B710" s="32">
        <v>45716</v>
      </c>
      <c r="C710" s="32">
        <v>45700</v>
      </c>
      <c r="D710" s="31" t="s">
        <v>94</v>
      </c>
      <c r="E710" s="31" t="s">
        <v>95</v>
      </c>
      <c r="G710" s="31" t="s">
        <v>2191</v>
      </c>
      <c r="H710" s="31" t="s">
        <v>1001</v>
      </c>
      <c r="I710" s="31" t="s">
        <v>1002</v>
      </c>
      <c r="J710" s="34" t="str">
        <f t="shared" si="66"/>
        <v>LID-</v>
      </c>
      <c r="K710" s="31" t="s">
        <v>369</v>
      </c>
      <c r="L710" s="53">
        <v>331</v>
      </c>
      <c r="M710" s="31" t="s">
        <v>1472</v>
      </c>
      <c r="N710" s="31" t="s">
        <v>11</v>
      </c>
      <c r="O710" s="53">
        <v>3.42</v>
      </c>
      <c r="P710" s="35">
        <f t="shared" si="67"/>
        <v>1132.02</v>
      </c>
      <c r="Q710" s="36">
        <f t="shared" si="68"/>
        <v>7.3003400000000003</v>
      </c>
      <c r="R710" s="36">
        <f t="shared" si="69"/>
        <v>0.46850000000000003</v>
      </c>
      <c r="S710" s="37">
        <f t="shared" si="70"/>
        <v>155.07</v>
      </c>
      <c r="T710" s="36" t="s">
        <v>349</v>
      </c>
      <c r="U710" s="31" t="s">
        <v>368</v>
      </c>
      <c r="V710" s="57">
        <v>7.1692999999999998</v>
      </c>
      <c r="W710" s="38">
        <f t="shared" si="71"/>
        <v>157.898260639114</v>
      </c>
    </row>
    <row r="711" spans="1:23">
      <c r="A711" s="31" t="s">
        <v>2020</v>
      </c>
      <c r="B711" s="32">
        <v>45708</v>
      </c>
      <c r="C711" s="32">
        <v>45636</v>
      </c>
      <c r="D711" s="31" t="s">
        <v>94</v>
      </c>
      <c r="E711" s="31" t="s">
        <v>95</v>
      </c>
      <c r="G711" s="31" t="s">
        <v>2194</v>
      </c>
      <c r="H711" s="31" t="s">
        <v>1734</v>
      </c>
      <c r="I711" s="31" t="s">
        <v>1735</v>
      </c>
      <c r="J711" s="34" t="str">
        <f t="shared" si="66"/>
        <v>LID-</v>
      </c>
      <c r="K711" s="31" t="s">
        <v>369</v>
      </c>
      <c r="L711" s="53">
        <v>1410</v>
      </c>
      <c r="M711" s="31" t="s">
        <v>1472</v>
      </c>
      <c r="N711" s="31" t="s">
        <v>11</v>
      </c>
      <c r="O711" s="53">
        <v>3.53</v>
      </c>
      <c r="P711" s="35">
        <f t="shared" si="67"/>
        <v>4977.3</v>
      </c>
      <c r="Q711" s="36">
        <f t="shared" si="68"/>
        <v>7.3003400000000003</v>
      </c>
      <c r="R711" s="36">
        <f t="shared" si="69"/>
        <v>0.48349999999999999</v>
      </c>
      <c r="S711" s="37">
        <f t="shared" si="70"/>
        <v>681.74</v>
      </c>
      <c r="T711" s="36" t="s">
        <v>349</v>
      </c>
      <c r="U711" s="31" t="s">
        <v>368</v>
      </c>
      <c r="V711" s="57">
        <v>7.1692999999999998</v>
      </c>
      <c r="W711" s="38">
        <f t="shared" si="71"/>
        <v>694.25187954193575</v>
      </c>
    </row>
    <row r="712" spans="1:23">
      <c r="A712" s="31" t="s">
        <v>2020</v>
      </c>
      <c r="B712" s="32">
        <v>45707</v>
      </c>
      <c r="C712" s="32">
        <v>45636</v>
      </c>
      <c r="D712" s="31" t="s">
        <v>94</v>
      </c>
      <c r="E712" s="31" t="s">
        <v>95</v>
      </c>
      <c r="G712" s="31" t="s">
        <v>2192</v>
      </c>
      <c r="H712" s="31" t="s">
        <v>1734</v>
      </c>
      <c r="I712" s="31" t="s">
        <v>1735</v>
      </c>
      <c r="J712" s="34" t="str">
        <f t="shared" si="66"/>
        <v>LID-</v>
      </c>
      <c r="K712" s="31" t="s">
        <v>369</v>
      </c>
      <c r="L712" s="53">
        <v>1680</v>
      </c>
      <c r="M712" s="31" t="s">
        <v>1472</v>
      </c>
      <c r="N712" s="31" t="s">
        <v>11</v>
      </c>
      <c r="O712" s="53">
        <v>3.53</v>
      </c>
      <c r="P712" s="35">
        <f t="shared" si="67"/>
        <v>5930.4</v>
      </c>
      <c r="Q712" s="36">
        <f t="shared" si="68"/>
        <v>7.3003400000000003</v>
      </c>
      <c r="R712" s="36">
        <f t="shared" si="69"/>
        <v>0.48349999999999999</v>
      </c>
      <c r="S712" s="37">
        <f t="shared" si="70"/>
        <v>812.28</v>
      </c>
      <c r="T712" s="36" t="s">
        <v>349</v>
      </c>
      <c r="U712" s="31" t="s">
        <v>368</v>
      </c>
      <c r="V712" s="57">
        <v>7.1692999999999998</v>
      </c>
      <c r="W712" s="38">
        <f t="shared" si="71"/>
        <v>827.19372881592346</v>
      </c>
    </row>
    <row r="713" spans="1:23">
      <c r="A713" s="31" t="s">
        <v>2021</v>
      </c>
      <c r="B713" s="32">
        <v>45708</v>
      </c>
      <c r="C713" s="32">
        <v>45636</v>
      </c>
      <c r="D713" s="31" t="s">
        <v>94</v>
      </c>
      <c r="E713" s="31" t="s">
        <v>95</v>
      </c>
      <c r="G713" s="31" t="s">
        <v>2194</v>
      </c>
      <c r="H713" s="31" t="s">
        <v>1734</v>
      </c>
      <c r="I713" s="31" t="s">
        <v>1735</v>
      </c>
      <c r="J713" s="34" t="str">
        <f t="shared" si="66"/>
        <v>LID-</v>
      </c>
      <c r="K713" s="31" t="s">
        <v>369</v>
      </c>
      <c r="L713" s="53">
        <v>1030</v>
      </c>
      <c r="M713" s="31" t="s">
        <v>1472</v>
      </c>
      <c r="N713" s="31" t="s">
        <v>11</v>
      </c>
      <c r="O713" s="53">
        <v>3.53</v>
      </c>
      <c r="P713" s="35">
        <f t="shared" si="67"/>
        <v>3635.9</v>
      </c>
      <c r="Q713" s="36">
        <f t="shared" si="68"/>
        <v>7.3003400000000003</v>
      </c>
      <c r="R713" s="36">
        <f t="shared" si="69"/>
        <v>0.48349999999999999</v>
      </c>
      <c r="S713" s="37">
        <f t="shared" si="70"/>
        <v>498.01</v>
      </c>
      <c r="T713" s="36" t="s">
        <v>349</v>
      </c>
      <c r="U713" s="31" t="s">
        <v>368</v>
      </c>
      <c r="V713" s="57">
        <v>7.1692999999999998</v>
      </c>
      <c r="W713" s="38">
        <f t="shared" si="71"/>
        <v>507.1485361192864</v>
      </c>
    </row>
    <row r="714" spans="1:23">
      <c r="A714" s="31" t="s">
        <v>2022</v>
      </c>
      <c r="B714" s="32">
        <v>45713</v>
      </c>
      <c r="C714" s="32">
        <v>45671</v>
      </c>
      <c r="D714" s="31" t="s">
        <v>121</v>
      </c>
      <c r="E714" s="31" t="s">
        <v>122</v>
      </c>
      <c r="G714" s="31" t="s">
        <v>2195</v>
      </c>
      <c r="H714" s="31" t="s">
        <v>357</v>
      </c>
      <c r="I714" s="31" t="s">
        <v>358</v>
      </c>
      <c r="J714" s="34" t="str">
        <f t="shared" si="66"/>
        <v>HDL-</v>
      </c>
      <c r="K714" s="31" t="s">
        <v>10</v>
      </c>
      <c r="L714" s="53">
        <v>195</v>
      </c>
      <c r="M714" s="31" t="s">
        <v>1472</v>
      </c>
      <c r="N714" s="31" t="s">
        <v>11</v>
      </c>
      <c r="O714" s="53">
        <v>3.5398000000000001</v>
      </c>
      <c r="P714" s="35">
        <f t="shared" si="67"/>
        <v>690.26</v>
      </c>
      <c r="Q714" s="36">
        <f t="shared" si="68"/>
        <v>7.3003400000000003</v>
      </c>
      <c r="R714" s="36">
        <f t="shared" si="69"/>
        <v>0.4849</v>
      </c>
      <c r="S714" s="37">
        <f t="shared" si="70"/>
        <v>94.56</v>
      </c>
      <c r="T714" s="36" t="s">
        <v>349</v>
      </c>
      <c r="U714" s="31" t="s">
        <v>228</v>
      </c>
      <c r="V714" s="57">
        <v>7.1692999999999998</v>
      </c>
      <c r="W714" s="38">
        <f t="shared" si="71"/>
        <v>96.280111028970751</v>
      </c>
    </row>
    <row r="715" spans="1:23">
      <c r="A715" s="31" t="s">
        <v>2023</v>
      </c>
      <c r="B715" s="32">
        <v>45714</v>
      </c>
      <c r="C715" s="32">
        <v>45675</v>
      </c>
      <c r="D715" s="31" t="s">
        <v>187</v>
      </c>
      <c r="E715" s="31" t="s">
        <v>188</v>
      </c>
      <c r="G715" s="31" t="s">
        <v>2187</v>
      </c>
      <c r="H715" s="31" t="s">
        <v>192</v>
      </c>
      <c r="I715" s="31" t="s">
        <v>193</v>
      </c>
      <c r="J715" s="34" t="str">
        <f t="shared" si="66"/>
        <v>ALM-</v>
      </c>
      <c r="K715" s="31" t="s">
        <v>98</v>
      </c>
      <c r="L715" s="53">
        <v>50</v>
      </c>
      <c r="M715" s="31" t="s">
        <v>186</v>
      </c>
      <c r="N715" s="31" t="s">
        <v>11</v>
      </c>
      <c r="O715" s="53">
        <v>3.6282999999999999</v>
      </c>
      <c r="P715" s="35">
        <f t="shared" si="67"/>
        <v>181.42</v>
      </c>
      <c r="Q715" s="36">
        <f t="shared" si="68"/>
        <v>7.3003400000000003</v>
      </c>
      <c r="R715" s="36">
        <f t="shared" si="69"/>
        <v>0.497</v>
      </c>
      <c r="S715" s="37">
        <f t="shared" si="70"/>
        <v>24.85</v>
      </c>
      <c r="T715" s="36" t="s">
        <v>349</v>
      </c>
      <c r="U715" s="31" t="s">
        <v>191</v>
      </c>
      <c r="V715" s="57">
        <v>7.1692999999999998</v>
      </c>
      <c r="W715" s="38">
        <f t="shared" si="71"/>
        <v>25.304423025957906</v>
      </c>
    </row>
    <row r="716" spans="1:23">
      <c r="A716" s="31" t="s">
        <v>2024</v>
      </c>
      <c r="B716" s="32">
        <v>45714</v>
      </c>
      <c r="C716" s="32">
        <v>45675</v>
      </c>
      <c r="D716" s="31" t="s">
        <v>187</v>
      </c>
      <c r="E716" s="31" t="s">
        <v>188</v>
      </c>
      <c r="G716" s="31" t="s">
        <v>2187</v>
      </c>
      <c r="H716" s="31" t="s">
        <v>1736</v>
      </c>
      <c r="I716" s="31" t="s">
        <v>1737</v>
      </c>
      <c r="J716" s="34" t="str">
        <f t="shared" si="66"/>
        <v>ALM-</v>
      </c>
      <c r="K716" s="31" t="s">
        <v>98</v>
      </c>
      <c r="L716" s="53">
        <v>50</v>
      </c>
      <c r="M716" s="31" t="s">
        <v>186</v>
      </c>
      <c r="N716" s="31" t="s">
        <v>11</v>
      </c>
      <c r="O716" s="53">
        <v>3.6282999999999999</v>
      </c>
      <c r="P716" s="35">
        <f t="shared" si="67"/>
        <v>181.42</v>
      </c>
      <c r="Q716" s="36">
        <f t="shared" si="68"/>
        <v>7.3003400000000003</v>
      </c>
      <c r="R716" s="36">
        <f t="shared" si="69"/>
        <v>0.497</v>
      </c>
      <c r="S716" s="37">
        <f t="shared" si="70"/>
        <v>24.85</v>
      </c>
      <c r="T716" s="36" t="s">
        <v>349</v>
      </c>
      <c r="U716" s="31" t="s">
        <v>191</v>
      </c>
      <c r="V716" s="57">
        <v>7.1692999999999998</v>
      </c>
      <c r="W716" s="38">
        <f t="shared" si="71"/>
        <v>25.304423025957906</v>
      </c>
    </row>
    <row r="717" spans="1:23">
      <c r="A717" s="31" t="s">
        <v>2025</v>
      </c>
      <c r="B717" s="32">
        <v>45714</v>
      </c>
      <c r="C717" s="32">
        <v>45675</v>
      </c>
      <c r="D717" s="31" t="s">
        <v>187</v>
      </c>
      <c r="E717" s="31" t="s">
        <v>188</v>
      </c>
      <c r="G717" s="31" t="s">
        <v>2187</v>
      </c>
      <c r="H717" s="31" t="s">
        <v>1200</v>
      </c>
      <c r="I717" s="31" t="s">
        <v>1201</v>
      </c>
      <c r="J717" s="34" t="str">
        <f t="shared" si="66"/>
        <v>ALM-</v>
      </c>
      <c r="K717" s="31" t="s">
        <v>98</v>
      </c>
      <c r="L717" s="53">
        <v>80</v>
      </c>
      <c r="M717" s="31" t="s">
        <v>186</v>
      </c>
      <c r="N717" s="31" t="s">
        <v>11</v>
      </c>
      <c r="O717" s="53">
        <v>3.6282999999999999</v>
      </c>
      <c r="P717" s="35">
        <f t="shared" si="67"/>
        <v>290.26</v>
      </c>
      <c r="Q717" s="36">
        <f t="shared" si="68"/>
        <v>7.3003400000000003</v>
      </c>
      <c r="R717" s="36">
        <f t="shared" si="69"/>
        <v>0.497</v>
      </c>
      <c r="S717" s="37">
        <f t="shared" si="70"/>
        <v>39.76</v>
      </c>
      <c r="T717" s="36" t="s">
        <v>349</v>
      </c>
      <c r="U717" s="31" t="s">
        <v>191</v>
      </c>
      <c r="V717" s="57">
        <v>7.1692999999999998</v>
      </c>
      <c r="W717" s="38">
        <f t="shared" si="71"/>
        <v>40.487076841532648</v>
      </c>
    </row>
    <row r="718" spans="1:23">
      <c r="A718" s="31" t="s">
        <v>2026</v>
      </c>
      <c r="B718" s="32">
        <v>45714</v>
      </c>
      <c r="C718" s="32">
        <v>45675</v>
      </c>
      <c r="D718" s="31" t="s">
        <v>187</v>
      </c>
      <c r="E718" s="31" t="s">
        <v>188</v>
      </c>
      <c r="G718" s="31" t="s">
        <v>2187</v>
      </c>
      <c r="H718" s="31" t="s">
        <v>1226</v>
      </c>
      <c r="I718" s="31" t="s">
        <v>1227</v>
      </c>
      <c r="J718" s="34" t="str">
        <f t="shared" si="66"/>
        <v>ALM-</v>
      </c>
      <c r="K718" s="31" t="s">
        <v>98</v>
      </c>
      <c r="L718" s="53">
        <v>170</v>
      </c>
      <c r="M718" s="31" t="s">
        <v>186</v>
      </c>
      <c r="N718" s="31" t="s">
        <v>11</v>
      </c>
      <c r="O718" s="53">
        <v>3.6282999999999999</v>
      </c>
      <c r="P718" s="35">
        <f t="shared" si="67"/>
        <v>616.80999999999995</v>
      </c>
      <c r="Q718" s="36">
        <f t="shared" si="68"/>
        <v>7.3003400000000003</v>
      </c>
      <c r="R718" s="36">
        <f t="shared" si="69"/>
        <v>0.497</v>
      </c>
      <c r="S718" s="37">
        <f t="shared" si="70"/>
        <v>84.49</v>
      </c>
      <c r="T718" s="36" t="s">
        <v>349</v>
      </c>
      <c r="U718" s="31" t="s">
        <v>191</v>
      </c>
      <c r="V718" s="57">
        <v>7.1692999999999998</v>
      </c>
      <c r="W718" s="38">
        <f t="shared" si="71"/>
        <v>86.035038288256885</v>
      </c>
    </row>
    <row r="719" spans="1:23">
      <c r="A719" s="31" t="s">
        <v>2027</v>
      </c>
      <c r="B719" s="32">
        <v>45714</v>
      </c>
      <c r="C719" s="32">
        <v>45698</v>
      </c>
      <c r="D719" s="31" t="s">
        <v>187</v>
      </c>
      <c r="E719" s="31" t="s">
        <v>188</v>
      </c>
      <c r="G719" s="31" t="s">
        <v>2187</v>
      </c>
      <c r="H719" s="31" t="s">
        <v>1736</v>
      </c>
      <c r="I719" s="31" t="s">
        <v>1737</v>
      </c>
      <c r="J719" s="34" t="str">
        <f t="shared" si="66"/>
        <v>ALM-</v>
      </c>
      <c r="K719" s="31" t="s">
        <v>98</v>
      </c>
      <c r="L719" s="53">
        <v>50</v>
      </c>
      <c r="M719" s="31" t="s">
        <v>186</v>
      </c>
      <c r="N719" s="31" t="s">
        <v>11</v>
      </c>
      <c r="O719" s="53">
        <v>3.6282999999999999</v>
      </c>
      <c r="P719" s="35">
        <f t="shared" si="67"/>
        <v>181.42</v>
      </c>
      <c r="Q719" s="36">
        <f t="shared" si="68"/>
        <v>7.3003400000000003</v>
      </c>
      <c r="R719" s="36">
        <f t="shared" si="69"/>
        <v>0.497</v>
      </c>
      <c r="S719" s="37">
        <f t="shared" si="70"/>
        <v>24.85</v>
      </c>
      <c r="T719" s="36" t="s">
        <v>349</v>
      </c>
      <c r="U719" s="31" t="s">
        <v>191</v>
      </c>
      <c r="V719" s="57">
        <v>7.1692999999999998</v>
      </c>
      <c r="W719" s="38">
        <f t="shared" si="71"/>
        <v>25.304423025957906</v>
      </c>
    </row>
    <row r="720" spans="1:23">
      <c r="A720" s="31" t="s">
        <v>2028</v>
      </c>
      <c r="B720" s="32">
        <v>45714</v>
      </c>
      <c r="C720" s="32">
        <v>45698</v>
      </c>
      <c r="D720" s="31" t="s">
        <v>187</v>
      </c>
      <c r="E720" s="31" t="s">
        <v>188</v>
      </c>
      <c r="G720" s="31" t="s">
        <v>2187</v>
      </c>
      <c r="H720" s="31" t="s">
        <v>1738</v>
      </c>
      <c r="I720" s="31" t="s">
        <v>1739</v>
      </c>
      <c r="J720" s="34" t="str">
        <f t="shared" si="66"/>
        <v>ALM-</v>
      </c>
      <c r="K720" s="31" t="s">
        <v>98</v>
      </c>
      <c r="L720" s="53">
        <v>100</v>
      </c>
      <c r="M720" s="31" t="s">
        <v>186</v>
      </c>
      <c r="N720" s="31" t="s">
        <v>11</v>
      </c>
      <c r="O720" s="53">
        <v>3.6282999999999999</v>
      </c>
      <c r="P720" s="35">
        <f t="shared" si="67"/>
        <v>362.83</v>
      </c>
      <c r="Q720" s="36">
        <f t="shared" si="68"/>
        <v>7.3003400000000003</v>
      </c>
      <c r="R720" s="36">
        <f t="shared" si="69"/>
        <v>0.497</v>
      </c>
      <c r="S720" s="37">
        <f t="shared" si="70"/>
        <v>49.7</v>
      </c>
      <c r="T720" s="36" t="s">
        <v>349</v>
      </c>
      <c r="U720" s="31" t="s">
        <v>191</v>
      </c>
      <c r="V720" s="57">
        <v>7.1692999999999998</v>
      </c>
      <c r="W720" s="38">
        <f t="shared" si="71"/>
        <v>50.608846051915812</v>
      </c>
    </row>
    <row r="721" spans="1:23">
      <c r="A721" s="31" t="s">
        <v>2029</v>
      </c>
      <c r="B721" s="32">
        <v>45714</v>
      </c>
      <c r="C721" s="32">
        <v>45698</v>
      </c>
      <c r="D721" s="31" t="s">
        <v>187</v>
      </c>
      <c r="E721" s="31" t="s">
        <v>188</v>
      </c>
      <c r="G721" s="31" t="s">
        <v>2187</v>
      </c>
      <c r="H721" s="31" t="s">
        <v>1740</v>
      </c>
      <c r="I721" s="31" t="s">
        <v>1741</v>
      </c>
      <c r="J721" s="34" t="str">
        <f t="shared" si="66"/>
        <v>ALM-</v>
      </c>
      <c r="K721" s="31" t="s">
        <v>98</v>
      </c>
      <c r="L721" s="53">
        <v>150</v>
      </c>
      <c r="M721" s="31" t="s">
        <v>186</v>
      </c>
      <c r="N721" s="31" t="s">
        <v>11</v>
      </c>
      <c r="O721" s="53">
        <v>3.6282999999999999</v>
      </c>
      <c r="P721" s="35">
        <f t="shared" si="67"/>
        <v>544.25</v>
      </c>
      <c r="Q721" s="36">
        <f t="shared" si="68"/>
        <v>7.3003400000000003</v>
      </c>
      <c r="R721" s="36">
        <f t="shared" si="69"/>
        <v>0.497</v>
      </c>
      <c r="S721" s="37">
        <f t="shared" si="70"/>
        <v>74.55</v>
      </c>
      <c r="T721" s="36" t="s">
        <v>349</v>
      </c>
      <c r="U721" s="31" t="s">
        <v>191</v>
      </c>
      <c r="V721" s="57">
        <v>7.1692999999999998</v>
      </c>
      <c r="W721" s="38">
        <f t="shared" si="71"/>
        <v>75.913269077873721</v>
      </c>
    </row>
    <row r="722" spans="1:23">
      <c r="A722" s="31" t="s">
        <v>2030</v>
      </c>
      <c r="B722" s="32">
        <v>45709</v>
      </c>
      <c r="C722" s="32">
        <v>45636</v>
      </c>
      <c r="D722" s="31" t="s">
        <v>94</v>
      </c>
      <c r="E722" s="31" t="s">
        <v>95</v>
      </c>
      <c r="G722" s="31" t="s">
        <v>2196</v>
      </c>
      <c r="H722" s="31" t="s">
        <v>997</v>
      </c>
      <c r="I722" s="31" t="s">
        <v>998</v>
      </c>
      <c r="J722" s="34" t="str">
        <f t="shared" si="66"/>
        <v>LID-</v>
      </c>
      <c r="K722" s="31" t="s">
        <v>369</v>
      </c>
      <c r="L722" s="53">
        <v>860</v>
      </c>
      <c r="M722" s="31" t="s">
        <v>1472</v>
      </c>
      <c r="N722" s="31" t="s">
        <v>11</v>
      </c>
      <c r="O722" s="53">
        <v>3.64</v>
      </c>
      <c r="P722" s="35">
        <f t="shared" si="67"/>
        <v>3130.4</v>
      </c>
      <c r="Q722" s="36">
        <f t="shared" si="68"/>
        <v>7.3003400000000003</v>
      </c>
      <c r="R722" s="36">
        <f t="shared" si="69"/>
        <v>0.49859999999999999</v>
      </c>
      <c r="S722" s="37">
        <f t="shared" si="70"/>
        <v>428.8</v>
      </c>
      <c r="T722" s="36" t="s">
        <v>349</v>
      </c>
      <c r="U722" s="31" t="s">
        <v>368</v>
      </c>
      <c r="V722" s="57">
        <v>7.1692999999999998</v>
      </c>
      <c r="W722" s="38">
        <f t="shared" si="71"/>
        <v>436.63956034759326</v>
      </c>
    </row>
    <row r="723" spans="1:23">
      <c r="A723" s="31" t="s">
        <v>2030</v>
      </c>
      <c r="B723" s="32">
        <v>45707</v>
      </c>
      <c r="C723" s="32">
        <v>45636</v>
      </c>
      <c r="D723" s="31" t="s">
        <v>94</v>
      </c>
      <c r="E723" s="31" t="s">
        <v>95</v>
      </c>
      <c r="G723" s="31" t="s">
        <v>2192</v>
      </c>
      <c r="H723" s="31" t="s">
        <v>997</v>
      </c>
      <c r="I723" s="31" t="s">
        <v>998</v>
      </c>
      <c r="J723" s="34" t="str">
        <f t="shared" si="66"/>
        <v>LID-</v>
      </c>
      <c r="K723" s="31" t="s">
        <v>369</v>
      </c>
      <c r="L723" s="53">
        <v>1200</v>
      </c>
      <c r="M723" s="31" t="s">
        <v>1472</v>
      </c>
      <c r="N723" s="31" t="s">
        <v>11</v>
      </c>
      <c r="O723" s="53">
        <v>3.64</v>
      </c>
      <c r="P723" s="35">
        <f t="shared" si="67"/>
        <v>4368</v>
      </c>
      <c r="Q723" s="36">
        <f t="shared" si="68"/>
        <v>7.3003400000000003</v>
      </c>
      <c r="R723" s="36">
        <f t="shared" si="69"/>
        <v>0.49859999999999999</v>
      </c>
      <c r="S723" s="37">
        <f t="shared" si="70"/>
        <v>598.32000000000005</v>
      </c>
      <c r="T723" s="36" t="s">
        <v>349</v>
      </c>
      <c r="U723" s="31" t="s">
        <v>368</v>
      </c>
      <c r="V723" s="57">
        <v>7.1692999999999998</v>
      </c>
      <c r="W723" s="38">
        <f t="shared" si="71"/>
        <v>609.26450281059522</v>
      </c>
    </row>
    <row r="724" spans="1:23">
      <c r="A724" s="31" t="s">
        <v>2031</v>
      </c>
      <c r="B724" s="32">
        <v>45712</v>
      </c>
      <c r="C724" s="32">
        <v>45636</v>
      </c>
      <c r="D724" s="31" t="s">
        <v>94</v>
      </c>
      <c r="E724" s="31" t="s">
        <v>95</v>
      </c>
      <c r="G724" s="31" t="s">
        <v>2197</v>
      </c>
      <c r="H724" s="31" t="s">
        <v>997</v>
      </c>
      <c r="I724" s="31" t="s">
        <v>998</v>
      </c>
      <c r="J724" s="34" t="str">
        <f t="shared" si="66"/>
        <v>LID-</v>
      </c>
      <c r="K724" s="31" t="s">
        <v>369</v>
      </c>
      <c r="L724" s="53">
        <v>1250</v>
      </c>
      <c r="M724" s="31" t="s">
        <v>1472</v>
      </c>
      <c r="N724" s="31" t="s">
        <v>11</v>
      </c>
      <c r="O724" s="53">
        <v>3.64</v>
      </c>
      <c r="P724" s="35">
        <f t="shared" si="67"/>
        <v>4550</v>
      </c>
      <c r="Q724" s="36">
        <f t="shared" si="68"/>
        <v>7.3003400000000003</v>
      </c>
      <c r="R724" s="36">
        <f t="shared" si="69"/>
        <v>0.49859999999999999</v>
      </c>
      <c r="S724" s="37">
        <f t="shared" si="70"/>
        <v>623.25</v>
      </c>
      <c r="T724" s="36" t="s">
        <v>349</v>
      </c>
      <c r="U724" s="31" t="s">
        <v>368</v>
      </c>
      <c r="V724" s="57">
        <v>7.1692999999999998</v>
      </c>
      <c r="W724" s="38">
        <f t="shared" si="71"/>
        <v>634.65052376103665</v>
      </c>
    </row>
    <row r="725" spans="1:23">
      <c r="A725" s="31" t="s">
        <v>2031</v>
      </c>
      <c r="B725" s="32">
        <v>45709</v>
      </c>
      <c r="C725" s="32">
        <v>45636</v>
      </c>
      <c r="D725" s="31" t="s">
        <v>94</v>
      </c>
      <c r="E725" s="31" t="s">
        <v>95</v>
      </c>
      <c r="G725" s="31" t="s">
        <v>2196</v>
      </c>
      <c r="H725" s="31" t="s">
        <v>997</v>
      </c>
      <c r="I725" s="31" t="s">
        <v>998</v>
      </c>
      <c r="J725" s="34" t="str">
        <f t="shared" si="66"/>
        <v>LID-</v>
      </c>
      <c r="K725" s="31" t="s">
        <v>369</v>
      </c>
      <c r="L725" s="53">
        <v>1840</v>
      </c>
      <c r="M725" s="31" t="s">
        <v>1472</v>
      </c>
      <c r="N725" s="31" t="s">
        <v>11</v>
      </c>
      <c r="O725" s="53">
        <v>3.64</v>
      </c>
      <c r="P725" s="35">
        <f t="shared" si="67"/>
        <v>6697.6</v>
      </c>
      <c r="Q725" s="36">
        <f t="shared" si="68"/>
        <v>7.3003400000000003</v>
      </c>
      <c r="R725" s="36">
        <f t="shared" si="69"/>
        <v>0.49859999999999999</v>
      </c>
      <c r="S725" s="37">
        <f t="shared" si="70"/>
        <v>917.42</v>
      </c>
      <c r="T725" s="36" t="s">
        <v>349</v>
      </c>
      <c r="U725" s="31" t="s">
        <v>368</v>
      </c>
      <c r="V725" s="57">
        <v>7.1692999999999998</v>
      </c>
      <c r="W725" s="38">
        <f t="shared" si="71"/>
        <v>934.20557097624601</v>
      </c>
    </row>
    <row r="726" spans="1:23">
      <c r="A726" s="31" t="s">
        <v>2032</v>
      </c>
      <c r="B726" s="32">
        <v>45698</v>
      </c>
      <c r="C726" s="32">
        <v>45636</v>
      </c>
      <c r="D726" s="31" t="s">
        <v>94</v>
      </c>
      <c r="E726" s="31" t="s">
        <v>95</v>
      </c>
      <c r="G726" s="31" t="s">
        <v>2198</v>
      </c>
      <c r="H726" s="31" t="s">
        <v>1742</v>
      </c>
      <c r="I726" s="31" t="s">
        <v>1743</v>
      </c>
      <c r="J726" s="34" t="str">
        <f t="shared" si="66"/>
        <v>LID-</v>
      </c>
      <c r="K726" s="31" t="s">
        <v>369</v>
      </c>
      <c r="L726" s="53">
        <v>3090</v>
      </c>
      <c r="M726" s="31" t="s">
        <v>1472</v>
      </c>
      <c r="N726" s="31" t="s">
        <v>11</v>
      </c>
      <c r="O726" s="53">
        <v>3.75</v>
      </c>
      <c r="P726" s="35">
        <f t="shared" si="67"/>
        <v>11587.5</v>
      </c>
      <c r="Q726" s="36">
        <f t="shared" si="68"/>
        <v>7.3003400000000003</v>
      </c>
      <c r="R726" s="36">
        <f t="shared" si="69"/>
        <v>0.51370000000000005</v>
      </c>
      <c r="S726" s="37">
        <f t="shared" si="70"/>
        <v>1587.33</v>
      </c>
      <c r="T726" s="36" t="s">
        <v>349</v>
      </c>
      <c r="U726" s="31" t="s">
        <v>368</v>
      </c>
      <c r="V726" s="57">
        <v>7.1692999999999998</v>
      </c>
      <c r="W726" s="38">
        <f t="shared" si="71"/>
        <v>1616.266581116706</v>
      </c>
    </row>
    <row r="727" spans="1:23">
      <c r="A727" s="31" t="s">
        <v>2033</v>
      </c>
      <c r="B727" s="32">
        <v>45698</v>
      </c>
      <c r="C727" s="32">
        <v>45636</v>
      </c>
      <c r="D727" s="31" t="s">
        <v>94</v>
      </c>
      <c r="E727" s="31" t="s">
        <v>95</v>
      </c>
      <c r="G727" s="31" t="s">
        <v>2198</v>
      </c>
      <c r="H727" s="31" t="s">
        <v>1742</v>
      </c>
      <c r="I727" s="31" t="s">
        <v>1743</v>
      </c>
      <c r="J727" s="34" t="str">
        <f t="shared" si="66"/>
        <v>LID-</v>
      </c>
      <c r="K727" s="31" t="s">
        <v>369</v>
      </c>
      <c r="L727" s="53">
        <v>1030</v>
      </c>
      <c r="M727" s="31" t="s">
        <v>1472</v>
      </c>
      <c r="N727" s="31" t="s">
        <v>11</v>
      </c>
      <c r="O727" s="53">
        <v>3.75</v>
      </c>
      <c r="P727" s="35">
        <f t="shared" si="67"/>
        <v>3862.5</v>
      </c>
      <c r="Q727" s="36">
        <f t="shared" si="68"/>
        <v>7.3003400000000003</v>
      </c>
      <c r="R727" s="36">
        <f t="shared" si="69"/>
        <v>0.51370000000000005</v>
      </c>
      <c r="S727" s="37">
        <f t="shared" si="70"/>
        <v>529.11</v>
      </c>
      <c r="T727" s="36" t="s">
        <v>349</v>
      </c>
      <c r="U727" s="31" t="s">
        <v>368</v>
      </c>
      <c r="V727" s="57">
        <v>7.1692999999999998</v>
      </c>
      <c r="W727" s="38">
        <f t="shared" si="71"/>
        <v>538.75552703890196</v>
      </c>
    </row>
    <row r="728" spans="1:23">
      <c r="A728" s="31" t="s">
        <v>2034</v>
      </c>
      <c r="B728" s="32">
        <v>45706</v>
      </c>
      <c r="C728" s="32">
        <v>45609</v>
      </c>
      <c r="D728" s="31" t="s">
        <v>128</v>
      </c>
      <c r="E728" s="31" t="s">
        <v>129</v>
      </c>
      <c r="G728" s="31" t="s">
        <v>2199</v>
      </c>
      <c r="H728" s="31" t="s">
        <v>1744</v>
      </c>
      <c r="I728" s="31" t="s">
        <v>1745</v>
      </c>
      <c r="J728" s="34" t="str">
        <f t="shared" si="66"/>
        <v>HDL-</v>
      </c>
      <c r="K728" s="31" t="s">
        <v>10</v>
      </c>
      <c r="L728" s="53">
        <v>-18</v>
      </c>
      <c r="M728" s="31" t="s">
        <v>1472</v>
      </c>
      <c r="N728" s="31" t="s">
        <v>11</v>
      </c>
      <c r="O728" s="53">
        <v>3.7610000000000001</v>
      </c>
      <c r="P728" s="35">
        <f t="shared" si="67"/>
        <v>-67.7</v>
      </c>
      <c r="Q728" s="36">
        <f t="shared" si="68"/>
        <v>7.3003400000000003</v>
      </c>
      <c r="R728" s="36">
        <f t="shared" si="69"/>
        <v>0.51519999999999999</v>
      </c>
      <c r="S728" s="37">
        <f t="shared" si="70"/>
        <v>-9.27</v>
      </c>
      <c r="T728" s="36" t="s">
        <v>349</v>
      </c>
      <c r="U728" s="31" t="s">
        <v>228</v>
      </c>
      <c r="V728" s="57">
        <v>7.1692999999999998</v>
      </c>
      <c r="W728" s="38">
        <f t="shared" si="71"/>
        <v>-9.4427628917746507</v>
      </c>
    </row>
    <row r="729" spans="1:23">
      <c r="A729" s="31" t="s">
        <v>2035</v>
      </c>
      <c r="B729" s="32">
        <v>45713</v>
      </c>
      <c r="C729" s="32">
        <v>45674</v>
      </c>
      <c r="D729" s="31" t="s">
        <v>149</v>
      </c>
      <c r="E729" s="31" t="s">
        <v>150</v>
      </c>
      <c r="G729" s="31" t="s">
        <v>2181</v>
      </c>
      <c r="H729" s="31" t="s">
        <v>1746</v>
      </c>
      <c r="I729" s="31" t="s">
        <v>1747</v>
      </c>
      <c r="J729" s="34" t="str">
        <f t="shared" si="66"/>
        <v>GLID</v>
      </c>
      <c r="K729" s="31" t="s">
        <v>10</v>
      </c>
      <c r="L729" s="53">
        <v>510</v>
      </c>
      <c r="M729" s="31" t="s">
        <v>1472</v>
      </c>
      <c r="N729" s="31" t="s">
        <v>11</v>
      </c>
      <c r="O729" s="53">
        <v>3.8246000000000002</v>
      </c>
      <c r="P729" s="35">
        <f t="shared" si="67"/>
        <v>1950.55</v>
      </c>
      <c r="Q729" s="36">
        <f t="shared" si="68"/>
        <v>7.3003400000000003</v>
      </c>
      <c r="R729" s="36">
        <f t="shared" si="69"/>
        <v>0.52390000000000003</v>
      </c>
      <c r="S729" s="37">
        <f t="shared" si="70"/>
        <v>267.19</v>
      </c>
      <c r="T729" s="36" t="s">
        <v>349</v>
      </c>
      <c r="U729" s="31" t="s">
        <v>78</v>
      </c>
      <c r="V729" s="57">
        <v>7.1692999999999998</v>
      </c>
      <c r="W729" s="38">
        <f t="shared" si="71"/>
        <v>272.0692396747242</v>
      </c>
    </row>
    <row r="730" spans="1:23">
      <c r="A730" s="31" t="s">
        <v>2036</v>
      </c>
      <c r="B730" s="32">
        <v>45708</v>
      </c>
      <c r="C730" s="32">
        <v>45674</v>
      </c>
      <c r="D730" s="31" t="s">
        <v>696</v>
      </c>
      <c r="E730" s="31" t="s">
        <v>697</v>
      </c>
      <c r="G730" s="31" t="s">
        <v>2200</v>
      </c>
      <c r="H730" s="31" t="s">
        <v>1537</v>
      </c>
      <c r="I730" s="31" t="s">
        <v>1538</v>
      </c>
      <c r="J730" s="34" t="str">
        <f t="shared" si="66"/>
        <v>ANYD</v>
      </c>
      <c r="K730" s="31" t="s">
        <v>10</v>
      </c>
      <c r="L730" s="53">
        <v>1050</v>
      </c>
      <c r="M730" s="31" t="s">
        <v>1472</v>
      </c>
      <c r="N730" s="31" t="s">
        <v>11</v>
      </c>
      <c r="O730" s="53">
        <v>3.85</v>
      </c>
      <c r="P730" s="35">
        <f t="shared" si="67"/>
        <v>4042.5</v>
      </c>
      <c r="Q730" s="36">
        <f t="shared" si="68"/>
        <v>7.3003400000000003</v>
      </c>
      <c r="R730" s="36">
        <f t="shared" si="69"/>
        <v>0.52739999999999998</v>
      </c>
      <c r="S730" s="37">
        <f t="shared" si="70"/>
        <v>553.77</v>
      </c>
      <c r="T730" s="36" t="s">
        <v>349</v>
      </c>
      <c r="U730" s="31" t="s">
        <v>36</v>
      </c>
      <c r="V730" s="57">
        <v>7.1692999999999998</v>
      </c>
      <c r="W730" s="38">
        <f t="shared" si="71"/>
        <v>563.8625807261518</v>
      </c>
    </row>
    <row r="731" spans="1:23">
      <c r="A731" s="31" t="s">
        <v>2037</v>
      </c>
      <c r="B731" s="32">
        <v>45708</v>
      </c>
      <c r="C731" s="32">
        <v>45677</v>
      </c>
      <c r="D731" s="31" t="s">
        <v>696</v>
      </c>
      <c r="E731" s="31" t="s">
        <v>697</v>
      </c>
      <c r="G731" s="31" t="s">
        <v>2200</v>
      </c>
      <c r="H731" s="31" t="s">
        <v>1537</v>
      </c>
      <c r="I731" s="31" t="s">
        <v>1538</v>
      </c>
      <c r="J731" s="34" t="str">
        <f t="shared" si="66"/>
        <v>ANYD</v>
      </c>
      <c r="K731" s="31" t="s">
        <v>10</v>
      </c>
      <c r="L731" s="53">
        <v>1000</v>
      </c>
      <c r="M731" s="31" t="s">
        <v>1472</v>
      </c>
      <c r="N731" s="31" t="s">
        <v>11</v>
      </c>
      <c r="O731" s="53">
        <v>3.85</v>
      </c>
      <c r="P731" s="35">
        <f t="shared" si="67"/>
        <v>3850</v>
      </c>
      <c r="Q731" s="36">
        <f t="shared" si="68"/>
        <v>7.3003400000000003</v>
      </c>
      <c r="R731" s="36">
        <f t="shared" si="69"/>
        <v>0.52739999999999998</v>
      </c>
      <c r="S731" s="37">
        <f t="shared" si="70"/>
        <v>527.4</v>
      </c>
      <c r="T731" s="36" t="s">
        <v>349</v>
      </c>
      <c r="U731" s="31" t="s">
        <v>36</v>
      </c>
      <c r="V731" s="57">
        <v>7.1692999999999998</v>
      </c>
      <c r="W731" s="38">
        <f t="shared" si="71"/>
        <v>537.01198164395419</v>
      </c>
    </row>
    <row r="732" spans="1:23">
      <c r="A732" s="31" t="s">
        <v>2038</v>
      </c>
      <c r="B732" s="32">
        <v>45708</v>
      </c>
      <c r="C732" s="32">
        <v>45680</v>
      </c>
      <c r="D732" s="31" t="s">
        <v>696</v>
      </c>
      <c r="E732" s="31" t="s">
        <v>697</v>
      </c>
      <c r="G732" s="31" t="s">
        <v>2200</v>
      </c>
      <c r="H732" s="31" t="s">
        <v>1537</v>
      </c>
      <c r="I732" s="31" t="s">
        <v>1538</v>
      </c>
      <c r="J732" s="34" t="str">
        <f t="shared" si="66"/>
        <v>ANYD</v>
      </c>
      <c r="K732" s="31" t="s">
        <v>10</v>
      </c>
      <c r="L732" s="53">
        <v>1600</v>
      </c>
      <c r="M732" s="31" t="s">
        <v>1472</v>
      </c>
      <c r="N732" s="31" t="s">
        <v>11</v>
      </c>
      <c r="O732" s="53">
        <v>3.85</v>
      </c>
      <c r="P732" s="35">
        <f t="shared" si="67"/>
        <v>6160</v>
      </c>
      <c r="Q732" s="36">
        <f t="shared" si="68"/>
        <v>7.3003400000000003</v>
      </c>
      <c r="R732" s="36">
        <f t="shared" si="69"/>
        <v>0.52739999999999998</v>
      </c>
      <c r="S732" s="37">
        <f t="shared" si="70"/>
        <v>843.84</v>
      </c>
      <c r="T732" s="36" t="s">
        <v>349</v>
      </c>
      <c r="U732" s="31" t="s">
        <v>36</v>
      </c>
      <c r="V732" s="57">
        <v>7.1692999999999998</v>
      </c>
      <c r="W732" s="38">
        <f t="shared" si="71"/>
        <v>859.21917063032663</v>
      </c>
    </row>
    <row r="733" spans="1:23">
      <c r="A733" s="31" t="s">
        <v>2039</v>
      </c>
      <c r="B733" s="32">
        <v>45707</v>
      </c>
      <c r="C733" s="32">
        <v>45706</v>
      </c>
      <c r="D733" s="31" t="s">
        <v>5</v>
      </c>
      <c r="E733" s="31" t="s">
        <v>6</v>
      </c>
      <c r="G733" s="31" t="s">
        <v>2185</v>
      </c>
      <c r="H733" s="31" t="s">
        <v>1748</v>
      </c>
      <c r="I733" s="31" t="s">
        <v>1749</v>
      </c>
      <c r="J733" s="34" t="str">
        <f t="shared" si="66"/>
        <v>BOX-</v>
      </c>
      <c r="K733" s="31" t="s">
        <v>10</v>
      </c>
      <c r="L733" s="53">
        <v>2020</v>
      </c>
      <c r="M733" s="31" t="s">
        <v>1472</v>
      </c>
      <c r="N733" s="31" t="s">
        <v>11</v>
      </c>
      <c r="O733" s="53">
        <v>3.87</v>
      </c>
      <c r="P733" s="35">
        <f t="shared" si="67"/>
        <v>7817.4</v>
      </c>
      <c r="Q733" s="36">
        <f t="shared" si="68"/>
        <v>7.3003400000000003</v>
      </c>
      <c r="R733" s="36">
        <f t="shared" si="69"/>
        <v>0.53010000000000002</v>
      </c>
      <c r="S733" s="37">
        <f t="shared" si="70"/>
        <v>1070.8</v>
      </c>
      <c r="T733" s="36" t="s">
        <v>349</v>
      </c>
      <c r="U733" s="31" t="s">
        <v>1</v>
      </c>
      <c r="V733" s="57">
        <v>7.1692999999999998</v>
      </c>
      <c r="W733" s="38">
        <f t="shared" si="71"/>
        <v>1090.3993416372589</v>
      </c>
    </row>
    <row r="734" spans="1:23">
      <c r="A734" s="31" t="s">
        <v>2040</v>
      </c>
      <c r="B734" s="32">
        <v>45716</v>
      </c>
      <c r="C734" s="32">
        <v>45636</v>
      </c>
      <c r="D734" s="31" t="s">
        <v>94</v>
      </c>
      <c r="E734" s="31" t="s">
        <v>95</v>
      </c>
      <c r="G734" s="31" t="s">
        <v>2201</v>
      </c>
      <c r="H734" s="31" t="s">
        <v>1750</v>
      </c>
      <c r="I734" s="31" t="s">
        <v>1751</v>
      </c>
      <c r="J734" s="34" t="str">
        <f t="shared" si="66"/>
        <v>LID-</v>
      </c>
      <c r="K734" s="31" t="s">
        <v>369</v>
      </c>
      <c r="L734" s="53">
        <v>2060</v>
      </c>
      <c r="M734" s="31" t="s">
        <v>1472</v>
      </c>
      <c r="N734" s="31" t="s">
        <v>11</v>
      </c>
      <c r="O734" s="53">
        <v>3.92</v>
      </c>
      <c r="P734" s="35">
        <f t="shared" si="67"/>
        <v>8075.2</v>
      </c>
      <c r="Q734" s="36">
        <f t="shared" si="68"/>
        <v>7.3003400000000003</v>
      </c>
      <c r="R734" s="36">
        <f t="shared" si="69"/>
        <v>0.53700000000000003</v>
      </c>
      <c r="S734" s="37">
        <f t="shared" si="70"/>
        <v>1106.22</v>
      </c>
      <c r="T734" s="36" t="s">
        <v>349</v>
      </c>
      <c r="U734" s="31" t="s">
        <v>368</v>
      </c>
      <c r="V734" s="57">
        <v>7.1692999999999998</v>
      </c>
      <c r="W734" s="38">
        <f t="shared" si="71"/>
        <v>1126.3582218626645</v>
      </c>
    </row>
    <row r="735" spans="1:23">
      <c r="A735" s="31" t="s">
        <v>2040</v>
      </c>
      <c r="B735" s="32">
        <v>45715</v>
      </c>
      <c r="C735" s="32">
        <v>45636</v>
      </c>
      <c r="D735" s="31" t="s">
        <v>94</v>
      </c>
      <c r="E735" s="31" t="s">
        <v>95</v>
      </c>
      <c r="G735" s="31" t="s">
        <v>2202</v>
      </c>
      <c r="H735" s="31" t="s">
        <v>1750</v>
      </c>
      <c r="I735" s="31" t="s">
        <v>1751</v>
      </c>
      <c r="J735" s="34" t="str">
        <f t="shared" si="66"/>
        <v>LID-</v>
      </c>
      <c r="K735" s="31" t="s">
        <v>369</v>
      </c>
      <c r="L735" s="53">
        <v>2450</v>
      </c>
      <c r="M735" s="31" t="s">
        <v>1472</v>
      </c>
      <c r="N735" s="31" t="s">
        <v>11</v>
      </c>
      <c r="O735" s="53">
        <v>3.92</v>
      </c>
      <c r="P735" s="35">
        <f t="shared" si="67"/>
        <v>9604</v>
      </c>
      <c r="Q735" s="36">
        <f t="shared" si="68"/>
        <v>7.3003400000000003</v>
      </c>
      <c r="R735" s="36">
        <f t="shared" si="69"/>
        <v>0.53700000000000003</v>
      </c>
      <c r="S735" s="37">
        <f t="shared" si="70"/>
        <v>1315.65</v>
      </c>
      <c r="T735" s="36" t="s">
        <v>349</v>
      </c>
      <c r="U735" s="31" t="s">
        <v>368</v>
      </c>
      <c r="V735" s="57">
        <v>7.1692999999999998</v>
      </c>
      <c r="W735" s="38">
        <f t="shared" si="71"/>
        <v>1339.6007978463729</v>
      </c>
    </row>
    <row r="736" spans="1:23">
      <c r="A736" s="31" t="s">
        <v>2040</v>
      </c>
      <c r="B736" s="32">
        <v>45714</v>
      </c>
      <c r="C736" s="32">
        <v>45636</v>
      </c>
      <c r="D736" s="31" t="s">
        <v>94</v>
      </c>
      <c r="E736" s="31" t="s">
        <v>95</v>
      </c>
      <c r="G736" s="31" t="s">
        <v>2203</v>
      </c>
      <c r="H736" s="31" t="s">
        <v>1750</v>
      </c>
      <c r="I736" s="31" t="s">
        <v>1751</v>
      </c>
      <c r="J736" s="34" t="str">
        <f t="shared" si="66"/>
        <v>LID-</v>
      </c>
      <c r="K736" s="31" t="s">
        <v>369</v>
      </c>
      <c r="L736" s="53">
        <v>640</v>
      </c>
      <c r="M736" s="31" t="s">
        <v>1472</v>
      </c>
      <c r="N736" s="31" t="s">
        <v>11</v>
      </c>
      <c r="O736" s="53">
        <v>3.92</v>
      </c>
      <c r="P736" s="35">
        <f t="shared" si="67"/>
        <v>2508.8000000000002</v>
      </c>
      <c r="Q736" s="36">
        <f t="shared" si="68"/>
        <v>7.3003400000000003</v>
      </c>
      <c r="R736" s="36">
        <f t="shared" si="69"/>
        <v>0.53700000000000003</v>
      </c>
      <c r="S736" s="37">
        <f t="shared" si="70"/>
        <v>343.68</v>
      </c>
      <c r="T736" s="36" t="s">
        <v>349</v>
      </c>
      <c r="U736" s="31" t="s">
        <v>368</v>
      </c>
      <c r="V736" s="57">
        <v>7.1692999999999998</v>
      </c>
      <c r="W736" s="38">
        <f t="shared" si="71"/>
        <v>349.9365349476239</v>
      </c>
    </row>
    <row r="737" spans="1:23">
      <c r="A737" s="31" t="s">
        <v>2041</v>
      </c>
      <c r="B737" s="32">
        <v>45716</v>
      </c>
      <c r="C737" s="32">
        <v>45636</v>
      </c>
      <c r="D737" s="31" t="s">
        <v>94</v>
      </c>
      <c r="E737" s="31" t="s">
        <v>95</v>
      </c>
      <c r="G737" s="31" t="s">
        <v>2191</v>
      </c>
      <c r="H737" s="31" t="s">
        <v>1750</v>
      </c>
      <c r="I737" s="31" t="s">
        <v>1751</v>
      </c>
      <c r="J737" s="34" t="str">
        <f t="shared" si="66"/>
        <v>LID-</v>
      </c>
      <c r="K737" s="31" t="s">
        <v>369</v>
      </c>
      <c r="L737" s="53">
        <v>484</v>
      </c>
      <c r="M737" s="31" t="s">
        <v>1472</v>
      </c>
      <c r="N737" s="31" t="s">
        <v>11</v>
      </c>
      <c r="O737" s="53">
        <v>3.92</v>
      </c>
      <c r="P737" s="35">
        <f t="shared" si="67"/>
        <v>1897.28</v>
      </c>
      <c r="Q737" s="36">
        <f t="shared" si="68"/>
        <v>7.3003400000000003</v>
      </c>
      <c r="R737" s="36">
        <f t="shared" si="69"/>
        <v>0.53700000000000003</v>
      </c>
      <c r="S737" s="37">
        <f t="shared" si="70"/>
        <v>259.91000000000003</v>
      </c>
      <c r="T737" s="36" t="s">
        <v>349</v>
      </c>
      <c r="U737" s="31" t="s">
        <v>368</v>
      </c>
      <c r="V737" s="57">
        <v>7.1692999999999998</v>
      </c>
      <c r="W737" s="38">
        <f t="shared" si="71"/>
        <v>264.63950455414056</v>
      </c>
    </row>
    <row r="738" spans="1:23">
      <c r="A738" s="31" t="s">
        <v>2041</v>
      </c>
      <c r="B738" s="32">
        <v>45716</v>
      </c>
      <c r="C738" s="32">
        <v>45636</v>
      </c>
      <c r="D738" s="31" t="s">
        <v>94</v>
      </c>
      <c r="E738" s="31" t="s">
        <v>95</v>
      </c>
      <c r="G738" s="31" t="s">
        <v>2201</v>
      </c>
      <c r="H738" s="31" t="s">
        <v>1750</v>
      </c>
      <c r="I738" s="31" t="s">
        <v>1751</v>
      </c>
      <c r="J738" s="34" t="str">
        <f t="shared" si="66"/>
        <v>LID-</v>
      </c>
      <c r="K738" s="31" t="s">
        <v>369</v>
      </c>
      <c r="L738" s="53">
        <v>500</v>
      </c>
      <c r="M738" s="31" t="s">
        <v>1472</v>
      </c>
      <c r="N738" s="31" t="s">
        <v>11</v>
      </c>
      <c r="O738" s="53">
        <v>3.92</v>
      </c>
      <c r="P738" s="35">
        <f t="shared" si="67"/>
        <v>1960</v>
      </c>
      <c r="Q738" s="36">
        <f t="shared" si="68"/>
        <v>7.3003400000000003</v>
      </c>
      <c r="R738" s="36">
        <f t="shared" si="69"/>
        <v>0.53700000000000003</v>
      </c>
      <c r="S738" s="37">
        <f t="shared" si="70"/>
        <v>268.5</v>
      </c>
      <c r="T738" s="36" t="s">
        <v>349</v>
      </c>
      <c r="U738" s="31" t="s">
        <v>368</v>
      </c>
      <c r="V738" s="57">
        <v>7.1692999999999998</v>
      </c>
      <c r="W738" s="38">
        <f t="shared" si="71"/>
        <v>273.38791792783115</v>
      </c>
    </row>
    <row r="739" spans="1:23">
      <c r="A739" s="31" t="s">
        <v>2042</v>
      </c>
      <c r="B739" s="32">
        <v>45714</v>
      </c>
      <c r="C739" s="32">
        <v>45576</v>
      </c>
      <c r="D739" s="31" t="s">
        <v>94</v>
      </c>
      <c r="E739" s="31" t="s">
        <v>95</v>
      </c>
      <c r="G739" s="31" t="s">
        <v>2203</v>
      </c>
      <c r="H739" s="31" t="s">
        <v>1752</v>
      </c>
      <c r="I739" s="31" t="s">
        <v>1753</v>
      </c>
      <c r="J739" s="34" t="str">
        <f t="shared" si="66"/>
        <v>LID-</v>
      </c>
      <c r="K739" s="31" t="s">
        <v>98</v>
      </c>
      <c r="L739" s="53">
        <v>427</v>
      </c>
      <c r="M739" s="31" t="s">
        <v>1472</v>
      </c>
      <c r="N739" s="31" t="s">
        <v>11</v>
      </c>
      <c r="O739" s="53">
        <v>4</v>
      </c>
      <c r="P739" s="35">
        <f t="shared" si="67"/>
        <v>1708</v>
      </c>
      <c r="Q739" s="36">
        <f t="shared" si="68"/>
        <v>7.3003400000000003</v>
      </c>
      <c r="R739" s="36">
        <f t="shared" si="69"/>
        <v>0.54790000000000005</v>
      </c>
      <c r="S739" s="37">
        <f t="shared" si="70"/>
        <v>233.95</v>
      </c>
      <c r="T739" s="36" t="s">
        <v>349</v>
      </c>
      <c r="U739" s="31" t="s">
        <v>368</v>
      </c>
      <c r="V739" s="57">
        <v>7.1692999999999998</v>
      </c>
      <c r="W739" s="38">
        <f t="shared" si="71"/>
        <v>238.23804276568146</v>
      </c>
    </row>
    <row r="740" spans="1:23">
      <c r="A740" s="31" t="s">
        <v>2043</v>
      </c>
      <c r="B740" s="32">
        <v>45698</v>
      </c>
      <c r="C740" s="32">
        <v>45677</v>
      </c>
      <c r="D740" s="31" t="s">
        <v>5</v>
      </c>
      <c r="E740" s="31" t="s">
        <v>6</v>
      </c>
      <c r="G740" s="31" t="s">
        <v>2174</v>
      </c>
      <c r="H740" s="31" t="s">
        <v>1754</v>
      </c>
      <c r="I740" s="31" t="s">
        <v>1755</v>
      </c>
      <c r="J740" s="34" t="str">
        <f t="shared" si="66"/>
        <v>SHTS</v>
      </c>
      <c r="K740" s="31" t="s">
        <v>10</v>
      </c>
      <c r="L740" s="53">
        <v>1010</v>
      </c>
      <c r="M740" s="31" t="s">
        <v>1472</v>
      </c>
      <c r="N740" s="31" t="s">
        <v>11</v>
      </c>
      <c r="O740" s="53">
        <v>4.0199999999999996</v>
      </c>
      <c r="P740" s="35">
        <f t="shared" si="67"/>
        <v>4060.2</v>
      </c>
      <c r="Q740" s="36">
        <f t="shared" si="68"/>
        <v>7.3003400000000003</v>
      </c>
      <c r="R740" s="36">
        <f t="shared" si="69"/>
        <v>0.55069999999999997</v>
      </c>
      <c r="S740" s="37">
        <f t="shared" si="70"/>
        <v>556.21</v>
      </c>
      <c r="T740" s="36" t="s">
        <v>349</v>
      </c>
      <c r="U740" s="31" t="s">
        <v>9</v>
      </c>
      <c r="V740" s="57">
        <v>7.1692999999999998</v>
      </c>
      <c r="W740" s="38">
        <f t="shared" si="71"/>
        <v>566.33144100539801</v>
      </c>
    </row>
    <row r="741" spans="1:23">
      <c r="A741" s="31" t="s">
        <v>2044</v>
      </c>
      <c r="B741" s="32">
        <v>45708</v>
      </c>
      <c r="C741" s="32">
        <v>45677</v>
      </c>
      <c r="D741" s="31" t="s">
        <v>696</v>
      </c>
      <c r="E741" s="31" t="s">
        <v>697</v>
      </c>
      <c r="G741" s="31" t="s">
        <v>2200</v>
      </c>
      <c r="H741" s="31" t="s">
        <v>1539</v>
      </c>
      <c r="I741" s="31" t="s">
        <v>1540</v>
      </c>
      <c r="J741" s="34" t="str">
        <f t="shared" si="66"/>
        <v>ANYD</v>
      </c>
      <c r="K741" s="31" t="s">
        <v>10</v>
      </c>
      <c r="L741" s="53">
        <v>1000</v>
      </c>
      <c r="M741" s="31" t="s">
        <v>1472</v>
      </c>
      <c r="N741" s="31" t="s">
        <v>11</v>
      </c>
      <c r="O741" s="53">
        <v>4.04</v>
      </c>
      <c r="P741" s="35">
        <f t="shared" si="67"/>
        <v>4040</v>
      </c>
      <c r="Q741" s="36">
        <f t="shared" si="68"/>
        <v>7.3003400000000003</v>
      </c>
      <c r="R741" s="36">
        <f t="shared" si="69"/>
        <v>0.5534</v>
      </c>
      <c r="S741" s="37">
        <f t="shared" si="70"/>
        <v>553.4</v>
      </c>
      <c r="T741" s="36" t="s">
        <v>349</v>
      </c>
      <c r="U741" s="31" t="s">
        <v>36</v>
      </c>
      <c r="V741" s="57">
        <v>7.1692999999999998</v>
      </c>
      <c r="W741" s="38">
        <f t="shared" si="71"/>
        <v>563.51387164716232</v>
      </c>
    </row>
    <row r="742" spans="1:23">
      <c r="A742" s="31" t="s">
        <v>2045</v>
      </c>
      <c r="B742" s="32">
        <v>45708</v>
      </c>
      <c r="C742" s="32">
        <v>45680</v>
      </c>
      <c r="D742" s="31" t="s">
        <v>696</v>
      </c>
      <c r="E742" s="31" t="s">
        <v>697</v>
      </c>
      <c r="G742" s="31" t="s">
        <v>2200</v>
      </c>
      <c r="H742" s="31" t="s">
        <v>1539</v>
      </c>
      <c r="I742" s="31" t="s">
        <v>1540</v>
      </c>
      <c r="J742" s="34" t="str">
        <f t="shared" si="66"/>
        <v>ANYD</v>
      </c>
      <c r="K742" s="31" t="s">
        <v>10</v>
      </c>
      <c r="L742" s="53">
        <v>2200</v>
      </c>
      <c r="M742" s="31" t="s">
        <v>1472</v>
      </c>
      <c r="N742" s="31" t="s">
        <v>11</v>
      </c>
      <c r="O742" s="53">
        <v>4.04</v>
      </c>
      <c r="P742" s="35">
        <f t="shared" si="67"/>
        <v>8888</v>
      </c>
      <c r="Q742" s="36">
        <f t="shared" si="68"/>
        <v>7.3003400000000003</v>
      </c>
      <c r="R742" s="36">
        <f t="shared" si="69"/>
        <v>0.5534</v>
      </c>
      <c r="S742" s="37">
        <f t="shared" si="70"/>
        <v>1217.48</v>
      </c>
      <c r="T742" s="36" t="s">
        <v>349</v>
      </c>
      <c r="U742" s="31" t="s">
        <v>36</v>
      </c>
      <c r="V742" s="57">
        <v>7.1692999999999998</v>
      </c>
      <c r="W742" s="38">
        <f t="shared" si="71"/>
        <v>1239.7305176237569</v>
      </c>
    </row>
    <row r="743" spans="1:23">
      <c r="A743" s="31" t="s">
        <v>2046</v>
      </c>
      <c r="B743" s="32">
        <v>45713</v>
      </c>
      <c r="C743" s="32">
        <v>45698</v>
      </c>
      <c r="D743" s="31" t="s">
        <v>709</v>
      </c>
      <c r="E743" s="31" t="s">
        <v>710</v>
      </c>
      <c r="G743" s="31" t="s">
        <v>2166</v>
      </c>
      <c r="H743" s="31" t="s">
        <v>1756</v>
      </c>
      <c r="I743" s="31" t="s">
        <v>1757</v>
      </c>
      <c r="J743" s="34" t="str">
        <f t="shared" si="66"/>
        <v>HDL-</v>
      </c>
      <c r="K743" s="31" t="s">
        <v>10</v>
      </c>
      <c r="L743" s="53">
        <v>400</v>
      </c>
      <c r="M743" s="31" t="s">
        <v>1472</v>
      </c>
      <c r="N743" s="31" t="s">
        <v>11</v>
      </c>
      <c r="O743" s="53">
        <v>4.0471000000000004</v>
      </c>
      <c r="P743" s="35">
        <f t="shared" si="67"/>
        <v>1618.84</v>
      </c>
      <c r="Q743" s="36">
        <f t="shared" si="68"/>
        <v>7.3003400000000003</v>
      </c>
      <c r="R743" s="36">
        <f t="shared" si="69"/>
        <v>0.5544</v>
      </c>
      <c r="S743" s="37">
        <f t="shared" si="70"/>
        <v>221.76</v>
      </c>
      <c r="T743" s="36" t="s">
        <v>349</v>
      </c>
      <c r="U743" s="31" t="s">
        <v>228</v>
      </c>
      <c r="V743" s="57">
        <v>7.1692999999999998</v>
      </c>
      <c r="W743" s="38">
        <f t="shared" si="71"/>
        <v>225.80168217259708</v>
      </c>
    </row>
    <row r="744" spans="1:23">
      <c r="A744" s="31" t="s">
        <v>2047</v>
      </c>
      <c r="B744" s="32">
        <v>45715</v>
      </c>
      <c r="C744" s="32">
        <v>45664</v>
      </c>
      <c r="D744" s="31" t="s">
        <v>149</v>
      </c>
      <c r="E744" s="31" t="s">
        <v>150</v>
      </c>
      <c r="G744" s="31" t="s">
        <v>2180</v>
      </c>
      <c r="H744" s="31" t="s">
        <v>1758</v>
      </c>
      <c r="I744" s="31" t="s">
        <v>1759</v>
      </c>
      <c r="J744" s="34" t="str">
        <f t="shared" si="66"/>
        <v>GLID</v>
      </c>
      <c r="K744" s="31" t="s">
        <v>10</v>
      </c>
      <c r="L744" s="53">
        <v>1020</v>
      </c>
      <c r="M744" s="31" t="s">
        <v>1472</v>
      </c>
      <c r="N744" s="31" t="s">
        <v>11</v>
      </c>
      <c r="O744" s="53">
        <v>4.1127000000000002</v>
      </c>
      <c r="P744" s="35">
        <f t="shared" si="67"/>
        <v>4194.95</v>
      </c>
      <c r="Q744" s="36">
        <f t="shared" si="68"/>
        <v>7.3003400000000003</v>
      </c>
      <c r="R744" s="36">
        <f t="shared" si="69"/>
        <v>0.56340000000000001</v>
      </c>
      <c r="S744" s="37">
        <f t="shared" si="70"/>
        <v>574.66999999999996</v>
      </c>
      <c r="T744" s="36" t="s">
        <v>349</v>
      </c>
      <c r="U744" s="31" t="s">
        <v>78</v>
      </c>
      <c r="V744" s="57">
        <v>7.1692999999999998</v>
      </c>
      <c r="W744" s="38">
        <f t="shared" si="71"/>
        <v>585.12741829746278</v>
      </c>
    </row>
    <row r="745" spans="1:23">
      <c r="A745" s="31" t="s">
        <v>2048</v>
      </c>
      <c r="B745" s="32">
        <v>45708</v>
      </c>
      <c r="C745" s="32">
        <v>45674</v>
      </c>
      <c r="D745" s="31" t="s">
        <v>569</v>
      </c>
      <c r="E745" s="31" t="s">
        <v>570</v>
      </c>
      <c r="G745" s="31" t="s">
        <v>2182</v>
      </c>
      <c r="H745" s="31" t="s">
        <v>1503</v>
      </c>
      <c r="I745" s="31" t="s">
        <v>1504</v>
      </c>
      <c r="J745" s="34" t="str">
        <f t="shared" si="66"/>
        <v>ANYD</v>
      </c>
      <c r="K745" s="31" t="s">
        <v>10</v>
      </c>
      <c r="L745" s="53">
        <v>1000</v>
      </c>
      <c r="M745" s="31" t="s">
        <v>1472</v>
      </c>
      <c r="N745" s="31" t="s">
        <v>11</v>
      </c>
      <c r="O745" s="53">
        <v>4.2</v>
      </c>
      <c r="P745" s="35">
        <f t="shared" si="67"/>
        <v>4200</v>
      </c>
      <c r="Q745" s="36">
        <f t="shared" si="68"/>
        <v>7.3003400000000003</v>
      </c>
      <c r="R745" s="36">
        <f t="shared" si="69"/>
        <v>0.57530000000000003</v>
      </c>
      <c r="S745" s="37">
        <f t="shared" si="70"/>
        <v>575.29999999999995</v>
      </c>
      <c r="T745" s="36" t="s">
        <v>349</v>
      </c>
      <c r="U745" s="31" t="s">
        <v>36</v>
      </c>
      <c r="V745" s="57">
        <v>7.1692999999999998</v>
      </c>
      <c r="W745" s="38">
        <f t="shared" si="71"/>
        <v>585.83125270249536</v>
      </c>
    </row>
    <row r="746" spans="1:23">
      <c r="A746" s="31" t="s">
        <v>2049</v>
      </c>
      <c r="B746" s="32">
        <v>45698</v>
      </c>
      <c r="C746" s="32">
        <v>45630</v>
      </c>
      <c r="D746" s="31" t="s">
        <v>651</v>
      </c>
      <c r="E746" s="31" t="s">
        <v>652</v>
      </c>
      <c r="G746" s="31" t="s">
        <v>2204</v>
      </c>
      <c r="H746" s="31" t="s">
        <v>1760</v>
      </c>
      <c r="I746" s="31" t="s">
        <v>1761</v>
      </c>
      <c r="J746" s="34" t="str">
        <f t="shared" si="66"/>
        <v>KNOB</v>
      </c>
      <c r="K746" s="31" t="s">
        <v>10</v>
      </c>
      <c r="L746" s="53">
        <v>19000</v>
      </c>
      <c r="M746" s="31" t="s">
        <v>1472</v>
      </c>
      <c r="N746" s="31" t="s">
        <v>11</v>
      </c>
      <c r="O746" s="53">
        <v>4.4320000000000004</v>
      </c>
      <c r="P746" s="35">
        <f t="shared" si="67"/>
        <v>84208</v>
      </c>
      <c r="Q746" s="36">
        <f t="shared" si="68"/>
        <v>7.3003400000000003</v>
      </c>
      <c r="R746" s="36">
        <f t="shared" si="69"/>
        <v>0.60709999999999997</v>
      </c>
      <c r="S746" s="37">
        <f t="shared" si="70"/>
        <v>11534.9</v>
      </c>
      <c r="T746" s="36" t="s">
        <v>349</v>
      </c>
      <c r="U746" s="31" t="s">
        <v>32</v>
      </c>
      <c r="V746" s="57">
        <v>7.1692999999999998</v>
      </c>
      <c r="W746" s="38">
        <f t="shared" si="71"/>
        <v>11745.637649421842</v>
      </c>
    </row>
    <row r="747" spans="1:23">
      <c r="A747" s="31" t="s">
        <v>2050</v>
      </c>
      <c r="B747" s="32">
        <v>45698</v>
      </c>
      <c r="C747" s="32">
        <v>45646</v>
      </c>
      <c r="D747" s="31" t="s">
        <v>651</v>
      </c>
      <c r="E747" s="31" t="s">
        <v>652</v>
      </c>
      <c r="G747" s="31" t="s">
        <v>2204</v>
      </c>
      <c r="H747" s="31" t="s">
        <v>1760</v>
      </c>
      <c r="I747" s="31" t="s">
        <v>1761</v>
      </c>
      <c r="J747" s="34" t="str">
        <f t="shared" si="66"/>
        <v>KNOB</v>
      </c>
      <c r="K747" s="31" t="s">
        <v>10</v>
      </c>
      <c r="L747" s="53">
        <v>13500</v>
      </c>
      <c r="M747" s="31" t="s">
        <v>1472</v>
      </c>
      <c r="N747" s="31" t="s">
        <v>11</v>
      </c>
      <c r="O747" s="53">
        <v>4.4320000000000004</v>
      </c>
      <c r="P747" s="35">
        <f t="shared" si="67"/>
        <v>59832</v>
      </c>
      <c r="Q747" s="36">
        <f t="shared" si="68"/>
        <v>7.3003400000000003</v>
      </c>
      <c r="R747" s="36">
        <f t="shared" si="69"/>
        <v>0.60709999999999997</v>
      </c>
      <c r="S747" s="37">
        <f t="shared" si="70"/>
        <v>8195.85</v>
      </c>
      <c r="T747" s="36" t="s">
        <v>349</v>
      </c>
      <c r="U747" s="31" t="s">
        <v>32</v>
      </c>
      <c r="V747" s="57">
        <v>7.1692999999999998</v>
      </c>
      <c r="W747" s="38">
        <f t="shared" si="71"/>
        <v>8345.5846456418349</v>
      </c>
    </row>
    <row r="748" spans="1:23">
      <c r="A748" s="31" t="s">
        <v>2051</v>
      </c>
      <c r="B748" s="32">
        <v>45707</v>
      </c>
      <c r="C748" s="32">
        <v>45706</v>
      </c>
      <c r="D748" s="31" t="s">
        <v>5</v>
      </c>
      <c r="E748" s="31" t="s">
        <v>6</v>
      </c>
      <c r="G748" s="31" t="s">
        <v>2173</v>
      </c>
      <c r="H748" s="31" t="s">
        <v>1680</v>
      </c>
      <c r="I748" s="31" t="s">
        <v>1681</v>
      </c>
      <c r="J748" s="34" t="str">
        <f t="shared" si="66"/>
        <v>SHTS</v>
      </c>
      <c r="K748" s="31" t="s">
        <v>10</v>
      </c>
      <c r="L748" s="53">
        <v>1010</v>
      </c>
      <c r="M748" s="31" t="s">
        <v>1472</v>
      </c>
      <c r="N748" s="31" t="s">
        <v>11</v>
      </c>
      <c r="O748" s="53">
        <v>4.47</v>
      </c>
      <c r="P748" s="35">
        <f t="shared" si="67"/>
        <v>4514.7</v>
      </c>
      <c r="Q748" s="36">
        <f t="shared" si="68"/>
        <v>7.3003400000000003</v>
      </c>
      <c r="R748" s="36">
        <f t="shared" si="69"/>
        <v>0.61229999999999996</v>
      </c>
      <c r="S748" s="37">
        <f t="shared" si="70"/>
        <v>618.41999999999996</v>
      </c>
      <c r="T748" s="36" t="s">
        <v>349</v>
      </c>
      <c r="U748" s="31" t="s">
        <v>9</v>
      </c>
      <c r="V748" s="57">
        <v>7.1692999999999998</v>
      </c>
      <c r="W748" s="38">
        <f t="shared" si="71"/>
        <v>629.72675156570381</v>
      </c>
    </row>
    <row r="749" spans="1:23">
      <c r="A749" s="31" t="s">
        <v>2052</v>
      </c>
      <c r="B749" s="32">
        <v>45699</v>
      </c>
      <c r="C749" s="32">
        <v>45677</v>
      </c>
      <c r="D749" s="31" t="s">
        <v>5</v>
      </c>
      <c r="E749" s="31" t="s">
        <v>6</v>
      </c>
      <c r="G749" s="31" t="s">
        <v>2172</v>
      </c>
      <c r="H749" s="31" t="s">
        <v>1081</v>
      </c>
      <c r="I749" s="31" t="s">
        <v>1082</v>
      </c>
      <c r="J749" s="34" t="str">
        <f t="shared" si="66"/>
        <v>SHTS</v>
      </c>
      <c r="K749" s="31" t="s">
        <v>10</v>
      </c>
      <c r="L749" s="53">
        <v>1010</v>
      </c>
      <c r="M749" s="31" t="s">
        <v>1472</v>
      </c>
      <c r="N749" s="31" t="s">
        <v>11</v>
      </c>
      <c r="O749" s="53">
        <v>4.5199999999999996</v>
      </c>
      <c r="P749" s="35">
        <f t="shared" si="67"/>
        <v>4565.2</v>
      </c>
      <c r="Q749" s="36">
        <f t="shared" si="68"/>
        <v>7.3003400000000003</v>
      </c>
      <c r="R749" s="36">
        <f t="shared" si="69"/>
        <v>0.61909999999999998</v>
      </c>
      <c r="S749" s="37">
        <f t="shared" si="70"/>
        <v>625.29</v>
      </c>
      <c r="T749" s="36" t="s">
        <v>349</v>
      </c>
      <c r="U749" s="31" t="s">
        <v>9</v>
      </c>
      <c r="V749" s="57">
        <v>7.1692999999999998</v>
      </c>
      <c r="W749" s="38">
        <f t="shared" si="71"/>
        <v>636.77067496129325</v>
      </c>
    </row>
    <row r="750" spans="1:23">
      <c r="A750" s="31" t="s">
        <v>2053</v>
      </c>
      <c r="B750" s="32">
        <v>45706</v>
      </c>
      <c r="C750" s="32">
        <v>45350</v>
      </c>
      <c r="D750" s="31" t="s">
        <v>128</v>
      </c>
      <c r="E750" s="31" t="s">
        <v>129</v>
      </c>
      <c r="G750" s="31" t="s">
        <v>2199</v>
      </c>
      <c r="H750" s="31" t="s">
        <v>1762</v>
      </c>
      <c r="I750" s="31" t="s">
        <v>1763</v>
      </c>
      <c r="J750" s="34" t="str">
        <f t="shared" si="66"/>
        <v>HDL-</v>
      </c>
      <c r="K750" s="31" t="s">
        <v>10</v>
      </c>
      <c r="L750" s="53">
        <v>-1820</v>
      </c>
      <c r="M750" s="31" t="s">
        <v>1472</v>
      </c>
      <c r="N750" s="31" t="s">
        <v>11</v>
      </c>
      <c r="O750" s="53">
        <v>4.5491999999999999</v>
      </c>
      <c r="P750" s="35">
        <f t="shared" si="67"/>
        <v>-8279.5400000000009</v>
      </c>
      <c r="Q750" s="36">
        <f t="shared" si="68"/>
        <v>7.3003400000000003</v>
      </c>
      <c r="R750" s="36">
        <f t="shared" si="69"/>
        <v>0.62309999999999999</v>
      </c>
      <c r="S750" s="37">
        <f t="shared" si="70"/>
        <v>-1134.04</v>
      </c>
      <c r="T750" s="36" t="s">
        <v>349</v>
      </c>
      <c r="U750" s="31" t="s">
        <v>228</v>
      </c>
      <c r="V750" s="57">
        <v>7.1692999999999998</v>
      </c>
      <c r="W750" s="38">
        <f t="shared" si="71"/>
        <v>-1154.8608650774831</v>
      </c>
    </row>
    <row r="751" spans="1:23">
      <c r="A751" s="31" t="s">
        <v>2054</v>
      </c>
      <c r="B751" s="32">
        <v>45716</v>
      </c>
      <c r="C751" s="32">
        <v>45656</v>
      </c>
      <c r="D751" s="31" t="s">
        <v>128</v>
      </c>
      <c r="E751" s="31" t="s">
        <v>129</v>
      </c>
      <c r="G751" s="31" t="s">
        <v>2164</v>
      </c>
      <c r="H751" s="31" t="s">
        <v>1762</v>
      </c>
      <c r="I751" s="31" t="s">
        <v>1763</v>
      </c>
      <c r="J751" s="34" t="str">
        <f t="shared" si="66"/>
        <v>HDL-</v>
      </c>
      <c r="K751" s="31" t="s">
        <v>10</v>
      </c>
      <c r="L751" s="53">
        <v>1050</v>
      </c>
      <c r="M751" s="31" t="s">
        <v>1472</v>
      </c>
      <c r="N751" s="31" t="s">
        <v>11</v>
      </c>
      <c r="O751" s="53">
        <v>4.5491999999999999</v>
      </c>
      <c r="P751" s="35">
        <f t="shared" si="67"/>
        <v>4776.66</v>
      </c>
      <c r="Q751" s="36">
        <f t="shared" si="68"/>
        <v>7.3003400000000003</v>
      </c>
      <c r="R751" s="36">
        <f t="shared" si="69"/>
        <v>0.62309999999999999</v>
      </c>
      <c r="S751" s="37">
        <f t="shared" si="70"/>
        <v>654.26</v>
      </c>
      <c r="T751" s="36" t="s">
        <v>349</v>
      </c>
      <c r="U751" s="31" t="s">
        <v>228</v>
      </c>
      <c r="V751" s="57">
        <v>7.1692999999999998</v>
      </c>
      <c r="W751" s="38">
        <f t="shared" si="71"/>
        <v>666.26588369854801</v>
      </c>
    </row>
    <row r="752" spans="1:23">
      <c r="A752" s="31" t="s">
        <v>2054</v>
      </c>
      <c r="B752" s="32">
        <v>45714</v>
      </c>
      <c r="C752" s="32">
        <v>45656</v>
      </c>
      <c r="D752" s="31" t="s">
        <v>128</v>
      </c>
      <c r="E752" s="31" t="s">
        <v>129</v>
      </c>
      <c r="G752" s="31" t="s">
        <v>2167</v>
      </c>
      <c r="H752" s="31" t="s">
        <v>1762</v>
      </c>
      <c r="I752" s="31" t="s">
        <v>1763</v>
      </c>
      <c r="J752" s="34" t="str">
        <f t="shared" si="66"/>
        <v>HDL-</v>
      </c>
      <c r="K752" s="31" t="s">
        <v>10</v>
      </c>
      <c r="L752" s="53">
        <v>1050</v>
      </c>
      <c r="M752" s="31" t="s">
        <v>1472</v>
      </c>
      <c r="N752" s="31" t="s">
        <v>11</v>
      </c>
      <c r="O752" s="53">
        <v>4.5491999999999999</v>
      </c>
      <c r="P752" s="35">
        <f t="shared" si="67"/>
        <v>4776.66</v>
      </c>
      <c r="Q752" s="36">
        <f t="shared" si="68"/>
        <v>7.3003400000000003</v>
      </c>
      <c r="R752" s="36">
        <f t="shared" si="69"/>
        <v>0.62309999999999999</v>
      </c>
      <c r="S752" s="37">
        <f t="shared" si="70"/>
        <v>654.26</v>
      </c>
      <c r="T752" s="36" t="s">
        <v>349</v>
      </c>
      <c r="U752" s="31" t="s">
        <v>228</v>
      </c>
      <c r="V752" s="57">
        <v>7.1692999999999998</v>
      </c>
      <c r="W752" s="38">
        <f t="shared" si="71"/>
        <v>666.26588369854801</v>
      </c>
    </row>
    <row r="753" spans="1:23">
      <c r="A753" s="31" t="s">
        <v>2055</v>
      </c>
      <c r="B753" s="32">
        <v>45708</v>
      </c>
      <c r="C753" s="32">
        <v>45646</v>
      </c>
      <c r="D753" s="31" t="s">
        <v>569</v>
      </c>
      <c r="E753" s="31" t="s">
        <v>570</v>
      </c>
      <c r="G753" s="31" t="s">
        <v>2182</v>
      </c>
      <c r="H753" s="31" t="s">
        <v>1764</v>
      </c>
      <c r="I753" s="31" t="s">
        <v>1765</v>
      </c>
      <c r="J753" s="34" t="str">
        <f t="shared" si="66"/>
        <v>MISC</v>
      </c>
      <c r="K753" s="31" t="s">
        <v>10</v>
      </c>
      <c r="L753" s="53">
        <v>2010</v>
      </c>
      <c r="M753" s="31" t="s">
        <v>1472</v>
      </c>
      <c r="N753" s="31" t="s">
        <v>11</v>
      </c>
      <c r="O753" s="53">
        <v>4.5961999999999996</v>
      </c>
      <c r="P753" s="35">
        <f t="shared" si="67"/>
        <v>9238.36</v>
      </c>
      <c r="Q753" s="36">
        <f t="shared" si="68"/>
        <v>7.3003400000000003</v>
      </c>
      <c r="R753" s="36">
        <f t="shared" si="69"/>
        <v>0.62960000000000005</v>
      </c>
      <c r="S753" s="37">
        <f t="shared" si="70"/>
        <v>1265.5</v>
      </c>
      <c r="T753" s="36" t="s">
        <v>349</v>
      </c>
      <c r="U753" s="31" t="s">
        <v>25</v>
      </c>
      <c r="V753" s="57">
        <v>7.1692999999999998</v>
      </c>
      <c r="W753" s="38">
        <f t="shared" si="71"/>
        <v>1288.6002817569358</v>
      </c>
    </row>
    <row r="754" spans="1:23">
      <c r="A754" s="31" t="s">
        <v>2056</v>
      </c>
      <c r="B754" s="32">
        <v>45699</v>
      </c>
      <c r="C754" s="32">
        <v>45630</v>
      </c>
      <c r="D754" s="31" t="s">
        <v>569</v>
      </c>
      <c r="E754" s="31" t="s">
        <v>570</v>
      </c>
      <c r="G754" s="31" t="s">
        <v>2148</v>
      </c>
      <c r="H754" s="31" t="s">
        <v>1764</v>
      </c>
      <c r="I754" s="31" t="s">
        <v>1765</v>
      </c>
      <c r="J754" s="34" t="str">
        <f t="shared" si="66"/>
        <v>MISC</v>
      </c>
      <c r="K754" s="31" t="s">
        <v>10</v>
      </c>
      <c r="L754" s="53">
        <v>1000</v>
      </c>
      <c r="M754" s="31" t="s">
        <v>1472</v>
      </c>
      <c r="N754" s="31" t="s">
        <v>11</v>
      </c>
      <c r="O754" s="53">
        <v>4.6900000000000004</v>
      </c>
      <c r="P754" s="35">
        <f t="shared" si="67"/>
        <v>4690</v>
      </c>
      <c r="Q754" s="36">
        <f t="shared" si="68"/>
        <v>7.3003400000000003</v>
      </c>
      <c r="R754" s="36">
        <f t="shared" si="69"/>
        <v>0.64239999999999997</v>
      </c>
      <c r="S754" s="37">
        <f t="shared" si="70"/>
        <v>642.4</v>
      </c>
      <c r="T754" s="36" t="s">
        <v>349</v>
      </c>
      <c r="U754" s="31" t="s">
        <v>25</v>
      </c>
      <c r="V754" s="57">
        <v>7.1692999999999998</v>
      </c>
      <c r="W754" s="38">
        <f t="shared" si="71"/>
        <v>654.17823218445324</v>
      </c>
    </row>
    <row r="755" spans="1:23">
      <c r="A755" s="31" t="s">
        <v>2057</v>
      </c>
      <c r="B755" s="32">
        <v>45707</v>
      </c>
      <c r="C755" s="32">
        <v>45706</v>
      </c>
      <c r="D755" s="31" t="s">
        <v>5</v>
      </c>
      <c r="E755" s="31" t="s">
        <v>6</v>
      </c>
      <c r="G755" s="31" t="s">
        <v>2205</v>
      </c>
      <c r="H755" s="31" t="s">
        <v>427</v>
      </c>
      <c r="I755" s="31" t="s">
        <v>428</v>
      </c>
      <c r="J755" s="34" t="str">
        <f t="shared" si="66"/>
        <v>BOX-</v>
      </c>
      <c r="K755" s="31" t="s">
        <v>10</v>
      </c>
      <c r="L755" s="53">
        <v>2020</v>
      </c>
      <c r="M755" s="31" t="s">
        <v>1472</v>
      </c>
      <c r="N755" s="31" t="s">
        <v>11</v>
      </c>
      <c r="O755" s="53">
        <v>4.7699999999999996</v>
      </c>
      <c r="P755" s="35">
        <f t="shared" si="67"/>
        <v>9635.4</v>
      </c>
      <c r="Q755" s="36">
        <f t="shared" si="68"/>
        <v>7.3003400000000003</v>
      </c>
      <c r="R755" s="36">
        <f t="shared" si="69"/>
        <v>0.65339999999999998</v>
      </c>
      <c r="S755" s="37">
        <f t="shared" si="70"/>
        <v>1319.87</v>
      </c>
      <c r="T755" s="36" t="s">
        <v>349</v>
      </c>
      <c r="U755" s="31" t="s">
        <v>1</v>
      </c>
      <c r="V755" s="57">
        <v>7.1692999999999998</v>
      </c>
      <c r="W755" s="38">
        <f t="shared" si="71"/>
        <v>1343.9805838784816</v>
      </c>
    </row>
    <row r="756" spans="1:23">
      <c r="A756" s="31" t="s">
        <v>2058</v>
      </c>
      <c r="B756" s="32">
        <v>45699</v>
      </c>
      <c r="C756" s="32">
        <v>45674</v>
      </c>
      <c r="D756" s="31" t="s">
        <v>569</v>
      </c>
      <c r="E756" s="31" t="s">
        <v>570</v>
      </c>
      <c r="G756" s="31" t="s">
        <v>2186</v>
      </c>
      <c r="H756" s="31" t="s">
        <v>769</v>
      </c>
      <c r="I756" s="31" t="s">
        <v>770</v>
      </c>
      <c r="J756" s="34" t="str">
        <f t="shared" si="66"/>
        <v>ANYD</v>
      </c>
      <c r="K756" s="31" t="s">
        <v>10</v>
      </c>
      <c r="L756" s="53">
        <v>2100</v>
      </c>
      <c r="M756" s="31" t="s">
        <v>1472</v>
      </c>
      <c r="N756" s="31" t="s">
        <v>11</v>
      </c>
      <c r="O756" s="53">
        <v>4.9000000000000004</v>
      </c>
      <c r="P756" s="35">
        <f t="shared" si="67"/>
        <v>10290</v>
      </c>
      <c r="Q756" s="36">
        <f t="shared" si="68"/>
        <v>7.3003400000000003</v>
      </c>
      <c r="R756" s="36">
        <f t="shared" si="69"/>
        <v>0.67120000000000002</v>
      </c>
      <c r="S756" s="37">
        <f t="shared" si="70"/>
        <v>1409.52</v>
      </c>
      <c r="T756" s="36" t="s">
        <v>349</v>
      </c>
      <c r="U756" s="31" t="s">
        <v>36</v>
      </c>
      <c r="V756" s="57">
        <v>7.1692999999999998</v>
      </c>
      <c r="W756" s="38">
        <f t="shared" si="71"/>
        <v>1435.2865691211139</v>
      </c>
    </row>
    <row r="757" spans="1:23">
      <c r="A757" s="31" t="s">
        <v>2059</v>
      </c>
      <c r="B757" s="32">
        <v>45709</v>
      </c>
      <c r="C757" s="32">
        <v>45630</v>
      </c>
      <c r="D757" s="31" t="s">
        <v>830</v>
      </c>
      <c r="E757" s="31" t="s">
        <v>831</v>
      </c>
      <c r="G757" s="31" t="s">
        <v>2206</v>
      </c>
      <c r="H757" s="31" t="s">
        <v>834</v>
      </c>
      <c r="I757" s="31" t="s">
        <v>835</v>
      </c>
      <c r="J757" s="34" t="str">
        <f t="shared" si="66"/>
        <v>SKU-</v>
      </c>
      <c r="K757" s="31" t="s">
        <v>98</v>
      </c>
      <c r="L757" s="53">
        <v>800</v>
      </c>
      <c r="M757" s="31" t="s">
        <v>1472</v>
      </c>
      <c r="N757" s="31" t="s">
        <v>11</v>
      </c>
      <c r="O757" s="53">
        <v>4.9154</v>
      </c>
      <c r="P757" s="35">
        <f t="shared" si="67"/>
        <v>3932.32</v>
      </c>
      <c r="Q757" s="36">
        <f t="shared" si="68"/>
        <v>7.3003400000000003</v>
      </c>
      <c r="R757" s="36">
        <f t="shared" si="69"/>
        <v>0.67330000000000001</v>
      </c>
      <c r="S757" s="37">
        <f t="shared" si="70"/>
        <v>538.64</v>
      </c>
      <c r="T757" s="36" t="s">
        <v>349</v>
      </c>
      <c r="U757" s="31" t="s">
        <v>2</v>
      </c>
      <c r="V757" s="57">
        <v>7.1692999999999998</v>
      </c>
      <c r="W757" s="38">
        <f t="shared" si="71"/>
        <v>548.49427419692302</v>
      </c>
    </row>
    <row r="758" spans="1:23">
      <c r="A758" s="31" t="s">
        <v>2060</v>
      </c>
      <c r="B758" s="32">
        <v>45708</v>
      </c>
      <c r="C758" s="32">
        <v>45674</v>
      </c>
      <c r="D758" s="31" t="s">
        <v>696</v>
      </c>
      <c r="E758" s="31" t="s">
        <v>697</v>
      </c>
      <c r="G758" s="31" t="s">
        <v>2200</v>
      </c>
      <c r="H758" s="31" t="s">
        <v>890</v>
      </c>
      <c r="I758" s="31" t="s">
        <v>891</v>
      </c>
      <c r="J758" s="34" t="str">
        <f t="shared" si="66"/>
        <v>ANYD</v>
      </c>
      <c r="K758" s="31" t="s">
        <v>10</v>
      </c>
      <c r="L758" s="53">
        <v>1050</v>
      </c>
      <c r="M758" s="31" t="s">
        <v>1472</v>
      </c>
      <c r="N758" s="31" t="s">
        <v>11</v>
      </c>
      <c r="O758" s="53">
        <v>5</v>
      </c>
      <c r="P758" s="35">
        <f t="shared" si="67"/>
        <v>5250</v>
      </c>
      <c r="Q758" s="36">
        <f t="shared" si="68"/>
        <v>7.3003400000000003</v>
      </c>
      <c r="R758" s="36">
        <f t="shared" si="69"/>
        <v>0.68489999999999995</v>
      </c>
      <c r="S758" s="37">
        <f t="shared" si="70"/>
        <v>719.15</v>
      </c>
      <c r="T758" s="36" t="s">
        <v>349</v>
      </c>
      <c r="U758" s="31" t="s">
        <v>36</v>
      </c>
      <c r="V758" s="57">
        <v>7.1692999999999998</v>
      </c>
      <c r="W758" s="38">
        <f t="shared" si="71"/>
        <v>732.28906587811923</v>
      </c>
    </row>
    <row r="759" spans="1:23">
      <c r="A759" s="31" t="s">
        <v>2061</v>
      </c>
      <c r="B759" s="32">
        <v>45699</v>
      </c>
      <c r="C759" s="32">
        <v>45677</v>
      </c>
      <c r="D759" s="31" t="s">
        <v>5</v>
      </c>
      <c r="E759" s="31" t="s">
        <v>6</v>
      </c>
      <c r="G759" s="31" t="s">
        <v>2172</v>
      </c>
      <c r="H759" s="31" t="s">
        <v>1766</v>
      </c>
      <c r="I759" s="31" t="s">
        <v>1767</v>
      </c>
      <c r="J759" s="34" t="str">
        <f t="shared" si="66"/>
        <v>SHTS</v>
      </c>
      <c r="K759" s="31" t="s">
        <v>10</v>
      </c>
      <c r="L759" s="53">
        <v>1010</v>
      </c>
      <c r="M759" s="31" t="s">
        <v>1472</v>
      </c>
      <c r="N759" s="31" t="s">
        <v>11</v>
      </c>
      <c r="O759" s="53">
        <v>5.0199999999999996</v>
      </c>
      <c r="P759" s="35">
        <f t="shared" si="67"/>
        <v>5070.2</v>
      </c>
      <c r="Q759" s="36">
        <f t="shared" si="68"/>
        <v>7.3003400000000003</v>
      </c>
      <c r="R759" s="36">
        <f t="shared" si="69"/>
        <v>0.68759999999999999</v>
      </c>
      <c r="S759" s="37">
        <f t="shared" si="70"/>
        <v>694.48</v>
      </c>
      <c r="T759" s="36" t="s">
        <v>349</v>
      </c>
      <c r="U759" s="31" t="s">
        <v>9</v>
      </c>
      <c r="V759" s="57">
        <v>7.1692999999999998</v>
      </c>
      <c r="W759" s="38">
        <f t="shared" si="71"/>
        <v>707.2099089171885</v>
      </c>
    </row>
    <row r="760" spans="1:23">
      <c r="A760" s="31" t="s">
        <v>2062</v>
      </c>
      <c r="B760" s="32">
        <v>45707</v>
      </c>
      <c r="C760" s="32">
        <v>45677</v>
      </c>
      <c r="D760" s="31" t="s">
        <v>5</v>
      </c>
      <c r="E760" s="31" t="s">
        <v>6</v>
      </c>
      <c r="G760" s="31" t="s">
        <v>2173</v>
      </c>
      <c r="H760" s="31" t="s">
        <v>1768</v>
      </c>
      <c r="I760" s="31" t="s">
        <v>1769</v>
      </c>
      <c r="J760" s="34" t="str">
        <f t="shared" si="66"/>
        <v>SHTS</v>
      </c>
      <c r="K760" s="31" t="s">
        <v>10</v>
      </c>
      <c r="L760" s="53">
        <v>1010</v>
      </c>
      <c r="M760" s="31" t="s">
        <v>1472</v>
      </c>
      <c r="N760" s="31" t="s">
        <v>11</v>
      </c>
      <c r="O760" s="53">
        <v>5.03</v>
      </c>
      <c r="P760" s="35">
        <f t="shared" si="67"/>
        <v>5080.3</v>
      </c>
      <c r="Q760" s="36">
        <f t="shared" si="68"/>
        <v>7.3003400000000003</v>
      </c>
      <c r="R760" s="36">
        <f t="shared" si="69"/>
        <v>0.68899999999999995</v>
      </c>
      <c r="S760" s="37">
        <f t="shared" si="70"/>
        <v>695.89</v>
      </c>
      <c r="T760" s="36" t="s">
        <v>349</v>
      </c>
      <c r="U760" s="31" t="s">
        <v>9</v>
      </c>
      <c r="V760" s="57">
        <v>7.1692999999999998</v>
      </c>
      <c r="W760" s="38">
        <f t="shared" si="71"/>
        <v>708.61869359630657</v>
      </c>
    </row>
    <row r="761" spans="1:23">
      <c r="A761" s="31" t="s">
        <v>2063</v>
      </c>
      <c r="B761" s="32">
        <v>45707</v>
      </c>
      <c r="C761" s="32">
        <v>45706</v>
      </c>
      <c r="D761" s="31" t="s">
        <v>5</v>
      </c>
      <c r="E761" s="31" t="s">
        <v>6</v>
      </c>
      <c r="G761" s="31" t="s">
        <v>2185</v>
      </c>
      <c r="H761" s="31" t="s">
        <v>1770</v>
      </c>
      <c r="I761" s="31" t="s">
        <v>1771</v>
      </c>
      <c r="J761" s="34" t="str">
        <f t="shared" si="66"/>
        <v>BOX-</v>
      </c>
      <c r="K761" s="31" t="s">
        <v>10</v>
      </c>
      <c r="L761" s="53">
        <v>2020</v>
      </c>
      <c r="M761" s="31" t="s">
        <v>1472</v>
      </c>
      <c r="N761" s="31" t="s">
        <v>11</v>
      </c>
      <c r="O761" s="53">
        <v>5.04</v>
      </c>
      <c r="P761" s="35">
        <f t="shared" si="67"/>
        <v>10180.799999999999</v>
      </c>
      <c r="Q761" s="36">
        <f t="shared" si="68"/>
        <v>7.3003400000000003</v>
      </c>
      <c r="R761" s="36">
        <f t="shared" si="69"/>
        <v>0.69040000000000001</v>
      </c>
      <c r="S761" s="37">
        <f t="shared" si="70"/>
        <v>1394.61</v>
      </c>
      <c r="T761" s="36" t="s">
        <v>349</v>
      </c>
      <c r="U761" s="31" t="s">
        <v>1</v>
      </c>
      <c r="V761" s="57">
        <v>7.1692999999999998</v>
      </c>
      <c r="W761" s="38">
        <f t="shared" si="71"/>
        <v>1420.0549565508488</v>
      </c>
    </row>
    <row r="762" spans="1:23">
      <c r="A762" s="31" t="s">
        <v>2064</v>
      </c>
      <c r="B762" s="32">
        <v>45716</v>
      </c>
      <c r="C762" s="32">
        <v>45630</v>
      </c>
      <c r="D762" s="31" t="s">
        <v>830</v>
      </c>
      <c r="E762" s="31" t="s">
        <v>831</v>
      </c>
      <c r="G762" s="31" t="s">
        <v>2207</v>
      </c>
      <c r="H762" s="31" t="s">
        <v>828</v>
      </c>
      <c r="I762" s="31" t="s">
        <v>829</v>
      </c>
      <c r="J762" s="34" t="str">
        <f t="shared" si="66"/>
        <v>SKU-</v>
      </c>
      <c r="K762" s="31" t="s">
        <v>98</v>
      </c>
      <c r="L762" s="53">
        <v>4600</v>
      </c>
      <c r="M762" s="31" t="s">
        <v>1472</v>
      </c>
      <c r="N762" s="31" t="s">
        <v>11</v>
      </c>
      <c r="O762" s="53">
        <v>5.0862999999999996</v>
      </c>
      <c r="P762" s="35">
        <f t="shared" si="67"/>
        <v>23396.98</v>
      </c>
      <c r="Q762" s="36">
        <f t="shared" si="68"/>
        <v>7.3003400000000003</v>
      </c>
      <c r="R762" s="36">
        <f t="shared" si="69"/>
        <v>0.69669999999999999</v>
      </c>
      <c r="S762" s="37">
        <f t="shared" si="70"/>
        <v>3204.82</v>
      </c>
      <c r="T762" s="36" t="s">
        <v>349</v>
      </c>
      <c r="U762" s="31" t="s">
        <v>2</v>
      </c>
      <c r="V762" s="57">
        <v>7.1692999999999998</v>
      </c>
      <c r="W762" s="38">
        <f t="shared" si="71"/>
        <v>3263.4957387750546</v>
      </c>
    </row>
    <row r="763" spans="1:23">
      <c r="A763" s="31" t="s">
        <v>2064</v>
      </c>
      <c r="B763" s="32">
        <v>45709</v>
      </c>
      <c r="C763" s="32">
        <v>45630</v>
      </c>
      <c r="D763" s="31" t="s">
        <v>830</v>
      </c>
      <c r="E763" s="31" t="s">
        <v>831</v>
      </c>
      <c r="G763" s="31" t="s">
        <v>2206</v>
      </c>
      <c r="H763" s="31" t="s">
        <v>828</v>
      </c>
      <c r="I763" s="31" t="s">
        <v>829</v>
      </c>
      <c r="J763" s="34" t="str">
        <f t="shared" si="66"/>
        <v>SKU-</v>
      </c>
      <c r="K763" s="31" t="s">
        <v>98</v>
      </c>
      <c r="L763" s="53">
        <v>1200</v>
      </c>
      <c r="M763" s="31" t="s">
        <v>1472</v>
      </c>
      <c r="N763" s="31" t="s">
        <v>11</v>
      </c>
      <c r="O763" s="53">
        <v>5.0862999999999996</v>
      </c>
      <c r="P763" s="35">
        <f t="shared" si="67"/>
        <v>6103.56</v>
      </c>
      <c r="Q763" s="36">
        <f t="shared" si="68"/>
        <v>7.3003400000000003</v>
      </c>
      <c r="R763" s="36">
        <f t="shared" si="69"/>
        <v>0.69669999999999999</v>
      </c>
      <c r="S763" s="37">
        <f t="shared" si="70"/>
        <v>836.04</v>
      </c>
      <c r="T763" s="36" t="s">
        <v>349</v>
      </c>
      <c r="U763" s="31" t="s">
        <v>2</v>
      </c>
      <c r="V763" s="57">
        <v>7.1692999999999998</v>
      </c>
      <c r="W763" s="38">
        <f t="shared" si="71"/>
        <v>851.34671446305776</v>
      </c>
    </row>
    <row r="764" spans="1:23">
      <c r="A764" s="31" t="s">
        <v>2065</v>
      </c>
      <c r="B764" s="32">
        <v>45705</v>
      </c>
      <c r="C764" s="32">
        <v>45630</v>
      </c>
      <c r="D764" s="31" t="s">
        <v>143</v>
      </c>
      <c r="E764" s="31" t="s">
        <v>144</v>
      </c>
      <c r="G764" s="31" t="s">
        <v>2147</v>
      </c>
      <c r="H764" s="31" t="s">
        <v>141</v>
      </c>
      <c r="I764" s="31" t="s">
        <v>142</v>
      </c>
      <c r="J764" s="34" t="str">
        <f t="shared" si="66"/>
        <v>KNOB</v>
      </c>
      <c r="K764" s="31" t="s">
        <v>10</v>
      </c>
      <c r="L764" s="53">
        <v>12360</v>
      </c>
      <c r="M764" s="31" t="s">
        <v>1472</v>
      </c>
      <c r="N764" s="31" t="s">
        <v>11</v>
      </c>
      <c r="O764" s="53">
        <v>5.0999999999999996</v>
      </c>
      <c r="P764" s="35">
        <f t="shared" si="67"/>
        <v>63036</v>
      </c>
      <c r="Q764" s="36">
        <f t="shared" si="68"/>
        <v>7.3003400000000003</v>
      </c>
      <c r="R764" s="36">
        <f t="shared" si="69"/>
        <v>0.6986</v>
      </c>
      <c r="S764" s="37">
        <f t="shared" si="70"/>
        <v>8634.7000000000007</v>
      </c>
      <c r="T764" s="36" t="s">
        <v>349</v>
      </c>
      <c r="U764" s="31" t="s">
        <v>32</v>
      </c>
      <c r="V764" s="57">
        <v>7.1692999999999998</v>
      </c>
      <c r="W764" s="38">
        <f t="shared" si="71"/>
        <v>8792.4902012748789</v>
      </c>
    </row>
    <row r="765" spans="1:23">
      <c r="A765" s="31" t="s">
        <v>2065</v>
      </c>
      <c r="B765" s="32">
        <v>45702</v>
      </c>
      <c r="C765" s="32">
        <v>45630</v>
      </c>
      <c r="D765" s="31" t="s">
        <v>143</v>
      </c>
      <c r="E765" s="31" t="s">
        <v>144</v>
      </c>
      <c r="G765" s="31" t="s">
        <v>2208</v>
      </c>
      <c r="H765" s="31" t="s">
        <v>141</v>
      </c>
      <c r="I765" s="31" t="s">
        <v>142</v>
      </c>
      <c r="J765" s="34" t="str">
        <f t="shared" si="66"/>
        <v>KNOB</v>
      </c>
      <c r="K765" s="31" t="s">
        <v>10</v>
      </c>
      <c r="L765" s="53">
        <v>8540</v>
      </c>
      <c r="M765" s="31" t="s">
        <v>1472</v>
      </c>
      <c r="N765" s="31" t="s">
        <v>11</v>
      </c>
      <c r="O765" s="53">
        <v>5.0999999999999996</v>
      </c>
      <c r="P765" s="35">
        <f t="shared" si="67"/>
        <v>43554</v>
      </c>
      <c r="Q765" s="36">
        <f t="shared" si="68"/>
        <v>7.3003400000000003</v>
      </c>
      <c r="R765" s="36">
        <f t="shared" si="69"/>
        <v>0.6986</v>
      </c>
      <c r="S765" s="37">
        <f t="shared" si="70"/>
        <v>5966.04</v>
      </c>
      <c r="T765" s="36" t="s">
        <v>349</v>
      </c>
      <c r="U765" s="31" t="s">
        <v>32</v>
      </c>
      <c r="V765" s="57">
        <v>7.1692999999999998</v>
      </c>
      <c r="W765" s="38">
        <f t="shared" si="71"/>
        <v>6075.0700905248768</v>
      </c>
    </row>
    <row r="766" spans="1:23">
      <c r="A766" s="31" t="s">
        <v>2066</v>
      </c>
      <c r="B766" s="32">
        <v>45714</v>
      </c>
      <c r="C766" s="32">
        <v>45713</v>
      </c>
      <c r="D766" s="31" t="s">
        <v>5</v>
      </c>
      <c r="E766" s="31" t="s">
        <v>6</v>
      </c>
      <c r="G766" s="31" t="s">
        <v>2209</v>
      </c>
      <c r="H766" s="31" t="s">
        <v>1772</v>
      </c>
      <c r="I766" s="31" t="s">
        <v>1773</v>
      </c>
      <c r="J766" s="34" t="str">
        <f t="shared" si="66"/>
        <v>BOX-</v>
      </c>
      <c r="K766" s="31" t="s">
        <v>10</v>
      </c>
      <c r="L766" s="53">
        <v>505</v>
      </c>
      <c r="M766" s="31" t="s">
        <v>1472</v>
      </c>
      <c r="N766" s="31" t="s">
        <v>11</v>
      </c>
      <c r="O766" s="53">
        <v>5.17</v>
      </c>
      <c r="P766" s="35">
        <f t="shared" si="67"/>
        <v>2610.85</v>
      </c>
      <c r="Q766" s="36">
        <f t="shared" si="68"/>
        <v>7.3003400000000003</v>
      </c>
      <c r="R766" s="36">
        <f t="shared" si="69"/>
        <v>0.70820000000000005</v>
      </c>
      <c r="S766" s="37">
        <f t="shared" si="70"/>
        <v>357.64</v>
      </c>
      <c r="T766" s="36" t="s">
        <v>349</v>
      </c>
      <c r="U766" s="31" t="s">
        <v>1</v>
      </c>
      <c r="V766" s="57">
        <v>7.1692999999999998</v>
      </c>
      <c r="W766" s="38">
        <f t="shared" si="71"/>
        <v>364.17083955197859</v>
      </c>
    </row>
    <row r="767" spans="1:23">
      <c r="A767" s="31" t="s">
        <v>2067</v>
      </c>
      <c r="B767" s="32">
        <v>45706</v>
      </c>
      <c r="C767" s="32">
        <v>45677</v>
      </c>
      <c r="D767" s="31" t="s">
        <v>5</v>
      </c>
      <c r="E767" s="31" t="s">
        <v>6</v>
      </c>
      <c r="G767" s="31" t="s">
        <v>2210</v>
      </c>
      <c r="H767" s="31" t="s">
        <v>1774</v>
      </c>
      <c r="I767" s="31" t="s">
        <v>1775</v>
      </c>
      <c r="J767" s="34" t="str">
        <f t="shared" si="66"/>
        <v>BOX-</v>
      </c>
      <c r="K767" s="31" t="s">
        <v>10</v>
      </c>
      <c r="L767" s="53">
        <v>500</v>
      </c>
      <c r="M767" s="31" t="s">
        <v>1472</v>
      </c>
      <c r="N767" s="31" t="s">
        <v>11</v>
      </c>
      <c r="O767" s="53">
        <v>5.18</v>
      </c>
      <c r="P767" s="35">
        <f t="shared" si="67"/>
        <v>2590</v>
      </c>
      <c r="Q767" s="36">
        <f t="shared" si="68"/>
        <v>7.3003400000000003</v>
      </c>
      <c r="R767" s="36">
        <f t="shared" si="69"/>
        <v>0.70960000000000001</v>
      </c>
      <c r="S767" s="37">
        <f t="shared" si="70"/>
        <v>354.8</v>
      </c>
      <c r="T767" s="36" t="s">
        <v>349</v>
      </c>
      <c r="U767" s="31" t="s">
        <v>1</v>
      </c>
      <c r="V767" s="57">
        <v>7.1692999999999998</v>
      </c>
      <c r="W767" s="38">
        <f t="shared" si="71"/>
        <v>361.26260583320544</v>
      </c>
    </row>
    <row r="768" spans="1:23">
      <c r="A768" s="31" t="s">
        <v>2067</v>
      </c>
      <c r="B768" s="32">
        <v>45698</v>
      </c>
      <c r="C768" s="32">
        <v>45677</v>
      </c>
      <c r="D768" s="31" t="s">
        <v>5</v>
      </c>
      <c r="E768" s="31" t="s">
        <v>6</v>
      </c>
      <c r="G768" s="31" t="s">
        <v>2211</v>
      </c>
      <c r="H768" s="31" t="s">
        <v>1774</v>
      </c>
      <c r="I768" s="31" t="s">
        <v>1775</v>
      </c>
      <c r="J768" s="34" t="str">
        <f t="shared" si="66"/>
        <v>BOX-</v>
      </c>
      <c r="K768" s="31" t="s">
        <v>10</v>
      </c>
      <c r="L768" s="53">
        <v>505</v>
      </c>
      <c r="M768" s="31" t="s">
        <v>1472</v>
      </c>
      <c r="N768" s="31" t="s">
        <v>11</v>
      </c>
      <c r="O768" s="53">
        <v>5.18</v>
      </c>
      <c r="P768" s="35">
        <f t="shared" si="67"/>
        <v>2615.9</v>
      </c>
      <c r="Q768" s="36">
        <f t="shared" si="68"/>
        <v>7.3003400000000003</v>
      </c>
      <c r="R768" s="36">
        <f t="shared" si="69"/>
        <v>0.70960000000000001</v>
      </c>
      <c r="S768" s="37">
        <f t="shared" si="70"/>
        <v>358.35</v>
      </c>
      <c r="T768" s="36" t="s">
        <v>349</v>
      </c>
      <c r="U768" s="31" t="s">
        <v>1</v>
      </c>
      <c r="V768" s="57">
        <v>7.1692999999999998</v>
      </c>
      <c r="W768" s="38">
        <f t="shared" si="71"/>
        <v>364.87523189153751</v>
      </c>
    </row>
    <row r="769" spans="1:23">
      <c r="A769" s="31" t="s">
        <v>2068</v>
      </c>
      <c r="B769" s="32">
        <v>45712</v>
      </c>
      <c r="C769" s="32">
        <v>45698</v>
      </c>
      <c r="D769" s="31" t="s">
        <v>268</v>
      </c>
      <c r="E769" s="31" t="s">
        <v>269</v>
      </c>
      <c r="G769" s="31" t="s">
        <v>2168</v>
      </c>
      <c r="H769" s="31" t="s">
        <v>1077</v>
      </c>
      <c r="I769" s="31" t="s">
        <v>1078</v>
      </c>
      <c r="J769" s="34" t="str">
        <f t="shared" si="66"/>
        <v>MISC</v>
      </c>
      <c r="K769" s="31" t="s">
        <v>10</v>
      </c>
      <c r="L769" s="53">
        <v>50</v>
      </c>
      <c r="M769" s="31" t="s">
        <v>136</v>
      </c>
      <c r="N769" s="31" t="s">
        <v>11</v>
      </c>
      <c r="O769" s="53">
        <v>5.18</v>
      </c>
      <c r="P769" s="35">
        <f t="shared" si="67"/>
        <v>259</v>
      </c>
      <c r="Q769" s="36">
        <f t="shared" si="68"/>
        <v>7.3003400000000003</v>
      </c>
      <c r="R769" s="36">
        <f t="shared" si="69"/>
        <v>0.70960000000000001</v>
      </c>
      <c r="S769" s="37">
        <f t="shared" si="70"/>
        <v>35.479999999999997</v>
      </c>
      <c r="T769" s="36" t="s">
        <v>349</v>
      </c>
      <c r="U769" s="31" t="s">
        <v>25</v>
      </c>
      <c r="V769" s="57">
        <v>7.1692999999999998</v>
      </c>
      <c r="W769" s="38">
        <f t="shared" si="71"/>
        <v>36.126260583320544</v>
      </c>
    </row>
    <row r="770" spans="1:23">
      <c r="A770" s="31" t="s">
        <v>2069</v>
      </c>
      <c r="B770" s="32">
        <v>45705</v>
      </c>
      <c r="C770" s="32">
        <v>45646</v>
      </c>
      <c r="D770" s="31" t="s">
        <v>866</v>
      </c>
      <c r="E770" s="31" t="s">
        <v>867</v>
      </c>
      <c r="G770" s="31" t="s">
        <v>2212</v>
      </c>
      <c r="H770" s="31" t="s">
        <v>34</v>
      </c>
      <c r="I770" s="31" t="s">
        <v>35</v>
      </c>
      <c r="J770" s="34" t="str">
        <f t="shared" ref="J770:J833" si="72">+LEFT(U770,4)</f>
        <v>ANYD</v>
      </c>
      <c r="K770" s="31" t="s">
        <v>10</v>
      </c>
      <c r="L770" s="53">
        <v>12000</v>
      </c>
      <c r="M770" s="31" t="s">
        <v>1472</v>
      </c>
      <c r="N770" s="31" t="s">
        <v>11</v>
      </c>
      <c r="O770" s="53">
        <v>5.2389000000000001</v>
      </c>
      <c r="P770" s="35">
        <f t="shared" ref="P770:P833" si="73">ROUND(O770*L770,2)</f>
        <v>62866.8</v>
      </c>
      <c r="Q770" s="36">
        <f t="shared" ref="Q770:Q833" si="74">IF(N770="HKD",7.8,IF(N770="CNY",7.30034,1))</f>
        <v>7.3003400000000003</v>
      </c>
      <c r="R770" s="36">
        <f t="shared" ref="R770:R833" si="75">+ROUND(O770/Q770,4)</f>
        <v>0.71760000000000002</v>
      </c>
      <c r="S770" s="37">
        <f t="shared" ref="S770:S833" si="76">ROUND(R770*L770,2)</f>
        <v>8611.2000000000007</v>
      </c>
      <c r="T770" s="36" t="s">
        <v>349</v>
      </c>
      <c r="U770" s="31" t="s">
        <v>36</v>
      </c>
      <c r="V770" s="57">
        <v>7.1692999999999998</v>
      </c>
      <c r="W770" s="38">
        <f t="shared" ref="W770:W833" si="77">IF(N770="CNY",O770/V770*L770,1)</f>
        <v>8768.8895708088658</v>
      </c>
    </row>
    <row r="771" spans="1:23">
      <c r="A771" s="31" t="s">
        <v>2070</v>
      </c>
      <c r="B771" s="32">
        <v>45705</v>
      </c>
      <c r="C771" s="32">
        <v>45309</v>
      </c>
      <c r="D771" s="31" t="s">
        <v>866</v>
      </c>
      <c r="E771" s="31" t="s">
        <v>867</v>
      </c>
      <c r="G771" s="31" t="s">
        <v>2183</v>
      </c>
      <c r="H771" s="31" t="s">
        <v>1497</v>
      </c>
      <c r="I771" s="31" t="s">
        <v>1498</v>
      </c>
      <c r="J771" s="34" t="str">
        <f t="shared" si="72"/>
        <v>ANYD</v>
      </c>
      <c r="K771" s="31" t="s">
        <v>10</v>
      </c>
      <c r="L771" s="53">
        <v>2000</v>
      </c>
      <c r="M771" s="31" t="s">
        <v>1472</v>
      </c>
      <c r="N771" s="31" t="s">
        <v>11</v>
      </c>
      <c r="O771" s="53">
        <v>5.3574999999999999</v>
      </c>
      <c r="P771" s="35">
        <f t="shared" si="73"/>
        <v>10715</v>
      </c>
      <c r="Q771" s="36">
        <f t="shared" si="74"/>
        <v>7.3003400000000003</v>
      </c>
      <c r="R771" s="36">
        <f t="shared" si="75"/>
        <v>0.7339</v>
      </c>
      <c r="S771" s="37">
        <f t="shared" si="76"/>
        <v>1467.8</v>
      </c>
      <c r="T771" s="36" t="s">
        <v>349</v>
      </c>
      <c r="U771" s="31" t="s">
        <v>36</v>
      </c>
      <c r="V771" s="57">
        <v>7.1692999999999998</v>
      </c>
      <c r="W771" s="38">
        <f t="shared" si="77"/>
        <v>1494.5671125493423</v>
      </c>
    </row>
    <row r="772" spans="1:23">
      <c r="A772" s="31" t="s">
        <v>910</v>
      </c>
      <c r="B772" s="32">
        <v>45705</v>
      </c>
      <c r="C772" s="32">
        <v>45287</v>
      </c>
      <c r="D772" s="31" t="s">
        <v>866</v>
      </c>
      <c r="E772" s="31" t="s">
        <v>867</v>
      </c>
      <c r="G772" s="31" t="s">
        <v>2213</v>
      </c>
      <c r="H772" s="31" t="s">
        <v>908</v>
      </c>
      <c r="I772" s="31" t="s">
        <v>909</v>
      </c>
      <c r="J772" s="34" t="str">
        <f t="shared" si="72"/>
        <v>ANYD</v>
      </c>
      <c r="K772" s="31" t="s">
        <v>10</v>
      </c>
      <c r="L772" s="53">
        <v>2016</v>
      </c>
      <c r="M772" s="31" t="s">
        <v>1472</v>
      </c>
      <c r="N772" s="31" t="s">
        <v>11</v>
      </c>
      <c r="O772" s="53">
        <v>5.3804999999999996</v>
      </c>
      <c r="P772" s="35">
        <f t="shared" si="73"/>
        <v>10847.09</v>
      </c>
      <c r="Q772" s="36">
        <f t="shared" si="74"/>
        <v>7.3003400000000003</v>
      </c>
      <c r="R772" s="36">
        <f t="shared" si="75"/>
        <v>0.73699999999999999</v>
      </c>
      <c r="S772" s="37">
        <f t="shared" si="76"/>
        <v>1485.79</v>
      </c>
      <c r="T772" s="36" t="s">
        <v>349</v>
      </c>
      <c r="U772" s="31" t="s">
        <v>36</v>
      </c>
      <c r="V772" s="57">
        <v>7.1692999999999998</v>
      </c>
      <c r="W772" s="38">
        <f t="shared" si="77"/>
        <v>1512.9912264795726</v>
      </c>
    </row>
    <row r="773" spans="1:23">
      <c r="A773" s="31" t="s">
        <v>2071</v>
      </c>
      <c r="B773" s="32">
        <v>45707</v>
      </c>
      <c r="C773" s="32">
        <v>45706</v>
      </c>
      <c r="D773" s="31" t="s">
        <v>5</v>
      </c>
      <c r="E773" s="31" t="s">
        <v>6</v>
      </c>
      <c r="G773" s="31" t="s">
        <v>2173</v>
      </c>
      <c r="H773" s="31" t="s">
        <v>1776</v>
      </c>
      <c r="I773" s="31" t="s">
        <v>1777</v>
      </c>
      <c r="J773" s="34" t="str">
        <f t="shared" si="72"/>
        <v>SHTS</v>
      </c>
      <c r="K773" s="31" t="s">
        <v>10</v>
      </c>
      <c r="L773" s="53">
        <v>505</v>
      </c>
      <c r="M773" s="31" t="s">
        <v>1472</v>
      </c>
      <c r="N773" s="31" t="s">
        <v>11</v>
      </c>
      <c r="O773" s="53">
        <v>5.41</v>
      </c>
      <c r="P773" s="35">
        <f t="shared" si="73"/>
        <v>2732.05</v>
      </c>
      <c r="Q773" s="36">
        <f t="shared" si="74"/>
        <v>7.3003400000000003</v>
      </c>
      <c r="R773" s="36">
        <f t="shared" si="75"/>
        <v>0.74109999999999998</v>
      </c>
      <c r="S773" s="37">
        <f t="shared" si="76"/>
        <v>374.26</v>
      </c>
      <c r="T773" s="36" t="s">
        <v>349</v>
      </c>
      <c r="U773" s="31" t="s">
        <v>9</v>
      </c>
      <c r="V773" s="57">
        <v>7.1692999999999998</v>
      </c>
      <c r="W773" s="38">
        <f t="shared" si="77"/>
        <v>381.07625570139345</v>
      </c>
    </row>
    <row r="774" spans="1:23">
      <c r="A774" s="31" t="s">
        <v>2072</v>
      </c>
      <c r="B774" s="32">
        <v>45708</v>
      </c>
      <c r="C774" s="32">
        <v>45673</v>
      </c>
      <c r="D774" s="31" t="s">
        <v>696</v>
      </c>
      <c r="E774" s="31" t="s">
        <v>697</v>
      </c>
      <c r="G774" s="31" t="s">
        <v>2214</v>
      </c>
      <c r="H774" s="31" t="s">
        <v>694</v>
      </c>
      <c r="I774" s="31" t="s">
        <v>695</v>
      </c>
      <c r="J774" s="34" t="str">
        <f t="shared" si="72"/>
        <v>ANYD</v>
      </c>
      <c r="K774" s="31" t="s">
        <v>10</v>
      </c>
      <c r="L774" s="53">
        <v>2000</v>
      </c>
      <c r="M774" s="31" t="s">
        <v>1472</v>
      </c>
      <c r="N774" s="31" t="s">
        <v>11</v>
      </c>
      <c r="O774" s="53">
        <v>5.49</v>
      </c>
      <c r="P774" s="35">
        <f t="shared" si="73"/>
        <v>10980</v>
      </c>
      <c r="Q774" s="36">
        <f t="shared" si="74"/>
        <v>7.3003400000000003</v>
      </c>
      <c r="R774" s="36">
        <f t="shared" si="75"/>
        <v>0.752</v>
      </c>
      <c r="S774" s="37">
        <f t="shared" si="76"/>
        <v>1504</v>
      </c>
      <c r="T774" s="36" t="s">
        <v>349</v>
      </c>
      <c r="U774" s="31" t="s">
        <v>36</v>
      </c>
      <c r="V774" s="57">
        <v>7.1692999999999998</v>
      </c>
      <c r="W774" s="38">
        <f t="shared" si="77"/>
        <v>1531.5302749222378</v>
      </c>
    </row>
    <row r="775" spans="1:23">
      <c r="A775" s="31" t="s">
        <v>2073</v>
      </c>
      <c r="B775" s="32">
        <v>45698</v>
      </c>
      <c r="C775" s="32">
        <v>45677</v>
      </c>
      <c r="D775" s="31" t="s">
        <v>5</v>
      </c>
      <c r="E775" s="31" t="s">
        <v>6</v>
      </c>
      <c r="G775" s="31" t="s">
        <v>2211</v>
      </c>
      <c r="H775" s="31" t="s">
        <v>459</v>
      </c>
      <c r="I775" s="31" t="s">
        <v>460</v>
      </c>
      <c r="J775" s="34" t="str">
        <f t="shared" si="72"/>
        <v>BOX-</v>
      </c>
      <c r="K775" s="31" t="s">
        <v>10</v>
      </c>
      <c r="L775" s="53">
        <v>500</v>
      </c>
      <c r="M775" s="31" t="s">
        <v>1472</v>
      </c>
      <c r="N775" s="31" t="s">
        <v>11</v>
      </c>
      <c r="O775" s="53">
        <v>5.55</v>
      </c>
      <c r="P775" s="35">
        <f t="shared" si="73"/>
        <v>2775</v>
      </c>
      <c r="Q775" s="36">
        <f t="shared" si="74"/>
        <v>7.3003400000000003</v>
      </c>
      <c r="R775" s="36">
        <f t="shared" si="75"/>
        <v>0.76019999999999999</v>
      </c>
      <c r="S775" s="37">
        <f t="shared" si="76"/>
        <v>380.1</v>
      </c>
      <c r="T775" s="36" t="s">
        <v>349</v>
      </c>
      <c r="U775" s="31" t="s">
        <v>1</v>
      </c>
      <c r="V775" s="57">
        <v>7.1692999999999998</v>
      </c>
      <c r="W775" s="38">
        <f t="shared" si="77"/>
        <v>387.06707767843443</v>
      </c>
    </row>
    <row r="776" spans="1:23">
      <c r="A776" s="31" t="s">
        <v>2074</v>
      </c>
      <c r="B776" s="32">
        <v>45707</v>
      </c>
      <c r="C776" s="32">
        <v>45677</v>
      </c>
      <c r="D776" s="31" t="s">
        <v>5</v>
      </c>
      <c r="E776" s="31" t="s">
        <v>6</v>
      </c>
      <c r="G776" s="31" t="s">
        <v>2173</v>
      </c>
      <c r="H776" s="31" t="s">
        <v>1778</v>
      </c>
      <c r="I776" s="31" t="s">
        <v>1779</v>
      </c>
      <c r="J776" s="34" t="str">
        <f t="shared" si="72"/>
        <v>SHTS</v>
      </c>
      <c r="K776" s="31" t="s">
        <v>10</v>
      </c>
      <c r="L776" s="53">
        <v>1010</v>
      </c>
      <c r="M776" s="31" t="s">
        <v>1472</v>
      </c>
      <c r="N776" s="31" t="s">
        <v>11</v>
      </c>
      <c r="O776" s="53">
        <v>5.62</v>
      </c>
      <c r="P776" s="35">
        <f t="shared" si="73"/>
        <v>5676.2</v>
      </c>
      <c r="Q776" s="36">
        <f t="shared" si="74"/>
        <v>7.3003400000000003</v>
      </c>
      <c r="R776" s="36">
        <f t="shared" si="75"/>
        <v>0.76980000000000004</v>
      </c>
      <c r="S776" s="37">
        <f t="shared" si="76"/>
        <v>777.5</v>
      </c>
      <c r="T776" s="36" t="s">
        <v>349</v>
      </c>
      <c r="U776" s="31" t="s">
        <v>9</v>
      </c>
      <c r="V776" s="57">
        <v>7.1692999999999998</v>
      </c>
      <c r="W776" s="38">
        <f t="shared" si="77"/>
        <v>791.73698966426286</v>
      </c>
    </row>
    <row r="777" spans="1:23">
      <c r="A777" s="31" t="s">
        <v>2075</v>
      </c>
      <c r="B777" s="32">
        <v>45708</v>
      </c>
      <c r="C777" s="32">
        <v>45674</v>
      </c>
      <c r="D777" s="31" t="s">
        <v>569</v>
      </c>
      <c r="E777" s="31" t="s">
        <v>570</v>
      </c>
      <c r="G777" s="31" t="s">
        <v>2182</v>
      </c>
      <c r="H777" s="31" t="s">
        <v>766</v>
      </c>
      <c r="I777" s="31" t="s">
        <v>767</v>
      </c>
      <c r="J777" s="34" t="str">
        <f t="shared" si="72"/>
        <v>ANYD</v>
      </c>
      <c r="K777" s="31" t="s">
        <v>10</v>
      </c>
      <c r="L777" s="53">
        <v>800</v>
      </c>
      <c r="M777" s="31" t="s">
        <v>1472</v>
      </c>
      <c r="N777" s="31" t="s">
        <v>11</v>
      </c>
      <c r="O777" s="53">
        <v>5.7</v>
      </c>
      <c r="P777" s="35">
        <f t="shared" si="73"/>
        <v>4560</v>
      </c>
      <c r="Q777" s="36">
        <f t="shared" si="74"/>
        <v>7.3003400000000003</v>
      </c>
      <c r="R777" s="36">
        <f t="shared" si="75"/>
        <v>0.78080000000000005</v>
      </c>
      <c r="S777" s="37">
        <f t="shared" si="76"/>
        <v>624.64</v>
      </c>
      <c r="T777" s="36" t="s">
        <v>349</v>
      </c>
      <c r="U777" s="31" t="s">
        <v>36</v>
      </c>
      <c r="V777" s="57">
        <v>7.1692999999999998</v>
      </c>
      <c r="W777" s="38">
        <f t="shared" si="77"/>
        <v>636.04536007699494</v>
      </c>
    </row>
    <row r="778" spans="1:23">
      <c r="A778" s="31" t="s">
        <v>2075</v>
      </c>
      <c r="B778" s="32">
        <v>45699</v>
      </c>
      <c r="C778" s="32">
        <v>45674</v>
      </c>
      <c r="D778" s="31" t="s">
        <v>569</v>
      </c>
      <c r="E778" s="31" t="s">
        <v>570</v>
      </c>
      <c r="G778" s="31" t="s">
        <v>2186</v>
      </c>
      <c r="H778" s="31" t="s">
        <v>766</v>
      </c>
      <c r="I778" s="31" t="s">
        <v>767</v>
      </c>
      <c r="J778" s="34" t="str">
        <f t="shared" si="72"/>
        <v>ANYD</v>
      </c>
      <c r="K778" s="31" t="s">
        <v>10</v>
      </c>
      <c r="L778" s="53">
        <v>1300</v>
      </c>
      <c r="M778" s="31" t="s">
        <v>1472</v>
      </c>
      <c r="N778" s="31" t="s">
        <v>11</v>
      </c>
      <c r="O778" s="53">
        <v>5.7</v>
      </c>
      <c r="P778" s="35">
        <f t="shared" si="73"/>
        <v>7410</v>
      </c>
      <c r="Q778" s="36">
        <f t="shared" si="74"/>
        <v>7.3003400000000003</v>
      </c>
      <c r="R778" s="36">
        <f t="shared" si="75"/>
        <v>0.78080000000000005</v>
      </c>
      <c r="S778" s="37">
        <f t="shared" si="76"/>
        <v>1015.04</v>
      </c>
      <c r="T778" s="36" t="s">
        <v>349</v>
      </c>
      <c r="U778" s="31" t="s">
        <v>36</v>
      </c>
      <c r="V778" s="57">
        <v>7.1692999999999998</v>
      </c>
      <c r="W778" s="38">
        <f t="shared" si="77"/>
        <v>1033.5737101251168</v>
      </c>
    </row>
    <row r="779" spans="1:23">
      <c r="A779" s="31" t="s">
        <v>2076</v>
      </c>
      <c r="B779" s="32">
        <v>45708</v>
      </c>
      <c r="C779" s="32">
        <v>45677</v>
      </c>
      <c r="D779" s="31" t="s">
        <v>569</v>
      </c>
      <c r="E779" s="31" t="s">
        <v>570</v>
      </c>
      <c r="G779" s="31" t="s">
        <v>2182</v>
      </c>
      <c r="H779" s="31" t="s">
        <v>766</v>
      </c>
      <c r="I779" s="31" t="s">
        <v>767</v>
      </c>
      <c r="J779" s="34" t="str">
        <f t="shared" si="72"/>
        <v>ANYD</v>
      </c>
      <c r="K779" s="31" t="s">
        <v>10</v>
      </c>
      <c r="L779" s="53">
        <v>500</v>
      </c>
      <c r="M779" s="31" t="s">
        <v>1472</v>
      </c>
      <c r="N779" s="31" t="s">
        <v>11</v>
      </c>
      <c r="O779" s="53">
        <v>5.7</v>
      </c>
      <c r="P779" s="35">
        <f t="shared" si="73"/>
        <v>2850</v>
      </c>
      <c r="Q779" s="36">
        <f t="shared" si="74"/>
        <v>7.3003400000000003</v>
      </c>
      <c r="R779" s="36">
        <f t="shared" si="75"/>
        <v>0.78080000000000005</v>
      </c>
      <c r="S779" s="37">
        <f t="shared" si="76"/>
        <v>390.4</v>
      </c>
      <c r="T779" s="36" t="s">
        <v>349</v>
      </c>
      <c r="U779" s="31" t="s">
        <v>36</v>
      </c>
      <c r="V779" s="57">
        <v>7.1692999999999998</v>
      </c>
      <c r="W779" s="38">
        <f t="shared" si="77"/>
        <v>397.52835004812187</v>
      </c>
    </row>
    <row r="780" spans="1:23">
      <c r="A780" s="31" t="s">
        <v>2077</v>
      </c>
      <c r="B780" s="32">
        <v>45706</v>
      </c>
      <c r="C780" s="32">
        <v>45639</v>
      </c>
      <c r="D780" s="31" t="s">
        <v>149</v>
      </c>
      <c r="E780" s="31" t="s">
        <v>150</v>
      </c>
      <c r="G780" s="31" t="s">
        <v>2215</v>
      </c>
      <c r="H780" s="31" t="s">
        <v>274</v>
      </c>
      <c r="I780" s="31" t="s">
        <v>275</v>
      </c>
      <c r="J780" s="34" t="str">
        <f t="shared" si="72"/>
        <v>SKU-</v>
      </c>
      <c r="K780" s="31" t="s">
        <v>98</v>
      </c>
      <c r="L780" s="53">
        <v>5000</v>
      </c>
      <c r="M780" s="31" t="s">
        <v>1472</v>
      </c>
      <c r="N780" s="31" t="s">
        <v>11</v>
      </c>
      <c r="O780" s="53">
        <v>5.7253999999999996</v>
      </c>
      <c r="P780" s="35">
        <f t="shared" si="73"/>
        <v>28627</v>
      </c>
      <c r="Q780" s="36">
        <f t="shared" si="74"/>
        <v>7.3003400000000003</v>
      </c>
      <c r="R780" s="36">
        <f t="shared" si="75"/>
        <v>0.7843</v>
      </c>
      <c r="S780" s="37">
        <f t="shared" si="76"/>
        <v>3921.5</v>
      </c>
      <c r="T780" s="36" t="s">
        <v>349</v>
      </c>
      <c r="U780" s="31" t="s">
        <v>2</v>
      </c>
      <c r="V780" s="57">
        <v>7.1692999999999998</v>
      </c>
      <c r="W780" s="38">
        <f t="shared" si="77"/>
        <v>3992.9979216938896</v>
      </c>
    </row>
    <row r="781" spans="1:23">
      <c r="A781" s="31" t="s">
        <v>2078</v>
      </c>
      <c r="B781" s="32">
        <v>45706</v>
      </c>
      <c r="C781" s="32">
        <v>45644</v>
      </c>
      <c r="D781" s="31" t="s">
        <v>149</v>
      </c>
      <c r="E781" s="31" t="s">
        <v>150</v>
      </c>
      <c r="G781" s="31" t="s">
        <v>2215</v>
      </c>
      <c r="H781" s="31" t="s">
        <v>274</v>
      </c>
      <c r="I781" s="31" t="s">
        <v>275</v>
      </c>
      <c r="J781" s="34" t="str">
        <f t="shared" si="72"/>
        <v>SKU-</v>
      </c>
      <c r="K781" s="31" t="s">
        <v>98</v>
      </c>
      <c r="L781" s="53">
        <v>4000</v>
      </c>
      <c r="M781" s="31" t="s">
        <v>1472</v>
      </c>
      <c r="N781" s="31" t="s">
        <v>11</v>
      </c>
      <c r="O781" s="53">
        <v>5.7253999999999996</v>
      </c>
      <c r="P781" s="35">
        <f t="shared" si="73"/>
        <v>22901.599999999999</v>
      </c>
      <c r="Q781" s="36">
        <f t="shared" si="74"/>
        <v>7.3003400000000003</v>
      </c>
      <c r="R781" s="36">
        <f t="shared" si="75"/>
        <v>0.7843</v>
      </c>
      <c r="S781" s="37">
        <f t="shared" si="76"/>
        <v>3137.2</v>
      </c>
      <c r="T781" s="36" t="s">
        <v>349</v>
      </c>
      <c r="U781" s="31" t="s">
        <v>2</v>
      </c>
      <c r="V781" s="57">
        <v>7.1692999999999998</v>
      </c>
      <c r="W781" s="38">
        <f t="shared" si="77"/>
        <v>3194.3983373551114</v>
      </c>
    </row>
    <row r="782" spans="1:23">
      <c r="A782" s="31" t="s">
        <v>2079</v>
      </c>
      <c r="B782" s="32">
        <v>45699</v>
      </c>
      <c r="C782" s="32">
        <v>45630</v>
      </c>
      <c r="D782" s="31" t="s">
        <v>569</v>
      </c>
      <c r="E782" s="31" t="s">
        <v>570</v>
      </c>
      <c r="G782" s="31" t="s">
        <v>2148</v>
      </c>
      <c r="H782" s="31" t="s">
        <v>1780</v>
      </c>
      <c r="I782" s="31" t="s">
        <v>1781</v>
      </c>
      <c r="J782" s="34" t="str">
        <f t="shared" si="72"/>
        <v>MISC</v>
      </c>
      <c r="K782" s="31" t="s">
        <v>10</v>
      </c>
      <c r="L782" s="53">
        <v>6030</v>
      </c>
      <c r="M782" s="31" t="s">
        <v>1472</v>
      </c>
      <c r="N782" s="31" t="s">
        <v>11</v>
      </c>
      <c r="O782" s="53">
        <v>5.8394000000000004</v>
      </c>
      <c r="P782" s="35">
        <f t="shared" si="73"/>
        <v>35211.58</v>
      </c>
      <c r="Q782" s="36">
        <f t="shared" si="74"/>
        <v>7.3003400000000003</v>
      </c>
      <c r="R782" s="36">
        <f t="shared" si="75"/>
        <v>0.79990000000000006</v>
      </c>
      <c r="S782" s="37">
        <f t="shared" si="76"/>
        <v>4823.3999999999996</v>
      </c>
      <c r="T782" s="36" t="s">
        <v>349</v>
      </c>
      <c r="U782" s="31" t="s">
        <v>25</v>
      </c>
      <c r="V782" s="57">
        <v>7.1692999999999998</v>
      </c>
      <c r="W782" s="38">
        <f t="shared" si="77"/>
        <v>4911.439331594438</v>
      </c>
    </row>
    <row r="783" spans="1:23">
      <c r="A783" s="31" t="s">
        <v>2080</v>
      </c>
      <c r="B783" s="32">
        <v>45699</v>
      </c>
      <c r="C783" s="32">
        <v>45646</v>
      </c>
      <c r="D783" s="31" t="s">
        <v>569</v>
      </c>
      <c r="E783" s="31" t="s">
        <v>570</v>
      </c>
      <c r="G783" s="31" t="s">
        <v>2148</v>
      </c>
      <c r="H783" s="31" t="s">
        <v>1780</v>
      </c>
      <c r="I783" s="31" t="s">
        <v>1781</v>
      </c>
      <c r="J783" s="34" t="str">
        <f t="shared" si="72"/>
        <v>MISC</v>
      </c>
      <c r="K783" s="31" t="s">
        <v>10</v>
      </c>
      <c r="L783" s="53">
        <v>3520</v>
      </c>
      <c r="M783" s="31" t="s">
        <v>1472</v>
      </c>
      <c r="N783" s="31" t="s">
        <v>11</v>
      </c>
      <c r="O783" s="53">
        <v>5.8996000000000004</v>
      </c>
      <c r="P783" s="35">
        <f t="shared" si="73"/>
        <v>20766.59</v>
      </c>
      <c r="Q783" s="36">
        <f t="shared" si="74"/>
        <v>7.3003400000000003</v>
      </c>
      <c r="R783" s="36">
        <f t="shared" si="75"/>
        <v>0.80810000000000004</v>
      </c>
      <c r="S783" s="37">
        <f t="shared" si="76"/>
        <v>2844.51</v>
      </c>
      <c r="T783" s="36" t="s">
        <v>349</v>
      </c>
      <c r="U783" s="31" t="s">
        <v>25</v>
      </c>
      <c r="V783" s="57">
        <v>7.1692999999999998</v>
      </c>
      <c r="W783" s="38">
        <f t="shared" si="77"/>
        <v>2896.5996680289568</v>
      </c>
    </row>
    <row r="784" spans="1:23">
      <c r="A784" s="31" t="s">
        <v>2081</v>
      </c>
      <c r="B784" s="32">
        <v>45708</v>
      </c>
      <c r="C784" s="32">
        <v>45673</v>
      </c>
      <c r="D784" s="31" t="s">
        <v>696</v>
      </c>
      <c r="E784" s="31" t="s">
        <v>697</v>
      </c>
      <c r="G784" s="31" t="s">
        <v>2214</v>
      </c>
      <c r="H784" s="31" t="s">
        <v>700</v>
      </c>
      <c r="I784" s="31" t="s">
        <v>701</v>
      </c>
      <c r="J784" s="34" t="str">
        <f t="shared" si="72"/>
        <v>ANYD</v>
      </c>
      <c r="K784" s="31" t="s">
        <v>10</v>
      </c>
      <c r="L784" s="53">
        <v>3000</v>
      </c>
      <c r="M784" s="31" t="s">
        <v>1472</v>
      </c>
      <c r="N784" s="31" t="s">
        <v>11</v>
      </c>
      <c r="O784" s="53">
        <v>6.01</v>
      </c>
      <c r="P784" s="35">
        <f t="shared" si="73"/>
        <v>18030</v>
      </c>
      <c r="Q784" s="36">
        <f t="shared" si="74"/>
        <v>7.3003400000000003</v>
      </c>
      <c r="R784" s="36">
        <f t="shared" si="75"/>
        <v>0.82320000000000004</v>
      </c>
      <c r="S784" s="37">
        <f t="shared" si="76"/>
        <v>2469.6</v>
      </c>
      <c r="T784" s="36" t="s">
        <v>349</v>
      </c>
      <c r="U784" s="31" t="s">
        <v>36</v>
      </c>
      <c r="V784" s="57">
        <v>7.1692999999999998</v>
      </c>
      <c r="W784" s="38">
        <f t="shared" si="77"/>
        <v>2514.8898776728552</v>
      </c>
    </row>
    <row r="785" spans="1:23">
      <c r="A785" s="31" t="s">
        <v>868</v>
      </c>
      <c r="B785" s="32">
        <v>45705</v>
      </c>
      <c r="C785" s="32">
        <v>45309</v>
      </c>
      <c r="D785" s="31" t="s">
        <v>866</v>
      </c>
      <c r="E785" s="31" t="s">
        <v>867</v>
      </c>
      <c r="G785" s="31" t="s">
        <v>2183</v>
      </c>
      <c r="H785" s="31" t="s">
        <v>864</v>
      </c>
      <c r="I785" s="31" t="s">
        <v>865</v>
      </c>
      <c r="J785" s="34" t="str">
        <f t="shared" si="72"/>
        <v>ANYD</v>
      </c>
      <c r="K785" s="31" t="s">
        <v>10</v>
      </c>
      <c r="L785" s="53">
        <v>3520</v>
      </c>
      <c r="M785" s="31" t="s">
        <v>1472</v>
      </c>
      <c r="N785" s="31" t="s">
        <v>11</v>
      </c>
      <c r="O785" s="53">
        <v>6.0212000000000003</v>
      </c>
      <c r="P785" s="35">
        <f t="shared" si="73"/>
        <v>21194.62</v>
      </c>
      <c r="Q785" s="36">
        <f t="shared" si="74"/>
        <v>7.3003400000000003</v>
      </c>
      <c r="R785" s="36">
        <f t="shared" si="75"/>
        <v>0.82479999999999998</v>
      </c>
      <c r="S785" s="37">
        <f t="shared" si="76"/>
        <v>2903.3</v>
      </c>
      <c r="T785" s="36" t="s">
        <v>349</v>
      </c>
      <c r="U785" s="31" t="s">
        <v>36</v>
      </c>
      <c r="V785" s="57">
        <v>7.1692999999999998</v>
      </c>
      <c r="W785" s="38">
        <f t="shared" si="77"/>
        <v>2956.3031258281844</v>
      </c>
    </row>
    <row r="786" spans="1:23">
      <c r="A786" s="31" t="s">
        <v>2082</v>
      </c>
      <c r="B786" s="32">
        <v>45712</v>
      </c>
      <c r="C786" s="32">
        <v>45707</v>
      </c>
      <c r="D786" s="31" t="s">
        <v>2253</v>
      </c>
      <c r="E786" s="31" t="s">
        <v>2254</v>
      </c>
      <c r="G786" s="31" t="s">
        <v>2216</v>
      </c>
      <c r="H786" s="31" t="s">
        <v>1782</v>
      </c>
      <c r="I786" s="31" t="s">
        <v>1783</v>
      </c>
      <c r="J786" s="34" t="str">
        <f t="shared" si="72"/>
        <v>MISC</v>
      </c>
      <c r="K786" s="31" t="s">
        <v>10</v>
      </c>
      <c r="L786" s="53">
        <v>2000</v>
      </c>
      <c r="M786" s="31" t="s">
        <v>186</v>
      </c>
      <c r="N786" s="31" t="s">
        <v>11</v>
      </c>
      <c r="O786" s="53">
        <v>6.0620000000000003</v>
      </c>
      <c r="P786" s="35">
        <f t="shared" si="73"/>
        <v>12124</v>
      </c>
      <c r="Q786" s="36">
        <f t="shared" si="74"/>
        <v>7.3003400000000003</v>
      </c>
      <c r="R786" s="36">
        <f t="shared" si="75"/>
        <v>0.83040000000000003</v>
      </c>
      <c r="S786" s="37">
        <f t="shared" si="76"/>
        <v>1660.8</v>
      </c>
      <c r="T786" s="36" t="s">
        <v>349</v>
      </c>
      <c r="U786" s="31" t="s">
        <v>25</v>
      </c>
      <c r="V786" s="57">
        <v>7.1692999999999998</v>
      </c>
      <c r="W786" s="38">
        <f t="shared" si="77"/>
        <v>1691.09954946787</v>
      </c>
    </row>
    <row r="787" spans="1:23">
      <c r="A787" s="31" t="s">
        <v>2083</v>
      </c>
      <c r="B787" s="32">
        <v>45708</v>
      </c>
      <c r="C787" s="32">
        <v>45671</v>
      </c>
      <c r="D787" s="31" t="s">
        <v>696</v>
      </c>
      <c r="E787" s="31" t="s">
        <v>697</v>
      </c>
      <c r="G787" s="31" t="s">
        <v>2217</v>
      </c>
      <c r="H787" s="31" t="s">
        <v>1784</v>
      </c>
      <c r="I787" s="31" t="s">
        <v>1785</v>
      </c>
      <c r="J787" s="34" t="str">
        <f t="shared" si="72"/>
        <v>GLID</v>
      </c>
      <c r="K787" s="31" t="s">
        <v>10</v>
      </c>
      <c r="L787" s="53">
        <v>2040</v>
      </c>
      <c r="M787" s="31" t="s">
        <v>1472</v>
      </c>
      <c r="N787" s="31" t="s">
        <v>11</v>
      </c>
      <c r="O787" s="53">
        <v>6.08</v>
      </c>
      <c r="P787" s="35">
        <f t="shared" si="73"/>
        <v>12403.2</v>
      </c>
      <c r="Q787" s="36">
        <f t="shared" si="74"/>
        <v>7.3003400000000003</v>
      </c>
      <c r="R787" s="36">
        <f t="shared" si="75"/>
        <v>0.83279999999999998</v>
      </c>
      <c r="S787" s="37">
        <f t="shared" si="76"/>
        <v>1698.91</v>
      </c>
      <c r="T787" s="36" t="s">
        <v>349</v>
      </c>
      <c r="U787" s="31" t="s">
        <v>78</v>
      </c>
      <c r="V787" s="57">
        <v>7.1692999999999998</v>
      </c>
      <c r="W787" s="38">
        <f t="shared" si="77"/>
        <v>1730.0433794094265</v>
      </c>
    </row>
    <row r="788" spans="1:23">
      <c r="A788" s="31" t="s">
        <v>2084</v>
      </c>
      <c r="B788" s="32">
        <v>45705</v>
      </c>
      <c r="C788" s="32">
        <v>45677</v>
      </c>
      <c r="D788" s="31" t="s">
        <v>5</v>
      </c>
      <c r="E788" s="31" t="s">
        <v>6</v>
      </c>
      <c r="G788" s="31" t="s">
        <v>2211</v>
      </c>
      <c r="H788" s="31" t="s">
        <v>455</v>
      </c>
      <c r="I788" s="31" t="s">
        <v>456</v>
      </c>
      <c r="J788" s="34" t="str">
        <f t="shared" si="72"/>
        <v>SHTS</v>
      </c>
      <c r="K788" s="31" t="s">
        <v>10</v>
      </c>
      <c r="L788" s="53">
        <v>500</v>
      </c>
      <c r="M788" s="31" t="s">
        <v>1472</v>
      </c>
      <c r="N788" s="31" t="s">
        <v>11</v>
      </c>
      <c r="O788" s="53">
        <v>6.47</v>
      </c>
      <c r="P788" s="35">
        <f t="shared" si="73"/>
        <v>3235</v>
      </c>
      <c r="Q788" s="36">
        <f t="shared" si="74"/>
        <v>7.3003400000000003</v>
      </c>
      <c r="R788" s="36">
        <f t="shared" si="75"/>
        <v>0.88629999999999998</v>
      </c>
      <c r="S788" s="37">
        <f t="shared" si="76"/>
        <v>443.15</v>
      </c>
      <c r="T788" s="36" t="s">
        <v>349</v>
      </c>
      <c r="U788" s="31" t="s">
        <v>9</v>
      </c>
      <c r="V788" s="57">
        <v>7.1692999999999998</v>
      </c>
      <c r="W788" s="38">
        <f t="shared" si="77"/>
        <v>451.22954821251727</v>
      </c>
    </row>
    <row r="789" spans="1:23">
      <c r="A789" s="31" t="s">
        <v>2085</v>
      </c>
      <c r="B789" s="32">
        <v>45712</v>
      </c>
      <c r="C789" s="32">
        <v>45673</v>
      </c>
      <c r="D789" s="31" t="s">
        <v>268</v>
      </c>
      <c r="E789" s="31" t="s">
        <v>269</v>
      </c>
      <c r="G789" s="31" t="s">
        <v>2168</v>
      </c>
      <c r="H789" s="31" t="s">
        <v>1073</v>
      </c>
      <c r="I789" s="31" t="s">
        <v>1074</v>
      </c>
      <c r="J789" s="34" t="str">
        <f t="shared" si="72"/>
        <v>MISC</v>
      </c>
      <c r="K789" s="31" t="s">
        <v>10</v>
      </c>
      <c r="L789" s="53">
        <v>100</v>
      </c>
      <c r="M789" s="31" t="s">
        <v>136</v>
      </c>
      <c r="N789" s="31" t="s">
        <v>11</v>
      </c>
      <c r="O789" s="53">
        <v>6.64</v>
      </c>
      <c r="P789" s="35">
        <f t="shared" si="73"/>
        <v>664</v>
      </c>
      <c r="Q789" s="36">
        <f t="shared" si="74"/>
        <v>7.3003400000000003</v>
      </c>
      <c r="R789" s="36">
        <f t="shared" si="75"/>
        <v>0.90949999999999998</v>
      </c>
      <c r="S789" s="37">
        <f t="shared" si="76"/>
        <v>90.95</v>
      </c>
      <c r="T789" s="36" t="s">
        <v>349</v>
      </c>
      <c r="U789" s="31" t="s">
        <v>25</v>
      </c>
      <c r="V789" s="57">
        <v>7.1692999999999998</v>
      </c>
      <c r="W789" s="38">
        <f t="shared" si="77"/>
        <v>92.617131379632596</v>
      </c>
    </row>
    <row r="790" spans="1:23">
      <c r="A790" s="31" t="s">
        <v>2086</v>
      </c>
      <c r="B790" s="32">
        <v>45712</v>
      </c>
      <c r="C790" s="32">
        <v>45698</v>
      </c>
      <c r="D790" s="31" t="s">
        <v>268</v>
      </c>
      <c r="E790" s="31" t="s">
        <v>269</v>
      </c>
      <c r="G790" s="31" t="s">
        <v>2168</v>
      </c>
      <c r="H790" s="31" t="s">
        <v>1073</v>
      </c>
      <c r="I790" s="31" t="s">
        <v>1074</v>
      </c>
      <c r="J790" s="34" t="str">
        <f t="shared" si="72"/>
        <v>MISC</v>
      </c>
      <c r="K790" s="31" t="s">
        <v>10</v>
      </c>
      <c r="L790" s="53">
        <v>50</v>
      </c>
      <c r="M790" s="31" t="s">
        <v>136</v>
      </c>
      <c r="N790" s="31" t="s">
        <v>11</v>
      </c>
      <c r="O790" s="53">
        <v>6.64</v>
      </c>
      <c r="P790" s="35">
        <f t="shared" si="73"/>
        <v>332</v>
      </c>
      <c r="Q790" s="36">
        <f t="shared" si="74"/>
        <v>7.3003400000000003</v>
      </c>
      <c r="R790" s="36">
        <f t="shared" si="75"/>
        <v>0.90949999999999998</v>
      </c>
      <c r="S790" s="37">
        <f t="shared" si="76"/>
        <v>45.48</v>
      </c>
      <c r="T790" s="36" t="s">
        <v>349</v>
      </c>
      <c r="U790" s="31" t="s">
        <v>25</v>
      </c>
      <c r="V790" s="57">
        <v>7.1692999999999998</v>
      </c>
      <c r="W790" s="38">
        <f t="shared" si="77"/>
        <v>46.308565689816298</v>
      </c>
    </row>
    <row r="791" spans="1:23">
      <c r="A791" s="31" t="s">
        <v>2087</v>
      </c>
      <c r="B791" s="32">
        <v>45713</v>
      </c>
      <c r="C791" s="32">
        <v>45609</v>
      </c>
      <c r="D791" s="31" t="s">
        <v>149</v>
      </c>
      <c r="E791" s="31" t="s">
        <v>150</v>
      </c>
      <c r="G791" s="31" t="s">
        <v>2181</v>
      </c>
      <c r="H791" s="31" t="s">
        <v>1786</v>
      </c>
      <c r="I791" s="31" t="s">
        <v>1787</v>
      </c>
      <c r="J791" s="34" t="str">
        <f t="shared" si="72"/>
        <v>GLID</v>
      </c>
      <c r="K791" s="31" t="s">
        <v>10</v>
      </c>
      <c r="L791" s="53">
        <v>74</v>
      </c>
      <c r="M791" s="31" t="s">
        <v>1472</v>
      </c>
      <c r="N791" s="31" t="s">
        <v>11</v>
      </c>
      <c r="O791" s="53">
        <v>6.65</v>
      </c>
      <c r="P791" s="35">
        <f t="shared" si="73"/>
        <v>492.1</v>
      </c>
      <c r="Q791" s="36">
        <f t="shared" si="74"/>
        <v>7.3003400000000003</v>
      </c>
      <c r="R791" s="36">
        <f t="shared" si="75"/>
        <v>0.91090000000000004</v>
      </c>
      <c r="S791" s="37">
        <f t="shared" si="76"/>
        <v>67.41</v>
      </c>
      <c r="T791" s="36" t="s">
        <v>349</v>
      </c>
      <c r="U791" s="31" t="s">
        <v>78</v>
      </c>
      <c r="V791" s="57">
        <v>7.1692999999999998</v>
      </c>
      <c r="W791" s="38">
        <f t="shared" si="77"/>
        <v>68.639895108309048</v>
      </c>
    </row>
    <row r="792" spans="1:23">
      <c r="A792" s="31" t="s">
        <v>2087</v>
      </c>
      <c r="B792" s="32">
        <v>45706</v>
      </c>
      <c r="C792" s="32">
        <v>45609</v>
      </c>
      <c r="D792" s="31" t="s">
        <v>149</v>
      </c>
      <c r="E792" s="31" t="s">
        <v>150</v>
      </c>
      <c r="G792" s="31" t="s">
        <v>2218</v>
      </c>
      <c r="H792" s="31" t="s">
        <v>1786</v>
      </c>
      <c r="I792" s="31" t="s">
        <v>1787</v>
      </c>
      <c r="J792" s="34" t="str">
        <f t="shared" si="72"/>
        <v>GLID</v>
      </c>
      <c r="K792" s="31" t="s">
        <v>10</v>
      </c>
      <c r="L792" s="53">
        <v>-74</v>
      </c>
      <c r="M792" s="31" t="s">
        <v>1472</v>
      </c>
      <c r="N792" s="31" t="s">
        <v>11</v>
      </c>
      <c r="O792" s="53">
        <v>6.65</v>
      </c>
      <c r="P792" s="35">
        <f t="shared" si="73"/>
        <v>-492.1</v>
      </c>
      <c r="Q792" s="36">
        <f t="shared" si="74"/>
        <v>7.3003400000000003</v>
      </c>
      <c r="R792" s="36">
        <f t="shared" si="75"/>
        <v>0.91090000000000004</v>
      </c>
      <c r="S792" s="37">
        <f t="shared" si="76"/>
        <v>-67.41</v>
      </c>
      <c r="T792" s="36" t="s">
        <v>349</v>
      </c>
      <c r="U792" s="31" t="s">
        <v>78</v>
      </c>
      <c r="V792" s="57">
        <v>7.1692999999999998</v>
      </c>
      <c r="W792" s="38">
        <f t="shared" si="77"/>
        <v>-68.639895108309048</v>
      </c>
    </row>
    <row r="793" spans="1:23">
      <c r="A793" s="31" t="s">
        <v>876</v>
      </c>
      <c r="B793" s="32">
        <v>45705</v>
      </c>
      <c r="C793" s="32">
        <v>45287</v>
      </c>
      <c r="D793" s="31" t="s">
        <v>866</v>
      </c>
      <c r="E793" s="31" t="s">
        <v>867</v>
      </c>
      <c r="G793" s="31" t="s">
        <v>2213</v>
      </c>
      <c r="H793" s="31" t="s">
        <v>874</v>
      </c>
      <c r="I793" s="31" t="s">
        <v>875</v>
      </c>
      <c r="J793" s="34" t="str">
        <f t="shared" si="72"/>
        <v>ANYD</v>
      </c>
      <c r="K793" s="31" t="s">
        <v>10</v>
      </c>
      <c r="L793" s="53">
        <v>1000</v>
      </c>
      <c r="M793" s="31" t="s">
        <v>1472</v>
      </c>
      <c r="N793" s="31" t="s">
        <v>11</v>
      </c>
      <c r="O793" s="53">
        <v>6.6637000000000004</v>
      </c>
      <c r="P793" s="35">
        <f t="shared" si="73"/>
        <v>6663.7</v>
      </c>
      <c r="Q793" s="36">
        <f t="shared" si="74"/>
        <v>7.3003400000000003</v>
      </c>
      <c r="R793" s="36">
        <f t="shared" si="75"/>
        <v>0.91279999999999994</v>
      </c>
      <c r="S793" s="37">
        <f t="shared" si="76"/>
        <v>912.8</v>
      </c>
      <c r="T793" s="36" t="s">
        <v>349</v>
      </c>
      <c r="U793" s="31" t="s">
        <v>36</v>
      </c>
      <c r="V793" s="57">
        <v>7.1692999999999998</v>
      </c>
      <c r="W793" s="38">
        <f t="shared" si="77"/>
        <v>929.4770758651473</v>
      </c>
    </row>
    <row r="794" spans="1:23">
      <c r="A794" s="31" t="s">
        <v>2088</v>
      </c>
      <c r="B794" s="32">
        <v>45707</v>
      </c>
      <c r="C794" s="32">
        <v>45706</v>
      </c>
      <c r="D794" s="31" t="s">
        <v>5</v>
      </c>
      <c r="E794" s="31" t="s">
        <v>6</v>
      </c>
      <c r="G794" s="31" t="s">
        <v>2205</v>
      </c>
      <c r="H794" s="31" t="s">
        <v>390</v>
      </c>
      <c r="I794" s="31" t="s">
        <v>391</v>
      </c>
      <c r="J794" s="34" t="str">
        <f t="shared" si="72"/>
        <v>BOX-</v>
      </c>
      <c r="K794" s="31" t="s">
        <v>10</v>
      </c>
      <c r="L794" s="53">
        <v>1200</v>
      </c>
      <c r="M794" s="31" t="s">
        <v>1472</v>
      </c>
      <c r="N794" s="31" t="s">
        <v>11</v>
      </c>
      <c r="O794" s="53">
        <v>6.88</v>
      </c>
      <c r="P794" s="35">
        <f t="shared" si="73"/>
        <v>8256</v>
      </c>
      <c r="Q794" s="36">
        <f t="shared" si="74"/>
        <v>7.3003400000000003</v>
      </c>
      <c r="R794" s="36">
        <f t="shared" si="75"/>
        <v>0.94240000000000002</v>
      </c>
      <c r="S794" s="37">
        <f t="shared" si="76"/>
        <v>1130.8800000000001</v>
      </c>
      <c r="T794" s="36" t="s">
        <v>349</v>
      </c>
      <c r="U794" s="31" t="s">
        <v>1</v>
      </c>
      <c r="V794" s="57">
        <v>7.1692999999999998</v>
      </c>
      <c r="W794" s="38">
        <f t="shared" si="77"/>
        <v>1151.5768624551908</v>
      </c>
    </row>
    <row r="795" spans="1:23">
      <c r="A795" s="31" t="s">
        <v>2089</v>
      </c>
      <c r="B795" s="32">
        <v>45707</v>
      </c>
      <c r="C795" s="32">
        <v>45706</v>
      </c>
      <c r="D795" s="31" t="s">
        <v>5</v>
      </c>
      <c r="E795" s="31" t="s">
        <v>6</v>
      </c>
      <c r="G795" s="31" t="s">
        <v>2205</v>
      </c>
      <c r="H795" s="31" t="s">
        <v>424</v>
      </c>
      <c r="I795" s="31" t="s">
        <v>425</v>
      </c>
      <c r="J795" s="34" t="str">
        <f t="shared" si="72"/>
        <v>BOX-</v>
      </c>
      <c r="K795" s="31" t="s">
        <v>10</v>
      </c>
      <c r="L795" s="53">
        <v>2020</v>
      </c>
      <c r="M795" s="31" t="s">
        <v>1472</v>
      </c>
      <c r="N795" s="31" t="s">
        <v>11</v>
      </c>
      <c r="O795" s="53">
        <v>7.13</v>
      </c>
      <c r="P795" s="35">
        <f t="shared" si="73"/>
        <v>14402.6</v>
      </c>
      <c r="Q795" s="36">
        <f t="shared" si="74"/>
        <v>7.3003400000000003</v>
      </c>
      <c r="R795" s="36">
        <f t="shared" si="75"/>
        <v>0.97670000000000001</v>
      </c>
      <c r="S795" s="37">
        <f t="shared" si="76"/>
        <v>1972.93</v>
      </c>
      <c r="T795" s="36" t="s">
        <v>349</v>
      </c>
      <c r="U795" s="31" t="s">
        <v>1</v>
      </c>
      <c r="V795" s="57">
        <v>7.1692999999999998</v>
      </c>
      <c r="W795" s="38">
        <f t="shared" si="77"/>
        <v>2008.9269524221334</v>
      </c>
    </row>
    <row r="796" spans="1:23">
      <c r="A796" s="31" t="s">
        <v>2090</v>
      </c>
      <c r="B796" s="32">
        <v>45701</v>
      </c>
      <c r="C796" s="32">
        <v>45630</v>
      </c>
      <c r="D796" s="31" t="s">
        <v>252</v>
      </c>
      <c r="E796" s="31" t="s">
        <v>253</v>
      </c>
      <c r="G796" s="31" t="s">
        <v>2219</v>
      </c>
      <c r="H796" s="31" t="s">
        <v>1788</v>
      </c>
      <c r="I796" s="31" t="s">
        <v>1789</v>
      </c>
      <c r="J796" s="34" t="str">
        <f t="shared" si="72"/>
        <v>MISC</v>
      </c>
      <c r="K796" s="31" t="s">
        <v>10</v>
      </c>
      <c r="L796" s="53">
        <v>11350</v>
      </c>
      <c r="M796" s="31" t="s">
        <v>1472</v>
      </c>
      <c r="N796" s="31" t="s">
        <v>11</v>
      </c>
      <c r="O796" s="53">
        <v>7.2556000000000003</v>
      </c>
      <c r="P796" s="35">
        <f t="shared" si="73"/>
        <v>82351.06</v>
      </c>
      <c r="Q796" s="36">
        <f t="shared" si="74"/>
        <v>7.3003400000000003</v>
      </c>
      <c r="R796" s="36">
        <f t="shared" si="75"/>
        <v>0.99390000000000001</v>
      </c>
      <c r="S796" s="37">
        <f t="shared" si="76"/>
        <v>11280.77</v>
      </c>
      <c r="T796" s="36" t="s">
        <v>349</v>
      </c>
      <c r="U796" s="31" t="s">
        <v>25</v>
      </c>
      <c r="V796" s="57">
        <v>7.1692999999999998</v>
      </c>
      <c r="W796" s="38">
        <f t="shared" si="77"/>
        <v>11486.624914566277</v>
      </c>
    </row>
    <row r="797" spans="1:23">
      <c r="A797" s="31" t="s">
        <v>2091</v>
      </c>
      <c r="B797" s="32">
        <v>45709</v>
      </c>
      <c r="C797" s="32">
        <v>45646</v>
      </c>
      <c r="D797" s="31" t="s">
        <v>252</v>
      </c>
      <c r="E797" s="31" t="s">
        <v>253</v>
      </c>
      <c r="G797" s="31" t="s">
        <v>2169</v>
      </c>
      <c r="H797" s="31" t="s">
        <v>1788</v>
      </c>
      <c r="I797" s="31" t="s">
        <v>1789</v>
      </c>
      <c r="J797" s="34" t="str">
        <f t="shared" si="72"/>
        <v>MISC</v>
      </c>
      <c r="K797" s="31" t="s">
        <v>10</v>
      </c>
      <c r="L797" s="53">
        <v>6030</v>
      </c>
      <c r="M797" s="31" t="s">
        <v>1472</v>
      </c>
      <c r="N797" s="31" t="s">
        <v>11</v>
      </c>
      <c r="O797" s="53">
        <v>7.2556000000000003</v>
      </c>
      <c r="P797" s="35">
        <f t="shared" si="73"/>
        <v>43751.27</v>
      </c>
      <c r="Q797" s="36">
        <f t="shared" si="74"/>
        <v>7.3003400000000003</v>
      </c>
      <c r="R797" s="36">
        <f t="shared" si="75"/>
        <v>0.99390000000000001</v>
      </c>
      <c r="S797" s="37">
        <f t="shared" si="76"/>
        <v>5993.22</v>
      </c>
      <c r="T797" s="36" t="s">
        <v>349</v>
      </c>
      <c r="U797" s="31" t="s">
        <v>25</v>
      </c>
      <c r="V797" s="57">
        <v>7.1692999999999998</v>
      </c>
      <c r="W797" s="38">
        <f t="shared" si="77"/>
        <v>6102.5857475625244</v>
      </c>
    </row>
    <row r="798" spans="1:23">
      <c r="A798" s="31" t="s">
        <v>2092</v>
      </c>
      <c r="B798" s="32">
        <v>45713</v>
      </c>
      <c r="C798" s="32">
        <v>45576</v>
      </c>
      <c r="D798" s="31" t="s">
        <v>121</v>
      </c>
      <c r="E798" s="31" t="s">
        <v>122</v>
      </c>
      <c r="G798" s="31" t="s">
        <v>2195</v>
      </c>
      <c r="H798" s="31" t="s">
        <v>1790</v>
      </c>
      <c r="I798" s="31" t="s">
        <v>1791</v>
      </c>
      <c r="J798" s="34" t="str">
        <f t="shared" si="72"/>
        <v>LHDL</v>
      </c>
      <c r="K798" s="31" t="s">
        <v>10</v>
      </c>
      <c r="L798" s="53">
        <v>1520</v>
      </c>
      <c r="M798" s="31" t="s">
        <v>1472</v>
      </c>
      <c r="N798" s="31" t="s">
        <v>11</v>
      </c>
      <c r="O798" s="53">
        <v>7.3506999999999998</v>
      </c>
      <c r="P798" s="35">
        <f t="shared" si="73"/>
        <v>11173.06</v>
      </c>
      <c r="Q798" s="36">
        <f t="shared" si="74"/>
        <v>7.3003400000000003</v>
      </c>
      <c r="R798" s="36">
        <f t="shared" si="75"/>
        <v>1.0068999999999999</v>
      </c>
      <c r="S798" s="37">
        <f t="shared" si="76"/>
        <v>1530.49</v>
      </c>
      <c r="T798" s="36" t="s">
        <v>349</v>
      </c>
      <c r="U798" s="31" t="s">
        <v>125</v>
      </c>
      <c r="V798" s="57">
        <v>7.1692999999999998</v>
      </c>
      <c r="W798" s="38">
        <f t="shared" si="77"/>
        <v>1558.4595427726556</v>
      </c>
    </row>
    <row r="799" spans="1:23">
      <c r="A799" s="31" t="s">
        <v>2093</v>
      </c>
      <c r="B799" s="32">
        <v>45713</v>
      </c>
      <c r="C799" s="32">
        <v>45576</v>
      </c>
      <c r="D799" s="31" t="s">
        <v>121</v>
      </c>
      <c r="E799" s="31" t="s">
        <v>122</v>
      </c>
      <c r="G799" s="31" t="s">
        <v>2195</v>
      </c>
      <c r="H799" s="31" t="s">
        <v>1792</v>
      </c>
      <c r="I799" s="31" t="s">
        <v>1793</v>
      </c>
      <c r="J799" s="34" t="str">
        <f t="shared" si="72"/>
        <v>LHDL</v>
      </c>
      <c r="K799" s="31" t="s">
        <v>10</v>
      </c>
      <c r="L799" s="53">
        <v>1420</v>
      </c>
      <c r="M799" s="31" t="s">
        <v>1472</v>
      </c>
      <c r="N799" s="31" t="s">
        <v>11</v>
      </c>
      <c r="O799" s="53">
        <v>7.3506999999999998</v>
      </c>
      <c r="P799" s="35">
        <f t="shared" si="73"/>
        <v>10437.99</v>
      </c>
      <c r="Q799" s="36">
        <f t="shared" si="74"/>
        <v>7.3003400000000003</v>
      </c>
      <c r="R799" s="36">
        <f t="shared" si="75"/>
        <v>1.0068999999999999</v>
      </c>
      <c r="S799" s="37">
        <f t="shared" si="76"/>
        <v>1429.8</v>
      </c>
      <c r="T799" s="36" t="s">
        <v>349</v>
      </c>
      <c r="U799" s="31" t="s">
        <v>125</v>
      </c>
      <c r="V799" s="57">
        <v>7.1692999999999998</v>
      </c>
      <c r="W799" s="38">
        <f t="shared" si="77"/>
        <v>1455.9293096955071</v>
      </c>
    </row>
    <row r="800" spans="1:23">
      <c r="A800" s="31" t="s">
        <v>2094</v>
      </c>
      <c r="B800" s="32">
        <v>45715</v>
      </c>
      <c r="C800" s="32">
        <v>45639</v>
      </c>
      <c r="D800" s="31" t="s">
        <v>149</v>
      </c>
      <c r="E800" s="31" t="s">
        <v>150</v>
      </c>
      <c r="G800" s="31" t="s">
        <v>2220</v>
      </c>
      <c r="H800" s="31" t="s">
        <v>345</v>
      </c>
      <c r="I800" s="31" t="s">
        <v>346</v>
      </c>
      <c r="J800" s="34" t="str">
        <f t="shared" si="72"/>
        <v>SKU-</v>
      </c>
      <c r="K800" s="31" t="s">
        <v>98</v>
      </c>
      <c r="L800" s="53">
        <v>2980</v>
      </c>
      <c r="M800" s="31" t="s">
        <v>1472</v>
      </c>
      <c r="N800" s="31" t="s">
        <v>11</v>
      </c>
      <c r="O800" s="53">
        <v>7.4157999999999999</v>
      </c>
      <c r="P800" s="35">
        <f t="shared" si="73"/>
        <v>22099.08</v>
      </c>
      <c r="Q800" s="36">
        <f t="shared" si="74"/>
        <v>7.3003400000000003</v>
      </c>
      <c r="R800" s="36">
        <f t="shared" si="75"/>
        <v>1.0158</v>
      </c>
      <c r="S800" s="37">
        <f t="shared" si="76"/>
        <v>3027.08</v>
      </c>
      <c r="T800" s="36" t="s">
        <v>349</v>
      </c>
      <c r="U800" s="31" t="s">
        <v>2</v>
      </c>
      <c r="V800" s="57">
        <v>7.1692999999999998</v>
      </c>
      <c r="W800" s="38">
        <f t="shared" si="77"/>
        <v>3082.4604912613504</v>
      </c>
    </row>
    <row r="801" spans="1:23">
      <c r="A801" s="31" t="s">
        <v>2094</v>
      </c>
      <c r="B801" s="32">
        <v>45713</v>
      </c>
      <c r="C801" s="32">
        <v>45639</v>
      </c>
      <c r="D801" s="31" t="s">
        <v>149</v>
      </c>
      <c r="E801" s="31" t="s">
        <v>150</v>
      </c>
      <c r="G801" s="31" t="s">
        <v>2221</v>
      </c>
      <c r="H801" s="31" t="s">
        <v>345</v>
      </c>
      <c r="I801" s="31" t="s">
        <v>346</v>
      </c>
      <c r="J801" s="34" t="str">
        <f t="shared" si="72"/>
        <v>SKU-</v>
      </c>
      <c r="K801" s="31" t="s">
        <v>98</v>
      </c>
      <c r="L801" s="53">
        <v>4020</v>
      </c>
      <c r="M801" s="31" t="s">
        <v>1472</v>
      </c>
      <c r="N801" s="31" t="s">
        <v>11</v>
      </c>
      <c r="O801" s="53">
        <v>7.4157999999999999</v>
      </c>
      <c r="P801" s="35">
        <f t="shared" si="73"/>
        <v>29811.52</v>
      </c>
      <c r="Q801" s="36">
        <f t="shared" si="74"/>
        <v>7.3003400000000003</v>
      </c>
      <c r="R801" s="36">
        <f t="shared" si="75"/>
        <v>1.0158</v>
      </c>
      <c r="S801" s="37">
        <f t="shared" si="76"/>
        <v>4083.52</v>
      </c>
      <c r="T801" s="36" t="s">
        <v>349</v>
      </c>
      <c r="U801" s="31" t="s">
        <v>2</v>
      </c>
      <c r="V801" s="57">
        <v>7.1692999999999998</v>
      </c>
      <c r="W801" s="38">
        <f t="shared" si="77"/>
        <v>4158.2185150572577</v>
      </c>
    </row>
    <row r="802" spans="1:23">
      <c r="A802" s="31" t="s">
        <v>2095</v>
      </c>
      <c r="B802" s="32">
        <v>45713</v>
      </c>
      <c r="C802" s="32">
        <v>45644</v>
      </c>
      <c r="D802" s="31" t="s">
        <v>149</v>
      </c>
      <c r="E802" s="31" t="s">
        <v>150</v>
      </c>
      <c r="G802" s="31" t="s">
        <v>2221</v>
      </c>
      <c r="H802" s="31" t="s">
        <v>345</v>
      </c>
      <c r="I802" s="31" t="s">
        <v>346</v>
      </c>
      <c r="J802" s="34" t="str">
        <f t="shared" si="72"/>
        <v>SKU-</v>
      </c>
      <c r="K802" s="31" t="s">
        <v>98</v>
      </c>
      <c r="L802" s="53">
        <v>1740</v>
      </c>
      <c r="M802" s="31" t="s">
        <v>1472</v>
      </c>
      <c r="N802" s="31" t="s">
        <v>11</v>
      </c>
      <c r="O802" s="53">
        <v>7.4157999999999999</v>
      </c>
      <c r="P802" s="35">
        <f t="shared" si="73"/>
        <v>12903.49</v>
      </c>
      <c r="Q802" s="36">
        <f t="shared" si="74"/>
        <v>7.3003400000000003</v>
      </c>
      <c r="R802" s="36">
        <f t="shared" si="75"/>
        <v>1.0158</v>
      </c>
      <c r="S802" s="37">
        <f t="shared" si="76"/>
        <v>1767.49</v>
      </c>
      <c r="T802" s="36" t="s">
        <v>349</v>
      </c>
      <c r="U802" s="31" t="s">
        <v>2</v>
      </c>
      <c r="V802" s="57">
        <v>7.1692999999999998</v>
      </c>
      <c r="W802" s="38">
        <f t="shared" si="77"/>
        <v>1799.8259244277683</v>
      </c>
    </row>
    <row r="803" spans="1:23">
      <c r="A803" s="31" t="s">
        <v>2095</v>
      </c>
      <c r="B803" s="32">
        <v>45708</v>
      </c>
      <c r="C803" s="32">
        <v>45644</v>
      </c>
      <c r="D803" s="31" t="s">
        <v>149</v>
      </c>
      <c r="E803" s="31" t="s">
        <v>150</v>
      </c>
      <c r="G803" s="31" t="s">
        <v>2222</v>
      </c>
      <c r="H803" s="31" t="s">
        <v>345</v>
      </c>
      <c r="I803" s="31" t="s">
        <v>346</v>
      </c>
      <c r="J803" s="34" t="str">
        <f t="shared" si="72"/>
        <v>SKU-</v>
      </c>
      <c r="K803" s="31" t="s">
        <v>98</v>
      </c>
      <c r="L803" s="53">
        <v>1460</v>
      </c>
      <c r="M803" s="31" t="s">
        <v>1472</v>
      </c>
      <c r="N803" s="31" t="s">
        <v>11</v>
      </c>
      <c r="O803" s="53">
        <v>7.4157999999999999</v>
      </c>
      <c r="P803" s="35">
        <f t="shared" si="73"/>
        <v>10827.07</v>
      </c>
      <c r="Q803" s="36">
        <f t="shared" si="74"/>
        <v>7.3003400000000003</v>
      </c>
      <c r="R803" s="36">
        <f t="shared" si="75"/>
        <v>1.0158</v>
      </c>
      <c r="S803" s="37">
        <f t="shared" si="76"/>
        <v>1483.07</v>
      </c>
      <c r="T803" s="36" t="s">
        <v>349</v>
      </c>
      <c r="U803" s="31" t="s">
        <v>2</v>
      </c>
      <c r="V803" s="57">
        <v>7.1692999999999998</v>
      </c>
      <c r="W803" s="38">
        <f t="shared" si="77"/>
        <v>1510.1987641750241</v>
      </c>
    </row>
    <row r="804" spans="1:23">
      <c r="A804" s="31" t="s">
        <v>2096</v>
      </c>
      <c r="B804" s="32">
        <v>45713</v>
      </c>
      <c r="C804" s="32">
        <v>45576</v>
      </c>
      <c r="D804" s="31" t="s">
        <v>121</v>
      </c>
      <c r="E804" s="31" t="s">
        <v>122</v>
      </c>
      <c r="G804" s="31" t="s">
        <v>2195</v>
      </c>
      <c r="H804" s="31" t="s">
        <v>1794</v>
      </c>
      <c r="I804" s="31" t="s">
        <v>1795</v>
      </c>
      <c r="J804" s="34" t="str">
        <f t="shared" si="72"/>
        <v>LHDL</v>
      </c>
      <c r="K804" s="31" t="s">
        <v>10</v>
      </c>
      <c r="L804" s="53">
        <v>1010</v>
      </c>
      <c r="M804" s="31" t="s">
        <v>1472</v>
      </c>
      <c r="N804" s="31" t="s">
        <v>11</v>
      </c>
      <c r="O804" s="53">
        <v>7.4212999999999996</v>
      </c>
      <c r="P804" s="35">
        <f t="shared" si="73"/>
        <v>7495.51</v>
      </c>
      <c r="Q804" s="36">
        <f t="shared" si="74"/>
        <v>7.3003400000000003</v>
      </c>
      <c r="R804" s="36">
        <f t="shared" si="75"/>
        <v>1.0165999999999999</v>
      </c>
      <c r="S804" s="37">
        <f t="shared" si="76"/>
        <v>1026.77</v>
      </c>
      <c r="T804" s="36" t="s">
        <v>349</v>
      </c>
      <c r="U804" s="31" t="s">
        <v>125</v>
      </c>
      <c r="V804" s="57">
        <v>7.1692999999999998</v>
      </c>
      <c r="W804" s="38">
        <f t="shared" si="77"/>
        <v>1045.5013739137712</v>
      </c>
    </row>
    <row r="805" spans="1:23">
      <c r="A805" s="31" t="s">
        <v>2097</v>
      </c>
      <c r="B805" s="32">
        <v>45707</v>
      </c>
      <c r="C805" s="32">
        <v>45670</v>
      </c>
      <c r="D805" s="31" t="s">
        <v>2255</v>
      </c>
      <c r="E805" s="31" t="s">
        <v>2256</v>
      </c>
      <c r="G805" s="31" t="s">
        <v>2223</v>
      </c>
      <c r="H805" s="31" t="s">
        <v>1796</v>
      </c>
      <c r="I805" s="31" t="s">
        <v>1797</v>
      </c>
      <c r="J805" s="34" t="str">
        <f t="shared" si="72"/>
        <v>GLID</v>
      </c>
      <c r="K805" s="31" t="s">
        <v>10</v>
      </c>
      <c r="L805" s="53">
        <v>310</v>
      </c>
      <c r="M805" s="31" t="s">
        <v>1472</v>
      </c>
      <c r="N805" s="31" t="s">
        <v>11</v>
      </c>
      <c r="O805" s="53">
        <v>7.4503000000000004</v>
      </c>
      <c r="P805" s="35">
        <f t="shared" si="73"/>
        <v>2309.59</v>
      </c>
      <c r="Q805" s="36">
        <f t="shared" si="74"/>
        <v>7.3003400000000003</v>
      </c>
      <c r="R805" s="36">
        <f t="shared" si="75"/>
        <v>1.0205</v>
      </c>
      <c r="S805" s="37">
        <f t="shared" si="76"/>
        <v>316.36</v>
      </c>
      <c r="T805" s="36" t="s">
        <v>349</v>
      </c>
      <c r="U805" s="31" t="s">
        <v>78</v>
      </c>
      <c r="V805" s="57">
        <v>7.1692999999999998</v>
      </c>
      <c r="W805" s="38">
        <f t="shared" si="77"/>
        <v>322.15041914831295</v>
      </c>
    </row>
    <row r="806" spans="1:23">
      <c r="A806" s="31" t="s">
        <v>2098</v>
      </c>
      <c r="B806" s="32">
        <v>45714</v>
      </c>
      <c r="C806" s="32">
        <v>45713</v>
      </c>
      <c r="D806" s="31" t="s">
        <v>2257</v>
      </c>
      <c r="E806" s="31" t="s">
        <v>2258</v>
      </c>
      <c r="G806" s="31" t="s">
        <v>2224</v>
      </c>
      <c r="H806" s="31" t="s">
        <v>1798</v>
      </c>
      <c r="I806" s="31" t="s">
        <v>1799</v>
      </c>
      <c r="J806" s="34" t="str">
        <f t="shared" si="72"/>
        <v>HDL-</v>
      </c>
      <c r="K806" s="31" t="s">
        <v>10</v>
      </c>
      <c r="L806" s="53">
        <v>2700</v>
      </c>
      <c r="M806" s="31" t="s">
        <v>1472</v>
      </c>
      <c r="N806" s="31" t="s">
        <v>11</v>
      </c>
      <c r="O806" s="53">
        <v>7.4931000000000001</v>
      </c>
      <c r="P806" s="35">
        <f t="shared" si="73"/>
        <v>20231.37</v>
      </c>
      <c r="Q806" s="36">
        <f t="shared" si="74"/>
        <v>7.3003400000000003</v>
      </c>
      <c r="R806" s="36">
        <f t="shared" si="75"/>
        <v>1.0264</v>
      </c>
      <c r="S806" s="37">
        <f t="shared" si="76"/>
        <v>2771.28</v>
      </c>
      <c r="T806" s="36" t="s">
        <v>349</v>
      </c>
      <c r="U806" s="31" t="s">
        <v>228</v>
      </c>
      <c r="V806" s="57">
        <v>7.1692999999999998</v>
      </c>
      <c r="W806" s="38">
        <f t="shared" si="77"/>
        <v>2821.9449597589723</v>
      </c>
    </row>
    <row r="807" spans="1:23">
      <c r="A807" s="31" t="s">
        <v>2099</v>
      </c>
      <c r="B807" s="32">
        <v>45714</v>
      </c>
      <c r="C807" s="32">
        <v>45713</v>
      </c>
      <c r="D807" s="31" t="s">
        <v>2257</v>
      </c>
      <c r="E807" s="31" t="s">
        <v>2258</v>
      </c>
      <c r="G807" s="31" t="s">
        <v>2224</v>
      </c>
      <c r="H807" s="31" t="s">
        <v>1798</v>
      </c>
      <c r="I807" s="31" t="s">
        <v>1799</v>
      </c>
      <c r="J807" s="34" t="str">
        <f t="shared" si="72"/>
        <v>HDL-</v>
      </c>
      <c r="K807" s="31" t="s">
        <v>10</v>
      </c>
      <c r="L807" s="53">
        <v>2200</v>
      </c>
      <c r="M807" s="31" t="s">
        <v>1472</v>
      </c>
      <c r="N807" s="31" t="s">
        <v>11</v>
      </c>
      <c r="O807" s="53">
        <v>7.4931000000000001</v>
      </c>
      <c r="P807" s="35">
        <f t="shared" si="73"/>
        <v>16484.82</v>
      </c>
      <c r="Q807" s="36">
        <f t="shared" si="74"/>
        <v>7.3003400000000003</v>
      </c>
      <c r="R807" s="36">
        <f t="shared" si="75"/>
        <v>1.0264</v>
      </c>
      <c r="S807" s="37">
        <f t="shared" si="76"/>
        <v>2258.08</v>
      </c>
      <c r="T807" s="36" t="s">
        <v>349</v>
      </c>
      <c r="U807" s="31" t="s">
        <v>228</v>
      </c>
      <c r="V807" s="57">
        <v>7.1692999999999998</v>
      </c>
      <c r="W807" s="38">
        <f t="shared" si="77"/>
        <v>2299.3625598036069</v>
      </c>
    </row>
    <row r="808" spans="1:23">
      <c r="A808" s="31" t="s">
        <v>2100</v>
      </c>
      <c r="B808" s="32">
        <v>45714</v>
      </c>
      <c r="C808" s="32">
        <v>45713</v>
      </c>
      <c r="D808" s="31" t="s">
        <v>2257</v>
      </c>
      <c r="E808" s="31" t="s">
        <v>2258</v>
      </c>
      <c r="G808" s="31" t="s">
        <v>2224</v>
      </c>
      <c r="H808" s="31" t="s">
        <v>1800</v>
      </c>
      <c r="I808" s="31" t="s">
        <v>1801</v>
      </c>
      <c r="J808" s="34" t="str">
        <f t="shared" si="72"/>
        <v>HDL-</v>
      </c>
      <c r="K808" s="31" t="s">
        <v>10</v>
      </c>
      <c r="L808" s="53">
        <v>200</v>
      </c>
      <c r="M808" s="31" t="s">
        <v>1472</v>
      </c>
      <c r="N808" s="31" t="s">
        <v>11</v>
      </c>
      <c r="O808" s="53">
        <v>7.4931000000000001</v>
      </c>
      <c r="P808" s="35">
        <f t="shared" si="73"/>
        <v>1498.62</v>
      </c>
      <c r="Q808" s="36">
        <f t="shared" si="74"/>
        <v>7.3003400000000003</v>
      </c>
      <c r="R808" s="36">
        <f t="shared" si="75"/>
        <v>1.0264</v>
      </c>
      <c r="S808" s="37">
        <f t="shared" si="76"/>
        <v>205.28</v>
      </c>
      <c r="T808" s="36" t="s">
        <v>349</v>
      </c>
      <c r="U808" s="31" t="s">
        <v>228</v>
      </c>
      <c r="V808" s="57">
        <v>7.1692999999999998</v>
      </c>
      <c r="W808" s="38">
        <f t="shared" si="77"/>
        <v>209.03295998214611</v>
      </c>
    </row>
    <row r="809" spans="1:23">
      <c r="A809" s="31" t="s">
        <v>2101</v>
      </c>
      <c r="B809" s="32">
        <v>45714</v>
      </c>
      <c r="C809" s="32">
        <v>45713</v>
      </c>
      <c r="D809" s="31" t="s">
        <v>2257</v>
      </c>
      <c r="E809" s="31" t="s">
        <v>2258</v>
      </c>
      <c r="G809" s="31" t="s">
        <v>2225</v>
      </c>
      <c r="H809" s="31" t="s">
        <v>1800</v>
      </c>
      <c r="I809" s="31" t="s">
        <v>1801</v>
      </c>
      <c r="J809" s="34" t="str">
        <f t="shared" si="72"/>
        <v>HDL-</v>
      </c>
      <c r="K809" s="31" t="s">
        <v>10</v>
      </c>
      <c r="L809" s="53">
        <v>3100</v>
      </c>
      <c r="M809" s="31" t="s">
        <v>1472</v>
      </c>
      <c r="N809" s="31" t="s">
        <v>11</v>
      </c>
      <c r="O809" s="53">
        <v>7.4931000000000001</v>
      </c>
      <c r="P809" s="35">
        <f t="shared" si="73"/>
        <v>23228.61</v>
      </c>
      <c r="Q809" s="36">
        <f t="shared" si="74"/>
        <v>7.3003400000000003</v>
      </c>
      <c r="R809" s="36">
        <f t="shared" si="75"/>
        <v>1.0264</v>
      </c>
      <c r="S809" s="37">
        <f t="shared" si="76"/>
        <v>3181.84</v>
      </c>
      <c r="T809" s="36" t="s">
        <v>349</v>
      </c>
      <c r="U809" s="31" t="s">
        <v>228</v>
      </c>
      <c r="V809" s="57">
        <v>7.1692999999999998</v>
      </c>
      <c r="W809" s="38">
        <f t="shared" si="77"/>
        <v>3240.0108797232647</v>
      </c>
    </row>
    <row r="810" spans="1:23">
      <c r="A810" s="31" t="s">
        <v>2102</v>
      </c>
      <c r="B810" s="32">
        <v>45714</v>
      </c>
      <c r="C810" s="32">
        <v>45713</v>
      </c>
      <c r="D810" s="31" t="s">
        <v>2257</v>
      </c>
      <c r="E810" s="31" t="s">
        <v>2258</v>
      </c>
      <c r="G810" s="31" t="s">
        <v>2225</v>
      </c>
      <c r="H810" s="31" t="s">
        <v>1800</v>
      </c>
      <c r="I810" s="31" t="s">
        <v>1801</v>
      </c>
      <c r="J810" s="34" t="str">
        <f t="shared" si="72"/>
        <v>HDL-</v>
      </c>
      <c r="K810" s="31" t="s">
        <v>10</v>
      </c>
      <c r="L810" s="53">
        <v>2200</v>
      </c>
      <c r="M810" s="31" t="s">
        <v>1472</v>
      </c>
      <c r="N810" s="31" t="s">
        <v>11</v>
      </c>
      <c r="O810" s="53">
        <v>7.4931000000000001</v>
      </c>
      <c r="P810" s="35">
        <f t="shared" si="73"/>
        <v>16484.82</v>
      </c>
      <c r="Q810" s="36">
        <f t="shared" si="74"/>
        <v>7.3003400000000003</v>
      </c>
      <c r="R810" s="36">
        <f t="shared" si="75"/>
        <v>1.0264</v>
      </c>
      <c r="S810" s="37">
        <f t="shared" si="76"/>
        <v>2258.08</v>
      </c>
      <c r="T810" s="36" t="s">
        <v>349</v>
      </c>
      <c r="U810" s="31" t="s">
        <v>228</v>
      </c>
      <c r="V810" s="57">
        <v>7.1692999999999998</v>
      </c>
      <c r="W810" s="38">
        <f t="shared" si="77"/>
        <v>2299.3625598036069</v>
      </c>
    </row>
    <row r="811" spans="1:23">
      <c r="A811" s="31" t="s">
        <v>2103</v>
      </c>
      <c r="B811" s="32">
        <v>45714</v>
      </c>
      <c r="C811" s="32">
        <v>45713</v>
      </c>
      <c r="D811" s="31" t="s">
        <v>2257</v>
      </c>
      <c r="E811" s="31" t="s">
        <v>2258</v>
      </c>
      <c r="G811" s="31" t="s">
        <v>2225</v>
      </c>
      <c r="H811" s="31" t="s">
        <v>1802</v>
      </c>
      <c r="I811" s="31" t="s">
        <v>1803</v>
      </c>
      <c r="J811" s="34" t="str">
        <f t="shared" si="72"/>
        <v>HDL-</v>
      </c>
      <c r="K811" s="31" t="s">
        <v>10</v>
      </c>
      <c r="L811" s="53">
        <v>2600</v>
      </c>
      <c r="M811" s="31" t="s">
        <v>1472</v>
      </c>
      <c r="N811" s="31" t="s">
        <v>11</v>
      </c>
      <c r="O811" s="53">
        <v>7.4931000000000001</v>
      </c>
      <c r="P811" s="35">
        <f t="shared" si="73"/>
        <v>19482.060000000001</v>
      </c>
      <c r="Q811" s="36">
        <f t="shared" si="74"/>
        <v>7.3003400000000003</v>
      </c>
      <c r="R811" s="36">
        <f t="shared" si="75"/>
        <v>1.0264</v>
      </c>
      <c r="S811" s="37">
        <f t="shared" si="76"/>
        <v>2668.64</v>
      </c>
      <c r="T811" s="36" t="s">
        <v>349</v>
      </c>
      <c r="U811" s="31" t="s">
        <v>228</v>
      </c>
      <c r="V811" s="57">
        <v>7.1692999999999998</v>
      </c>
      <c r="W811" s="38">
        <f t="shared" si="77"/>
        <v>2717.4284797678993</v>
      </c>
    </row>
    <row r="812" spans="1:23">
      <c r="A812" s="31" t="s">
        <v>2104</v>
      </c>
      <c r="B812" s="32">
        <v>45714</v>
      </c>
      <c r="C812" s="32">
        <v>45713</v>
      </c>
      <c r="D812" s="31" t="s">
        <v>2257</v>
      </c>
      <c r="E812" s="31" t="s">
        <v>2258</v>
      </c>
      <c r="G812" s="31" t="s">
        <v>2225</v>
      </c>
      <c r="H812" s="31" t="s">
        <v>1802</v>
      </c>
      <c r="I812" s="31" t="s">
        <v>1803</v>
      </c>
      <c r="J812" s="34" t="str">
        <f t="shared" si="72"/>
        <v>HDL-</v>
      </c>
      <c r="K812" s="31" t="s">
        <v>10</v>
      </c>
      <c r="L812" s="53">
        <v>2600</v>
      </c>
      <c r="M812" s="31" t="s">
        <v>1472</v>
      </c>
      <c r="N812" s="31" t="s">
        <v>11</v>
      </c>
      <c r="O812" s="53">
        <v>7.4931000000000001</v>
      </c>
      <c r="P812" s="35">
        <f t="shared" si="73"/>
        <v>19482.060000000001</v>
      </c>
      <c r="Q812" s="36">
        <f t="shared" si="74"/>
        <v>7.3003400000000003</v>
      </c>
      <c r="R812" s="36">
        <f t="shared" si="75"/>
        <v>1.0264</v>
      </c>
      <c r="S812" s="37">
        <f t="shared" si="76"/>
        <v>2668.64</v>
      </c>
      <c r="T812" s="36" t="s">
        <v>349</v>
      </c>
      <c r="U812" s="31" t="s">
        <v>228</v>
      </c>
      <c r="V812" s="57">
        <v>7.1692999999999998</v>
      </c>
      <c r="W812" s="38">
        <f t="shared" si="77"/>
        <v>2717.4284797678993</v>
      </c>
    </row>
    <row r="813" spans="1:23">
      <c r="A813" s="31" t="s">
        <v>2105</v>
      </c>
      <c r="B813" s="32">
        <v>45714</v>
      </c>
      <c r="C813" s="32">
        <v>45713</v>
      </c>
      <c r="D813" s="31" t="s">
        <v>2257</v>
      </c>
      <c r="E813" s="31" t="s">
        <v>2258</v>
      </c>
      <c r="G813" s="31" t="s">
        <v>2225</v>
      </c>
      <c r="H813" s="31" t="s">
        <v>1802</v>
      </c>
      <c r="I813" s="31" t="s">
        <v>1803</v>
      </c>
      <c r="J813" s="34" t="str">
        <f t="shared" si="72"/>
        <v>HDL-</v>
      </c>
      <c r="K813" s="31" t="s">
        <v>10</v>
      </c>
      <c r="L813" s="53">
        <v>1400</v>
      </c>
      <c r="M813" s="31" t="s">
        <v>1472</v>
      </c>
      <c r="N813" s="31" t="s">
        <v>11</v>
      </c>
      <c r="O813" s="53">
        <v>7.4931000000000001</v>
      </c>
      <c r="P813" s="35">
        <f t="shared" si="73"/>
        <v>10490.34</v>
      </c>
      <c r="Q813" s="36">
        <f t="shared" si="74"/>
        <v>7.3003400000000003</v>
      </c>
      <c r="R813" s="36">
        <f t="shared" si="75"/>
        <v>1.0264</v>
      </c>
      <c r="S813" s="37">
        <f t="shared" si="76"/>
        <v>1436.96</v>
      </c>
      <c r="T813" s="36" t="s">
        <v>349</v>
      </c>
      <c r="U813" s="31" t="s">
        <v>228</v>
      </c>
      <c r="V813" s="57">
        <v>7.1692999999999998</v>
      </c>
      <c r="W813" s="38">
        <f t="shared" si="77"/>
        <v>1463.2307198750227</v>
      </c>
    </row>
    <row r="814" spans="1:23">
      <c r="A814" s="31" t="s">
        <v>2106</v>
      </c>
      <c r="B814" s="32">
        <v>45712</v>
      </c>
      <c r="C814" s="32">
        <v>45673</v>
      </c>
      <c r="D814" s="31" t="s">
        <v>287</v>
      </c>
      <c r="E814" s="31" t="s">
        <v>288</v>
      </c>
      <c r="G814" s="31" t="s">
        <v>2226</v>
      </c>
      <c r="H814" s="31" t="s">
        <v>71</v>
      </c>
      <c r="I814" s="31" t="s">
        <v>72</v>
      </c>
      <c r="J814" s="34" t="str">
        <f t="shared" si="72"/>
        <v>ANYD</v>
      </c>
      <c r="K814" s="31" t="s">
        <v>10</v>
      </c>
      <c r="L814" s="53">
        <v>1000</v>
      </c>
      <c r="M814" s="31" t="s">
        <v>1472</v>
      </c>
      <c r="N814" s="31" t="s">
        <v>11</v>
      </c>
      <c r="O814" s="53">
        <v>8.15</v>
      </c>
      <c r="P814" s="35">
        <f t="shared" si="73"/>
        <v>8150</v>
      </c>
      <c r="Q814" s="36">
        <f t="shared" si="74"/>
        <v>7.3003400000000003</v>
      </c>
      <c r="R814" s="36">
        <f t="shared" si="75"/>
        <v>1.1164000000000001</v>
      </c>
      <c r="S814" s="37">
        <f t="shared" si="76"/>
        <v>1116.4000000000001</v>
      </c>
      <c r="T814" s="36" t="s">
        <v>349</v>
      </c>
      <c r="U814" s="31" t="s">
        <v>36</v>
      </c>
      <c r="V814" s="57">
        <v>7.1692999999999998</v>
      </c>
      <c r="W814" s="38">
        <f t="shared" si="77"/>
        <v>1136.7915975060328</v>
      </c>
    </row>
    <row r="815" spans="1:23">
      <c r="A815" s="31" t="s">
        <v>882</v>
      </c>
      <c r="B815" s="32">
        <v>45705</v>
      </c>
      <c r="C815" s="32">
        <v>45287</v>
      </c>
      <c r="D815" s="31" t="s">
        <v>866</v>
      </c>
      <c r="E815" s="31" t="s">
        <v>867</v>
      </c>
      <c r="G815" s="31" t="s">
        <v>2213</v>
      </c>
      <c r="H815" s="31" t="s">
        <v>880</v>
      </c>
      <c r="I815" s="31" t="s">
        <v>881</v>
      </c>
      <c r="J815" s="34" t="str">
        <f t="shared" si="72"/>
        <v>ANYD</v>
      </c>
      <c r="K815" s="31" t="s">
        <v>10</v>
      </c>
      <c r="L815" s="53">
        <v>2000</v>
      </c>
      <c r="M815" s="31" t="s">
        <v>1472</v>
      </c>
      <c r="N815" s="31" t="s">
        <v>11</v>
      </c>
      <c r="O815" s="53">
        <v>8.1858000000000004</v>
      </c>
      <c r="P815" s="35">
        <f t="shared" si="73"/>
        <v>16371.6</v>
      </c>
      <c r="Q815" s="36">
        <f t="shared" si="74"/>
        <v>7.3003400000000003</v>
      </c>
      <c r="R815" s="36">
        <f t="shared" si="75"/>
        <v>1.1213</v>
      </c>
      <c r="S815" s="37">
        <f t="shared" si="76"/>
        <v>2242.6</v>
      </c>
      <c r="T815" s="36" t="s">
        <v>349</v>
      </c>
      <c r="U815" s="31" t="s">
        <v>36</v>
      </c>
      <c r="V815" s="57">
        <v>7.1692999999999998</v>
      </c>
      <c r="W815" s="38">
        <f t="shared" si="77"/>
        <v>2283.5702230343272</v>
      </c>
    </row>
    <row r="816" spans="1:23">
      <c r="A816" s="31" t="s">
        <v>2107</v>
      </c>
      <c r="B816" s="32">
        <v>45707</v>
      </c>
      <c r="C816" s="32">
        <v>45677</v>
      </c>
      <c r="D816" s="31" t="s">
        <v>5</v>
      </c>
      <c r="E816" s="31" t="s">
        <v>6</v>
      </c>
      <c r="G816" s="31" t="s">
        <v>2185</v>
      </c>
      <c r="H816" s="31" t="s">
        <v>1804</v>
      </c>
      <c r="I816" s="31" t="s">
        <v>1805</v>
      </c>
      <c r="J816" s="34" t="str">
        <f t="shared" si="72"/>
        <v>BOX-</v>
      </c>
      <c r="K816" s="31" t="s">
        <v>10</v>
      </c>
      <c r="L816" s="53">
        <v>1010</v>
      </c>
      <c r="M816" s="31" t="s">
        <v>1472</v>
      </c>
      <c r="N816" s="31" t="s">
        <v>11</v>
      </c>
      <c r="O816" s="53">
        <v>8.2200000000000006</v>
      </c>
      <c r="P816" s="35">
        <f t="shared" si="73"/>
        <v>8302.2000000000007</v>
      </c>
      <c r="Q816" s="36">
        <f t="shared" si="74"/>
        <v>7.3003400000000003</v>
      </c>
      <c r="R816" s="36">
        <f t="shared" si="75"/>
        <v>1.1259999999999999</v>
      </c>
      <c r="S816" s="37">
        <f t="shared" si="76"/>
        <v>1137.26</v>
      </c>
      <c r="T816" s="36" t="s">
        <v>349</v>
      </c>
      <c r="U816" s="31" t="s">
        <v>1</v>
      </c>
      <c r="V816" s="57">
        <v>7.1692999999999998</v>
      </c>
      <c r="W816" s="38">
        <f t="shared" si="77"/>
        <v>1158.0210062349183</v>
      </c>
    </row>
    <row r="817" spans="1:23">
      <c r="A817" s="31" t="s">
        <v>2108</v>
      </c>
      <c r="B817" s="32">
        <v>45707</v>
      </c>
      <c r="C817" s="32">
        <v>45677</v>
      </c>
      <c r="D817" s="31" t="s">
        <v>5</v>
      </c>
      <c r="E817" s="31" t="s">
        <v>6</v>
      </c>
      <c r="G817" s="31" t="s">
        <v>2185</v>
      </c>
      <c r="H817" s="31" t="s">
        <v>1804</v>
      </c>
      <c r="I817" s="31" t="s">
        <v>1805</v>
      </c>
      <c r="J817" s="34" t="str">
        <f t="shared" si="72"/>
        <v>BOX-</v>
      </c>
      <c r="K817" s="31" t="s">
        <v>10</v>
      </c>
      <c r="L817" s="53">
        <v>1010</v>
      </c>
      <c r="M817" s="31" t="s">
        <v>1472</v>
      </c>
      <c r="N817" s="31" t="s">
        <v>11</v>
      </c>
      <c r="O817" s="53">
        <v>8.2200000000000006</v>
      </c>
      <c r="P817" s="35">
        <f t="shared" si="73"/>
        <v>8302.2000000000007</v>
      </c>
      <c r="Q817" s="36">
        <f t="shared" si="74"/>
        <v>7.3003400000000003</v>
      </c>
      <c r="R817" s="36">
        <f t="shared" si="75"/>
        <v>1.1259999999999999</v>
      </c>
      <c r="S817" s="37">
        <f t="shared" si="76"/>
        <v>1137.26</v>
      </c>
      <c r="T817" s="36" t="s">
        <v>349</v>
      </c>
      <c r="U817" s="31" t="s">
        <v>1</v>
      </c>
      <c r="V817" s="57">
        <v>7.1692999999999998</v>
      </c>
      <c r="W817" s="38">
        <f t="shared" si="77"/>
        <v>1158.0210062349183</v>
      </c>
    </row>
    <row r="818" spans="1:23">
      <c r="A818" s="31" t="s">
        <v>258</v>
      </c>
      <c r="B818" s="32">
        <v>45706</v>
      </c>
      <c r="C818" s="32">
        <v>45639</v>
      </c>
      <c r="D818" s="31" t="s">
        <v>252</v>
      </c>
      <c r="E818" s="31" t="s">
        <v>253</v>
      </c>
      <c r="G818" s="31" t="s">
        <v>2227</v>
      </c>
      <c r="H818" s="31" t="s">
        <v>256</v>
      </c>
      <c r="I818" s="31" t="s">
        <v>257</v>
      </c>
      <c r="J818" s="34" t="str">
        <f t="shared" si="72"/>
        <v>GLID</v>
      </c>
      <c r="K818" s="31" t="s">
        <v>10</v>
      </c>
      <c r="L818" s="53">
        <v>3470</v>
      </c>
      <c r="M818" s="31" t="s">
        <v>1472</v>
      </c>
      <c r="N818" s="31" t="s">
        <v>11</v>
      </c>
      <c r="O818" s="53">
        <v>8.6329999999999991</v>
      </c>
      <c r="P818" s="35">
        <f t="shared" si="73"/>
        <v>29956.51</v>
      </c>
      <c r="Q818" s="36">
        <f t="shared" si="74"/>
        <v>7.3003400000000003</v>
      </c>
      <c r="R818" s="36">
        <f t="shared" si="75"/>
        <v>1.1825000000000001</v>
      </c>
      <c r="S818" s="37">
        <f t="shared" si="76"/>
        <v>4103.28</v>
      </c>
      <c r="T818" s="36" t="s">
        <v>349</v>
      </c>
      <c r="U818" s="31" t="s">
        <v>78</v>
      </c>
      <c r="V818" s="57">
        <v>7.1692999999999998</v>
      </c>
      <c r="W818" s="38">
        <f t="shared" si="77"/>
        <v>4178.4428047368638</v>
      </c>
    </row>
    <row r="819" spans="1:23">
      <c r="A819" s="31" t="s">
        <v>2109</v>
      </c>
      <c r="B819" s="32">
        <v>45708</v>
      </c>
      <c r="C819" s="32">
        <v>45639</v>
      </c>
      <c r="D819" s="31" t="s">
        <v>149</v>
      </c>
      <c r="E819" s="31" t="s">
        <v>150</v>
      </c>
      <c r="G819" s="31" t="s">
        <v>2222</v>
      </c>
      <c r="H819" s="31" t="s">
        <v>147</v>
      </c>
      <c r="I819" s="31" t="s">
        <v>148</v>
      </c>
      <c r="J819" s="34" t="str">
        <f t="shared" si="72"/>
        <v>SKU-</v>
      </c>
      <c r="K819" s="31" t="s">
        <v>98</v>
      </c>
      <c r="L819" s="53">
        <v>1000</v>
      </c>
      <c r="M819" s="31" t="s">
        <v>1472</v>
      </c>
      <c r="N819" s="31" t="s">
        <v>11</v>
      </c>
      <c r="O819" s="53">
        <v>8.6722999999999999</v>
      </c>
      <c r="P819" s="35">
        <f t="shared" si="73"/>
        <v>8672.2999999999993</v>
      </c>
      <c r="Q819" s="36">
        <f t="shared" si="74"/>
        <v>7.3003400000000003</v>
      </c>
      <c r="R819" s="36">
        <f t="shared" si="75"/>
        <v>1.1879</v>
      </c>
      <c r="S819" s="37">
        <f t="shared" si="76"/>
        <v>1187.9000000000001</v>
      </c>
      <c r="T819" s="36" t="s">
        <v>349</v>
      </c>
      <c r="U819" s="31" t="s">
        <v>2</v>
      </c>
      <c r="V819" s="57">
        <v>7.1692999999999998</v>
      </c>
      <c r="W819" s="38">
        <f t="shared" si="77"/>
        <v>1209.6438982885359</v>
      </c>
    </row>
    <row r="820" spans="1:23">
      <c r="A820" s="31" t="s">
        <v>2110</v>
      </c>
      <c r="B820" s="32">
        <v>45708</v>
      </c>
      <c r="C820" s="32">
        <v>45644</v>
      </c>
      <c r="D820" s="31" t="s">
        <v>149</v>
      </c>
      <c r="E820" s="31" t="s">
        <v>150</v>
      </c>
      <c r="G820" s="31" t="s">
        <v>2222</v>
      </c>
      <c r="H820" s="31" t="s">
        <v>147</v>
      </c>
      <c r="I820" s="31" t="s">
        <v>148</v>
      </c>
      <c r="J820" s="34" t="str">
        <f t="shared" si="72"/>
        <v>SKU-</v>
      </c>
      <c r="K820" s="31" t="s">
        <v>98</v>
      </c>
      <c r="L820" s="53">
        <v>2220</v>
      </c>
      <c r="M820" s="31" t="s">
        <v>1472</v>
      </c>
      <c r="N820" s="31" t="s">
        <v>11</v>
      </c>
      <c r="O820" s="53">
        <v>8.6722999999999999</v>
      </c>
      <c r="P820" s="35">
        <f t="shared" si="73"/>
        <v>19252.509999999998</v>
      </c>
      <c r="Q820" s="36">
        <f t="shared" si="74"/>
        <v>7.3003400000000003</v>
      </c>
      <c r="R820" s="36">
        <f t="shared" si="75"/>
        <v>1.1879</v>
      </c>
      <c r="S820" s="37">
        <f t="shared" si="76"/>
        <v>2637.14</v>
      </c>
      <c r="T820" s="36" t="s">
        <v>349</v>
      </c>
      <c r="U820" s="31" t="s">
        <v>2</v>
      </c>
      <c r="V820" s="57">
        <v>7.1692999999999998</v>
      </c>
      <c r="W820" s="38">
        <f t="shared" si="77"/>
        <v>2685.4094542005496</v>
      </c>
    </row>
    <row r="821" spans="1:23">
      <c r="A821" s="31" t="s">
        <v>2110</v>
      </c>
      <c r="B821" s="32">
        <v>45706</v>
      </c>
      <c r="C821" s="32">
        <v>45644</v>
      </c>
      <c r="D821" s="31" t="s">
        <v>149</v>
      </c>
      <c r="E821" s="31" t="s">
        <v>150</v>
      </c>
      <c r="G821" s="31" t="s">
        <v>2215</v>
      </c>
      <c r="H821" s="31" t="s">
        <v>147</v>
      </c>
      <c r="I821" s="31" t="s">
        <v>148</v>
      </c>
      <c r="J821" s="34" t="str">
        <f t="shared" si="72"/>
        <v>SKU-</v>
      </c>
      <c r="K821" s="31" t="s">
        <v>98</v>
      </c>
      <c r="L821" s="53">
        <v>280</v>
      </c>
      <c r="M821" s="31" t="s">
        <v>1472</v>
      </c>
      <c r="N821" s="31" t="s">
        <v>11</v>
      </c>
      <c r="O821" s="53">
        <v>8.6722999999999999</v>
      </c>
      <c r="P821" s="35">
        <f t="shared" si="73"/>
        <v>2428.2399999999998</v>
      </c>
      <c r="Q821" s="36">
        <f t="shared" si="74"/>
        <v>7.3003400000000003</v>
      </c>
      <c r="R821" s="36">
        <f t="shared" si="75"/>
        <v>1.1879</v>
      </c>
      <c r="S821" s="37">
        <f t="shared" si="76"/>
        <v>332.61</v>
      </c>
      <c r="T821" s="36" t="s">
        <v>349</v>
      </c>
      <c r="U821" s="31" t="s">
        <v>2</v>
      </c>
      <c r="V821" s="57">
        <v>7.1692999999999998</v>
      </c>
      <c r="W821" s="38">
        <f t="shared" si="77"/>
        <v>338.70029152079002</v>
      </c>
    </row>
    <row r="822" spans="1:23">
      <c r="A822" s="31" t="s">
        <v>872</v>
      </c>
      <c r="B822" s="32">
        <v>45705</v>
      </c>
      <c r="C822" s="32">
        <v>45287</v>
      </c>
      <c r="D822" s="31" t="s">
        <v>866</v>
      </c>
      <c r="E822" s="31" t="s">
        <v>867</v>
      </c>
      <c r="G822" s="31" t="s">
        <v>2213</v>
      </c>
      <c r="H822" s="31" t="s">
        <v>870</v>
      </c>
      <c r="I822" s="31" t="s">
        <v>871</v>
      </c>
      <c r="J822" s="34" t="str">
        <f t="shared" si="72"/>
        <v>ANYD</v>
      </c>
      <c r="K822" s="31" t="s">
        <v>10</v>
      </c>
      <c r="L822" s="53">
        <v>1000</v>
      </c>
      <c r="M822" s="31" t="s">
        <v>1472</v>
      </c>
      <c r="N822" s="31" t="s">
        <v>11</v>
      </c>
      <c r="O822" s="53">
        <v>8.8053000000000008</v>
      </c>
      <c r="P822" s="35">
        <f t="shared" si="73"/>
        <v>8805.2999999999993</v>
      </c>
      <c r="Q822" s="36">
        <f t="shared" si="74"/>
        <v>7.3003400000000003</v>
      </c>
      <c r="R822" s="36">
        <f t="shared" si="75"/>
        <v>1.2060999999999999</v>
      </c>
      <c r="S822" s="37">
        <f t="shared" si="76"/>
        <v>1206.0999999999999</v>
      </c>
      <c r="T822" s="36" t="s">
        <v>349</v>
      </c>
      <c r="U822" s="31" t="s">
        <v>36</v>
      </c>
      <c r="V822" s="57">
        <v>7.1692999999999998</v>
      </c>
      <c r="W822" s="38">
        <f t="shared" si="77"/>
        <v>1228.1952212907815</v>
      </c>
    </row>
    <row r="823" spans="1:23">
      <c r="A823" s="31" t="s">
        <v>889</v>
      </c>
      <c r="B823" s="32">
        <v>45705</v>
      </c>
      <c r="C823" s="32">
        <v>45526</v>
      </c>
      <c r="D823" s="31" t="s">
        <v>866</v>
      </c>
      <c r="E823" s="31" t="s">
        <v>867</v>
      </c>
      <c r="G823" s="31" t="s">
        <v>2228</v>
      </c>
      <c r="H823" s="31" t="s">
        <v>887</v>
      </c>
      <c r="I823" s="31" t="s">
        <v>888</v>
      </c>
      <c r="J823" s="34" t="str">
        <f t="shared" si="72"/>
        <v>ANYD</v>
      </c>
      <c r="K823" s="31" t="s">
        <v>10</v>
      </c>
      <c r="L823" s="53">
        <v>3008</v>
      </c>
      <c r="M823" s="31" t="s">
        <v>1472</v>
      </c>
      <c r="N823" s="31" t="s">
        <v>11</v>
      </c>
      <c r="O823" s="53">
        <v>9.2124000000000006</v>
      </c>
      <c r="P823" s="35">
        <f t="shared" si="73"/>
        <v>27710.9</v>
      </c>
      <c r="Q823" s="36">
        <f t="shared" si="74"/>
        <v>7.3003400000000003</v>
      </c>
      <c r="R823" s="36">
        <f t="shared" si="75"/>
        <v>1.2619</v>
      </c>
      <c r="S823" s="37">
        <f t="shared" si="76"/>
        <v>3795.8</v>
      </c>
      <c r="T823" s="36" t="s">
        <v>349</v>
      </c>
      <c r="U823" s="31" t="s">
        <v>36</v>
      </c>
      <c r="V823" s="57">
        <v>7.1692999999999998</v>
      </c>
      <c r="W823" s="38">
        <f t="shared" si="77"/>
        <v>3865.2168552020421</v>
      </c>
    </row>
    <row r="824" spans="1:23">
      <c r="A824" s="31" t="s">
        <v>2111</v>
      </c>
      <c r="B824" s="32">
        <v>45699</v>
      </c>
      <c r="C824" s="32">
        <v>45630</v>
      </c>
      <c r="D824" s="31" t="s">
        <v>569</v>
      </c>
      <c r="E824" s="31" t="s">
        <v>570</v>
      </c>
      <c r="G824" s="31" t="s">
        <v>2148</v>
      </c>
      <c r="H824" s="31" t="s">
        <v>1806</v>
      </c>
      <c r="I824" s="31" t="s">
        <v>1807</v>
      </c>
      <c r="J824" s="34" t="str">
        <f t="shared" si="72"/>
        <v>MISC</v>
      </c>
      <c r="K824" s="31" t="s">
        <v>10</v>
      </c>
      <c r="L824" s="53">
        <v>2520</v>
      </c>
      <c r="M824" s="31" t="s">
        <v>1472</v>
      </c>
      <c r="N824" s="31" t="s">
        <v>11</v>
      </c>
      <c r="O824" s="53">
        <v>10.632999999999999</v>
      </c>
      <c r="P824" s="35">
        <f t="shared" si="73"/>
        <v>26795.16</v>
      </c>
      <c r="Q824" s="36">
        <f t="shared" si="74"/>
        <v>7.3003400000000003</v>
      </c>
      <c r="R824" s="36">
        <f t="shared" si="75"/>
        <v>1.4564999999999999</v>
      </c>
      <c r="S824" s="37">
        <f t="shared" si="76"/>
        <v>3670.38</v>
      </c>
      <c r="T824" s="36" t="s">
        <v>349</v>
      </c>
      <c r="U824" s="31" t="s">
        <v>25</v>
      </c>
      <c r="V824" s="57">
        <v>7.1692999999999998</v>
      </c>
      <c r="W824" s="38">
        <f t="shared" si="77"/>
        <v>3737.4862259913798</v>
      </c>
    </row>
    <row r="825" spans="1:23">
      <c r="A825" s="31" t="s">
        <v>2112</v>
      </c>
      <c r="B825" s="32">
        <v>45699</v>
      </c>
      <c r="C825" s="32">
        <v>45646</v>
      </c>
      <c r="D825" s="31" t="s">
        <v>569</v>
      </c>
      <c r="E825" s="31" t="s">
        <v>570</v>
      </c>
      <c r="G825" s="31" t="s">
        <v>2148</v>
      </c>
      <c r="H825" s="31" t="s">
        <v>1806</v>
      </c>
      <c r="I825" s="31" t="s">
        <v>1807</v>
      </c>
      <c r="J825" s="34" t="str">
        <f t="shared" si="72"/>
        <v>MISC</v>
      </c>
      <c r="K825" s="31" t="s">
        <v>10</v>
      </c>
      <c r="L825" s="53">
        <v>2000</v>
      </c>
      <c r="M825" s="31" t="s">
        <v>1472</v>
      </c>
      <c r="N825" s="31" t="s">
        <v>11</v>
      </c>
      <c r="O825" s="53">
        <v>10.632999999999999</v>
      </c>
      <c r="P825" s="35">
        <f t="shared" si="73"/>
        <v>21266</v>
      </c>
      <c r="Q825" s="36">
        <f t="shared" si="74"/>
        <v>7.3003400000000003</v>
      </c>
      <c r="R825" s="36">
        <f t="shared" si="75"/>
        <v>1.4564999999999999</v>
      </c>
      <c r="S825" s="37">
        <f t="shared" si="76"/>
        <v>2913</v>
      </c>
      <c r="T825" s="36" t="s">
        <v>349</v>
      </c>
      <c r="U825" s="31" t="s">
        <v>25</v>
      </c>
      <c r="V825" s="57">
        <v>7.1692999999999998</v>
      </c>
      <c r="W825" s="38">
        <f t="shared" si="77"/>
        <v>2966.2589095169683</v>
      </c>
    </row>
    <row r="826" spans="1:23">
      <c r="A826" s="31" t="s">
        <v>254</v>
      </c>
      <c r="B826" s="32">
        <v>45706</v>
      </c>
      <c r="C826" s="32">
        <v>45639</v>
      </c>
      <c r="D826" s="31" t="s">
        <v>252</v>
      </c>
      <c r="E826" s="31" t="s">
        <v>253</v>
      </c>
      <c r="G826" s="31" t="s">
        <v>2227</v>
      </c>
      <c r="H826" s="31" t="s">
        <v>250</v>
      </c>
      <c r="I826" s="31" t="s">
        <v>251</v>
      </c>
      <c r="J826" s="34" t="str">
        <f t="shared" si="72"/>
        <v>GLID</v>
      </c>
      <c r="K826" s="31" t="s">
        <v>10</v>
      </c>
      <c r="L826" s="53">
        <v>6390</v>
      </c>
      <c r="M826" s="31" t="s">
        <v>1472</v>
      </c>
      <c r="N826" s="31" t="s">
        <v>11</v>
      </c>
      <c r="O826" s="53">
        <v>10.7476</v>
      </c>
      <c r="P826" s="35">
        <f t="shared" si="73"/>
        <v>68677.16</v>
      </c>
      <c r="Q826" s="36">
        <f t="shared" si="74"/>
        <v>7.3003400000000003</v>
      </c>
      <c r="R826" s="36">
        <f t="shared" si="75"/>
        <v>1.4722</v>
      </c>
      <c r="S826" s="37">
        <f t="shared" si="76"/>
        <v>9407.36</v>
      </c>
      <c r="T826" s="36" t="s">
        <v>349</v>
      </c>
      <c r="U826" s="31" t="s">
        <v>78</v>
      </c>
      <c r="V826" s="57">
        <v>7.1692999999999998</v>
      </c>
      <c r="W826" s="38">
        <f t="shared" si="77"/>
        <v>9579.3402424225515</v>
      </c>
    </row>
    <row r="827" spans="1:23">
      <c r="A827" s="31" t="s">
        <v>2113</v>
      </c>
      <c r="B827" s="32">
        <v>45701</v>
      </c>
      <c r="C827" s="32">
        <v>45695</v>
      </c>
      <c r="D827" s="31" t="s">
        <v>898</v>
      </c>
      <c r="E827" s="31" t="s">
        <v>899</v>
      </c>
      <c r="G827" s="31" t="s">
        <v>2229</v>
      </c>
      <c r="H827" s="31" t="s">
        <v>902</v>
      </c>
      <c r="I827" s="31" t="s">
        <v>903</v>
      </c>
      <c r="J827" s="34" t="str">
        <f t="shared" si="72"/>
        <v>GLID</v>
      </c>
      <c r="K827" s="31" t="s">
        <v>10</v>
      </c>
      <c r="L827" s="53">
        <v>400</v>
      </c>
      <c r="M827" s="31" t="s">
        <v>1472</v>
      </c>
      <c r="N827" s="31" t="s">
        <v>11</v>
      </c>
      <c r="O827" s="53">
        <v>10.7965</v>
      </c>
      <c r="P827" s="35">
        <f t="shared" si="73"/>
        <v>4318.6000000000004</v>
      </c>
      <c r="Q827" s="36">
        <f t="shared" si="74"/>
        <v>7.3003400000000003</v>
      </c>
      <c r="R827" s="36">
        <f t="shared" si="75"/>
        <v>1.4789000000000001</v>
      </c>
      <c r="S827" s="37">
        <f t="shared" si="76"/>
        <v>591.55999999999995</v>
      </c>
      <c r="T827" s="36" t="s">
        <v>349</v>
      </c>
      <c r="U827" s="31" t="s">
        <v>78</v>
      </c>
      <c r="V827" s="57">
        <v>7.1692999999999998</v>
      </c>
      <c r="W827" s="38">
        <f t="shared" si="77"/>
        <v>602.37401140976101</v>
      </c>
    </row>
    <row r="828" spans="1:23">
      <c r="A828" s="31" t="s">
        <v>879</v>
      </c>
      <c r="B828" s="32">
        <v>45705</v>
      </c>
      <c r="C828" s="32">
        <v>45287</v>
      </c>
      <c r="D828" s="31" t="s">
        <v>866</v>
      </c>
      <c r="E828" s="31" t="s">
        <v>867</v>
      </c>
      <c r="G828" s="31" t="s">
        <v>2213</v>
      </c>
      <c r="H828" s="31" t="s">
        <v>877</v>
      </c>
      <c r="I828" s="31" t="s">
        <v>878</v>
      </c>
      <c r="J828" s="34" t="str">
        <f t="shared" si="72"/>
        <v>ANYD</v>
      </c>
      <c r="K828" s="31" t="s">
        <v>10</v>
      </c>
      <c r="L828" s="53">
        <v>2004</v>
      </c>
      <c r="M828" s="31" t="s">
        <v>1472</v>
      </c>
      <c r="N828" s="31" t="s">
        <v>11</v>
      </c>
      <c r="O828" s="53">
        <v>11.672599999999999</v>
      </c>
      <c r="P828" s="35">
        <f t="shared" si="73"/>
        <v>23391.89</v>
      </c>
      <c r="Q828" s="36">
        <f t="shared" si="74"/>
        <v>7.3003400000000003</v>
      </c>
      <c r="R828" s="36">
        <f t="shared" si="75"/>
        <v>1.5989</v>
      </c>
      <c r="S828" s="37">
        <f t="shared" si="76"/>
        <v>3204.2</v>
      </c>
      <c r="T828" s="36" t="s">
        <v>349</v>
      </c>
      <c r="U828" s="31" t="s">
        <v>36</v>
      </c>
      <c r="V828" s="57">
        <v>7.1692999999999998</v>
      </c>
      <c r="W828" s="38">
        <f t="shared" si="77"/>
        <v>3262.7858228836844</v>
      </c>
    </row>
    <row r="829" spans="1:23">
      <c r="A829" s="31" t="s">
        <v>2114</v>
      </c>
      <c r="B829" s="32">
        <v>45709</v>
      </c>
      <c r="C829" s="32">
        <v>45701</v>
      </c>
      <c r="D829" s="31" t="s">
        <v>2259</v>
      </c>
      <c r="E829" s="31" t="s">
        <v>2260</v>
      </c>
      <c r="G829" s="31" t="s">
        <v>2230</v>
      </c>
      <c r="H829" s="31" t="s">
        <v>1808</v>
      </c>
      <c r="I829" s="31" t="s">
        <v>1809</v>
      </c>
      <c r="J829" s="34" t="str">
        <f t="shared" si="72"/>
        <v>SSM-</v>
      </c>
      <c r="K829" s="31" t="s">
        <v>10</v>
      </c>
      <c r="L829" s="53">
        <v>54331</v>
      </c>
      <c r="M829" s="31" t="s">
        <v>186</v>
      </c>
      <c r="N829" s="31" t="s">
        <v>11</v>
      </c>
      <c r="O829" s="53">
        <v>11.7699</v>
      </c>
      <c r="P829" s="35">
        <f t="shared" si="73"/>
        <v>639470.43999999994</v>
      </c>
      <c r="Q829" s="36">
        <f t="shared" si="74"/>
        <v>7.3003400000000003</v>
      </c>
      <c r="R829" s="36">
        <f t="shared" si="75"/>
        <v>1.6122000000000001</v>
      </c>
      <c r="S829" s="37">
        <f t="shared" si="76"/>
        <v>87592.44</v>
      </c>
      <c r="T829" s="36" t="s">
        <v>349</v>
      </c>
      <c r="U829" s="31" t="s">
        <v>33</v>
      </c>
      <c r="V829" s="57">
        <v>7.1692999999999998</v>
      </c>
      <c r="W829" s="38">
        <f t="shared" si="77"/>
        <v>89195.658836985487</v>
      </c>
    </row>
    <row r="830" spans="1:23">
      <c r="A830" s="31" t="s">
        <v>2115</v>
      </c>
      <c r="B830" s="32">
        <v>45709</v>
      </c>
      <c r="C830" s="32">
        <v>45701</v>
      </c>
      <c r="D830" s="31" t="s">
        <v>2259</v>
      </c>
      <c r="E830" s="31" t="s">
        <v>2260</v>
      </c>
      <c r="G830" s="31" t="s">
        <v>2230</v>
      </c>
      <c r="H830" s="31" t="s">
        <v>1810</v>
      </c>
      <c r="I830" s="31" t="s">
        <v>1811</v>
      </c>
      <c r="J830" s="34" t="str">
        <f t="shared" si="72"/>
        <v>SSM-</v>
      </c>
      <c r="K830" s="31" t="s">
        <v>10</v>
      </c>
      <c r="L830" s="53">
        <v>11071</v>
      </c>
      <c r="M830" s="31" t="s">
        <v>186</v>
      </c>
      <c r="N830" s="31" t="s">
        <v>11</v>
      </c>
      <c r="O830" s="53">
        <v>12.035399999999999</v>
      </c>
      <c r="P830" s="35">
        <f t="shared" si="73"/>
        <v>133243.91</v>
      </c>
      <c r="Q830" s="36">
        <f t="shared" si="74"/>
        <v>7.3003400000000003</v>
      </c>
      <c r="R830" s="36">
        <f t="shared" si="75"/>
        <v>1.6486000000000001</v>
      </c>
      <c r="S830" s="37">
        <f t="shared" si="76"/>
        <v>18251.650000000001</v>
      </c>
      <c r="T830" s="36" t="s">
        <v>349</v>
      </c>
      <c r="U830" s="31" t="s">
        <v>33</v>
      </c>
      <c r="V830" s="57">
        <v>7.1692999999999998</v>
      </c>
      <c r="W830" s="38">
        <f t="shared" si="77"/>
        <v>18585.344929072573</v>
      </c>
    </row>
    <row r="831" spans="1:23">
      <c r="A831" s="31" t="s">
        <v>2115</v>
      </c>
      <c r="B831" s="32">
        <v>45707</v>
      </c>
      <c r="C831" s="32">
        <v>45701</v>
      </c>
      <c r="D831" s="31" t="s">
        <v>2259</v>
      </c>
      <c r="E831" s="31" t="s">
        <v>2260</v>
      </c>
      <c r="G831" s="31" t="s">
        <v>2231</v>
      </c>
      <c r="H831" s="31" t="s">
        <v>1810</v>
      </c>
      <c r="I831" s="31" t="s">
        <v>1811</v>
      </c>
      <c r="J831" s="34" t="str">
        <f t="shared" si="72"/>
        <v>SSM-</v>
      </c>
      <c r="K831" s="31" t="s">
        <v>10</v>
      </c>
      <c r="L831" s="53">
        <v>10874</v>
      </c>
      <c r="M831" s="31" t="s">
        <v>186</v>
      </c>
      <c r="N831" s="31" t="s">
        <v>11</v>
      </c>
      <c r="O831" s="53">
        <v>12.035399999999999</v>
      </c>
      <c r="P831" s="35">
        <f t="shared" si="73"/>
        <v>130872.94</v>
      </c>
      <c r="Q831" s="36">
        <f t="shared" si="74"/>
        <v>7.3003400000000003</v>
      </c>
      <c r="R831" s="36">
        <f t="shared" si="75"/>
        <v>1.6486000000000001</v>
      </c>
      <c r="S831" s="37">
        <f t="shared" si="76"/>
        <v>17926.88</v>
      </c>
      <c r="T831" s="36" t="s">
        <v>349</v>
      </c>
      <c r="U831" s="31" t="s">
        <v>33</v>
      </c>
      <c r="V831" s="57">
        <v>7.1692999999999998</v>
      </c>
      <c r="W831" s="38">
        <f t="shared" si="77"/>
        <v>18254.632893030004</v>
      </c>
    </row>
    <row r="832" spans="1:23">
      <c r="A832" s="31" t="s">
        <v>2116</v>
      </c>
      <c r="B832" s="32">
        <v>45713</v>
      </c>
      <c r="C832" s="32">
        <v>45709</v>
      </c>
      <c r="D832" s="31" t="s">
        <v>5</v>
      </c>
      <c r="E832" s="31" t="s">
        <v>6</v>
      </c>
      <c r="G832" s="31" t="s">
        <v>2232</v>
      </c>
      <c r="H832" s="31" t="s">
        <v>1812</v>
      </c>
      <c r="I832" s="31" t="s">
        <v>1813</v>
      </c>
      <c r="J832" s="34" t="str">
        <f t="shared" si="72"/>
        <v>BOX-</v>
      </c>
      <c r="K832" s="31" t="s">
        <v>10</v>
      </c>
      <c r="L832" s="53">
        <v>505</v>
      </c>
      <c r="M832" s="31" t="s">
        <v>1472</v>
      </c>
      <c r="N832" s="31" t="s">
        <v>11</v>
      </c>
      <c r="O832" s="53">
        <v>12.21</v>
      </c>
      <c r="P832" s="35">
        <f t="shared" si="73"/>
        <v>6166.05</v>
      </c>
      <c r="Q832" s="36">
        <f t="shared" si="74"/>
        <v>7.3003400000000003</v>
      </c>
      <c r="R832" s="36">
        <f t="shared" si="75"/>
        <v>1.6725000000000001</v>
      </c>
      <c r="S832" s="37">
        <f t="shared" si="76"/>
        <v>844.61</v>
      </c>
      <c r="T832" s="36" t="s">
        <v>349</v>
      </c>
      <c r="U832" s="31" t="s">
        <v>1</v>
      </c>
      <c r="V832" s="57">
        <v>7.1692999999999998</v>
      </c>
      <c r="W832" s="38">
        <f t="shared" si="77"/>
        <v>860.06304660148135</v>
      </c>
    </row>
    <row r="833" spans="1:23">
      <c r="A833" s="31" t="s">
        <v>2117</v>
      </c>
      <c r="B833" s="32">
        <v>45707</v>
      </c>
      <c r="C833" s="32">
        <v>45701</v>
      </c>
      <c r="D833" s="31" t="s">
        <v>2259</v>
      </c>
      <c r="E833" s="31" t="s">
        <v>2260</v>
      </c>
      <c r="G833" s="31" t="s">
        <v>2231</v>
      </c>
      <c r="H833" s="31" t="s">
        <v>1814</v>
      </c>
      <c r="I833" s="31" t="s">
        <v>1815</v>
      </c>
      <c r="J833" s="34" t="str">
        <f t="shared" si="72"/>
        <v>SSM-</v>
      </c>
      <c r="K833" s="31" t="s">
        <v>10</v>
      </c>
      <c r="L833" s="53">
        <v>21993</v>
      </c>
      <c r="M833" s="31" t="s">
        <v>186</v>
      </c>
      <c r="N833" s="31" t="s">
        <v>11</v>
      </c>
      <c r="O833" s="53">
        <v>12.212400000000001</v>
      </c>
      <c r="P833" s="35">
        <f t="shared" si="73"/>
        <v>268587.31</v>
      </c>
      <c r="Q833" s="36">
        <f t="shared" si="74"/>
        <v>7.3003400000000003</v>
      </c>
      <c r="R833" s="36">
        <f t="shared" si="75"/>
        <v>1.6729000000000001</v>
      </c>
      <c r="S833" s="37">
        <f t="shared" si="76"/>
        <v>36792.089999999997</v>
      </c>
      <c r="T833" s="36" t="s">
        <v>349</v>
      </c>
      <c r="U833" s="31" t="s">
        <v>33</v>
      </c>
      <c r="V833" s="57">
        <v>7.1692999999999998</v>
      </c>
      <c r="W833" s="38">
        <f t="shared" si="77"/>
        <v>37463.533845703212</v>
      </c>
    </row>
    <row r="834" spans="1:23">
      <c r="A834" s="31" t="s">
        <v>2118</v>
      </c>
      <c r="B834" s="32">
        <v>45707</v>
      </c>
      <c r="C834" s="32">
        <v>45706</v>
      </c>
      <c r="D834" s="31" t="s">
        <v>5</v>
      </c>
      <c r="E834" s="31" t="s">
        <v>6</v>
      </c>
      <c r="G834" s="31" t="s">
        <v>2185</v>
      </c>
      <c r="H834" s="31" t="s">
        <v>1816</v>
      </c>
      <c r="I834" s="31" t="s">
        <v>1817</v>
      </c>
      <c r="J834" s="34" t="str">
        <f t="shared" ref="J834:J852" si="78">+LEFT(U834,4)</f>
        <v>BOX-</v>
      </c>
      <c r="K834" s="31" t="s">
        <v>10</v>
      </c>
      <c r="L834" s="53">
        <v>1010</v>
      </c>
      <c r="M834" s="31" t="s">
        <v>1472</v>
      </c>
      <c r="N834" s="31" t="s">
        <v>11</v>
      </c>
      <c r="O834" s="53">
        <v>12.85</v>
      </c>
      <c r="P834" s="35">
        <f t="shared" ref="P834:P897" si="79">ROUND(O834*L834,2)</f>
        <v>12978.5</v>
      </c>
      <c r="Q834" s="36">
        <f t="shared" ref="Q834:Q852" si="80">IF(N834="HKD",7.8,IF(N834="CNY",7.30034,1))</f>
        <v>7.3003400000000003</v>
      </c>
      <c r="R834" s="36">
        <f t="shared" ref="R834:R852" si="81">+ROUND(O834/Q834,4)</f>
        <v>1.7602</v>
      </c>
      <c r="S834" s="37">
        <f t="shared" ref="S834:S852" si="82">ROUND(R834*L834,2)</f>
        <v>1777.8</v>
      </c>
      <c r="T834" s="36" t="s">
        <v>349</v>
      </c>
      <c r="U834" s="31" t="s">
        <v>1</v>
      </c>
      <c r="V834" s="57">
        <v>7.1692999999999998</v>
      </c>
      <c r="W834" s="38">
        <f t="shared" ref="W834:W897" si="83">IF(N834="CNY",O834/V834*L834,1)</f>
        <v>1810.2883126665085</v>
      </c>
    </row>
    <row r="835" spans="1:23">
      <c r="A835" s="31" t="s">
        <v>2119</v>
      </c>
      <c r="B835" s="32">
        <v>45707</v>
      </c>
      <c r="C835" s="32">
        <v>45706</v>
      </c>
      <c r="D835" s="31" t="s">
        <v>5</v>
      </c>
      <c r="E835" s="31" t="s">
        <v>6</v>
      </c>
      <c r="G835" s="31" t="s">
        <v>2185</v>
      </c>
      <c r="H835" s="31" t="s">
        <v>1804</v>
      </c>
      <c r="I835" s="31" t="s">
        <v>1805</v>
      </c>
      <c r="J835" s="34" t="str">
        <f t="shared" si="78"/>
        <v>BOX-</v>
      </c>
      <c r="K835" s="31" t="s">
        <v>10</v>
      </c>
      <c r="L835" s="53">
        <v>1010</v>
      </c>
      <c r="M835" s="31" t="s">
        <v>1472</v>
      </c>
      <c r="N835" s="31" t="s">
        <v>11</v>
      </c>
      <c r="O835" s="53">
        <v>12.95</v>
      </c>
      <c r="P835" s="35">
        <f t="shared" si="79"/>
        <v>13079.5</v>
      </c>
      <c r="Q835" s="36">
        <f t="shared" si="80"/>
        <v>7.3003400000000003</v>
      </c>
      <c r="R835" s="36">
        <f t="shared" si="81"/>
        <v>1.7739</v>
      </c>
      <c r="S835" s="37">
        <f t="shared" si="82"/>
        <v>1791.64</v>
      </c>
      <c r="T835" s="36" t="s">
        <v>349</v>
      </c>
      <c r="U835" s="31" t="s">
        <v>1</v>
      </c>
      <c r="V835" s="57">
        <v>7.1692999999999998</v>
      </c>
      <c r="W835" s="38">
        <f t="shared" si="83"/>
        <v>1824.3761594576877</v>
      </c>
    </row>
    <row r="836" spans="1:23">
      <c r="A836" s="31" t="s">
        <v>2120</v>
      </c>
      <c r="B836" s="32">
        <v>45705</v>
      </c>
      <c r="C836" s="32">
        <v>45646</v>
      </c>
      <c r="D836" s="31" t="s">
        <v>866</v>
      </c>
      <c r="E836" s="31" t="s">
        <v>867</v>
      </c>
      <c r="G836" s="31" t="s">
        <v>2212</v>
      </c>
      <c r="H836" s="31" t="s">
        <v>1546</v>
      </c>
      <c r="I836" s="31" t="s">
        <v>1818</v>
      </c>
      <c r="J836" s="34" t="str">
        <f t="shared" si="78"/>
        <v>ANYD</v>
      </c>
      <c r="K836" s="31" t="s">
        <v>10</v>
      </c>
      <c r="L836" s="53">
        <v>2004</v>
      </c>
      <c r="M836" s="31" t="s">
        <v>1472</v>
      </c>
      <c r="N836" s="31" t="s">
        <v>11</v>
      </c>
      <c r="O836" s="53">
        <v>17.805299999999999</v>
      </c>
      <c r="P836" s="35">
        <f t="shared" si="79"/>
        <v>35681.82</v>
      </c>
      <c r="Q836" s="36">
        <f t="shared" si="80"/>
        <v>7.3003400000000003</v>
      </c>
      <c r="R836" s="36">
        <f t="shared" si="81"/>
        <v>2.4390000000000001</v>
      </c>
      <c r="S836" s="37">
        <f t="shared" si="82"/>
        <v>4887.76</v>
      </c>
      <c r="T836" s="36" t="s">
        <v>349</v>
      </c>
      <c r="U836" s="31" t="s">
        <v>36</v>
      </c>
      <c r="V836" s="57">
        <v>7.1692999999999998</v>
      </c>
      <c r="W836" s="38">
        <f t="shared" si="83"/>
        <v>4977.0300029291566</v>
      </c>
    </row>
    <row r="837" spans="1:23">
      <c r="A837" s="31" t="s">
        <v>2121</v>
      </c>
      <c r="B837" s="32">
        <v>45712</v>
      </c>
      <c r="C837" s="32">
        <v>45709</v>
      </c>
      <c r="D837" s="31" t="s">
        <v>2261</v>
      </c>
      <c r="E837" s="31" t="s">
        <v>2262</v>
      </c>
      <c r="G837" s="31" t="s">
        <v>2233</v>
      </c>
      <c r="H837" s="31" t="s">
        <v>1819</v>
      </c>
      <c r="I837" s="31" t="s">
        <v>1820</v>
      </c>
      <c r="J837" s="34" t="str">
        <f t="shared" si="78"/>
        <v>ALM-</v>
      </c>
      <c r="K837" s="31" t="s">
        <v>10</v>
      </c>
      <c r="L837" s="53">
        <v>34295</v>
      </c>
      <c r="M837" s="31" t="s">
        <v>186</v>
      </c>
      <c r="N837" s="31" t="s">
        <v>11</v>
      </c>
      <c r="O837" s="53">
        <v>18.380500000000001</v>
      </c>
      <c r="P837" s="35">
        <f t="shared" si="79"/>
        <v>630359.25</v>
      </c>
      <c r="Q837" s="36">
        <f t="shared" si="80"/>
        <v>7.3003400000000003</v>
      </c>
      <c r="R837" s="36">
        <f t="shared" si="81"/>
        <v>2.5177999999999998</v>
      </c>
      <c r="S837" s="37">
        <f t="shared" si="82"/>
        <v>86347.95</v>
      </c>
      <c r="T837" s="36" t="s">
        <v>349</v>
      </c>
      <c r="U837" s="31" t="s">
        <v>191</v>
      </c>
      <c r="V837" s="57">
        <v>7.1692999999999998</v>
      </c>
      <c r="W837" s="38">
        <f t="shared" si="83"/>
        <v>87924.79705131604</v>
      </c>
    </row>
    <row r="838" spans="1:23">
      <c r="A838" s="31" t="s">
        <v>2122</v>
      </c>
      <c r="B838" s="32">
        <v>45699</v>
      </c>
      <c r="C838" s="32">
        <v>45664</v>
      </c>
      <c r="D838" s="31" t="s">
        <v>2263</v>
      </c>
      <c r="E838" s="31" t="s">
        <v>2264</v>
      </c>
      <c r="G838" s="31" t="s">
        <v>2234</v>
      </c>
      <c r="H838" s="31" t="s">
        <v>1821</v>
      </c>
      <c r="I838" s="31" t="s">
        <v>1822</v>
      </c>
      <c r="J838" s="34" t="str">
        <f t="shared" si="78"/>
        <v>INM-</v>
      </c>
      <c r="K838" s="31" t="s">
        <v>10</v>
      </c>
      <c r="L838" s="53">
        <v>113.29300000000001</v>
      </c>
      <c r="M838" s="31" t="s">
        <v>186</v>
      </c>
      <c r="N838" s="31" t="s">
        <v>2246</v>
      </c>
      <c r="O838" s="53">
        <v>21.21</v>
      </c>
      <c r="P838" s="35">
        <f t="shared" si="79"/>
        <v>2402.94</v>
      </c>
      <c r="Q838" s="36">
        <f t="shared" si="80"/>
        <v>1</v>
      </c>
      <c r="R838" s="36">
        <f t="shared" si="81"/>
        <v>21.21</v>
      </c>
      <c r="S838" s="37">
        <f t="shared" si="82"/>
        <v>2402.94</v>
      </c>
      <c r="T838" s="36" t="s">
        <v>349</v>
      </c>
      <c r="U838" s="31" t="s">
        <v>327</v>
      </c>
      <c r="V838" s="57">
        <v>7.1692999999999998</v>
      </c>
      <c r="W838" s="38">
        <f t="shared" si="83"/>
        <v>1</v>
      </c>
    </row>
    <row r="839" spans="1:23">
      <c r="A839" s="31" t="s">
        <v>2123</v>
      </c>
      <c r="B839" s="32">
        <v>45712</v>
      </c>
      <c r="C839" s="32">
        <v>45671</v>
      </c>
      <c r="D839" s="31" t="s">
        <v>311</v>
      </c>
      <c r="E839" s="31" t="s">
        <v>312</v>
      </c>
      <c r="G839" s="31" t="s">
        <v>2235</v>
      </c>
      <c r="H839" s="31" t="s">
        <v>341</v>
      </c>
      <c r="I839" s="31" t="s">
        <v>342</v>
      </c>
      <c r="J839" s="34" t="str">
        <f t="shared" si="78"/>
        <v>INM-</v>
      </c>
      <c r="K839" s="31" t="s">
        <v>10</v>
      </c>
      <c r="L839" s="53">
        <v>50</v>
      </c>
      <c r="M839" s="31" t="s">
        <v>186</v>
      </c>
      <c r="N839" s="31" t="s">
        <v>11</v>
      </c>
      <c r="O839" s="53">
        <v>63.008800000000001</v>
      </c>
      <c r="P839" s="35">
        <f t="shared" si="79"/>
        <v>3150.44</v>
      </c>
      <c r="Q839" s="36">
        <f t="shared" si="80"/>
        <v>7.3003400000000003</v>
      </c>
      <c r="R839" s="36">
        <f t="shared" si="81"/>
        <v>8.6309000000000005</v>
      </c>
      <c r="S839" s="37">
        <f t="shared" si="82"/>
        <v>431.55</v>
      </c>
      <c r="T839" s="36" t="s">
        <v>349</v>
      </c>
      <c r="U839" s="31" t="s">
        <v>327</v>
      </c>
      <c r="V839" s="57">
        <v>7.1692999999999998</v>
      </c>
      <c r="W839" s="38">
        <f t="shared" si="83"/>
        <v>439.4348123247737</v>
      </c>
    </row>
    <row r="840" spans="1:23">
      <c r="A840" s="31" t="s">
        <v>2124</v>
      </c>
      <c r="B840" s="32">
        <v>45712</v>
      </c>
      <c r="C840" s="32">
        <v>45699</v>
      </c>
      <c r="D840" s="31" t="s">
        <v>311</v>
      </c>
      <c r="E840" s="31" t="s">
        <v>312</v>
      </c>
      <c r="G840" s="31" t="s">
        <v>2236</v>
      </c>
      <c r="H840" s="31" t="s">
        <v>341</v>
      </c>
      <c r="I840" s="31" t="s">
        <v>342</v>
      </c>
      <c r="J840" s="34" t="str">
        <f t="shared" si="78"/>
        <v>INM-</v>
      </c>
      <c r="K840" s="31" t="s">
        <v>10</v>
      </c>
      <c r="L840" s="53">
        <v>50</v>
      </c>
      <c r="M840" s="31" t="s">
        <v>186</v>
      </c>
      <c r="N840" s="31" t="s">
        <v>11</v>
      </c>
      <c r="O840" s="53">
        <v>63.008800000000001</v>
      </c>
      <c r="P840" s="35">
        <f t="shared" si="79"/>
        <v>3150.44</v>
      </c>
      <c r="Q840" s="36">
        <f t="shared" si="80"/>
        <v>7.3003400000000003</v>
      </c>
      <c r="R840" s="36">
        <f t="shared" si="81"/>
        <v>8.6309000000000005</v>
      </c>
      <c r="S840" s="37">
        <f t="shared" si="82"/>
        <v>431.55</v>
      </c>
      <c r="T840" s="36" t="s">
        <v>349</v>
      </c>
      <c r="U840" s="31" t="s">
        <v>327</v>
      </c>
      <c r="V840" s="57">
        <v>7.1692999999999998</v>
      </c>
      <c r="W840" s="38">
        <f t="shared" si="83"/>
        <v>439.4348123247737</v>
      </c>
    </row>
    <row r="841" spans="1:23">
      <c r="A841" s="31" t="s">
        <v>2125</v>
      </c>
      <c r="B841" s="32">
        <v>45705</v>
      </c>
      <c r="C841" s="32">
        <v>45672</v>
      </c>
      <c r="D841" s="31" t="s">
        <v>311</v>
      </c>
      <c r="E841" s="31" t="s">
        <v>312</v>
      </c>
      <c r="G841" s="31" t="s">
        <v>2237</v>
      </c>
      <c r="H841" s="31" t="s">
        <v>323</v>
      </c>
      <c r="I841" s="31" t="s">
        <v>324</v>
      </c>
      <c r="J841" s="34" t="str">
        <f t="shared" si="78"/>
        <v>INM-</v>
      </c>
      <c r="K841" s="31" t="s">
        <v>10</v>
      </c>
      <c r="L841" s="53">
        <v>25</v>
      </c>
      <c r="M841" s="31" t="s">
        <v>186</v>
      </c>
      <c r="N841" s="31" t="s">
        <v>11</v>
      </c>
      <c r="O841" s="53">
        <v>69.026499999999999</v>
      </c>
      <c r="P841" s="35">
        <f t="shared" si="79"/>
        <v>1725.66</v>
      </c>
      <c r="Q841" s="36">
        <f t="shared" si="80"/>
        <v>7.3003400000000003</v>
      </c>
      <c r="R841" s="36">
        <f t="shared" si="81"/>
        <v>9.4551999999999996</v>
      </c>
      <c r="S841" s="37">
        <f t="shared" si="82"/>
        <v>236.38</v>
      </c>
      <c r="T841" s="36" t="s">
        <v>349</v>
      </c>
      <c r="U841" s="31" t="s">
        <v>327</v>
      </c>
      <c r="V841" s="57">
        <v>7.1692999999999998</v>
      </c>
      <c r="W841" s="38">
        <f t="shared" si="83"/>
        <v>240.70167240874284</v>
      </c>
    </row>
    <row r="842" spans="1:23">
      <c r="A842" s="31" t="s">
        <v>2126</v>
      </c>
      <c r="B842" s="32">
        <v>45712</v>
      </c>
      <c r="C842" s="32">
        <v>45698</v>
      </c>
      <c r="D842" s="31" t="s">
        <v>2265</v>
      </c>
      <c r="E842" s="31" t="s">
        <v>312</v>
      </c>
      <c r="G842" s="31" t="s">
        <v>2238</v>
      </c>
      <c r="H842" s="31" t="s">
        <v>1823</v>
      </c>
      <c r="I842" s="31" t="s">
        <v>1824</v>
      </c>
      <c r="J842" s="34" t="str">
        <f t="shared" si="78"/>
        <v>EXM-</v>
      </c>
      <c r="K842" s="31" t="s">
        <v>10</v>
      </c>
      <c r="L842" s="53">
        <v>25</v>
      </c>
      <c r="M842" s="31" t="s">
        <v>186</v>
      </c>
      <c r="N842" s="31" t="s">
        <v>11</v>
      </c>
      <c r="O842" s="53">
        <v>90.796499999999995</v>
      </c>
      <c r="P842" s="35">
        <f t="shared" si="79"/>
        <v>2269.91</v>
      </c>
      <c r="Q842" s="36">
        <f t="shared" si="80"/>
        <v>7.3003400000000003</v>
      </c>
      <c r="R842" s="36">
        <f t="shared" si="81"/>
        <v>12.4373</v>
      </c>
      <c r="S842" s="37">
        <f t="shared" si="82"/>
        <v>310.93</v>
      </c>
      <c r="T842" s="36" t="s">
        <v>349</v>
      </c>
      <c r="U842" s="31" t="s">
        <v>315</v>
      </c>
      <c r="V842" s="57">
        <v>7.1692999999999998</v>
      </c>
      <c r="W842" s="38">
        <f t="shared" si="83"/>
        <v>316.61563890477453</v>
      </c>
    </row>
    <row r="843" spans="1:23">
      <c r="A843" s="31" t="s">
        <v>2127</v>
      </c>
      <c r="B843" s="32">
        <v>45712</v>
      </c>
      <c r="C843" s="32">
        <v>45671</v>
      </c>
      <c r="D843" s="31" t="s">
        <v>311</v>
      </c>
      <c r="E843" s="31" t="s">
        <v>312</v>
      </c>
      <c r="G843" s="31" t="s">
        <v>2235</v>
      </c>
      <c r="H843" s="31" t="s">
        <v>662</v>
      </c>
      <c r="I843" s="31" t="s">
        <v>663</v>
      </c>
      <c r="J843" s="34" t="str">
        <f t="shared" si="78"/>
        <v>INM-</v>
      </c>
      <c r="K843" s="31" t="s">
        <v>10</v>
      </c>
      <c r="L843" s="53">
        <v>75</v>
      </c>
      <c r="M843" s="31" t="s">
        <v>186</v>
      </c>
      <c r="N843" s="31" t="s">
        <v>11</v>
      </c>
      <c r="O843" s="53">
        <v>92.743399999999994</v>
      </c>
      <c r="P843" s="35">
        <f t="shared" si="79"/>
        <v>6955.76</v>
      </c>
      <c r="Q843" s="36">
        <f t="shared" si="80"/>
        <v>7.3003400000000003</v>
      </c>
      <c r="R843" s="36">
        <f t="shared" si="81"/>
        <v>12.704000000000001</v>
      </c>
      <c r="S843" s="37">
        <f t="shared" si="82"/>
        <v>952.8</v>
      </c>
      <c r="T843" s="36" t="s">
        <v>349</v>
      </c>
      <c r="U843" s="31" t="s">
        <v>327</v>
      </c>
      <c r="V843" s="57">
        <v>7.1692999999999998</v>
      </c>
      <c r="W843" s="38">
        <f t="shared" si="83"/>
        <v>970.21396789086793</v>
      </c>
    </row>
    <row r="844" spans="1:23">
      <c r="A844" s="31" t="s">
        <v>2128</v>
      </c>
      <c r="B844" s="32">
        <v>45712</v>
      </c>
      <c r="C844" s="32">
        <v>45678</v>
      </c>
      <c r="D844" s="31" t="s">
        <v>311</v>
      </c>
      <c r="E844" s="31" t="s">
        <v>312</v>
      </c>
      <c r="G844" s="31" t="s">
        <v>2239</v>
      </c>
      <c r="H844" s="31" t="s">
        <v>662</v>
      </c>
      <c r="I844" s="31" t="s">
        <v>663</v>
      </c>
      <c r="J844" s="34" t="str">
        <f t="shared" si="78"/>
        <v>INM-</v>
      </c>
      <c r="K844" s="31" t="s">
        <v>10</v>
      </c>
      <c r="L844" s="53">
        <v>25</v>
      </c>
      <c r="M844" s="31" t="s">
        <v>186</v>
      </c>
      <c r="N844" s="31" t="s">
        <v>11</v>
      </c>
      <c r="O844" s="53">
        <v>92.743399999999994</v>
      </c>
      <c r="P844" s="35">
        <f t="shared" si="79"/>
        <v>2318.59</v>
      </c>
      <c r="Q844" s="36">
        <f t="shared" si="80"/>
        <v>7.3003400000000003</v>
      </c>
      <c r="R844" s="36">
        <f t="shared" si="81"/>
        <v>12.704000000000001</v>
      </c>
      <c r="S844" s="37">
        <f t="shared" si="82"/>
        <v>317.60000000000002</v>
      </c>
      <c r="T844" s="36" t="s">
        <v>349</v>
      </c>
      <c r="U844" s="31" t="s">
        <v>327</v>
      </c>
      <c r="V844" s="57">
        <v>7.1692999999999998</v>
      </c>
      <c r="W844" s="38">
        <f t="shared" si="83"/>
        <v>323.40465596362264</v>
      </c>
    </row>
    <row r="845" spans="1:23">
      <c r="A845" s="31" t="s">
        <v>2129</v>
      </c>
      <c r="B845" s="32">
        <v>45712</v>
      </c>
      <c r="C845" s="32">
        <v>45695</v>
      </c>
      <c r="D845" s="31" t="s">
        <v>311</v>
      </c>
      <c r="E845" s="31" t="s">
        <v>312</v>
      </c>
      <c r="G845" s="31" t="s">
        <v>2240</v>
      </c>
      <c r="H845" s="31" t="s">
        <v>662</v>
      </c>
      <c r="I845" s="31" t="s">
        <v>663</v>
      </c>
      <c r="J845" s="34" t="str">
        <f t="shared" si="78"/>
        <v>INM-</v>
      </c>
      <c r="K845" s="31" t="s">
        <v>10</v>
      </c>
      <c r="L845" s="53">
        <v>100</v>
      </c>
      <c r="M845" s="31" t="s">
        <v>186</v>
      </c>
      <c r="N845" s="31" t="s">
        <v>11</v>
      </c>
      <c r="O845" s="53">
        <v>92.743399999999994</v>
      </c>
      <c r="P845" s="35">
        <f t="shared" si="79"/>
        <v>9274.34</v>
      </c>
      <c r="Q845" s="36">
        <f t="shared" si="80"/>
        <v>7.3003400000000003</v>
      </c>
      <c r="R845" s="36">
        <f t="shared" si="81"/>
        <v>12.704000000000001</v>
      </c>
      <c r="S845" s="37">
        <f t="shared" si="82"/>
        <v>1270.4000000000001</v>
      </c>
      <c r="T845" s="36" t="s">
        <v>349</v>
      </c>
      <c r="U845" s="31" t="s">
        <v>327</v>
      </c>
      <c r="V845" s="57">
        <v>7.1692999999999998</v>
      </c>
      <c r="W845" s="38">
        <f t="shared" si="83"/>
        <v>1293.6186238544906</v>
      </c>
    </row>
    <row r="846" spans="1:23">
      <c r="A846" s="31" t="s">
        <v>2130</v>
      </c>
      <c r="B846" s="32">
        <v>45712</v>
      </c>
      <c r="C846" s="32">
        <v>45699</v>
      </c>
      <c r="D846" s="31" t="s">
        <v>311</v>
      </c>
      <c r="E846" s="31" t="s">
        <v>312</v>
      </c>
      <c r="G846" s="31" t="s">
        <v>2236</v>
      </c>
      <c r="H846" s="31" t="s">
        <v>662</v>
      </c>
      <c r="I846" s="31" t="s">
        <v>663</v>
      </c>
      <c r="J846" s="34" t="str">
        <f t="shared" si="78"/>
        <v>INM-</v>
      </c>
      <c r="K846" s="31" t="s">
        <v>10</v>
      </c>
      <c r="L846" s="53">
        <v>100</v>
      </c>
      <c r="M846" s="31" t="s">
        <v>186</v>
      </c>
      <c r="N846" s="31" t="s">
        <v>11</v>
      </c>
      <c r="O846" s="53">
        <v>92.743399999999994</v>
      </c>
      <c r="P846" s="35">
        <f t="shared" si="79"/>
        <v>9274.34</v>
      </c>
      <c r="Q846" s="36">
        <f t="shared" si="80"/>
        <v>7.3003400000000003</v>
      </c>
      <c r="R846" s="36">
        <f t="shared" si="81"/>
        <v>12.704000000000001</v>
      </c>
      <c r="S846" s="37">
        <f t="shared" si="82"/>
        <v>1270.4000000000001</v>
      </c>
      <c r="T846" s="36" t="s">
        <v>349</v>
      </c>
      <c r="U846" s="31" t="s">
        <v>327</v>
      </c>
      <c r="V846" s="57">
        <v>7.1692999999999998</v>
      </c>
      <c r="W846" s="38">
        <f t="shared" si="83"/>
        <v>1293.6186238544906</v>
      </c>
    </row>
    <row r="847" spans="1:23">
      <c r="A847" s="31" t="s">
        <v>2131</v>
      </c>
      <c r="B847" s="32">
        <v>45701</v>
      </c>
      <c r="C847" s="32">
        <v>45630</v>
      </c>
      <c r="D847" s="31" t="s">
        <v>311</v>
      </c>
      <c r="E847" s="31" t="s">
        <v>312</v>
      </c>
      <c r="G847" s="31" t="s">
        <v>2241</v>
      </c>
      <c r="H847" s="31" t="s">
        <v>1825</v>
      </c>
      <c r="I847" s="31" t="s">
        <v>1826</v>
      </c>
      <c r="J847" s="34" t="str">
        <f t="shared" si="78"/>
        <v>EXM-</v>
      </c>
      <c r="K847" s="31" t="s">
        <v>10</v>
      </c>
      <c r="L847" s="53">
        <v>50</v>
      </c>
      <c r="M847" s="31" t="s">
        <v>186</v>
      </c>
      <c r="N847" s="31" t="s">
        <v>11</v>
      </c>
      <c r="O847" s="53">
        <v>108.3186</v>
      </c>
      <c r="P847" s="35">
        <f t="shared" si="79"/>
        <v>5415.93</v>
      </c>
      <c r="Q847" s="36">
        <f t="shared" si="80"/>
        <v>7.3003400000000003</v>
      </c>
      <c r="R847" s="36">
        <f t="shared" si="81"/>
        <v>14.8375</v>
      </c>
      <c r="S847" s="37">
        <f t="shared" si="82"/>
        <v>741.88</v>
      </c>
      <c r="T847" s="36" t="s">
        <v>349</v>
      </c>
      <c r="U847" s="31" t="s">
        <v>315</v>
      </c>
      <c r="V847" s="57">
        <v>7.1692999999999998</v>
      </c>
      <c r="W847" s="38">
        <f t="shared" si="83"/>
        <v>755.43358486881573</v>
      </c>
    </row>
    <row r="848" spans="1:23">
      <c r="A848" s="31" t="s">
        <v>2132</v>
      </c>
      <c r="B848" s="32">
        <v>45701</v>
      </c>
      <c r="C848" s="32">
        <v>45657</v>
      </c>
      <c r="D848" s="31" t="s">
        <v>311</v>
      </c>
      <c r="E848" s="31" t="s">
        <v>312</v>
      </c>
      <c r="G848" s="31" t="s">
        <v>2242</v>
      </c>
      <c r="H848" s="31" t="s">
        <v>1825</v>
      </c>
      <c r="I848" s="31" t="s">
        <v>1826</v>
      </c>
      <c r="J848" s="34" t="str">
        <f t="shared" si="78"/>
        <v>EXM-</v>
      </c>
      <c r="K848" s="31" t="s">
        <v>10</v>
      </c>
      <c r="L848" s="53">
        <v>25</v>
      </c>
      <c r="M848" s="31" t="s">
        <v>186</v>
      </c>
      <c r="N848" s="31" t="s">
        <v>11</v>
      </c>
      <c r="O848" s="53">
        <v>108.3186</v>
      </c>
      <c r="P848" s="35">
        <f t="shared" si="79"/>
        <v>2707.97</v>
      </c>
      <c r="Q848" s="36">
        <f t="shared" si="80"/>
        <v>7.3003400000000003</v>
      </c>
      <c r="R848" s="36">
        <f t="shared" si="81"/>
        <v>14.8375</v>
      </c>
      <c r="S848" s="37">
        <f t="shared" si="82"/>
        <v>370.94</v>
      </c>
      <c r="T848" s="36" t="s">
        <v>349</v>
      </c>
      <c r="U848" s="31" t="s">
        <v>315</v>
      </c>
      <c r="V848" s="57">
        <v>7.1692999999999998</v>
      </c>
      <c r="W848" s="38">
        <f t="shared" si="83"/>
        <v>377.71679243440786</v>
      </c>
    </row>
    <row r="849" spans="1:23">
      <c r="A849" s="31" t="s">
        <v>2133</v>
      </c>
      <c r="B849" s="32">
        <v>45701</v>
      </c>
      <c r="C849" s="32">
        <v>45672</v>
      </c>
      <c r="D849" s="31" t="s">
        <v>311</v>
      </c>
      <c r="E849" s="31" t="s">
        <v>312</v>
      </c>
      <c r="G849" s="31" t="s">
        <v>2243</v>
      </c>
      <c r="H849" s="31" t="s">
        <v>1825</v>
      </c>
      <c r="I849" s="31" t="s">
        <v>1826</v>
      </c>
      <c r="J849" s="34" t="str">
        <f t="shared" si="78"/>
        <v>EXM-</v>
      </c>
      <c r="K849" s="31" t="s">
        <v>10</v>
      </c>
      <c r="L849" s="53">
        <v>25</v>
      </c>
      <c r="M849" s="31" t="s">
        <v>186</v>
      </c>
      <c r="N849" s="31" t="s">
        <v>11</v>
      </c>
      <c r="O849" s="53">
        <v>108.3186</v>
      </c>
      <c r="P849" s="35">
        <f t="shared" si="79"/>
        <v>2707.97</v>
      </c>
      <c r="Q849" s="36">
        <f t="shared" si="80"/>
        <v>7.3003400000000003</v>
      </c>
      <c r="R849" s="36">
        <f t="shared" si="81"/>
        <v>14.8375</v>
      </c>
      <c r="S849" s="37">
        <f t="shared" si="82"/>
        <v>370.94</v>
      </c>
      <c r="T849" s="36" t="s">
        <v>349</v>
      </c>
      <c r="U849" s="31" t="s">
        <v>315</v>
      </c>
      <c r="V849" s="57">
        <v>7.1692999999999998</v>
      </c>
      <c r="W849" s="38">
        <f t="shared" si="83"/>
        <v>377.71679243440786</v>
      </c>
    </row>
    <row r="850" spans="1:23">
      <c r="A850" s="31" t="s">
        <v>2134</v>
      </c>
      <c r="B850" s="32">
        <v>45701</v>
      </c>
      <c r="C850" s="32">
        <v>45672</v>
      </c>
      <c r="D850" s="31" t="s">
        <v>311</v>
      </c>
      <c r="E850" s="31" t="s">
        <v>312</v>
      </c>
      <c r="G850" s="31" t="s">
        <v>2243</v>
      </c>
      <c r="H850" s="31" t="s">
        <v>1827</v>
      </c>
      <c r="I850" s="31" t="s">
        <v>1828</v>
      </c>
      <c r="J850" s="34" t="str">
        <f t="shared" si="78"/>
        <v>EXM-</v>
      </c>
      <c r="K850" s="31" t="s">
        <v>10</v>
      </c>
      <c r="L850" s="53">
        <v>25</v>
      </c>
      <c r="M850" s="31" t="s">
        <v>186</v>
      </c>
      <c r="N850" s="31" t="s">
        <v>11</v>
      </c>
      <c r="O850" s="53">
        <v>110.6195</v>
      </c>
      <c r="P850" s="35">
        <f t="shared" si="79"/>
        <v>2765.49</v>
      </c>
      <c r="Q850" s="36">
        <f t="shared" si="80"/>
        <v>7.3003400000000003</v>
      </c>
      <c r="R850" s="36">
        <f t="shared" si="81"/>
        <v>15.152699999999999</v>
      </c>
      <c r="S850" s="37">
        <f t="shared" si="82"/>
        <v>378.82</v>
      </c>
      <c r="T850" s="36" t="s">
        <v>349</v>
      </c>
      <c r="U850" s="31" t="s">
        <v>315</v>
      </c>
      <c r="V850" s="57">
        <v>7.1692999999999998</v>
      </c>
      <c r="W850" s="38">
        <f t="shared" si="83"/>
        <v>385.74023963287914</v>
      </c>
    </row>
    <row r="851" spans="1:23">
      <c r="A851" s="31" t="s">
        <v>2135</v>
      </c>
      <c r="B851" s="32">
        <v>45701</v>
      </c>
      <c r="C851" s="32">
        <v>45672</v>
      </c>
      <c r="D851" s="31" t="s">
        <v>311</v>
      </c>
      <c r="E851" s="31" t="s">
        <v>312</v>
      </c>
      <c r="G851" s="31" t="s">
        <v>2243</v>
      </c>
      <c r="H851" s="31" t="s">
        <v>320</v>
      </c>
      <c r="I851" s="31" t="s">
        <v>321</v>
      </c>
      <c r="J851" s="34" t="str">
        <f t="shared" si="78"/>
        <v>EXM-</v>
      </c>
      <c r="K851" s="31" t="s">
        <v>10</v>
      </c>
      <c r="L851" s="53">
        <v>25</v>
      </c>
      <c r="M851" s="31" t="s">
        <v>186</v>
      </c>
      <c r="N851" s="31" t="s">
        <v>11</v>
      </c>
      <c r="O851" s="53">
        <v>110.6195</v>
      </c>
      <c r="P851" s="35">
        <f t="shared" si="79"/>
        <v>2765.49</v>
      </c>
      <c r="Q851" s="36">
        <f t="shared" si="80"/>
        <v>7.3003400000000003</v>
      </c>
      <c r="R851" s="36">
        <f t="shared" si="81"/>
        <v>15.152699999999999</v>
      </c>
      <c r="S851" s="37">
        <f t="shared" si="82"/>
        <v>378.82</v>
      </c>
      <c r="T851" s="36" t="s">
        <v>349</v>
      </c>
      <c r="U851" s="31" t="s">
        <v>315</v>
      </c>
      <c r="V851" s="57">
        <v>7.1692999999999998</v>
      </c>
      <c r="W851" s="38">
        <f t="shared" si="83"/>
        <v>385.74023963287914</v>
      </c>
    </row>
    <row r="852" spans="1:23">
      <c r="A852" s="31" t="s">
        <v>2136</v>
      </c>
      <c r="B852" s="32">
        <v>45712</v>
      </c>
      <c r="C852" s="32">
        <v>45678</v>
      </c>
      <c r="D852" s="31" t="s">
        <v>311</v>
      </c>
      <c r="E852" s="31" t="s">
        <v>312</v>
      </c>
      <c r="G852" s="31" t="s">
        <v>2244</v>
      </c>
      <c r="H852" s="31" t="s">
        <v>316</v>
      </c>
      <c r="I852" s="31" t="s">
        <v>317</v>
      </c>
      <c r="J852" s="34" t="str">
        <f t="shared" si="78"/>
        <v>EXM-</v>
      </c>
      <c r="K852" s="31" t="s">
        <v>10</v>
      </c>
      <c r="L852" s="53">
        <v>75</v>
      </c>
      <c r="M852" s="31" t="s">
        <v>186</v>
      </c>
      <c r="N852" s="31" t="s">
        <v>11</v>
      </c>
      <c r="O852" s="53">
        <v>117.3451</v>
      </c>
      <c r="P852" s="35">
        <f t="shared" si="79"/>
        <v>8800.8799999999992</v>
      </c>
      <c r="Q852" s="36">
        <f t="shared" si="80"/>
        <v>7.3003400000000003</v>
      </c>
      <c r="R852" s="36">
        <f t="shared" si="81"/>
        <v>16.073899999999998</v>
      </c>
      <c r="S852" s="37">
        <f t="shared" si="82"/>
        <v>1205.54</v>
      </c>
      <c r="T852" s="36" t="s">
        <v>349</v>
      </c>
      <c r="U852" s="31" t="s">
        <v>315</v>
      </c>
      <c r="V852" s="57">
        <v>7.1692999999999998</v>
      </c>
      <c r="W852" s="38">
        <f t="shared" si="83"/>
        <v>1227.5790523482069</v>
      </c>
    </row>
    <row r="853" spans="1:23">
      <c r="A853" t="s">
        <v>2013</v>
      </c>
      <c r="B853" s="20">
        <v>45719</v>
      </c>
      <c r="C853" s="20">
        <v>45576</v>
      </c>
      <c r="D853" t="s">
        <v>94</v>
      </c>
      <c r="E853" t="s">
        <v>95</v>
      </c>
      <c r="F853" s="19"/>
      <c r="G853" t="s">
        <v>2847</v>
      </c>
      <c r="H853" t="s">
        <v>1728</v>
      </c>
      <c r="I853" t="s">
        <v>1729</v>
      </c>
      <c r="J853" s="8" t="str">
        <f t="shared" ref="J853:J916" si="84">+LEFT(U853,4)</f>
        <v>LID-</v>
      </c>
      <c r="K853" t="s">
        <v>98</v>
      </c>
      <c r="L853" s="54">
        <v>755</v>
      </c>
      <c r="M853" t="s">
        <v>1472</v>
      </c>
      <c r="N853" t="s">
        <v>11</v>
      </c>
      <c r="O853" s="54">
        <v>3.3</v>
      </c>
      <c r="P853" s="35">
        <f t="shared" si="79"/>
        <v>2491.5</v>
      </c>
      <c r="Q853" s="10">
        <f t="shared" ref="Q853:Q916" si="85">IF(N853="HKD",7.8,IF(N853="CNY",7.30034,1))</f>
        <v>7.3003400000000003</v>
      </c>
      <c r="R853" s="10">
        <f t="shared" ref="R853:R916" si="86">+ROUND(O853/Q853,4)</f>
        <v>0.45200000000000001</v>
      </c>
      <c r="S853" s="11">
        <f t="shared" ref="S853:S916" si="87">ROUND(R853*L853,2)</f>
        <v>341.26</v>
      </c>
      <c r="T853" s="10" t="s">
        <v>349</v>
      </c>
      <c r="U853" t="s">
        <v>368</v>
      </c>
      <c r="V853" s="58">
        <v>7.1775000000000002</v>
      </c>
      <c r="W853" s="38">
        <f t="shared" si="83"/>
        <v>347.12643678160913</v>
      </c>
    </row>
    <row r="854" spans="1:23">
      <c r="A854" t="s">
        <v>2280</v>
      </c>
      <c r="B854" s="20">
        <v>45719</v>
      </c>
      <c r="C854" s="20">
        <v>45576</v>
      </c>
      <c r="D854" t="s">
        <v>94</v>
      </c>
      <c r="E854" t="s">
        <v>95</v>
      </c>
      <c r="F854" s="19"/>
      <c r="G854" t="s">
        <v>2847</v>
      </c>
      <c r="H854" t="s">
        <v>3061</v>
      </c>
      <c r="I854" t="s">
        <v>3277</v>
      </c>
      <c r="J854" s="8" t="str">
        <f t="shared" si="84"/>
        <v>LID-</v>
      </c>
      <c r="K854" t="s">
        <v>98</v>
      </c>
      <c r="L854" s="54">
        <v>1420</v>
      </c>
      <c r="M854" t="s">
        <v>1472</v>
      </c>
      <c r="N854" t="s">
        <v>11</v>
      </c>
      <c r="O854" s="54">
        <v>3.4</v>
      </c>
      <c r="P854" s="35">
        <f t="shared" si="79"/>
        <v>4828</v>
      </c>
      <c r="Q854" s="10">
        <f t="shared" si="85"/>
        <v>7.3003400000000003</v>
      </c>
      <c r="R854" s="10">
        <f t="shared" si="86"/>
        <v>0.4657</v>
      </c>
      <c r="S854" s="11">
        <f t="shared" si="87"/>
        <v>661.29</v>
      </c>
      <c r="T854" s="10" t="s">
        <v>349</v>
      </c>
      <c r="U854" t="s">
        <v>368</v>
      </c>
      <c r="V854" s="58">
        <v>7.1775000000000002</v>
      </c>
      <c r="W854" s="38">
        <f t="shared" si="83"/>
        <v>672.65761058864507</v>
      </c>
    </row>
    <row r="855" spans="1:23">
      <c r="A855" t="s">
        <v>2285</v>
      </c>
      <c r="B855" s="20">
        <v>45719</v>
      </c>
      <c r="C855" s="20">
        <v>45611</v>
      </c>
      <c r="D855" t="s">
        <v>94</v>
      </c>
      <c r="E855" t="s">
        <v>95</v>
      </c>
      <c r="F855" s="19"/>
      <c r="G855" t="s">
        <v>2847</v>
      </c>
      <c r="H855" t="s">
        <v>3062</v>
      </c>
      <c r="I855" t="s">
        <v>3278</v>
      </c>
      <c r="J855" s="8" t="str">
        <f t="shared" si="84"/>
        <v>LID-</v>
      </c>
      <c r="K855" t="s">
        <v>98</v>
      </c>
      <c r="L855" s="54">
        <v>1010</v>
      </c>
      <c r="M855" t="s">
        <v>1472</v>
      </c>
      <c r="N855" t="s">
        <v>11</v>
      </c>
      <c r="O855" s="54">
        <v>3.5</v>
      </c>
      <c r="P855" s="35">
        <f t="shared" si="79"/>
        <v>3535</v>
      </c>
      <c r="Q855" s="10">
        <f t="shared" si="85"/>
        <v>7.3003400000000003</v>
      </c>
      <c r="R855" s="10">
        <f t="shared" si="86"/>
        <v>0.47939999999999999</v>
      </c>
      <c r="S855" s="11">
        <f t="shared" si="87"/>
        <v>484.19</v>
      </c>
      <c r="T855" s="10" t="s">
        <v>349</v>
      </c>
      <c r="U855" t="s">
        <v>368</v>
      </c>
      <c r="V855" s="58">
        <v>7.1775000000000002</v>
      </c>
      <c r="W855" s="38">
        <f t="shared" si="83"/>
        <v>492.51132009752695</v>
      </c>
    </row>
    <row r="856" spans="1:23">
      <c r="A856" t="s">
        <v>2290</v>
      </c>
      <c r="B856" s="20">
        <v>45719</v>
      </c>
      <c r="C856" s="20">
        <v>45630</v>
      </c>
      <c r="D856" t="s">
        <v>94</v>
      </c>
      <c r="E856" t="s">
        <v>95</v>
      </c>
      <c r="F856" s="19"/>
      <c r="G856" t="s">
        <v>2855</v>
      </c>
      <c r="H856" t="s">
        <v>92</v>
      </c>
      <c r="I856" t="s">
        <v>93</v>
      </c>
      <c r="J856" s="8" t="str">
        <f t="shared" si="84"/>
        <v>SKU-</v>
      </c>
      <c r="K856" t="s">
        <v>98</v>
      </c>
      <c r="L856" s="54">
        <v>2500</v>
      </c>
      <c r="M856" t="s">
        <v>1472</v>
      </c>
      <c r="N856" t="s">
        <v>11</v>
      </c>
      <c r="O856" s="54">
        <v>6.298</v>
      </c>
      <c r="P856" s="35">
        <f t="shared" si="79"/>
        <v>15745</v>
      </c>
      <c r="Q856" s="10">
        <f t="shared" si="85"/>
        <v>7.3003400000000003</v>
      </c>
      <c r="R856" s="10">
        <f t="shared" si="86"/>
        <v>0.86270000000000002</v>
      </c>
      <c r="S856" s="11">
        <f t="shared" si="87"/>
        <v>2156.75</v>
      </c>
      <c r="T856" s="10" t="s">
        <v>349</v>
      </c>
      <c r="U856" t="s">
        <v>2</v>
      </c>
      <c r="V856" s="58">
        <v>7.1775000000000002</v>
      </c>
      <c r="W856" s="38">
        <f t="shared" si="83"/>
        <v>2193.6607453848833</v>
      </c>
    </row>
    <row r="857" spans="1:23">
      <c r="A857" t="s">
        <v>2064</v>
      </c>
      <c r="B857" s="20">
        <v>45719</v>
      </c>
      <c r="C857" s="20">
        <v>45630</v>
      </c>
      <c r="D857" t="s">
        <v>830</v>
      </c>
      <c r="E857" t="s">
        <v>831</v>
      </c>
      <c r="F857" s="19"/>
      <c r="G857" t="s">
        <v>2857</v>
      </c>
      <c r="H857" t="s">
        <v>828</v>
      </c>
      <c r="I857" t="s">
        <v>829</v>
      </c>
      <c r="J857" s="8" t="str">
        <f t="shared" si="84"/>
        <v>SKU-</v>
      </c>
      <c r="K857" t="s">
        <v>98</v>
      </c>
      <c r="L857" s="54">
        <v>200</v>
      </c>
      <c r="M857" t="s">
        <v>1472</v>
      </c>
      <c r="N857" t="s">
        <v>11</v>
      </c>
      <c r="O857" s="54">
        <v>5.0862999999999996</v>
      </c>
      <c r="P857" s="35">
        <f t="shared" si="79"/>
        <v>1017.26</v>
      </c>
      <c r="Q857" s="10">
        <f t="shared" si="85"/>
        <v>7.3003400000000003</v>
      </c>
      <c r="R857" s="10">
        <f t="shared" si="86"/>
        <v>0.69669999999999999</v>
      </c>
      <c r="S857" s="11">
        <f t="shared" si="87"/>
        <v>139.34</v>
      </c>
      <c r="T857" s="10" t="s">
        <v>349</v>
      </c>
      <c r="U857" t="s">
        <v>2</v>
      </c>
      <c r="V857" s="58">
        <v>7.1775000000000002</v>
      </c>
      <c r="W857" s="38">
        <f t="shared" si="83"/>
        <v>141.7290142807384</v>
      </c>
    </row>
    <row r="858" spans="1:23">
      <c r="A858" t="s">
        <v>2293</v>
      </c>
      <c r="B858" s="20">
        <v>45719</v>
      </c>
      <c r="C858" s="20">
        <v>45643</v>
      </c>
      <c r="D858" t="s">
        <v>169</v>
      </c>
      <c r="E858" t="s">
        <v>170</v>
      </c>
      <c r="F858" s="19"/>
      <c r="G858" t="s">
        <v>2861</v>
      </c>
      <c r="H858" t="s">
        <v>3067</v>
      </c>
      <c r="I858" t="s">
        <v>3283</v>
      </c>
      <c r="J858" s="8" t="str">
        <f t="shared" si="84"/>
        <v>STKR</v>
      </c>
      <c r="K858" t="s">
        <v>10</v>
      </c>
      <c r="L858" s="54">
        <v>1600</v>
      </c>
      <c r="M858" t="s">
        <v>1472</v>
      </c>
      <c r="N858" t="s">
        <v>11</v>
      </c>
      <c r="O858" s="54">
        <v>4.2000000000000003E-2</v>
      </c>
      <c r="P858" s="35">
        <f t="shared" si="79"/>
        <v>67.2</v>
      </c>
      <c r="Q858" s="10">
        <f t="shared" si="85"/>
        <v>7.3003400000000003</v>
      </c>
      <c r="R858" s="10">
        <f t="shared" si="86"/>
        <v>5.7999999999999996E-3</v>
      </c>
      <c r="S858" s="11">
        <f t="shared" si="87"/>
        <v>9.2799999999999994</v>
      </c>
      <c r="T858" s="10" t="s">
        <v>349</v>
      </c>
      <c r="U858" t="s">
        <v>18</v>
      </c>
      <c r="V858" s="58">
        <v>7.1775000000000002</v>
      </c>
      <c r="W858" s="38">
        <f t="shared" si="83"/>
        <v>9.3625914315569485</v>
      </c>
    </row>
    <row r="859" spans="1:23">
      <c r="A859" t="s">
        <v>2294</v>
      </c>
      <c r="B859" s="20">
        <v>45719</v>
      </c>
      <c r="C859" s="20">
        <v>45643</v>
      </c>
      <c r="D859" t="s">
        <v>169</v>
      </c>
      <c r="E859" t="s">
        <v>170</v>
      </c>
      <c r="F859" s="19"/>
      <c r="G859" t="s">
        <v>2861</v>
      </c>
      <c r="H859" t="s">
        <v>3067</v>
      </c>
      <c r="I859" t="s">
        <v>3283</v>
      </c>
      <c r="J859" s="8" t="str">
        <f t="shared" si="84"/>
        <v>STKR</v>
      </c>
      <c r="K859" t="s">
        <v>10</v>
      </c>
      <c r="L859" s="54">
        <v>30</v>
      </c>
      <c r="M859" t="s">
        <v>1472</v>
      </c>
      <c r="N859" t="s">
        <v>11</v>
      </c>
      <c r="O859" s="54">
        <v>4.2000000000000003E-2</v>
      </c>
      <c r="P859" s="35">
        <f t="shared" si="79"/>
        <v>1.26</v>
      </c>
      <c r="Q859" s="10">
        <f t="shared" si="85"/>
        <v>7.3003400000000003</v>
      </c>
      <c r="R859" s="10">
        <f t="shared" si="86"/>
        <v>5.7999999999999996E-3</v>
      </c>
      <c r="S859" s="11">
        <f t="shared" si="87"/>
        <v>0.17</v>
      </c>
      <c r="T859" s="10" t="s">
        <v>349</v>
      </c>
      <c r="U859" t="s">
        <v>18</v>
      </c>
      <c r="V859" s="58">
        <v>7.1775000000000002</v>
      </c>
      <c r="W859" s="38">
        <f t="shared" si="83"/>
        <v>0.17554858934169279</v>
      </c>
    </row>
    <row r="860" spans="1:23">
      <c r="A860" t="s">
        <v>2296</v>
      </c>
      <c r="B860" s="20">
        <v>45719</v>
      </c>
      <c r="C860" s="20">
        <v>45646</v>
      </c>
      <c r="D860" t="s">
        <v>94</v>
      </c>
      <c r="E860" t="s">
        <v>95</v>
      </c>
      <c r="F860" s="19"/>
      <c r="G860" t="s">
        <v>2855</v>
      </c>
      <c r="H860" t="s">
        <v>92</v>
      </c>
      <c r="I860" t="s">
        <v>93</v>
      </c>
      <c r="J860" s="8" t="str">
        <f t="shared" si="84"/>
        <v>SKU-</v>
      </c>
      <c r="K860" t="s">
        <v>98</v>
      </c>
      <c r="L860" s="54">
        <v>2000</v>
      </c>
      <c r="M860" t="s">
        <v>1472</v>
      </c>
      <c r="N860" t="s">
        <v>11</v>
      </c>
      <c r="O860" s="54">
        <v>6.298</v>
      </c>
      <c r="P860" s="35">
        <f t="shared" si="79"/>
        <v>12596</v>
      </c>
      <c r="Q860" s="10">
        <f t="shared" si="85"/>
        <v>7.3003400000000003</v>
      </c>
      <c r="R860" s="10">
        <f t="shared" si="86"/>
        <v>0.86270000000000002</v>
      </c>
      <c r="S860" s="11">
        <f t="shared" si="87"/>
        <v>1725.4</v>
      </c>
      <c r="T860" s="10" t="s">
        <v>349</v>
      </c>
      <c r="U860" t="s">
        <v>2</v>
      </c>
      <c r="V860" s="58">
        <v>7.1775000000000002</v>
      </c>
      <c r="W860" s="38">
        <f t="shared" si="83"/>
        <v>1754.9285963079067</v>
      </c>
    </row>
    <row r="861" spans="1:23">
      <c r="A861" t="s">
        <v>2298</v>
      </c>
      <c r="B861" s="20">
        <v>45719</v>
      </c>
      <c r="C861" s="20">
        <v>45646</v>
      </c>
      <c r="D861" t="s">
        <v>830</v>
      </c>
      <c r="E861" t="s">
        <v>831</v>
      </c>
      <c r="F861" s="19"/>
      <c r="G861" t="s">
        <v>2857</v>
      </c>
      <c r="H861" t="s">
        <v>828</v>
      </c>
      <c r="I861" t="s">
        <v>829</v>
      </c>
      <c r="J861" s="8" t="str">
        <f t="shared" si="84"/>
        <v>SKU-</v>
      </c>
      <c r="K861" t="s">
        <v>98</v>
      </c>
      <c r="L861" s="54">
        <v>3500</v>
      </c>
      <c r="M861" t="s">
        <v>1472</v>
      </c>
      <c r="N861" t="s">
        <v>11</v>
      </c>
      <c r="O861" s="54">
        <v>5.0862999999999996</v>
      </c>
      <c r="P861" s="35">
        <f t="shared" si="79"/>
        <v>17802.05</v>
      </c>
      <c r="Q861" s="10">
        <f t="shared" si="85"/>
        <v>7.3003400000000003</v>
      </c>
      <c r="R861" s="10">
        <f t="shared" si="86"/>
        <v>0.69669999999999999</v>
      </c>
      <c r="S861" s="11">
        <f t="shared" si="87"/>
        <v>2438.4499999999998</v>
      </c>
      <c r="T861" s="10" t="s">
        <v>349</v>
      </c>
      <c r="U861" t="s">
        <v>2</v>
      </c>
      <c r="V861" s="58">
        <v>7.1775000000000002</v>
      </c>
      <c r="W861" s="38">
        <f t="shared" si="83"/>
        <v>2480.257749912922</v>
      </c>
    </row>
    <row r="862" spans="1:23">
      <c r="A862" t="s">
        <v>2054</v>
      </c>
      <c r="B862" s="20">
        <v>45719</v>
      </c>
      <c r="C862" s="20">
        <v>45656</v>
      </c>
      <c r="D862" t="s">
        <v>128</v>
      </c>
      <c r="E862" t="s">
        <v>129</v>
      </c>
      <c r="F862" s="19"/>
      <c r="G862" t="s">
        <v>2868</v>
      </c>
      <c r="H862" t="s">
        <v>1762</v>
      </c>
      <c r="I862" t="s">
        <v>1763</v>
      </c>
      <c r="J862" s="8" t="str">
        <f t="shared" si="84"/>
        <v>HDL-</v>
      </c>
      <c r="K862" t="s">
        <v>10</v>
      </c>
      <c r="L862" s="54">
        <v>1950</v>
      </c>
      <c r="M862" t="s">
        <v>1472</v>
      </c>
      <c r="N862" t="s">
        <v>11</v>
      </c>
      <c r="O862" s="54">
        <v>4.5491999999999999</v>
      </c>
      <c r="P862" s="35">
        <f t="shared" si="79"/>
        <v>8870.94</v>
      </c>
      <c r="Q862" s="10">
        <f t="shared" si="85"/>
        <v>7.3003400000000003</v>
      </c>
      <c r="R862" s="10">
        <f t="shared" si="86"/>
        <v>0.62309999999999999</v>
      </c>
      <c r="S862" s="11">
        <f t="shared" si="87"/>
        <v>1215.05</v>
      </c>
      <c r="T862" s="10" t="s">
        <v>349</v>
      </c>
      <c r="U862" t="s">
        <v>228</v>
      </c>
      <c r="V862" s="58">
        <v>7.1775000000000002</v>
      </c>
      <c r="W862" s="38">
        <f t="shared" si="83"/>
        <v>1235.937304075235</v>
      </c>
    </row>
    <row r="863" spans="1:23">
      <c r="A863" t="s">
        <v>2301</v>
      </c>
      <c r="B863" s="20">
        <v>45719</v>
      </c>
      <c r="C863" s="20">
        <v>45660</v>
      </c>
      <c r="D863" t="s">
        <v>569</v>
      </c>
      <c r="E863" t="s">
        <v>570</v>
      </c>
      <c r="F863" s="19"/>
      <c r="G863" t="s">
        <v>2870</v>
      </c>
      <c r="H863" t="s">
        <v>1508</v>
      </c>
      <c r="I863" t="s">
        <v>1509</v>
      </c>
      <c r="J863" s="8" t="str">
        <f t="shared" si="84"/>
        <v>ANYD</v>
      </c>
      <c r="K863" t="s">
        <v>10</v>
      </c>
      <c r="L863" s="54">
        <v>1000</v>
      </c>
      <c r="M863" t="s">
        <v>1472</v>
      </c>
      <c r="N863" t="s">
        <v>11</v>
      </c>
      <c r="O863" s="54">
        <v>2.75</v>
      </c>
      <c r="P863" s="35">
        <f t="shared" si="79"/>
        <v>2750</v>
      </c>
      <c r="Q863" s="10">
        <f t="shared" si="85"/>
        <v>7.3003400000000003</v>
      </c>
      <c r="R863" s="10">
        <f t="shared" si="86"/>
        <v>0.37669999999999998</v>
      </c>
      <c r="S863" s="11">
        <f t="shared" si="87"/>
        <v>376.7</v>
      </c>
      <c r="T863" s="10" t="s">
        <v>349</v>
      </c>
      <c r="U863" t="s">
        <v>36</v>
      </c>
      <c r="V863" s="58">
        <v>7.1775000000000002</v>
      </c>
      <c r="W863" s="38">
        <f t="shared" si="83"/>
        <v>383.14176245210729</v>
      </c>
    </row>
    <row r="864" spans="1:23">
      <c r="A864" t="s">
        <v>2302</v>
      </c>
      <c r="B864" s="20">
        <v>45719</v>
      </c>
      <c r="C864" s="20">
        <v>45660</v>
      </c>
      <c r="D864" t="s">
        <v>569</v>
      </c>
      <c r="E864" t="s">
        <v>570</v>
      </c>
      <c r="F864" s="19"/>
      <c r="G864" t="s">
        <v>2870</v>
      </c>
      <c r="H864" t="s">
        <v>1521</v>
      </c>
      <c r="I864" t="s">
        <v>1522</v>
      </c>
      <c r="J864" s="8" t="str">
        <f t="shared" si="84"/>
        <v>ANYD</v>
      </c>
      <c r="K864" t="s">
        <v>10</v>
      </c>
      <c r="L864" s="54">
        <v>1000</v>
      </c>
      <c r="M864" t="s">
        <v>1472</v>
      </c>
      <c r="N864" t="s">
        <v>11</v>
      </c>
      <c r="O864" s="54">
        <v>3.1</v>
      </c>
      <c r="P864" s="35">
        <f t="shared" si="79"/>
        <v>3100</v>
      </c>
      <c r="Q864" s="10">
        <f t="shared" si="85"/>
        <v>7.3003400000000003</v>
      </c>
      <c r="R864" s="10">
        <f t="shared" si="86"/>
        <v>0.42459999999999998</v>
      </c>
      <c r="S864" s="11">
        <f t="shared" si="87"/>
        <v>424.6</v>
      </c>
      <c r="T864" s="10" t="s">
        <v>349</v>
      </c>
      <c r="U864" t="s">
        <v>36</v>
      </c>
      <c r="V864" s="58">
        <v>7.1775000000000002</v>
      </c>
      <c r="W864" s="38">
        <f t="shared" si="83"/>
        <v>431.90525949146638</v>
      </c>
    </row>
    <row r="865" spans="1:23">
      <c r="A865" t="s">
        <v>2308</v>
      </c>
      <c r="B865" s="20">
        <v>45719</v>
      </c>
      <c r="C865" s="20">
        <v>45664</v>
      </c>
      <c r="D865" t="s">
        <v>28</v>
      </c>
      <c r="E865" t="s">
        <v>29</v>
      </c>
      <c r="F865" s="19"/>
      <c r="G865" t="s">
        <v>2874</v>
      </c>
      <c r="H865" t="s">
        <v>3072</v>
      </c>
      <c r="I865" t="s">
        <v>3289</v>
      </c>
      <c r="J865" s="8" t="str">
        <f t="shared" si="84"/>
        <v>LHDL</v>
      </c>
      <c r="K865" t="s">
        <v>10</v>
      </c>
      <c r="L865" s="54">
        <v>1530</v>
      </c>
      <c r="M865" t="s">
        <v>1472</v>
      </c>
      <c r="N865" t="s">
        <v>11</v>
      </c>
      <c r="O865" s="54">
        <v>2.1898</v>
      </c>
      <c r="P865" s="35">
        <f t="shared" si="79"/>
        <v>3350.39</v>
      </c>
      <c r="Q865" s="10">
        <f t="shared" si="85"/>
        <v>7.3003400000000003</v>
      </c>
      <c r="R865" s="10">
        <f t="shared" si="86"/>
        <v>0.3</v>
      </c>
      <c r="S865" s="11">
        <f t="shared" si="87"/>
        <v>459</v>
      </c>
      <c r="T865" s="10" t="s">
        <v>349</v>
      </c>
      <c r="U865" t="s">
        <v>125</v>
      </c>
      <c r="V865" s="58">
        <v>7.1775000000000002</v>
      </c>
      <c r="W865" s="38">
        <f t="shared" si="83"/>
        <v>466.79122257053285</v>
      </c>
    </row>
    <row r="866" spans="1:23">
      <c r="A866" t="s">
        <v>2309</v>
      </c>
      <c r="B866" s="20">
        <v>45719</v>
      </c>
      <c r="C866" s="20">
        <v>45664</v>
      </c>
      <c r="D866" t="s">
        <v>28</v>
      </c>
      <c r="E866" t="s">
        <v>29</v>
      </c>
      <c r="F866" s="19"/>
      <c r="G866" t="s">
        <v>2874</v>
      </c>
      <c r="H866" t="s">
        <v>3073</v>
      </c>
      <c r="I866" t="s">
        <v>948</v>
      </c>
      <c r="J866" s="8" t="str">
        <f t="shared" si="84"/>
        <v>LHDL</v>
      </c>
      <c r="K866" t="s">
        <v>10</v>
      </c>
      <c r="L866" s="54">
        <v>510</v>
      </c>
      <c r="M866" t="s">
        <v>1472</v>
      </c>
      <c r="N866" t="s">
        <v>11</v>
      </c>
      <c r="O866" s="54">
        <v>2.1898</v>
      </c>
      <c r="P866" s="35">
        <f t="shared" si="79"/>
        <v>1116.8</v>
      </c>
      <c r="Q866" s="10">
        <f t="shared" si="85"/>
        <v>7.3003400000000003</v>
      </c>
      <c r="R866" s="10">
        <f t="shared" si="86"/>
        <v>0.3</v>
      </c>
      <c r="S866" s="11">
        <f t="shared" si="87"/>
        <v>153</v>
      </c>
      <c r="T866" s="10" t="s">
        <v>349</v>
      </c>
      <c r="U866" t="s">
        <v>125</v>
      </c>
      <c r="V866" s="58">
        <v>7.1775000000000002</v>
      </c>
      <c r="W866" s="38">
        <f t="shared" si="83"/>
        <v>155.59707419017764</v>
      </c>
    </row>
    <row r="867" spans="1:23">
      <c r="A867" t="s">
        <v>2310</v>
      </c>
      <c r="B867" s="20">
        <v>45719</v>
      </c>
      <c r="C867" s="20">
        <v>45664</v>
      </c>
      <c r="D867" t="s">
        <v>28</v>
      </c>
      <c r="E867" t="s">
        <v>29</v>
      </c>
      <c r="F867" s="19"/>
      <c r="G867" t="s">
        <v>2874</v>
      </c>
      <c r="H867" t="s">
        <v>3074</v>
      </c>
      <c r="I867" t="s">
        <v>3290</v>
      </c>
      <c r="J867" s="8" t="str">
        <f t="shared" si="84"/>
        <v>LHDL</v>
      </c>
      <c r="K867" t="s">
        <v>10</v>
      </c>
      <c r="L867" s="54">
        <v>1530</v>
      </c>
      <c r="M867" t="s">
        <v>1472</v>
      </c>
      <c r="N867" t="s">
        <v>11</v>
      </c>
      <c r="O867" s="54">
        <v>2.1898</v>
      </c>
      <c r="P867" s="35">
        <f t="shared" si="79"/>
        <v>3350.39</v>
      </c>
      <c r="Q867" s="10">
        <f t="shared" si="85"/>
        <v>7.3003400000000003</v>
      </c>
      <c r="R867" s="10">
        <f t="shared" si="86"/>
        <v>0.3</v>
      </c>
      <c r="S867" s="11">
        <f t="shared" si="87"/>
        <v>459</v>
      </c>
      <c r="T867" s="10" t="s">
        <v>349</v>
      </c>
      <c r="U867" t="s">
        <v>125</v>
      </c>
      <c r="V867" s="58">
        <v>7.1775000000000002</v>
      </c>
      <c r="W867" s="38">
        <f t="shared" si="83"/>
        <v>466.79122257053285</v>
      </c>
    </row>
    <row r="868" spans="1:23">
      <c r="A868" t="s">
        <v>2311</v>
      </c>
      <c r="B868" s="20">
        <v>45719</v>
      </c>
      <c r="C868" s="20">
        <v>45664</v>
      </c>
      <c r="D868" t="s">
        <v>28</v>
      </c>
      <c r="E868" t="s">
        <v>29</v>
      </c>
      <c r="F868" s="19"/>
      <c r="G868" t="s">
        <v>2874</v>
      </c>
      <c r="H868" t="s">
        <v>3075</v>
      </c>
      <c r="I868" t="s">
        <v>3291</v>
      </c>
      <c r="J868" s="8" t="str">
        <f t="shared" si="84"/>
        <v>LHDL</v>
      </c>
      <c r="K868" t="s">
        <v>10</v>
      </c>
      <c r="L868" s="54">
        <v>1010</v>
      </c>
      <c r="M868" t="s">
        <v>1472</v>
      </c>
      <c r="N868" t="s">
        <v>11</v>
      </c>
      <c r="O868" s="54">
        <v>2.1898</v>
      </c>
      <c r="P868" s="35">
        <f t="shared" si="79"/>
        <v>2211.6999999999998</v>
      </c>
      <c r="Q868" s="10">
        <f t="shared" si="85"/>
        <v>7.3003400000000003</v>
      </c>
      <c r="R868" s="10">
        <f t="shared" si="86"/>
        <v>0.3</v>
      </c>
      <c r="S868" s="11">
        <f t="shared" si="87"/>
        <v>303</v>
      </c>
      <c r="T868" s="10" t="s">
        <v>349</v>
      </c>
      <c r="U868" t="s">
        <v>125</v>
      </c>
      <c r="V868" s="58">
        <v>7.1775000000000002</v>
      </c>
      <c r="W868" s="38">
        <f t="shared" si="83"/>
        <v>308.14322535701842</v>
      </c>
    </row>
    <row r="869" spans="1:23">
      <c r="A869" t="s">
        <v>2312</v>
      </c>
      <c r="B869" s="20">
        <v>45719</v>
      </c>
      <c r="C869" s="20">
        <v>45664</v>
      </c>
      <c r="D869" t="s">
        <v>2819</v>
      </c>
      <c r="E869" t="s">
        <v>2820</v>
      </c>
      <c r="F869" s="19"/>
      <c r="G869" t="s">
        <v>2875</v>
      </c>
      <c r="H869" t="s">
        <v>3076</v>
      </c>
      <c r="I869" t="s">
        <v>3292</v>
      </c>
      <c r="J869" s="8" t="str">
        <f t="shared" si="84"/>
        <v>HDL-</v>
      </c>
      <c r="K869" t="s">
        <v>10</v>
      </c>
      <c r="L869" s="54">
        <v>1020</v>
      </c>
      <c r="M869" t="s">
        <v>1472</v>
      </c>
      <c r="N869" t="s">
        <v>11</v>
      </c>
      <c r="O869" s="54">
        <v>7.4577999999999998</v>
      </c>
      <c r="P869" s="35">
        <f t="shared" si="79"/>
        <v>7606.96</v>
      </c>
      <c r="Q869" s="10">
        <f t="shared" si="85"/>
        <v>7.3003400000000003</v>
      </c>
      <c r="R869" s="10">
        <f t="shared" si="86"/>
        <v>1.0216000000000001</v>
      </c>
      <c r="S869" s="11">
        <f t="shared" si="87"/>
        <v>1042.03</v>
      </c>
      <c r="T869" s="10" t="s">
        <v>349</v>
      </c>
      <c r="U869" t="s">
        <v>228</v>
      </c>
      <c r="V869" s="58">
        <v>7.1775000000000002</v>
      </c>
      <c r="W869" s="38">
        <f t="shared" si="83"/>
        <v>1059.8336468129571</v>
      </c>
    </row>
    <row r="870" spans="1:23">
      <c r="A870" t="s">
        <v>2313</v>
      </c>
      <c r="B870" s="20">
        <v>45719</v>
      </c>
      <c r="C870" s="20">
        <v>45664</v>
      </c>
      <c r="D870" t="s">
        <v>2819</v>
      </c>
      <c r="E870" t="s">
        <v>2820</v>
      </c>
      <c r="F870" s="19"/>
      <c r="G870" t="s">
        <v>2875</v>
      </c>
      <c r="H870" t="s">
        <v>3077</v>
      </c>
      <c r="I870" t="s">
        <v>3293</v>
      </c>
      <c r="J870" s="8" t="str">
        <f t="shared" si="84"/>
        <v>HDL-</v>
      </c>
      <c r="K870" t="s">
        <v>10</v>
      </c>
      <c r="L870" s="54">
        <v>1550</v>
      </c>
      <c r="M870" t="s">
        <v>1472</v>
      </c>
      <c r="N870" t="s">
        <v>11</v>
      </c>
      <c r="O870" s="54">
        <v>7.4577999999999998</v>
      </c>
      <c r="P870" s="35">
        <f t="shared" si="79"/>
        <v>11559.59</v>
      </c>
      <c r="Q870" s="10">
        <f t="shared" si="85"/>
        <v>7.3003400000000003</v>
      </c>
      <c r="R870" s="10">
        <f t="shared" si="86"/>
        <v>1.0216000000000001</v>
      </c>
      <c r="S870" s="11">
        <f t="shared" si="87"/>
        <v>1583.48</v>
      </c>
      <c r="T870" s="10" t="s">
        <v>349</v>
      </c>
      <c r="U870" t="s">
        <v>228</v>
      </c>
      <c r="V870" s="58">
        <v>7.1775000000000002</v>
      </c>
      <c r="W870" s="38">
        <f t="shared" si="83"/>
        <v>1610.5315221177289</v>
      </c>
    </row>
    <row r="871" spans="1:23">
      <c r="A871" t="s">
        <v>2314</v>
      </c>
      <c r="B871" s="20">
        <v>45719</v>
      </c>
      <c r="C871" s="20">
        <v>45664</v>
      </c>
      <c r="D871" t="s">
        <v>2819</v>
      </c>
      <c r="E871" t="s">
        <v>2820</v>
      </c>
      <c r="F871" s="19"/>
      <c r="G871" t="s">
        <v>2875</v>
      </c>
      <c r="H871" t="s">
        <v>3078</v>
      </c>
      <c r="I871" t="s">
        <v>3294</v>
      </c>
      <c r="J871" s="8" t="str">
        <f t="shared" si="84"/>
        <v>HDL-</v>
      </c>
      <c r="K871" t="s">
        <v>10</v>
      </c>
      <c r="L871" s="54">
        <v>520</v>
      </c>
      <c r="M871" t="s">
        <v>1472</v>
      </c>
      <c r="N871" t="s">
        <v>11</v>
      </c>
      <c r="O871" s="54">
        <v>7.4577999999999998</v>
      </c>
      <c r="P871" s="35">
        <f t="shared" si="79"/>
        <v>3878.06</v>
      </c>
      <c r="Q871" s="10">
        <f t="shared" si="85"/>
        <v>7.3003400000000003</v>
      </c>
      <c r="R871" s="10">
        <f t="shared" si="86"/>
        <v>1.0216000000000001</v>
      </c>
      <c r="S871" s="11">
        <f t="shared" si="87"/>
        <v>531.23</v>
      </c>
      <c r="T871" s="10" t="s">
        <v>349</v>
      </c>
      <c r="U871" t="s">
        <v>228</v>
      </c>
      <c r="V871" s="58">
        <v>7.1775000000000002</v>
      </c>
      <c r="W871" s="38">
        <f t="shared" si="83"/>
        <v>540.30734935562521</v>
      </c>
    </row>
    <row r="872" spans="1:23">
      <c r="A872" t="s">
        <v>2315</v>
      </c>
      <c r="B872" s="20">
        <v>45719</v>
      </c>
      <c r="C872" s="20">
        <v>45664</v>
      </c>
      <c r="D872" t="s">
        <v>2819</v>
      </c>
      <c r="E872" t="s">
        <v>2820</v>
      </c>
      <c r="F872" s="19"/>
      <c r="G872" t="s">
        <v>2875</v>
      </c>
      <c r="H872" t="s">
        <v>3079</v>
      </c>
      <c r="I872" t="s">
        <v>3295</v>
      </c>
      <c r="J872" s="8" t="str">
        <f t="shared" si="84"/>
        <v>HDL-</v>
      </c>
      <c r="K872" t="s">
        <v>10</v>
      </c>
      <c r="L872" s="54">
        <v>1500</v>
      </c>
      <c r="M872" t="s">
        <v>1472</v>
      </c>
      <c r="N872" t="s">
        <v>11</v>
      </c>
      <c r="O872" s="54">
        <v>8.0116999999999994</v>
      </c>
      <c r="P872" s="35">
        <f t="shared" si="79"/>
        <v>12017.55</v>
      </c>
      <c r="Q872" s="10">
        <f t="shared" si="85"/>
        <v>7.3003400000000003</v>
      </c>
      <c r="R872" s="10">
        <f t="shared" si="86"/>
        <v>1.0973999999999999</v>
      </c>
      <c r="S872" s="11">
        <f t="shared" si="87"/>
        <v>1646.1</v>
      </c>
      <c r="T872" s="10" t="s">
        <v>349</v>
      </c>
      <c r="U872" t="s">
        <v>228</v>
      </c>
      <c r="V872" s="58">
        <v>7.1775000000000002</v>
      </c>
      <c r="W872" s="38">
        <f t="shared" si="83"/>
        <v>1674.3364681295714</v>
      </c>
    </row>
    <row r="873" spans="1:23">
      <c r="A873" t="s">
        <v>2319</v>
      </c>
      <c r="B873" s="20">
        <v>45719</v>
      </c>
      <c r="C873" s="20">
        <v>45664</v>
      </c>
      <c r="D873" t="s">
        <v>925</v>
      </c>
      <c r="E873" t="s">
        <v>926</v>
      </c>
      <c r="F873" s="19"/>
      <c r="G873" t="s">
        <v>2878</v>
      </c>
      <c r="H873" t="s">
        <v>3080</v>
      </c>
      <c r="I873" t="s">
        <v>3296</v>
      </c>
      <c r="J873" s="8" t="str">
        <f t="shared" si="84"/>
        <v>SHDL</v>
      </c>
      <c r="K873" t="s">
        <v>10</v>
      </c>
      <c r="L873" s="54">
        <v>2010</v>
      </c>
      <c r="M873" t="s">
        <v>1472</v>
      </c>
      <c r="N873" t="s">
        <v>11</v>
      </c>
      <c r="O873" s="54">
        <v>2.4539</v>
      </c>
      <c r="P873" s="35">
        <f t="shared" si="79"/>
        <v>4932.34</v>
      </c>
      <c r="Q873" s="10">
        <f t="shared" si="85"/>
        <v>7.3003400000000003</v>
      </c>
      <c r="R873" s="10">
        <f t="shared" si="86"/>
        <v>0.33610000000000001</v>
      </c>
      <c r="S873" s="11">
        <f t="shared" si="87"/>
        <v>675.56</v>
      </c>
      <c r="T873" s="10" t="s">
        <v>349</v>
      </c>
      <c r="U873" t="s">
        <v>722</v>
      </c>
      <c r="V873" s="58">
        <v>7.1775000000000002</v>
      </c>
      <c r="W873" s="38">
        <f t="shared" si="83"/>
        <v>687.19456635318693</v>
      </c>
    </row>
    <row r="874" spans="1:23">
      <c r="A874" t="s">
        <v>2328</v>
      </c>
      <c r="B874" s="20">
        <v>45719</v>
      </c>
      <c r="C874" s="20">
        <v>45671</v>
      </c>
      <c r="D874" t="s">
        <v>28</v>
      </c>
      <c r="E874" t="s">
        <v>29</v>
      </c>
      <c r="F874" s="19"/>
      <c r="G874" t="s">
        <v>2874</v>
      </c>
      <c r="H874" t="s">
        <v>1162</v>
      </c>
      <c r="I874" t="s">
        <v>1163</v>
      </c>
      <c r="J874" s="8" t="str">
        <f t="shared" si="84"/>
        <v>FG--</v>
      </c>
      <c r="K874" t="s">
        <v>10</v>
      </c>
      <c r="L874" s="54">
        <v>3100</v>
      </c>
      <c r="M874" t="s">
        <v>1472</v>
      </c>
      <c r="N874" t="s">
        <v>11</v>
      </c>
      <c r="O874" s="54">
        <v>1.3540000000000001</v>
      </c>
      <c r="P874" s="35">
        <f t="shared" si="79"/>
        <v>4197.3999999999996</v>
      </c>
      <c r="Q874" s="10">
        <f t="shared" si="85"/>
        <v>7.3003400000000003</v>
      </c>
      <c r="R874" s="10">
        <f t="shared" si="86"/>
        <v>0.1855</v>
      </c>
      <c r="S874" s="11">
        <f t="shared" si="87"/>
        <v>575.04999999999995</v>
      </c>
      <c r="T874" s="10" t="s">
        <v>349</v>
      </c>
      <c r="U874" t="s">
        <v>64</v>
      </c>
      <c r="V874" s="58">
        <v>7.1775000000000002</v>
      </c>
      <c r="W874" s="38">
        <f t="shared" si="83"/>
        <v>584.79972135144556</v>
      </c>
    </row>
    <row r="875" spans="1:23">
      <c r="A875" t="s">
        <v>2329</v>
      </c>
      <c r="B875" s="20">
        <v>45719</v>
      </c>
      <c r="C875" s="20">
        <v>45671</v>
      </c>
      <c r="D875" t="s">
        <v>128</v>
      </c>
      <c r="E875" t="s">
        <v>129</v>
      </c>
      <c r="F875" s="19"/>
      <c r="G875" t="s">
        <v>2868</v>
      </c>
      <c r="H875" t="s">
        <v>3084</v>
      </c>
      <c r="I875" t="s">
        <v>3300</v>
      </c>
      <c r="J875" s="8" t="str">
        <f t="shared" si="84"/>
        <v>HDL-</v>
      </c>
      <c r="K875" t="s">
        <v>10</v>
      </c>
      <c r="L875" s="54">
        <v>960</v>
      </c>
      <c r="M875" t="s">
        <v>1472</v>
      </c>
      <c r="N875" t="s">
        <v>11</v>
      </c>
      <c r="O875" s="54">
        <v>3.2145000000000001</v>
      </c>
      <c r="P875" s="35">
        <f t="shared" si="79"/>
        <v>3085.92</v>
      </c>
      <c r="Q875" s="10">
        <f t="shared" si="85"/>
        <v>7.3003400000000003</v>
      </c>
      <c r="R875" s="10">
        <f t="shared" si="86"/>
        <v>0.44030000000000002</v>
      </c>
      <c r="S875" s="11">
        <f t="shared" si="87"/>
        <v>422.69</v>
      </c>
      <c r="T875" s="10" t="s">
        <v>349</v>
      </c>
      <c r="U875" t="s">
        <v>228</v>
      </c>
      <c r="V875" s="58">
        <v>7.1775000000000002</v>
      </c>
      <c r="W875" s="38">
        <f t="shared" si="83"/>
        <v>429.94357366771163</v>
      </c>
    </row>
    <row r="876" spans="1:23">
      <c r="A876" t="s">
        <v>2330</v>
      </c>
      <c r="B876" s="20">
        <v>45719</v>
      </c>
      <c r="C876" s="20">
        <v>45671</v>
      </c>
      <c r="D876" t="s">
        <v>169</v>
      </c>
      <c r="E876" t="s">
        <v>170</v>
      </c>
      <c r="F876" s="19"/>
      <c r="G876" t="s">
        <v>2887</v>
      </c>
      <c r="H876" t="s">
        <v>3085</v>
      </c>
      <c r="I876" t="s">
        <v>3301</v>
      </c>
      <c r="J876" s="8" t="str">
        <f t="shared" si="84"/>
        <v>STKR</v>
      </c>
      <c r="K876" t="s">
        <v>10</v>
      </c>
      <c r="L876" s="54">
        <v>9100</v>
      </c>
      <c r="M876" t="s">
        <v>1472</v>
      </c>
      <c r="N876" t="s">
        <v>11</v>
      </c>
      <c r="O876" s="54">
        <v>4.2000000000000003E-2</v>
      </c>
      <c r="P876" s="35">
        <f t="shared" si="79"/>
        <v>382.2</v>
      </c>
      <c r="Q876" s="10">
        <f t="shared" si="85"/>
        <v>7.3003400000000003</v>
      </c>
      <c r="R876" s="10">
        <f t="shared" si="86"/>
        <v>5.7999999999999996E-3</v>
      </c>
      <c r="S876" s="11">
        <f t="shared" si="87"/>
        <v>52.78</v>
      </c>
      <c r="T876" s="10" t="s">
        <v>349</v>
      </c>
      <c r="U876" t="s">
        <v>18</v>
      </c>
      <c r="V876" s="58">
        <v>7.1775000000000002</v>
      </c>
      <c r="W876" s="38">
        <f t="shared" si="83"/>
        <v>53.249738766980151</v>
      </c>
    </row>
    <row r="877" spans="1:23">
      <c r="A877" t="s">
        <v>2331</v>
      </c>
      <c r="B877" s="20">
        <v>45719</v>
      </c>
      <c r="C877" s="20">
        <v>45671</v>
      </c>
      <c r="D877" t="s">
        <v>169</v>
      </c>
      <c r="E877" t="s">
        <v>170</v>
      </c>
      <c r="F877" s="19"/>
      <c r="G877" t="s">
        <v>2887</v>
      </c>
      <c r="H877" t="s">
        <v>1133</v>
      </c>
      <c r="I877" t="s">
        <v>1134</v>
      </c>
      <c r="J877" s="8" t="str">
        <f t="shared" si="84"/>
        <v>STKR</v>
      </c>
      <c r="K877" t="s">
        <v>10</v>
      </c>
      <c r="L877" s="54">
        <v>4000</v>
      </c>
      <c r="M877" t="s">
        <v>1472</v>
      </c>
      <c r="N877" t="s">
        <v>11</v>
      </c>
      <c r="O877" s="54">
        <v>2.5899999999999999E-2</v>
      </c>
      <c r="P877" s="35">
        <f t="shared" si="79"/>
        <v>103.6</v>
      </c>
      <c r="Q877" s="10">
        <f t="shared" si="85"/>
        <v>7.3003400000000003</v>
      </c>
      <c r="R877" s="10">
        <f t="shared" si="86"/>
        <v>3.5000000000000001E-3</v>
      </c>
      <c r="S877" s="11">
        <f t="shared" si="87"/>
        <v>14</v>
      </c>
      <c r="T877" s="10" t="s">
        <v>349</v>
      </c>
      <c r="U877" t="s">
        <v>18</v>
      </c>
      <c r="V877" s="58">
        <v>7.1775000000000002</v>
      </c>
      <c r="W877" s="38">
        <f t="shared" si="83"/>
        <v>14.433995123650295</v>
      </c>
    </row>
    <row r="878" spans="1:23">
      <c r="A878" t="s">
        <v>2332</v>
      </c>
      <c r="B878" s="20">
        <v>45719</v>
      </c>
      <c r="C878" s="20">
        <v>45671</v>
      </c>
      <c r="D878" t="s">
        <v>169</v>
      </c>
      <c r="E878" t="s">
        <v>170</v>
      </c>
      <c r="F878" s="19"/>
      <c r="G878" t="s">
        <v>2887</v>
      </c>
      <c r="H878" t="s">
        <v>3085</v>
      </c>
      <c r="I878" t="s">
        <v>3301</v>
      </c>
      <c r="J878" s="8" t="str">
        <f t="shared" si="84"/>
        <v>STKR</v>
      </c>
      <c r="K878" t="s">
        <v>10</v>
      </c>
      <c r="L878" s="54">
        <v>50</v>
      </c>
      <c r="M878" t="s">
        <v>1472</v>
      </c>
      <c r="N878" t="s">
        <v>11</v>
      </c>
      <c r="O878" s="54">
        <v>4.2000000000000003E-2</v>
      </c>
      <c r="P878" s="35">
        <f t="shared" si="79"/>
        <v>2.1</v>
      </c>
      <c r="Q878" s="10">
        <f t="shared" si="85"/>
        <v>7.3003400000000003</v>
      </c>
      <c r="R878" s="10">
        <f t="shared" si="86"/>
        <v>5.7999999999999996E-3</v>
      </c>
      <c r="S878" s="11">
        <f t="shared" si="87"/>
        <v>0.28999999999999998</v>
      </c>
      <c r="T878" s="10" t="s">
        <v>349</v>
      </c>
      <c r="U878" t="s">
        <v>18</v>
      </c>
      <c r="V878" s="58">
        <v>7.1775000000000002</v>
      </c>
      <c r="W878" s="38">
        <f t="shared" si="83"/>
        <v>0.29258098223615464</v>
      </c>
    </row>
    <row r="879" spans="1:23">
      <c r="A879" t="s">
        <v>2333</v>
      </c>
      <c r="B879" s="20">
        <v>45719</v>
      </c>
      <c r="C879" s="20">
        <v>45671</v>
      </c>
      <c r="D879" t="s">
        <v>169</v>
      </c>
      <c r="E879" t="s">
        <v>170</v>
      </c>
      <c r="F879" s="19"/>
      <c r="G879" t="s">
        <v>2889</v>
      </c>
      <c r="H879" t="s">
        <v>3086</v>
      </c>
      <c r="I879" t="s">
        <v>3302</v>
      </c>
      <c r="J879" s="8" t="str">
        <f t="shared" si="84"/>
        <v>BHRE</v>
      </c>
      <c r="K879" t="s">
        <v>10</v>
      </c>
      <c r="L879" s="54">
        <v>2000</v>
      </c>
      <c r="M879" t="s">
        <v>1472</v>
      </c>
      <c r="N879" t="s">
        <v>11</v>
      </c>
      <c r="O879" s="54">
        <v>1.22</v>
      </c>
      <c r="P879" s="35">
        <f t="shared" si="79"/>
        <v>2440</v>
      </c>
      <c r="Q879" s="10">
        <f t="shared" si="85"/>
        <v>7.3003400000000003</v>
      </c>
      <c r="R879" s="10">
        <f t="shared" si="86"/>
        <v>0.1671</v>
      </c>
      <c r="S879" s="11">
        <f t="shared" si="87"/>
        <v>334.2</v>
      </c>
      <c r="T879" s="10" t="s">
        <v>349</v>
      </c>
      <c r="U879" t="s">
        <v>173</v>
      </c>
      <c r="V879" s="58">
        <v>7.1775000000000002</v>
      </c>
      <c r="W879" s="38">
        <f t="shared" si="83"/>
        <v>339.95123650296063</v>
      </c>
    </row>
    <row r="880" spans="1:23">
      <c r="A880" t="s">
        <v>2334</v>
      </c>
      <c r="B880" s="20">
        <v>45719</v>
      </c>
      <c r="C880" s="20">
        <v>45671</v>
      </c>
      <c r="D880" t="s">
        <v>169</v>
      </c>
      <c r="E880" t="s">
        <v>170</v>
      </c>
      <c r="F880" s="19"/>
      <c r="G880" t="s">
        <v>2889</v>
      </c>
      <c r="H880" t="s">
        <v>3086</v>
      </c>
      <c r="I880" t="s">
        <v>3302</v>
      </c>
      <c r="J880" s="8" t="str">
        <f t="shared" si="84"/>
        <v>BHRE</v>
      </c>
      <c r="K880" t="s">
        <v>10</v>
      </c>
      <c r="L880" s="54">
        <v>50</v>
      </c>
      <c r="M880" t="s">
        <v>1472</v>
      </c>
      <c r="N880" t="s">
        <v>11</v>
      </c>
      <c r="O880" s="54">
        <v>1.22</v>
      </c>
      <c r="P880" s="35">
        <f t="shared" si="79"/>
        <v>61</v>
      </c>
      <c r="Q880" s="10">
        <f t="shared" si="85"/>
        <v>7.3003400000000003</v>
      </c>
      <c r="R880" s="10">
        <f t="shared" si="86"/>
        <v>0.1671</v>
      </c>
      <c r="S880" s="11">
        <f t="shared" si="87"/>
        <v>8.36</v>
      </c>
      <c r="T880" s="10" t="s">
        <v>349</v>
      </c>
      <c r="U880" t="s">
        <v>173</v>
      </c>
      <c r="V880" s="58">
        <v>7.1775000000000002</v>
      </c>
      <c r="W880" s="38">
        <f t="shared" si="83"/>
        <v>8.4987809125740146</v>
      </c>
    </row>
    <row r="881" spans="1:23">
      <c r="A881" t="s">
        <v>2335</v>
      </c>
      <c r="B881" s="20">
        <v>45719</v>
      </c>
      <c r="C881" s="20">
        <v>45674</v>
      </c>
      <c r="D881" t="s">
        <v>545</v>
      </c>
      <c r="E881" t="s">
        <v>546</v>
      </c>
      <c r="F881" s="19"/>
      <c r="G881" t="s">
        <v>2892</v>
      </c>
      <c r="H881" t="s">
        <v>557</v>
      </c>
      <c r="I881" t="s">
        <v>558</v>
      </c>
      <c r="J881" s="8" t="str">
        <f t="shared" si="84"/>
        <v>WHR-</v>
      </c>
      <c r="K881" t="s">
        <v>10</v>
      </c>
      <c r="L881" s="54">
        <v>1000</v>
      </c>
      <c r="M881" t="s">
        <v>1472</v>
      </c>
      <c r="N881" t="s">
        <v>11</v>
      </c>
      <c r="O881" s="54">
        <v>3.9800000000000002E-2</v>
      </c>
      <c r="P881" s="35">
        <f t="shared" si="79"/>
        <v>39.799999999999997</v>
      </c>
      <c r="Q881" s="10">
        <f t="shared" si="85"/>
        <v>7.3003400000000003</v>
      </c>
      <c r="R881" s="10">
        <f t="shared" si="86"/>
        <v>5.4999999999999997E-3</v>
      </c>
      <c r="S881" s="11">
        <f t="shared" si="87"/>
        <v>5.5</v>
      </c>
      <c r="T881" s="10" t="s">
        <v>349</v>
      </c>
      <c r="U881" t="s">
        <v>248</v>
      </c>
      <c r="V881" s="58">
        <v>7.1775000000000002</v>
      </c>
      <c r="W881" s="38">
        <f t="shared" si="83"/>
        <v>5.5451062347614073</v>
      </c>
    </row>
    <row r="882" spans="1:23">
      <c r="A882" t="s">
        <v>2337</v>
      </c>
      <c r="B882" s="20">
        <v>45719</v>
      </c>
      <c r="C882" s="20">
        <v>45674</v>
      </c>
      <c r="D882" t="s">
        <v>169</v>
      </c>
      <c r="E882" t="s">
        <v>170</v>
      </c>
      <c r="F882" s="19"/>
      <c r="G882" t="s">
        <v>2894</v>
      </c>
      <c r="H882" t="s">
        <v>1659</v>
      </c>
      <c r="I882" t="s">
        <v>643</v>
      </c>
      <c r="J882" s="8" t="str">
        <f t="shared" si="84"/>
        <v>U&amp;C-</v>
      </c>
      <c r="K882" t="s">
        <v>10</v>
      </c>
      <c r="L882" s="54">
        <v>4600</v>
      </c>
      <c r="M882" t="s">
        <v>1472</v>
      </c>
      <c r="N882" t="s">
        <v>11</v>
      </c>
      <c r="O882" s="54">
        <v>1.53</v>
      </c>
      <c r="P882" s="35">
        <f t="shared" si="79"/>
        <v>7038</v>
      </c>
      <c r="Q882" s="10">
        <f t="shared" si="85"/>
        <v>7.3003400000000003</v>
      </c>
      <c r="R882" s="10">
        <f t="shared" si="86"/>
        <v>0.20960000000000001</v>
      </c>
      <c r="S882" s="11">
        <f t="shared" si="87"/>
        <v>964.16</v>
      </c>
      <c r="T882" s="10" t="s">
        <v>349</v>
      </c>
      <c r="U882" t="s">
        <v>177</v>
      </c>
      <c r="V882" s="58">
        <v>7.1775000000000002</v>
      </c>
      <c r="W882" s="38">
        <f t="shared" si="83"/>
        <v>980.56426332288402</v>
      </c>
    </row>
    <row r="883" spans="1:23">
      <c r="A883" t="s">
        <v>2338</v>
      </c>
      <c r="B883" s="20">
        <v>45719</v>
      </c>
      <c r="C883" s="20">
        <v>45674</v>
      </c>
      <c r="D883" t="s">
        <v>169</v>
      </c>
      <c r="E883" t="s">
        <v>170</v>
      </c>
      <c r="F883" s="19"/>
      <c r="G883" t="s">
        <v>2894</v>
      </c>
      <c r="H883" t="s">
        <v>646</v>
      </c>
      <c r="I883" t="s">
        <v>647</v>
      </c>
      <c r="J883" s="8" t="str">
        <f t="shared" si="84"/>
        <v>PRIM</v>
      </c>
      <c r="K883" t="s">
        <v>10</v>
      </c>
      <c r="L883" s="54">
        <v>6500</v>
      </c>
      <c r="M883" t="s">
        <v>1472</v>
      </c>
      <c r="N883" t="s">
        <v>11</v>
      </c>
      <c r="O883" s="54">
        <v>1.46</v>
      </c>
      <c r="P883" s="35">
        <f t="shared" si="79"/>
        <v>9490</v>
      </c>
      <c r="Q883" s="10">
        <f t="shared" si="85"/>
        <v>7.3003400000000003</v>
      </c>
      <c r="R883" s="10">
        <f t="shared" si="86"/>
        <v>0.2</v>
      </c>
      <c r="S883" s="11">
        <f t="shared" si="87"/>
        <v>1300</v>
      </c>
      <c r="T883" s="10" t="s">
        <v>349</v>
      </c>
      <c r="U883" t="s">
        <v>181</v>
      </c>
      <c r="V883" s="58">
        <v>7.1775000000000002</v>
      </c>
      <c r="W883" s="38">
        <f t="shared" si="83"/>
        <v>1322.1873911529085</v>
      </c>
    </row>
    <row r="884" spans="1:23">
      <c r="A884" t="s">
        <v>2365</v>
      </c>
      <c r="B884" s="20">
        <v>45719</v>
      </c>
      <c r="C884" s="20">
        <v>45694</v>
      </c>
      <c r="D884" t="s">
        <v>169</v>
      </c>
      <c r="E884" t="s">
        <v>170</v>
      </c>
      <c r="F884" s="19"/>
      <c r="G884" t="s">
        <v>2904</v>
      </c>
      <c r="H884" t="s">
        <v>3088</v>
      </c>
      <c r="I884" t="s">
        <v>3304</v>
      </c>
      <c r="J884" s="8" t="str">
        <f t="shared" si="84"/>
        <v>SKU-</v>
      </c>
      <c r="K884" t="s">
        <v>98</v>
      </c>
      <c r="L884" s="54">
        <v>3000</v>
      </c>
      <c r="M884" t="s">
        <v>1472</v>
      </c>
      <c r="N884" t="s">
        <v>11</v>
      </c>
      <c r="O884" s="54">
        <v>2.79</v>
      </c>
      <c r="P884" s="35">
        <f t="shared" si="79"/>
        <v>8370</v>
      </c>
      <c r="Q884" s="10">
        <f t="shared" si="85"/>
        <v>7.3003400000000003</v>
      </c>
      <c r="R884" s="10">
        <f t="shared" si="86"/>
        <v>0.38219999999999998</v>
      </c>
      <c r="S884" s="11">
        <f t="shared" si="87"/>
        <v>1146.5999999999999</v>
      </c>
      <c r="T884" s="10" t="s">
        <v>349</v>
      </c>
      <c r="U884" t="s">
        <v>2</v>
      </c>
      <c r="V884" s="58">
        <v>7.1775000000000002</v>
      </c>
      <c r="W884" s="38">
        <f t="shared" si="83"/>
        <v>1166.1442006269592</v>
      </c>
    </row>
    <row r="885" spans="1:23">
      <c r="A885" t="s">
        <v>2366</v>
      </c>
      <c r="B885" s="20">
        <v>45719</v>
      </c>
      <c r="C885" s="20">
        <v>45695</v>
      </c>
      <c r="D885" t="s">
        <v>21</v>
      </c>
      <c r="E885" t="s">
        <v>22</v>
      </c>
      <c r="F885" s="19"/>
      <c r="G885" t="s">
        <v>2905</v>
      </c>
      <c r="H885" t="s">
        <v>1432</v>
      </c>
      <c r="I885" t="s">
        <v>1433</v>
      </c>
      <c r="J885" s="8" t="str">
        <f t="shared" si="84"/>
        <v>FG--</v>
      </c>
      <c r="K885" t="s">
        <v>10</v>
      </c>
      <c r="L885" s="54">
        <v>1040</v>
      </c>
      <c r="M885" t="s">
        <v>1472</v>
      </c>
      <c r="N885" t="s">
        <v>11</v>
      </c>
      <c r="O885" s="54">
        <v>0.65390000000000004</v>
      </c>
      <c r="P885" s="35">
        <f t="shared" si="79"/>
        <v>680.06</v>
      </c>
      <c r="Q885" s="10">
        <f t="shared" si="85"/>
        <v>7.3003400000000003</v>
      </c>
      <c r="R885" s="10">
        <f t="shared" si="86"/>
        <v>8.9599999999999999E-2</v>
      </c>
      <c r="S885" s="11">
        <f t="shared" si="87"/>
        <v>93.18</v>
      </c>
      <c r="T885" s="10" t="s">
        <v>349</v>
      </c>
      <c r="U885" t="s">
        <v>64</v>
      </c>
      <c r="V885" s="58">
        <v>7.1775000000000002</v>
      </c>
      <c r="W885" s="38">
        <f t="shared" si="83"/>
        <v>94.748310693138279</v>
      </c>
    </row>
    <row r="886" spans="1:23">
      <c r="A886" t="s">
        <v>2367</v>
      </c>
      <c r="B886" s="20">
        <v>45719</v>
      </c>
      <c r="C886" s="20">
        <v>45695</v>
      </c>
      <c r="D886" t="s">
        <v>21</v>
      </c>
      <c r="E886" t="s">
        <v>22</v>
      </c>
      <c r="F886" s="19"/>
      <c r="G886" t="s">
        <v>2905</v>
      </c>
      <c r="H886" t="s">
        <v>3089</v>
      </c>
      <c r="I886" t="s">
        <v>3305</v>
      </c>
      <c r="J886" s="8" t="str">
        <f t="shared" si="84"/>
        <v>HDL-</v>
      </c>
      <c r="K886" t="s">
        <v>10</v>
      </c>
      <c r="L886" s="54">
        <v>1000</v>
      </c>
      <c r="M886" t="s">
        <v>1472</v>
      </c>
      <c r="N886" t="s">
        <v>11</v>
      </c>
      <c r="O886" s="54">
        <v>6.3521000000000001</v>
      </c>
      <c r="P886" s="35">
        <f t="shared" si="79"/>
        <v>6352.1</v>
      </c>
      <c r="Q886" s="10">
        <f t="shared" si="85"/>
        <v>7.3003400000000003</v>
      </c>
      <c r="R886" s="10">
        <f t="shared" si="86"/>
        <v>0.87009999999999998</v>
      </c>
      <c r="S886" s="11">
        <f t="shared" si="87"/>
        <v>870.1</v>
      </c>
      <c r="T886" s="10" t="s">
        <v>349</v>
      </c>
      <c r="U886" t="s">
        <v>228</v>
      </c>
      <c r="V886" s="58">
        <v>7.1775000000000002</v>
      </c>
      <c r="W886" s="38">
        <f t="shared" si="83"/>
        <v>885.00174155346565</v>
      </c>
    </row>
    <row r="887" spans="1:23">
      <c r="A887" t="s">
        <v>2380</v>
      </c>
      <c r="B887" s="20">
        <v>45719</v>
      </c>
      <c r="C887" s="20">
        <v>45695</v>
      </c>
      <c r="D887" t="s">
        <v>569</v>
      </c>
      <c r="E887" t="s">
        <v>570</v>
      </c>
      <c r="F887" s="19"/>
      <c r="G887" t="s">
        <v>2870</v>
      </c>
      <c r="H887" t="s">
        <v>769</v>
      </c>
      <c r="I887" t="s">
        <v>770</v>
      </c>
      <c r="J887" s="8" t="str">
        <f t="shared" si="84"/>
        <v>ANYD</v>
      </c>
      <c r="K887" t="s">
        <v>10</v>
      </c>
      <c r="L887" s="54">
        <v>3500</v>
      </c>
      <c r="M887" t="s">
        <v>1472</v>
      </c>
      <c r="N887" t="s">
        <v>11</v>
      </c>
      <c r="O887" s="54">
        <v>4.8019999999999996</v>
      </c>
      <c r="P887" s="35">
        <f t="shared" si="79"/>
        <v>16807</v>
      </c>
      <c r="Q887" s="10">
        <f t="shared" si="85"/>
        <v>7.3003400000000003</v>
      </c>
      <c r="R887" s="10">
        <f t="shared" si="86"/>
        <v>0.65780000000000005</v>
      </c>
      <c r="S887" s="11">
        <f t="shared" si="87"/>
        <v>2302.3000000000002</v>
      </c>
      <c r="T887" s="10" t="s">
        <v>349</v>
      </c>
      <c r="U887" t="s">
        <v>36</v>
      </c>
      <c r="V887" s="58">
        <v>7.1775000000000002</v>
      </c>
      <c r="W887" s="38">
        <f t="shared" si="83"/>
        <v>2341.6231278300243</v>
      </c>
    </row>
    <row r="888" spans="1:23">
      <c r="A888" t="s">
        <v>2395</v>
      </c>
      <c r="B888" s="20">
        <v>45719</v>
      </c>
      <c r="C888" s="20">
        <v>45695</v>
      </c>
      <c r="D888" t="s">
        <v>169</v>
      </c>
      <c r="E888" t="s">
        <v>170</v>
      </c>
      <c r="F888" s="19"/>
      <c r="G888" t="s">
        <v>2889</v>
      </c>
      <c r="H888" t="s">
        <v>1619</v>
      </c>
      <c r="I888" t="s">
        <v>1620</v>
      </c>
      <c r="J888" s="8" t="str">
        <f t="shared" si="84"/>
        <v>U&amp;C-</v>
      </c>
      <c r="K888" t="s">
        <v>10</v>
      </c>
      <c r="L888" s="54">
        <v>200</v>
      </c>
      <c r="M888" t="s">
        <v>1472</v>
      </c>
      <c r="N888" t="s">
        <v>11</v>
      </c>
      <c r="O888" s="54">
        <v>0.27500000000000002</v>
      </c>
      <c r="P888" s="35">
        <f t="shared" si="79"/>
        <v>55</v>
      </c>
      <c r="Q888" s="10">
        <f t="shared" si="85"/>
        <v>7.3003400000000003</v>
      </c>
      <c r="R888" s="10">
        <f t="shared" si="86"/>
        <v>3.7699999999999997E-2</v>
      </c>
      <c r="S888" s="11">
        <f t="shared" si="87"/>
        <v>7.54</v>
      </c>
      <c r="T888" s="10" t="s">
        <v>349</v>
      </c>
      <c r="U888" t="s">
        <v>177</v>
      </c>
      <c r="V888" s="58">
        <v>7.1775000000000002</v>
      </c>
      <c r="W888" s="38">
        <f t="shared" si="83"/>
        <v>7.6628352490421463</v>
      </c>
    </row>
    <row r="889" spans="1:23">
      <c r="A889" t="s">
        <v>2395</v>
      </c>
      <c r="B889" s="20">
        <v>45719</v>
      </c>
      <c r="C889" s="20">
        <v>45695</v>
      </c>
      <c r="D889" t="s">
        <v>169</v>
      </c>
      <c r="E889" t="s">
        <v>170</v>
      </c>
      <c r="F889" s="19"/>
      <c r="G889" t="s">
        <v>2921</v>
      </c>
      <c r="H889" t="s">
        <v>1619</v>
      </c>
      <c r="I889" t="s">
        <v>1620</v>
      </c>
      <c r="J889" s="8" t="str">
        <f t="shared" si="84"/>
        <v>U&amp;C-</v>
      </c>
      <c r="K889" t="s">
        <v>10</v>
      </c>
      <c r="L889" s="54">
        <v>1000</v>
      </c>
      <c r="M889" t="s">
        <v>1472</v>
      </c>
      <c r="N889" t="s">
        <v>11</v>
      </c>
      <c r="O889" s="54">
        <v>0.27500000000000002</v>
      </c>
      <c r="P889" s="35">
        <f t="shared" si="79"/>
        <v>275</v>
      </c>
      <c r="Q889" s="10">
        <f t="shared" si="85"/>
        <v>7.3003400000000003</v>
      </c>
      <c r="R889" s="10">
        <f t="shared" si="86"/>
        <v>3.7699999999999997E-2</v>
      </c>
      <c r="S889" s="11">
        <f t="shared" si="87"/>
        <v>37.700000000000003</v>
      </c>
      <c r="T889" s="10" t="s">
        <v>349</v>
      </c>
      <c r="U889" t="s">
        <v>177</v>
      </c>
      <c r="V889" s="58">
        <v>7.1775000000000002</v>
      </c>
      <c r="W889" s="38">
        <f t="shared" si="83"/>
        <v>38.314176245210732</v>
      </c>
    </row>
    <row r="890" spans="1:23">
      <c r="A890" t="s">
        <v>2396</v>
      </c>
      <c r="B890" s="20">
        <v>45719</v>
      </c>
      <c r="C890" s="20">
        <v>45695</v>
      </c>
      <c r="D890" t="s">
        <v>169</v>
      </c>
      <c r="E890" t="s">
        <v>170</v>
      </c>
      <c r="F890" s="19"/>
      <c r="G890" t="s">
        <v>2921</v>
      </c>
      <c r="H890" t="s">
        <v>3096</v>
      </c>
      <c r="I890" t="s">
        <v>3311</v>
      </c>
      <c r="J890" s="8" t="str">
        <f t="shared" si="84"/>
        <v>U&amp;C-</v>
      </c>
      <c r="K890" t="s">
        <v>10</v>
      </c>
      <c r="L890" s="54">
        <v>9100</v>
      </c>
      <c r="M890" t="s">
        <v>1472</v>
      </c>
      <c r="N890" t="s">
        <v>11</v>
      </c>
      <c r="O890" s="54">
        <v>0.23799999999999999</v>
      </c>
      <c r="P890" s="35">
        <f t="shared" si="79"/>
        <v>2165.8000000000002</v>
      </c>
      <c r="Q890" s="10">
        <f t="shared" si="85"/>
        <v>7.3003400000000003</v>
      </c>
      <c r="R890" s="10">
        <f t="shared" si="86"/>
        <v>3.2599999999999997E-2</v>
      </c>
      <c r="S890" s="11">
        <f t="shared" si="87"/>
        <v>296.66000000000003</v>
      </c>
      <c r="T890" s="10" t="s">
        <v>349</v>
      </c>
      <c r="U890" t="s">
        <v>177</v>
      </c>
      <c r="V890" s="58">
        <v>7.1775000000000002</v>
      </c>
      <c r="W890" s="38">
        <f t="shared" si="83"/>
        <v>301.74851967955414</v>
      </c>
    </row>
    <row r="891" spans="1:23">
      <c r="A891" t="s">
        <v>2398</v>
      </c>
      <c r="B891" s="20">
        <v>45719</v>
      </c>
      <c r="C891" s="20">
        <v>45698</v>
      </c>
      <c r="D891" t="s">
        <v>651</v>
      </c>
      <c r="E891" t="s">
        <v>652</v>
      </c>
      <c r="F891" s="19"/>
      <c r="G891" t="s">
        <v>2922</v>
      </c>
      <c r="H891" t="s">
        <v>649</v>
      </c>
      <c r="I891" t="s">
        <v>650</v>
      </c>
      <c r="J891" s="8" t="str">
        <f t="shared" si="84"/>
        <v>HDL-</v>
      </c>
      <c r="K891" t="s">
        <v>10</v>
      </c>
      <c r="L891" s="54">
        <v>1000</v>
      </c>
      <c r="M891" t="s">
        <v>1472</v>
      </c>
      <c r="N891" t="s">
        <v>11</v>
      </c>
      <c r="O891" s="54">
        <v>1.5</v>
      </c>
      <c r="P891" s="35">
        <f t="shared" si="79"/>
        <v>1500</v>
      </c>
      <c r="Q891" s="10">
        <f t="shared" si="85"/>
        <v>7.3003400000000003</v>
      </c>
      <c r="R891" s="10">
        <f t="shared" si="86"/>
        <v>0.20549999999999999</v>
      </c>
      <c r="S891" s="11">
        <f t="shared" si="87"/>
        <v>205.5</v>
      </c>
      <c r="T891" s="10" t="s">
        <v>349</v>
      </c>
      <c r="U891" t="s">
        <v>228</v>
      </c>
      <c r="V891" s="58">
        <v>7.1775000000000002</v>
      </c>
      <c r="W891" s="38">
        <f t="shared" si="83"/>
        <v>208.98641588296761</v>
      </c>
    </row>
    <row r="892" spans="1:23">
      <c r="A892" t="s">
        <v>2399</v>
      </c>
      <c r="B892" s="20">
        <v>45719</v>
      </c>
      <c r="C892" s="20">
        <v>45698</v>
      </c>
      <c r="D892" t="s">
        <v>651</v>
      </c>
      <c r="E892" t="s">
        <v>652</v>
      </c>
      <c r="F892" s="19"/>
      <c r="G892" t="s">
        <v>2922</v>
      </c>
      <c r="H892" t="s">
        <v>3098</v>
      </c>
      <c r="I892" t="s">
        <v>3313</v>
      </c>
      <c r="J892" s="8" t="str">
        <f t="shared" si="84"/>
        <v>HDL-</v>
      </c>
      <c r="K892" t="s">
        <v>10</v>
      </c>
      <c r="L892" s="54">
        <v>1000</v>
      </c>
      <c r="M892" t="s">
        <v>1472</v>
      </c>
      <c r="N892" t="s">
        <v>11</v>
      </c>
      <c r="O892" s="54">
        <v>2.5788000000000002</v>
      </c>
      <c r="P892" s="35">
        <f t="shared" si="79"/>
        <v>2578.8000000000002</v>
      </c>
      <c r="Q892" s="10">
        <f t="shared" si="85"/>
        <v>7.3003400000000003</v>
      </c>
      <c r="R892" s="10">
        <f t="shared" si="86"/>
        <v>0.35320000000000001</v>
      </c>
      <c r="S892" s="11">
        <f t="shared" si="87"/>
        <v>353.2</v>
      </c>
      <c r="T892" s="10" t="s">
        <v>349</v>
      </c>
      <c r="U892" t="s">
        <v>228</v>
      </c>
      <c r="V892" s="58">
        <v>7.1775000000000002</v>
      </c>
      <c r="W892" s="38">
        <f t="shared" si="83"/>
        <v>359.28944618599797</v>
      </c>
    </row>
    <row r="893" spans="1:23">
      <c r="A893" t="s">
        <v>2406</v>
      </c>
      <c r="B893" s="20">
        <v>45719</v>
      </c>
      <c r="C893" s="20">
        <v>45700</v>
      </c>
      <c r="D893" t="s">
        <v>94</v>
      </c>
      <c r="E893" t="s">
        <v>95</v>
      </c>
      <c r="F893" s="19"/>
      <c r="G893" t="s">
        <v>2847</v>
      </c>
      <c r="H893" t="s">
        <v>1734</v>
      </c>
      <c r="I893" t="s">
        <v>1735</v>
      </c>
      <c r="J893" s="8" t="str">
        <f t="shared" si="84"/>
        <v>LID-</v>
      </c>
      <c r="K893" t="s">
        <v>3481</v>
      </c>
      <c r="L893" s="54">
        <v>1680</v>
      </c>
      <c r="M893" t="s">
        <v>1472</v>
      </c>
      <c r="N893" t="s">
        <v>11</v>
      </c>
      <c r="O893" s="54">
        <v>3.53</v>
      </c>
      <c r="P893" s="35">
        <f t="shared" si="79"/>
        <v>5930.4</v>
      </c>
      <c r="Q893" s="10">
        <f t="shared" si="85"/>
        <v>7.3003400000000003</v>
      </c>
      <c r="R893" s="10">
        <f t="shared" si="86"/>
        <v>0.48349999999999999</v>
      </c>
      <c r="S893" s="11">
        <f t="shared" si="87"/>
        <v>812.28</v>
      </c>
      <c r="T893" s="10" t="s">
        <v>349</v>
      </c>
      <c r="U893" t="s">
        <v>368</v>
      </c>
      <c r="V893" s="58">
        <v>7.1775000000000002</v>
      </c>
      <c r="W893" s="38">
        <f t="shared" si="83"/>
        <v>826.24869383490068</v>
      </c>
    </row>
    <row r="894" spans="1:23">
      <c r="A894" t="s">
        <v>2469</v>
      </c>
      <c r="B894" s="20">
        <v>45719</v>
      </c>
      <c r="C894" s="20">
        <v>45707</v>
      </c>
      <c r="D894" t="s">
        <v>28</v>
      </c>
      <c r="E894" t="s">
        <v>29</v>
      </c>
      <c r="F894" s="19"/>
      <c r="G894" t="s">
        <v>2874</v>
      </c>
      <c r="H894" t="s">
        <v>1141</v>
      </c>
      <c r="I894" t="s">
        <v>1142</v>
      </c>
      <c r="J894" s="8" t="str">
        <f t="shared" si="84"/>
        <v>FG--</v>
      </c>
      <c r="K894" t="s">
        <v>10</v>
      </c>
      <c r="L894" s="54">
        <v>520</v>
      </c>
      <c r="M894" t="s">
        <v>1472</v>
      </c>
      <c r="N894" t="s">
        <v>11</v>
      </c>
      <c r="O894" s="54">
        <v>0.67430000000000001</v>
      </c>
      <c r="P894" s="35">
        <f t="shared" si="79"/>
        <v>350.64</v>
      </c>
      <c r="Q894" s="10">
        <f t="shared" si="85"/>
        <v>7.3003400000000003</v>
      </c>
      <c r="R894" s="10">
        <f t="shared" si="86"/>
        <v>9.2399999999999996E-2</v>
      </c>
      <c r="S894" s="11">
        <f t="shared" si="87"/>
        <v>48.05</v>
      </c>
      <c r="T894" s="10" t="s">
        <v>349</v>
      </c>
      <c r="U894" t="s">
        <v>64</v>
      </c>
      <c r="V894" s="58">
        <v>7.1775000000000002</v>
      </c>
      <c r="W894" s="38">
        <f t="shared" si="83"/>
        <v>48.852107279693485</v>
      </c>
    </row>
    <row r="895" spans="1:23">
      <c r="A895" t="s">
        <v>2475</v>
      </c>
      <c r="B895" s="20">
        <v>45719</v>
      </c>
      <c r="C895" s="20">
        <v>45709</v>
      </c>
      <c r="D895" t="s">
        <v>545</v>
      </c>
      <c r="E895" t="s">
        <v>546</v>
      </c>
      <c r="F895" s="19"/>
      <c r="G895" t="s">
        <v>2892</v>
      </c>
      <c r="H895" t="s">
        <v>557</v>
      </c>
      <c r="I895" t="s">
        <v>558</v>
      </c>
      <c r="J895" s="8" t="str">
        <f t="shared" si="84"/>
        <v>WHR-</v>
      </c>
      <c r="K895" t="s">
        <v>10</v>
      </c>
      <c r="L895" s="54">
        <v>6000</v>
      </c>
      <c r="M895" t="s">
        <v>1472</v>
      </c>
      <c r="N895" t="s">
        <v>11</v>
      </c>
      <c r="O895" s="54">
        <v>3.9800000000000002E-2</v>
      </c>
      <c r="P895" s="35">
        <f t="shared" si="79"/>
        <v>238.8</v>
      </c>
      <c r="Q895" s="10">
        <f t="shared" si="85"/>
        <v>7.3003400000000003</v>
      </c>
      <c r="R895" s="10">
        <f t="shared" si="86"/>
        <v>5.4999999999999997E-3</v>
      </c>
      <c r="S895" s="11">
        <f t="shared" si="87"/>
        <v>33</v>
      </c>
      <c r="T895" s="10" t="s">
        <v>349</v>
      </c>
      <c r="U895" t="s">
        <v>248</v>
      </c>
      <c r="V895" s="58">
        <v>7.1775000000000002</v>
      </c>
      <c r="W895" s="38">
        <f t="shared" si="83"/>
        <v>33.270637408568447</v>
      </c>
    </row>
    <row r="896" spans="1:23">
      <c r="A896" t="s">
        <v>2478</v>
      </c>
      <c r="B896" s="20">
        <v>45719</v>
      </c>
      <c r="C896" s="20">
        <v>45709</v>
      </c>
      <c r="D896" t="s">
        <v>169</v>
      </c>
      <c r="E896" t="s">
        <v>170</v>
      </c>
      <c r="F896" s="19"/>
      <c r="G896" t="s">
        <v>2921</v>
      </c>
      <c r="H896" t="s">
        <v>3145</v>
      </c>
      <c r="I896" t="s">
        <v>3355</v>
      </c>
      <c r="J896" s="8" t="str">
        <f t="shared" si="84"/>
        <v>U&amp;C-</v>
      </c>
      <c r="K896" t="s">
        <v>10</v>
      </c>
      <c r="L896" s="54">
        <v>5000</v>
      </c>
      <c r="M896" t="s">
        <v>1472</v>
      </c>
      <c r="N896" t="s">
        <v>11</v>
      </c>
      <c r="O896" s="54">
        <v>0.222</v>
      </c>
      <c r="P896" s="35">
        <f t="shared" si="79"/>
        <v>1110</v>
      </c>
      <c r="Q896" s="10">
        <f t="shared" si="85"/>
        <v>7.3003400000000003</v>
      </c>
      <c r="R896" s="10">
        <f t="shared" si="86"/>
        <v>3.04E-2</v>
      </c>
      <c r="S896" s="11">
        <f t="shared" si="87"/>
        <v>152</v>
      </c>
      <c r="T896" s="10" t="s">
        <v>349</v>
      </c>
      <c r="U896" t="s">
        <v>177</v>
      </c>
      <c r="V896" s="58">
        <v>7.1775000000000002</v>
      </c>
      <c r="W896" s="38">
        <f t="shared" si="83"/>
        <v>154.64994775339602</v>
      </c>
    </row>
    <row r="897" spans="1:23">
      <c r="A897" t="s">
        <v>2480</v>
      </c>
      <c r="B897" s="20">
        <v>45719</v>
      </c>
      <c r="C897" s="20">
        <v>45709</v>
      </c>
      <c r="D897" t="s">
        <v>169</v>
      </c>
      <c r="E897" t="s">
        <v>170</v>
      </c>
      <c r="F897" s="19"/>
      <c r="G897" t="s">
        <v>2894</v>
      </c>
      <c r="H897" t="s">
        <v>1655</v>
      </c>
      <c r="I897" t="s">
        <v>1656</v>
      </c>
      <c r="J897" s="8" t="str">
        <f t="shared" si="84"/>
        <v>PRIM</v>
      </c>
      <c r="K897" t="s">
        <v>10</v>
      </c>
      <c r="L897" s="54">
        <v>1100</v>
      </c>
      <c r="M897" t="s">
        <v>1472</v>
      </c>
      <c r="N897" t="s">
        <v>11</v>
      </c>
      <c r="O897" s="54">
        <v>1.29</v>
      </c>
      <c r="P897" s="35">
        <f t="shared" si="79"/>
        <v>1419</v>
      </c>
      <c r="Q897" s="10">
        <f t="shared" si="85"/>
        <v>7.3003400000000003</v>
      </c>
      <c r="R897" s="10">
        <f t="shared" si="86"/>
        <v>0.1767</v>
      </c>
      <c r="S897" s="11">
        <f t="shared" si="87"/>
        <v>194.37</v>
      </c>
      <c r="T897" s="10" t="s">
        <v>349</v>
      </c>
      <c r="U897" t="s">
        <v>181</v>
      </c>
      <c r="V897" s="58">
        <v>7.1775000000000002</v>
      </c>
      <c r="W897" s="38">
        <f t="shared" si="83"/>
        <v>197.70114942528738</v>
      </c>
    </row>
    <row r="898" spans="1:23">
      <c r="A898" t="s">
        <v>2481</v>
      </c>
      <c r="B898" s="20">
        <v>45719</v>
      </c>
      <c r="C898" s="20">
        <v>45709</v>
      </c>
      <c r="D898" t="s">
        <v>545</v>
      </c>
      <c r="E898" t="s">
        <v>546</v>
      </c>
      <c r="F898" s="19"/>
      <c r="G898" t="s">
        <v>2892</v>
      </c>
      <c r="H898" t="s">
        <v>543</v>
      </c>
      <c r="I898" t="s">
        <v>544</v>
      </c>
      <c r="J898" s="8" t="str">
        <f t="shared" si="84"/>
        <v>WHR-</v>
      </c>
      <c r="K898" t="s">
        <v>10</v>
      </c>
      <c r="L898" s="54">
        <v>5000</v>
      </c>
      <c r="M898" t="s">
        <v>1472</v>
      </c>
      <c r="N898" t="s">
        <v>11</v>
      </c>
      <c r="O898" s="54">
        <v>4.2999999999999997E-2</v>
      </c>
      <c r="P898" s="35">
        <f t="shared" ref="P898:P961" si="88">ROUND(O898*L898,2)</f>
        <v>215</v>
      </c>
      <c r="Q898" s="10">
        <f t="shared" si="85"/>
        <v>7.3003400000000003</v>
      </c>
      <c r="R898" s="10">
        <f t="shared" si="86"/>
        <v>5.8999999999999999E-3</v>
      </c>
      <c r="S898" s="11">
        <f t="shared" si="87"/>
        <v>29.5</v>
      </c>
      <c r="T898" s="10" t="s">
        <v>349</v>
      </c>
      <c r="U898" t="s">
        <v>248</v>
      </c>
      <c r="V898" s="58">
        <v>7.1775000000000002</v>
      </c>
      <c r="W898" s="38">
        <f t="shared" ref="W898:W961" si="89">IF(N898="CNY",O898/V898*L898,1)</f>
        <v>29.954719609892017</v>
      </c>
    </row>
    <row r="899" spans="1:23">
      <c r="A899" t="s">
        <v>2099</v>
      </c>
      <c r="B899" s="20">
        <v>45719</v>
      </c>
      <c r="C899" s="20">
        <v>45713</v>
      </c>
      <c r="D899" t="s">
        <v>2257</v>
      </c>
      <c r="E899" t="s">
        <v>2258</v>
      </c>
      <c r="F899" s="19"/>
      <c r="G899" t="s">
        <v>2953</v>
      </c>
      <c r="H899" t="s">
        <v>1798</v>
      </c>
      <c r="I899" t="s">
        <v>1799</v>
      </c>
      <c r="J899" s="8" t="str">
        <f t="shared" si="84"/>
        <v>HDL-</v>
      </c>
      <c r="K899" t="s">
        <v>10</v>
      </c>
      <c r="L899" s="54">
        <v>400</v>
      </c>
      <c r="M899" t="s">
        <v>1472</v>
      </c>
      <c r="N899" t="s">
        <v>11</v>
      </c>
      <c r="O899" s="54">
        <v>7.4931000000000001</v>
      </c>
      <c r="P899" s="35">
        <f t="shared" si="88"/>
        <v>2997.24</v>
      </c>
      <c r="Q899" s="10">
        <f t="shared" si="85"/>
        <v>7.3003400000000003</v>
      </c>
      <c r="R899" s="10">
        <f t="shared" si="86"/>
        <v>1.0264</v>
      </c>
      <c r="S899" s="11">
        <f t="shared" si="87"/>
        <v>410.56</v>
      </c>
      <c r="T899" s="10" t="s">
        <v>349</v>
      </c>
      <c r="U899" t="s">
        <v>228</v>
      </c>
      <c r="V899" s="58">
        <v>7.1775000000000002</v>
      </c>
      <c r="W899" s="38">
        <f t="shared" si="89"/>
        <v>417.58829676071053</v>
      </c>
    </row>
    <row r="900" spans="1:23">
      <c r="A900" t="s">
        <v>2102</v>
      </c>
      <c r="B900" s="20">
        <v>45719</v>
      </c>
      <c r="C900" s="20">
        <v>45713</v>
      </c>
      <c r="D900" t="s">
        <v>2257</v>
      </c>
      <c r="E900" t="s">
        <v>2258</v>
      </c>
      <c r="F900" s="19"/>
      <c r="G900" t="s">
        <v>2953</v>
      </c>
      <c r="H900" t="s">
        <v>1800</v>
      </c>
      <c r="I900" t="s">
        <v>1801</v>
      </c>
      <c r="J900" s="8" t="str">
        <f t="shared" si="84"/>
        <v>HDL-</v>
      </c>
      <c r="K900" t="s">
        <v>10</v>
      </c>
      <c r="L900" s="54">
        <v>900</v>
      </c>
      <c r="M900" t="s">
        <v>1472</v>
      </c>
      <c r="N900" t="s">
        <v>11</v>
      </c>
      <c r="O900" s="54">
        <v>7.4931000000000001</v>
      </c>
      <c r="P900" s="35">
        <f t="shared" si="88"/>
        <v>6743.79</v>
      </c>
      <c r="Q900" s="10">
        <f t="shared" si="85"/>
        <v>7.3003400000000003</v>
      </c>
      <c r="R900" s="10">
        <f t="shared" si="86"/>
        <v>1.0264</v>
      </c>
      <c r="S900" s="11">
        <f t="shared" si="87"/>
        <v>923.76</v>
      </c>
      <c r="T900" s="10" t="s">
        <v>349</v>
      </c>
      <c r="U900" t="s">
        <v>228</v>
      </c>
      <c r="V900" s="58">
        <v>7.1775000000000002</v>
      </c>
      <c r="W900" s="38">
        <f t="shared" si="89"/>
        <v>939.57366771159866</v>
      </c>
    </row>
    <row r="901" spans="1:23">
      <c r="A901" t="s">
        <v>2105</v>
      </c>
      <c r="B901" s="20">
        <v>45719</v>
      </c>
      <c r="C901" s="20">
        <v>45713</v>
      </c>
      <c r="D901" t="s">
        <v>2257</v>
      </c>
      <c r="E901" t="s">
        <v>2258</v>
      </c>
      <c r="F901" s="19"/>
      <c r="G901" t="s">
        <v>2953</v>
      </c>
      <c r="H901" t="s">
        <v>1802</v>
      </c>
      <c r="I901" t="s">
        <v>1803</v>
      </c>
      <c r="J901" s="8" t="str">
        <f t="shared" si="84"/>
        <v>HDL-</v>
      </c>
      <c r="K901" t="s">
        <v>10</v>
      </c>
      <c r="L901" s="54">
        <v>200</v>
      </c>
      <c r="M901" t="s">
        <v>1472</v>
      </c>
      <c r="N901" t="s">
        <v>11</v>
      </c>
      <c r="O901" s="54">
        <v>7.6459999999999999</v>
      </c>
      <c r="P901" s="35">
        <f t="shared" si="88"/>
        <v>1529.2</v>
      </c>
      <c r="Q901" s="10">
        <f t="shared" si="85"/>
        <v>7.3003400000000003</v>
      </c>
      <c r="R901" s="10">
        <f t="shared" si="86"/>
        <v>1.0472999999999999</v>
      </c>
      <c r="S901" s="11">
        <f t="shared" si="87"/>
        <v>209.46</v>
      </c>
      <c r="T901" s="10" t="s">
        <v>349</v>
      </c>
      <c r="U901" t="s">
        <v>228</v>
      </c>
      <c r="V901" s="58">
        <v>7.1775000000000002</v>
      </c>
      <c r="W901" s="38">
        <f t="shared" si="89"/>
        <v>213.05468477882269</v>
      </c>
    </row>
    <row r="902" spans="1:23">
      <c r="A902" t="s">
        <v>2507</v>
      </c>
      <c r="B902" s="20">
        <v>45719</v>
      </c>
      <c r="C902" s="20">
        <v>45713</v>
      </c>
      <c r="D902" t="s">
        <v>268</v>
      </c>
      <c r="E902" t="s">
        <v>269</v>
      </c>
      <c r="F902" s="19"/>
      <c r="G902" t="s">
        <v>2958</v>
      </c>
      <c r="H902" t="s">
        <v>1077</v>
      </c>
      <c r="I902" t="s">
        <v>1078</v>
      </c>
      <c r="J902" s="8" t="str">
        <f t="shared" si="84"/>
        <v>MISC</v>
      </c>
      <c r="K902" t="s">
        <v>10</v>
      </c>
      <c r="L902" s="54">
        <v>250</v>
      </c>
      <c r="M902" t="s">
        <v>136</v>
      </c>
      <c r="N902" t="s">
        <v>11</v>
      </c>
      <c r="O902" s="54">
        <v>5.18</v>
      </c>
      <c r="P902" s="35">
        <f t="shared" si="88"/>
        <v>1295</v>
      </c>
      <c r="Q902" s="10">
        <f t="shared" si="85"/>
        <v>7.3003400000000003</v>
      </c>
      <c r="R902" s="10">
        <f t="shared" si="86"/>
        <v>0.70960000000000001</v>
      </c>
      <c r="S902" s="11">
        <f t="shared" si="87"/>
        <v>177.4</v>
      </c>
      <c r="T902" s="10" t="s">
        <v>349</v>
      </c>
      <c r="U902" t="s">
        <v>25</v>
      </c>
      <c r="V902" s="58">
        <v>7.1775000000000002</v>
      </c>
      <c r="W902" s="38">
        <f t="shared" si="89"/>
        <v>180.42493904562866</v>
      </c>
    </row>
    <row r="903" spans="1:23">
      <c r="A903" t="s">
        <v>2508</v>
      </c>
      <c r="B903" s="20">
        <v>45719</v>
      </c>
      <c r="C903" s="20">
        <v>45713</v>
      </c>
      <c r="D903" t="s">
        <v>268</v>
      </c>
      <c r="E903" t="s">
        <v>269</v>
      </c>
      <c r="F903" s="19"/>
      <c r="G903" t="s">
        <v>2958</v>
      </c>
      <c r="H903" t="s">
        <v>1073</v>
      </c>
      <c r="I903" t="s">
        <v>1074</v>
      </c>
      <c r="J903" s="8" t="str">
        <f t="shared" si="84"/>
        <v>MISC</v>
      </c>
      <c r="K903" t="s">
        <v>10</v>
      </c>
      <c r="L903" s="54">
        <v>250</v>
      </c>
      <c r="M903" t="s">
        <v>136</v>
      </c>
      <c r="N903" t="s">
        <v>11</v>
      </c>
      <c r="O903" s="54">
        <v>6.64</v>
      </c>
      <c r="P903" s="35">
        <f t="shared" si="88"/>
        <v>1660</v>
      </c>
      <c r="Q903" s="10">
        <f t="shared" si="85"/>
        <v>7.3003400000000003</v>
      </c>
      <c r="R903" s="10">
        <f t="shared" si="86"/>
        <v>0.90949999999999998</v>
      </c>
      <c r="S903" s="11">
        <f t="shared" si="87"/>
        <v>227.38</v>
      </c>
      <c r="T903" s="10" t="s">
        <v>349</v>
      </c>
      <c r="U903" t="s">
        <v>25</v>
      </c>
      <c r="V903" s="58">
        <v>7.1775000000000002</v>
      </c>
      <c r="W903" s="38">
        <f t="shared" si="89"/>
        <v>231.27830024381745</v>
      </c>
    </row>
    <row r="904" spans="1:23">
      <c r="A904" t="s">
        <v>2509</v>
      </c>
      <c r="B904" s="20">
        <v>45719</v>
      </c>
      <c r="C904" s="20">
        <v>45713</v>
      </c>
      <c r="D904" t="s">
        <v>169</v>
      </c>
      <c r="E904" t="s">
        <v>170</v>
      </c>
      <c r="F904" s="19"/>
      <c r="G904" t="s">
        <v>2921</v>
      </c>
      <c r="H904" t="s">
        <v>1117</v>
      </c>
      <c r="I904" t="s">
        <v>1118</v>
      </c>
      <c r="J904" s="8" t="str">
        <f t="shared" si="84"/>
        <v>U&amp;C-</v>
      </c>
      <c r="K904" t="s">
        <v>10</v>
      </c>
      <c r="L904" s="54">
        <v>2030</v>
      </c>
      <c r="M904" t="s">
        <v>1472</v>
      </c>
      <c r="N904" t="s">
        <v>11</v>
      </c>
      <c r="O904" s="54">
        <v>0.28499999999999998</v>
      </c>
      <c r="P904" s="35">
        <f t="shared" si="88"/>
        <v>578.54999999999995</v>
      </c>
      <c r="Q904" s="10">
        <f t="shared" si="85"/>
        <v>7.3003400000000003</v>
      </c>
      <c r="R904" s="10">
        <f t="shared" si="86"/>
        <v>3.9E-2</v>
      </c>
      <c r="S904" s="11">
        <f t="shared" si="87"/>
        <v>79.17</v>
      </c>
      <c r="T904" s="10" t="s">
        <v>349</v>
      </c>
      <c r="U904" t="s">
        <v>177</v>
      </c>
      <c r="V904" s="58">
        <v>7.1775000000000002</v>
      </c>
      <c r="W904" s="38">
        <f t="shared" si="89"/>
        <v>80.606060606060595</v>
      </c>
    </row>
    <row r="905" spans="1:23">
      <c r="A905" t="s">
        <v>2510</v>
      </c>
      <c r="B905" s="20">
        <v>45719</v>
      </c>
      <c r="C905" s="20">
        <v>45713</v>
      </c>
      <c r="D905" t="s">
        <v>169</v>
      </c>
      <c r="E905" t="s">
        <v>170</v>
      </c>
      <c r="F905" s="19"/>
      <c r="G905" t="s">
        <v>2959</v>
      </c>
      <c r="H905" t="s">
        <v>3153</v>
      </c>
      <c r="I905" t="s">
        <v>3363</v>
      </c>
      <c r="J905" s="8" t="str">
        <f t="shared" si="84"/>
        <v>U&amp;C-</v>
      </c>
      <c r="K905" t="s">
        <v>10</v>
      </c>
      <c r="L905" s="54">
        <v>1010</v>
      </c>
      <c r="M905" t="s">
        <v>1472</v>
      </c>
      <c r="N905" t="s">
        <v>11</v>
      </c>
      <c r="O905" s="54">
        <v>0.65</v>
      </c>
      <c r="P905" s="35">
        <f t="shared" si="88"/>
        <v>656.5</v>
      </c>
      <c r="Q905" s="10">
        <f t="shared" si="85"/>
        <v>7.3003400000000003</v>
      </c>
      <c r="R905" s="10">
        <f t="shared" si="86"/>
        <v>8.8999999999999996E-2</v>
      </c>
      <c r="S905" s="11">
        <f t="shared" si="87"/>
        <v>89.89</v>
      </c>
      <c r="T905" s="10" t="s">
        <v>349</v>
      </c>
      <c r="U905" t="s">
        <v>177</v>
      </c>
      <c r="V905" s="58">
        <v>7.1775000000000002</v>
      </c>
      <c r="W905" s="38">
        <f t="shared" si="89"/>
        <v>91.466388018112156</v>
      </c>
    </row>
    <row r="906" spans="1:23">
      <c r="A906" t="s">
        <v>2511</v>
      </c>
      <c r="B906" s="20">
        <v>45719</v>
      </c>
      <c r="C906" s="20">
        <v>45713</v>
      </c>
      <c r="D906" t="s">
        <v>169</v>
      </c>
      <c r="E906" t="s">
        <v>170</v>
      </c>
      <c r="F906" s="19"/>
      <c r="G906" t="s">
        <v>2921</v>
      </c>
      <c r="H906" t="s">
        <v>3154</v>
      </c>
      <c r="I906" t="s">
        <v>3364</v>
      </c>
      <c r="J906" s="8" t="str">
        <f t="shared" si="84"/>
        <v>STKR</v>
      </c>
      <c r="K906" t="s">
        <v>10</v>
      </c>
      <c r="L906" s="54">
        <v>1010</v>
      </c>
      <c r="M906" t="s">
        <v>1472</v>
      </c>
      <c r="N906" t="s">
        <v>11</v>
      </c>
      <c r="O906" s="54">
        <v>0.96</v>
      </c>
      <c r="P906" s="35">
        <f t="shared" si="88"/>
        <v>969.6</v>
      </c>
      <c r="Q906" s="10">
        <f t="shared" si="85"/>
        <v>7.3003400000000003</v>
      </c>
      <c r="R906" s="10">
        <f t="shared" si="86"/>
        <v>0.13150000000000001</v>
      </c>
      <c r="S906" s="11">
        <f t="shared" si="87"/>
        <v>132.82</v>
      </c>
      <c r="T906" s="10" t="s">
        <v>349</v>
      </c>
      <c r="U906" t="s">
        <v>18</v>
      </c>
      <c r="V906" s="58">
        <v>7.1775000000000002</v>
      </c>
      <c r="W906" s="38">
        <f t="shared" si="89"/>
        <v>135.08881922675025</v>
      </c>
    </row>
    <row r="907" spans="1:23">
      <c r="A907" t="s">
        <v>2513</v>
      </c>
      <c r="B907" s="20">
        <v>45719</v>
      </c>
      <c r="C907" s="20">
        <v>45713</v>
      </c>
      <c r="D907" t="s">
        <v>169</v>
      </c>
      <c r="E907" t="s">
        <v>170</v>
      </c>
      <c r="F907" s="19"/>
      <c r="G907" t="s">
        <v>2959</v>
      </c>
      <c r="H907" t="s">
        <v>3156</v>
      </c>
      <c r="I907" t="s">
        <v>3366</v>
      </c>
      <c r="J907" s="8" t="str">
        <f t="shared" si="84"/>
        <v>U&amp;C-</v>
      </c>
      <c r="K907" t="s">
        <v>10</v>
      </c>
      <c r="L907" s="54">
        <v>1010</v>
      </c>
      <c r="M907" t="s">
        <v>1472</v>
      </c>
      <c r="N907" t="s">
        <v>11</v>
      </c>
      <c r="O907" s="54">
        <v>0.22839999999999999</v>
      </c>
      <c r="P907" s="35">
        <f t="shared" si="88"/>
        <v>230.68</v>
      </c>
      <c r="Q907" s="10">
        <f t="shared" si="85"/>
        <v>7.3003400000000003</v>
      </c>
      <c r="R907" s="10">
        <f t="shared" si="86"/>
        <v>3.1300000000000001E-2</v>
      </c>
      <c r="S907" s="11">
        <f t="shared" si="87"/>
        <v>31.61</v>
      </c>
      <c r="T907" s="10" t="s">
        <v>349</v>
      </c>
      <c r="U907" t="s">
        <v>177</v>
      </c>
      <c r="V907" s="58">
        <v>7.1775000000000002</v>
      </c>
      <c r="W907" s="38">
        <f t="shared" si="89"/>
        <v>32.139881574364331</v>
      </c>
    </row>
    <row r="908" spans="1:23">
      <c r="A908" t="s">
        <v>2514</v>
      </c>
      <c r="B908" s="20">
        <v>45719</v>
      </c>
      <c r="C908" s="20">
        <v>45713</v>
      </c>
      <c r="D908" t="s">
        <v>169</v>
      </c>
      <c r="E908" t="s">
        <v>170</v>
      </c>
      <c r="F908" s="19"/>
      <c r="G908" t="s">
        <v>2887</v>
      </c>
      <c r="H908" t="s">
        <v>3157</v>
      </c>
      <c r="I908" t="s">
        <v>3367</v>
      </c>
      <c r="J908" s="8" t="str">
        <f t="shared" si="84"/>
        <v>STKR</v>
      </c>
      <c r="K908" t="s">
        <v>10</v>
      </c>
      <c r="L908" s="54">
        <v>3600</v>
      </c>
      <c r="M908" t="s">
        <v>1472</v>
      </c>
      <c r="N908" t="s">
        <v>11</v>
      </c>
      <c r="O908" s="54">
        <v>3.5000000000000003E-2</v>
      </c>
      <c r="P908" s="35">
        <f t="shared" si="88"/>
        <v>126</v>
      </c>
      <c r="Q908" s="10">
        <f t="shared" si="85"/>
        <v>7.3003400000000003</v>
      </c>
      <c r="R908" s="10">
        <f t="shared" si="86"/>
        <v>4.7999999999999996E-3</v>
      </c>
      <c r="S908" s="11">
        <f t="shared" si="87"/>
        <v>17.28</v>
      </c>
      <c r="T908" s="10" t="s">
        <v>349</v>
      </c>
      <c r="U908" t="s">
        <v>18</v>
      </c>
      <c r="V908" s="58">
        <v>7.1775000000000002</v>
      </c>
      <c r="W908" s="38">
        <f t="shared" si="89"/>
        <v>17.554858934169278</v>
      </c>
    </row>
    <row r="909" spans="1:23">
      <c r="A909" t="s">
        <v>2517</v>
      </c>
      <c r="B909" s="20">
        <v>45719</v>
      </c>
      <c r="C909" s="20">
        <v>45713</v>
      </c>
      <c r="D909" t="s">
        <v>169</v>
      </c>
      <c r="E909" t="s">
        <v>170</v>
      </c>
      <c r="F909" s="19"/>
      <c r="G909" t="s">
        <v>2962</v>
      </c>
      <c r="H909" t="s">
        <v>3158</v>
      </c>
      <c r="I909" t="s">
        <v>3368</v>
      </c>
      <c r="J909" s="8" t="str">
        <f t="shared" si="84"/>
        <v>PAP-</v>
      </c>
      <c r="K909" t="s">
        <v>10</v>
      </c>
      <c r="L909" s="54">
        <v>2000</v>
      </c>
      <c r="M909" t="s">
        <v>1472</v>
      </c>
      <c r="N909" t="s">
        <v>11</v>
      </c>
      <c r="O909" s="54">
        <v>0.12</v>
      </c>
      <c r="P909" s="35">
        <f t="shared" si="88"/>
        <v>240</v>
      </c>
      <c r="Q909" s="10">
        <f t="shared" si="85"/>
        <v>7.3003400000000003</v>
      </c>
      <c r="R909" s="10">
        <f t="shared" si="86"/>
        <v>1.6400000000000001E-2</v>
      </c>
      <c r="S909" s="11">
        <f t="shared" si="87"/>
        <v>32.799999999999997</v>
      </c>
      <c r="T909" s="10" t="s">
        <v>349</v>
      </c>
      <c r="U909" t="s">
        <v>1094</v>
      </c>
      <c r="V909" s="58">
        <v>7.1775000000000002</v>
      </c>
      <c r="W909" s="38">
        <f t="shared" si="89"/>
        <v>33.437826541274816</v>
      </c>
    </row>
    <row r="910" spans="1:23">
      <c r="A910" t="s">
        <v>2518</v>
      </c>
      <c r="B910" s="20">
        <v>45719</v>
      </c>
      <c r="C910" s="20">
        <v>45713</v>
      </c>
      <c r="D910" t="s">
        <v>169</v>
      </c>
      <c r="E910" t="s">
        <v>170</v>
      </c>
      <c r="F910" s="19"/>
      <c r="G910" t="s">
        <v>2963</v>
      </c>
      <c r="H910" t="s">
        <v>1561</v>
      </c>
      <c r="I910" t="s">
        <v>1562</v>
      </c>
      <c r="J910" s="8" t="str">
        <f t="shared" si="84"/>
        <v>STKR</v>
      </c>
      <c r="K910" t="s">
        <v>10</v>
      </c>
      <c r="L910" s="54">
        <v>3000</v>
      </c>
      <c r="M910" t="s">
        <v>1472</v>
      </c>
      <c r="N910" t="s">
        <v>11</v>
      </c>
      <c r="O910" s="54">
        <v>3.5000000000000003E-2</v>
      </c>
      <c r="P910" s="35">
        <f t="shared" si="88"/>
        <v>105</v>
      </c>
      <c r="Q910" s="10">
        <f t="shared" si="85"/>
        <v>7.3003400000000003</v>
      </c>
      <c r="R910" s="10">
        <f t="shared" si="86"/>
        <v>4.7999999999999996E-3</v>
      </c>
      <c r="S910" s="11">
        <f t="shared" si="87"/>
        <v>14.4</v>
      </c>
      <c r="T910" s="10" t="s">
        <v>349</v>
      </c>
      <c r="U910" t="s">
        <v>18</v>
      </c>
      <c r="V910" s="58">
        <v>7.1775000000000002</v>
      </c>
      <c r="W910" s="38">
        <f t="shared" si="89"/>
        <v>14.629049111807733</v>
      </c>
    </row>
    <row r="911" spans="1:23">
      <c r="A911" t="s">
        <v>2520</v>
      </c>
      <c r="B911" s="20">
        <v>45719</v>
      </c>
      <c r="C911" s="20">
        <v>45713</v>
      </c>
      <c r="D911" t="s">
        <v>169</v>
      </c>
      <c r="E911" t="s">
        <v>170</v>
      </c>
      <c r="F911" s="19"/>
      <c r="G911" t="s">
        <v>2959</v>
      </c>
      <c r="H911" t="s">
        <v>3159</v>
      </c>
      <c r="I911" t="s">
        <v>3369</v>
      </c>
      <c r="J911" s="8" t="str">
        <f t="shared" si="84"/>
        <v>U&amp;C-</v>
      </c>
      <c r="K911" t="s">
        <v>10</v>
      </c>
      <c r="L911" s="54">
        <v>5530</v>
      </c>
      <c r="M911" t="s">
        <v>1472</v>
      </c>
      <c r="N911" t="s">
        <v>11</v>
      </c>
      <c r="O911" s="54">
        <v>0.252</v>
      </c>
      <c r="P911" s="35">
        <f t="shared" si="88"/>
        <v>1393.56</v>
      </c>
      <c r="Q911" s="10">
        <f t="shared" si="85"/>
        <v>7.3003400000000003</v>
      </c>
      <c r="R911" s="10">
        <f t="shared" si="86"/>
        <v>3.4500000000000003E-2</v>
      </c>
      <c r="S911" s="11">
        <f t="shared" si="87"/>
        <v>190.79</v>
      </c>
      <c r="T911" s="10" t="s">
        <v>349</v>
      </c>
      <c r="U911" t="s">
        <v>177</v>
      </c>
      <c r="V911" s="58">
        <v>7.1775000000000002</v>
      </c>
      <c r="W911" s="38">
        <f t="shared" si="89"/>
        <v>194.15673981191225</v>
      </c>
    </row>
    <row r="912" spans="1:23">
      <c r="A912" t="s">
        <v>2521</v>
      </c>
      <c r="B912" s="20">
        <v>45719</v>
      </c>
      <c r="C912" s="20">
        <v>45713</v>
      </c>
      <c r="D912" t="s">
        <v>169</v>
      </c>
      <c r="E912" t="s">
        <v>170</v>
      </c>
      <c r="F912" s="19"/>
      <c r="G912" t="s">
        <v>2959</v>
      </c>
      <c r="H912" t="s">
        <v>3160</v>
      </c>
      <c r="I912" t="s">
        <v>3370</v>
      </c>
      <c r="J912" s="8" t="str">
        <f t="shared" si="84"/>
        <v>U&amp;C-</v>
      </c>
      <c r="K912" t="s">
        <v>10</v>
      </c>
      <c r="L912" s="54">
        <v>1600</v>
      </c>
      <c r="M912" t="s">
        <v>1472</v>
      </c>
      <c r="N912" t="s">
        <v>11</v>
      </c>
      <c r="O912" s="54">
        <v>0.29499999999999998</v>
      </c>
      <c r="P912" s="35">
        <f t="shared" si="88"/>
        <v>472</v>
      </c>
      <c r="Q912" s="10">
        <f t="shared" si="85"/>
        <v>7.3003400000000003</v>
      </c>
      <c r="R912" s="10">
        <f t="shared" si="86"/>
        <v>4.0399999999999998E-2</v>
      </c>
      <c r="S912" s="11">
        <f t="shared" si="87"/>
        <v>64.64</v>
      </c>
      <c r="T912" s="10" t="s">
        <v>349</v>
      </c>
      <c r="U912" t="s">
        <v>177</v>
      </c>
      <c r="V912" s="58">
        <v>7.1775000000000002</v>
      </c>
      <c r="W912" s="38">
        <f t="shared" si="89"/>
        <v>65.761058864507135</v>
      </c>
    </row>
    <row r="913" spans="1:23">
      <c r="A913" t="s">
        <v>2522</v>
      </c>
      <c r="B913" s="20">
        <v>45719</v>
      </c>
      <c r="C913" s="20">
        <v>45713</v>
      </c>
      <c r="D913" t="s">
        <v>169</v>
      </c>
      <c r="E913" t="s">
        <v>170</v>
      </c>
      <c r="F913" s="19"/>
      <c r="G913" t="s">
        <v>2921</v>
      </c>
      <c r="H913" t="s">
        <v>3161</v>
      </c>
      <c r="I913" t="s">
        <v>3371</v>
      </c>
      <c r="J913" s="8" t="str">
        <f t="shared" si="84"/>
        <v>U&amp;C-</v>
      </c>
      <c r="K913" t="s">
        <v>10</v>
      </c>
      <c r="L913" s="54">
        <v>3100</v>
      </c>
      <c r="M913" t="s">
        <v>1472</v>
      </c>
      <c r="N913" t="s">
        <v>11</v>
      </c>
      <c r="O913" s="54">
        <v>0.30759999999999998</v>
      </c>
      <c r="P913" s="35">
        <f t="shared" si="88"/>
        <v>953.56</v>
      </c>
      <c r="Q913" s="10">
        <f t="shared" si="85"/>
        <v>7.3003400000000003</v>
      </c>
      <c r="R913" s="10">
        <f t="shared" si="86"/>
        <v>4.2099999999999999E-2</v>
      </c>
      <c r="S913" s="11">
        <f t="shared" si="87"/>
        <v>130.51</v>
      </c>
      <c r="T913" s="10" t="s">
        <v>349</v>
      </c>
      <c r="U913" t="s">
        <v>177</v>
      </c>
      <c r="V913" s="58">
        <v>7.1775000000000002</v>
      </c>
      <c r="W913" s="38">
        <f t="shared" si="89"/>
        <v>132.85405781957505</v>
      </c>
    </row>
    <row r="914" spans="1:23">
      <c r="A914" t="s">
        <v>2543</v>
      </c>
      <c r="B914" s="20">
        <v>45719</v>
      </c>
      <c r="C914" s="20">
        <v>45714</v>
      </c>
      <c r="D914" t="s">
        <v>169</v>
      </c>
      <c r="E914" t="s">
        <v>170</v>
      </c>
      <c r="F914" s="19"/>
      <c r="G914" t="s">
        <v>2959</v>
      </c>
      <c r="H914" t="s">
        <v>3167</v>
      </c>
      <c r="I914" t="s">
        <v>3377</v>
      </c>
      <c r="J914" s="8" t="str">
        <f t="shared" si="84"/>
        <v>U&amp;C-</v>
      </c>
      <c r="K914" t="s">
        <v>10</v>
      </c>
      <c r="L914" s="54">
        <v>3000</v>
      </c>
      <c r="M914" t="s">
        <v>1472</v>
      </c>
      <c r="N914" t="s">
        <v>11</v>
      </c>
      <c r="O914" s="54">
        <v>0.21929999999999999</v>
      </c>
      <c r="P914" s="35">
        <f t="shared" si="88"/>
        <v>657.9</v>
      </c>
      <c r="Q914" s="10">
        <f t="shared" si="85"/>
        <v>7.3003400000000003</v>
      </c>
      <c r="R914" s="10">
        <f t="shared" si="86"/>
        <v>0.03</v>
      </c>
      <c r="S914" s="11">
        <f t="shared" si="87"/>
        <v>90</v>
      </c>
      <c r="T914" s="10" t="s">
        <v>349</v>
      </c>
      <c r="U914" t="s">
        <v>177</v>
      </c>
      <c r="V914" s="58">
        <v>7.1775000000000002</v>
      </c>
      <c r="W914" s="38">
        <f t="shared" si="89"/>
        <v>91.661442006269581</v>
      </c>
    </row>
    <row r="915" spans="1:23">
      <c r="A915" t="s">
        <v>2601</v>
      </c>
      <c r="B915" s="20">
        <v>45719</v>
      </c>
      <c r="C915" s="20">
        <v>45719</v>
      </c>
      <c r="D915" t="s">
        <v>5</v>
      </c>
      <c r="E915" t="s">
        <v>6</v>
      </c>
      <c r="F915" s="19"/>
      <c r="G915" t="s">
        <v>3008</v>
      </c>
      <c r="H915" t="s">
        <v>3193</v>
      </c>
      <c r="I915" t="s">
        <v>3400</v>
      </c>
      <c r="J915" s="8" t="str">
        <f t="shared" si="84"/>
        <v>BOX-</v>
      </c>
      <c r="K915" t="s">
        <v>10</v>
      </c>
      <c r="L915" s="54">
        <v>9100</v>
      </c>
      <c r="M915" t="s">
        <v>1472</v>
      </c>
      <c r="N915" t="s">
        <v>11</v>
      </c>
      <c r="O915" s="54">
        <v>3.75</v>
      </c>
      <c r="P915" s="35">
        <f t="shared" si="88"/>
        <v>34125</v>
      </c>
      <c r="Q915" s="10">
        <f t="shared" si="85"/>
        <v>7.3003400000000003</v>
      </c>
      <c r="R915" s="10">
        <f t="shared" si="86"/>
        <v>0.51370000000000005</v>
      </c>
      <c r="S915" s="11">
        <f t="shared" si="87"/>
        <v>4674.67</v>
      </c>
      <c r="T915" s="10" t="s">
        <v>349</v>
      </c>
      <c r="U915" t="s">
        <v>1</v>
      </c>
      <c r="V915" s="58">
        <v>7.1775000000000002</v>
      </c>
      <c r="W915" s="38">
        <f t="shared" si="89"/>
        <v>4754.4409613375128</v>
      </c>
    </row>
    <row r="916" spans="1:23">
      <c r="A916" t="s">
        <v>2602</v>
      </c>
      <c r="B916" s="20">
        <v>45719</v>
      </c>
      <c r="C916" s="20">
        <v>45719</v>
      </c>
      <c r="D916" t="s">
        <v>5</v>
      </c>
      <c r="E916" t="s">
        <v>6</v>
      </c>
      <c r="F916" s="19"/>
      <c r="G916" t="s">
        <v>3008</v>
      </c>
      <c r="H916" t="s">
        <v>3193</v>
      </c>
      <c r="I916" t="s">
        <v>3400</v>
      </c>
      <c r="J916" s="8" t="str">
        <f t="shared" si="84"/>
        <v>BOX-</v>
      </c>
      <c r="K916" t="s">
        <v>10</v>
      </c>
      <c r="L916" s="54">
        <v>50</v>
      </c>
      <c r="M916" t="s">
        <v>1472</v>
      </c>
      <c r="N916" t="s">
        <v>11</v>
      </c>
      <c r="O916" s="54">
        <v>3.75</v>
      </c>
      <c r="P916" s="35">
        <f t="shared" si="88"/>
        <v>187.5</v>
      </c>
      <c r="Q916" s="10">
        <f t="shared" si="85"/>
        <v>7.3003400000000003</v>
      </c>
      <c r="R916" s="10">
        <f t="shared" si="86"/>
        <v>0.51370000000000005</v>
      </c>
      <c r="S916" s="11">
        <f t="shared" si="87"/>
        <v>25.69</v>
      </c>
      <c r="T916" s="10" t="s">
        <v>349</v>
      </c>
      <c r="U916" t="s">
        <v>1</v>
      </c>
      <c r="V916" s="58">
        <v>7.1775000000000002</v>
      </c>
      <c r="W916" s="38">
        <f t="shared" si="89"/>
        <v>26.123301985370951</v>
      </c>
    </row>
    <row r="917" spans="1:23">
      <c r="A917" t="s">
        <v>2275</v>
      </c>
      <c r="B917" s="20">
        <v>45720</v>
      </c>
      <c r="C917" s="20">
        <v>45509</v>
      </c>
      <c r="D917" t="s">
        <v>128</v>
      </c>
      <c r="E917" t="s">
        <v>129</v>
      </c>
      <c r="F917" s="19"/>
      <c r="G917" t="s">
        <v>2843</v>
      </c>
      <c r="H917" t="s">
        <v>26</v>
      </c>
      <c r="I917" t="s">
        <v>27</v>
      </c>
      <c r="J917" s="8" t="str">
        <f t="shared" ref="J917:J980" si="90">+LEFT(U917,4)</f>
        <v>KNOB</v>
      </c>
      <c r="K917" t="s">
        <v>10</v>
      </c>
      <c r="L917" s="54">
        <v>-1209</v>
      </c>
      <c r="M917" t="s">
        <v>1472</v>
      </c>
      <c r="N917" t="s">
        <v>11</v>
      </c>
      <c r="O917" s="54">
        <v>2.2957000000000001</v>
      </c>
      <c r="P917" s="35">
        <f t="shared" si="88"/>
        <v>-2775.5</v>
      </c>
      <c r="Q917" s="10">
        <f t="shared" ref="Q917:Q980" si="91">IF(N917="HKD",7.8,IF(N917="CNY",7.30034,1))</f>
        <v>7.3003400000000003</v>
      </c>
      <c r="R917" s="10">
        <f t="shared" ref="R917:R980" si="92">+ROUND(O917/Q917,4)</f>
        <v>0.3145</v>
      </c>
      <c r="S917" s="11">
        <f t="shared" ref="S917:S980" si="93">ROUND(R917*L917,2)</f>
        <v>-380.23</v>
      </c>
      <c r="T917" s="10" t="s">
        <v>349</v>
      </c>
      <c r="U917" t="s">
        <v>32</v>
      </c>
      <c r="V917" s="58">
        <v>7.1775000000000002</v>
      </c>
      <c r="W917" s="38">
        <f t="shared" si="89"/>
        <v>-386.69471264367814</v>
      </c>
    </row>
    <row r="918" spans="1:23">
      <c r="A918" t="s">
        <v>2276</v>
      </c>
      <c r="B918" s="20">
        <v>45720</v>
      </c>
      <c r="C918" s="20">
        <v>45576</v>
      </c>
      <c r="D918" t="s">
        <v>121</v>
      </c>
      <c r="E918" t="s">
        <v>122</v>
      </c>
      <c r="F918" s="19"/>
      <c r="G918" t="s">
        <v>2845</v>
      </c>
      <c r="H918" t="s">
        <v>3058</v>
      </c>
      <c r="I918" t="s">
        <v>3275</v>
      </c>
      <c r="J918" s="8" t="str">
        <f t="shared" si="90"/>
        <v>LHDL</v>
      </c>
      <c r="K918" t="s">
        <v>10</v>
      </c>
      <c r="L918" s="54">
        <v>1620</v>
      </c>
      <c r="M918" t="s">
        <v>1472</v>
      </c>
      <c r="N918" t="s">
        <v>11</v>
      </c>
      <c r="O918" s="54">
        <v>7.3152999999999997</v>
      </c>
      <c r="P918" s="35">
        <f t="shared" si="88"/>
        <v>11850.79</v>
      </c>
      <c r="Q918" s="10">
        <f t="shared" si="91"/>
        <v>7.3003400000000003</v>
      </c>
      <c r="R918" s="10">
        <f t="shared" si="92"/>
        <v>1.002</v>
      </c>
      <c r="S918" s="11">
        <f t="shared" si="93"/>
        <v>1623.24</v>
      </c>
      <c r="T918" s="10" t="s">
        <v>349</v>
      </c>
      <c r="U918" t="s">
        <v>125</v>
      </c>
      <c r="V918" s="58">
        <v>7.1775000000000002</v>
      </c>
      <c r="W918" s="38">
        <f t="shared" si="89"/>
        <v>1651.1021943573667</v>
      </c>
    </row>
    <row r="919" spans="1:23">
      <c r="A919" t="s">
        <v>2277</v>
      </c>
      <c r="B919" s="20">
        <v>45720</v>
      </c>
      <c r="C919" s="20">
        <v>45576</v>
      </c>
      <c r="D919" t="s">
        <v>121</v>
      </c>
      <c r="E919" t="s">
        <v>122</v>
      </c>
      <c r="F919" s="19"/>
      <c r="G919" t="s">
        <v>2845</v>
      </c>
      <c r="H919" t="s">
        <v>3059</v>
      </c>
      <c r="I919" t="s">
        <v>963</v>
      </c>
      <c r="J919" s="8" t="str">
        <f t="shared" si="90"/>
        <v>LHDL</v>
      </c>
      <c r="K919" t="s">
        <v>10</v>
      </c>
      <c r="L919" s="54">
        <v>1010</v>
      </c>
      <c r="M919" t="s">
        <v>1472</v>
      </c>
      <c r="N919" t="s">
        <v>11</v>
      </c>
      <c r="O919" s="54">
        <v>7.3506999999999998</v>
      </c>
      <c r="P919" s="35">
        <f t="shared" si="88"/>
        <v>7424.21</v>
      </c>
      <c r="Q919" s="10">
        <f t="shared" si="91"/>
        <v>7.3003400000000003</v>
      </c>
      <c r="R919" s="10">
        <f t="shared" si="92"/>
        <v>1.0068999999999999</v>
      </c>
      <c r="S919" s="11">
        <f t="shared" si="93"/>
        <v>1016.97</v>
      </c>
      <c r="T919" s="10" t="s">
        <v>349</v>
      </c>
      <c r="U919" t="s">
        <v>125</v>
      </c>
      <c r="V919" s="58">
        <v>7.1775000000000002</v>
      </c>
      <c r="W919" s="38">
        <f t="shared" si="89"/>
        <v>1034.3722744688259</v>
      </c>
    </row>
    <row r="920" spans="1:23">
      <c r="A920" t="s">
        <v>2278</v>
      </c>
      <c r="B920" s="20">
        <v>45720</v>
      </c>
      <c r="C920" s="20">
        <v>45576</v>
      </c>
      <c r="D920" t="s">
        <v>121</v>
      </c>
      <c r="E920" t="s">
        <v>122</v>
      </c>
      <c r="F920" s="19"/>
      <c r="G920" t="s">
        <v>2845</v>
      </c>
      <c r="H920" t="s">
        <v>119</v>
      </c>
      <c r="I920" t="s">
        <v>120</v>
      </c>
      <c r="J920" s="8" t="str">
        <f t="shared" si="90"/>
        <v>LHDL</v>
      </c>
      <c r="K920" t="s">
        <v>10</v>
      </c>
      <c r="L920" s="54">
        <v>410</v>
      </c>
      <c r="M920" t="s">
        <v>1472</v>
      </c>
      <c r="N920" t="s">
        <v>11</v>
      </c>
      <c r="O920" s="54">
        <v>7.4566999999999997</v>
      </c>
      <c r="P920" s="35">
        <f t="shared" si="88"/>
        <v>3057.25</v>
      </c>
      <c r="Q920" s="10">
        <f t="shared" si="91"/>
        <v>7.3003400000000003</v>
      </c>
      <c r="R920" s="10">
        <f t="shared" si="92"/>
        <v>1.0214000000000001</v>
      </c>
      <c r="S920" s="11">
        <f t="shared" si="93"/>
        <v>418.77</v>
      </c>
      <c r="T920" s="10" t="s">
        <v>349</v>
      </c>
      <c r="U920" t="s">
        <v>125</v>
      </c>
      <c r="V920" s="58">
        <v>7.1775000000000002</v>
      </c>
      <c r="W920" s="38">
        <f t="shared" si="89"/>
        <v>425.94872866597001</v>
      </c>
    </row>
    <row r="921" spans="1:23">
      <c r="A921" t="s">
        <v>2279</v>
      </c>
      <c r="B921" s="20">
        <v>45720</v>
      </c>
      <c r="C921" s="20">
        <v>45576</v>
      </c>
      <c r="D921" t="s">
        <v>94</v>
      </c>
      <c r="E921" t="s">
        <v>95</v>
      </c>
      <c r="F921" s="19"/>
      <c r="G921" t="s">
        <v>2846</v>
      </c>
      <c r="H921" t="s">
        <v>3060</v>
      </c>
      <c r="I921" t="s">
        <v>3276</v>
      </c>
      <c r="J921" s="8" t="str">
        <f t="shared" si="90"/>
        <v>LID-</v>
      </c>
      <c r="K921" t="s">
        <v>98</v>
      </c>
      <c r="L921" s="54">
        <v>1620</v>
      </c>
      <c r="M921" t="s">
        <v>1472</v>
      </c>
      <c r="N921" t="s">
        <v>11</v>
      </c>
      <c r="O921" s="54">
        <v>3.2</v>
      </c>
      <c r="P921" s="35">
        <f t="shared" si="88"/>
        <v>5184</v>
      </c>
      <c r="Q921" s="10">
        <f t="shared" si="91"/>
        <v>7.3003400000000003</v>
      </c>
      <c r="R921" s="10">
        <f t="shared" si="92"/>
        <v>0.43830000000000002</v>
      </c>
      <c r="S921" s="11">
        <f t="shared" si="93"/>
        <v>710.05</v>
      </c>
      <c r="T921" s="10" t="s">
        <v>349</v>
      </c>
      <c r="U921" t="s">
        <v>368</v>
      </c>
      <c r="V921" s="58">
        <v>7.1775000000000002</v>
      </c>
      <c r="W921" s="38">
        <f t="shared" si="89"/>
        <v>722.25705329153607</v>
      </c>
    </row>
    <row r="922" spans="1:23">
      <c r="A922" t="s">
        <v>2287</v>
      </c>
      <c r="B922" s="20">
        <v>45720</v>
      </c>
      <c r="C922" s="20">
        <v>45611</v>
      </c>
      <c r="D922" t="s">
        <v>121</v>
      </c>
      <c r="E922" t="s">
        <v>122</v>
      </c>
      <c r="F922" s="19"/>
      <c r="G922" t="s">
        <v>2845</v>
      </c>
      <c r="H922" t="s">
        <v>3059</v>
      </c>
      <c r="I922" t="s">
        <v>963</v>
      </c>
      <c r="J922" s="8" t="str">
        <f t="shared" si="90"/>
        <v>LHDL</v>
      </c>
      <c r="K922" t="s">
        <v>10</v>
      </c>
      <c r="L922" s="54">
        <v>1010</v>
      </c>
      <c r="M922" t="s">
        <v>1472</v>
      </c>
      <c r="N922" t="s">
        <v>11</v>
      </c>
      <c r="O922" s="54">
        <v>7.3506999999999998</v>
      </c>
      <c r="P922" s="35">
        <f t="shared" si="88"/>
        <v>7424.21</v>
      </c>
      <c r="Q922" s="10">
        <f t="shared" si="91"/>
        <v>7.3003400000000003</v>
      </c>
      <c r="R922" s="10">
        <f t="shared" si="92"/>
        <v>1.0068999999999999</v>
      </c>
      <c r="S922" s="11">
        <f t="shared" si="93"/>
        <v>1016.97</v>
      </c>
      <c r="T922" s="10" t="s">
        <v>349</v>
      </c>
      <c r="U922" t="s">
        <v>125</v>
      </c>
      <c r="V922" s="58">
        <v>7.1775000000000002</v>
      </c>
      <c r="W922" s="38">
        <f t="shared" si="89"/>
        <v>1034.3722744688259</v>
      </c>
    </row>
    <row r="923" spans="1:23">
      <c r="A923" t="s">
        <v>2288</v>
      </c>
      <c r="B923" s="20">
        <v>45720</v>
      </c>
      <c r="C923" s="20">
        <v>45611</v>
      </c>
      <c r="D923" t="s">
        <v>121</v>
      </c>
      <c r="E923" t="s">
        <v>122</v>
      </c>
      <c r="F923" s="19"/>
      <c r="G923" t="s">
        <v>2845</v>
      </c>
      <c r="H923" t="s">
        <v>1794</v>
      </c>
      <c r="I923" t="s">
        <v>1795</v>
      </c>
      <c r="J923" s="8" t="str">
        <f t="shared" si="90"/>
        <v>LHDL</v>
      </c>
      <c r="K923" t="s">
        <v>10</v>
      </c>
      <c r="L923" s="54">
        <v>510</v>
      </c>
      <c r="M923" t="s">
        <v>1472</v>
      </c>
      <c r="N923" t="s">
        <v>11</v>
      </c>
      <c r="O923" s="54">
        <v>7.4212999999999996</v>
      </c>
      <c r="P923" s="35">
        <f t="shared" si="88"/>
        <v>3784.86</v>
      </c>
      <c r="Q923" s="10">
        <f t="shared" si="91"/>
        <v>7.3003400000000003</v>
      </c>
      <c r="R923" s="10">
        <f t="shared" si="92"/>
        <v>1.0165999999999999</v>
      </c>
      <c r="S923" s="11">
        <f t="shared" si="93"/>
        <v>518.47</v>
      </c>
      <c r="T923" s="10" t="s">
        <v>349</v>
      </c>
      <c r="U923" t="s">
        <v>125</v>
      </c>
      <c r="V923" s="58">
        <v>7.1775000000000002</v>
      </c>
      <c r="W923" s="38">
        <f t="shared" si="89"/>
        <v>527.3233019853709</v>
      </c>
    </row>
    <row r="924" spans="1:23">
      <c r="A924" t="s">
        <v>2323</v>
      </c>
      <c r="B924" s="20">
        <v>45720</v>
      </c>
      <c r="C924" s="20">
        <v>45664</v>
      </c>
      <c r="D924" t="s">
        <v>94</v>
      </c>
      <c r="E924" t="s">
        <v>95</v>
      </c>
      <c r="F924" s="19"/>
      <c r="G924" t="s">
        <v>2846</v>
      </c>
      <c r="H924" t="s">
        <v>1734</v>
      </c>
      <c r="I924" t="s">
        <v>1735</v>
      </c>
      <c r="J924" s="8" t="str">
        <f t="shared" si="90"/>
        <v>LID-</v>
      </c>
      <c r="K924" t="s">
        <v>3481</v>
      </c>
      <c r="L924" s="54">
        <v>270</v>
      </c>
      <c r="M924" t="s">
        <v>1472</v>
      </c>
      <c r="N924" t="s">
        <v>11</v>
      </c>
      <c r="O924" s="54">
        <v>3.53</v>
      </c>
      <c r="P924" s="35">
        <f t="shared" si="88"/>
        <v>953.1</v>
      </c>
      <c r="Q924" s="10">
        <f t="shared" si="91"/>
        <v>7.3003400000000003</v>
      </c>
      <c r="R924" s="10">
        <f t="shared" si="92"/>
        <v>0.48349999999999999</v>
      </c>
      <c r="S924" s="11">
        <f t="shared" si="93"/>
        <v>130.55000000000001</v>
      </c>
      <c r="T924" s="10" t="s">
        <v>349</v>
      </c>
      <c r="U924" t="s">
        <v>368</v>
      </c>
      <c r="V924" s="58">
        <v>7.1775000000000002</v>
      </c>
      <c r="W924" s="38">
        <f t="shared" si="89"/>
        <v>132.7899686520376</v>
      </c>
    </row>
    <row r="925" spans="1:23">
      <c r="A925" t="s">
        <v>2329</v>
      </c>
      <c r="B925" s="20">
        <v>45720</v>
      </c>
      <c r="C925" s="20">
        <v>45671</v>
      </c>
      <c r="D925" t="s">
        <v>128</v>
      </c>
      <c r="E925" t="s">
        <v>129</v>
      </c>
      <c r="F925" s="19"/>
      <c r="G925" t="s">
        <v>2886</v>
      </c>
      <c r="H925" t="s">
        <v>3084</v>
      </c>
      <c r="I925" t="s">
        <v>3300</v>
      </c>
      <c r="J925" s="8" t="str">
        <f t="shared" si="90"/>
        <v>HDL-</v>
      </c>
      <c r="K925" t="s">
        <v>10</v>
      </c>
      <c r="L925" s="54">
        <v>1080</v>
      </c>
      <c r="M925" t="s">
        <v>1472</v>
      </c>
      <c r="N925" t="s">
        <v>11</v>
      </c>
      <c r="O925" s="54">
        <v>3.2145000000000001</v>
      </c>
      <c r="P925" s="35">
        <f t="shared" si="88"/>
        <v>3471.66</v>
      </c>
      <c r="Q925" s="10">
        <f t="shared" si="91"/>
        <v>7.3003400000000003</v>
      </c>
      <c r="R925" s="10">
        <f t="shared" si="92"/>
        <v>0.44030000000000002</v>
      </c>
      <c r="S925" s="11">
        <f t="shared" si="93"/>
        <v>475.52</v>
      </c>
      <c r="T925" s="10" t="s">
        <v>349</v>
      </c>
      <c r="U925" t="s">
        <v>228</v>
      </c>
      <c r="V925" s="58">
        <v>7.1775000000000002</v>
      </c>
      <c r="W925" s="38">
        <f t="shared" si="89"/>
        <v>483.68652037617557</v>
      </c>
    </row>
    <row r="926" spans="1:23">
      <c r="A926" t="s">
        <v>2341</v>
      </c>
      <c r="B926" s="20">
        <v>45720</v>
      </c>
      <c r="C926" s="20">
        <v>45674</v>
      </c>
      <c r="D926" t="s">
        <v>128</v>
      </c>
      <c r="E926" t="s">
        <v>129</v>
      </c>
      <c r="F926" s="19"/>
      <c r="G926" t="s">
        <v>2886</v>
      </c>
      <c r="H926" t="s">
        <v>26</v>
      </c>
      <c r="I926" t="s">
        <v>27</v>
      </c>
      <c r="J926" s="8" t="str">
        <f t="shared" si="90"/>
        <v>KNOB</v>
      </c>
      <c r="K926" t="s">
        <v>10</v>
      </c>
      <c r="L926" s="54">
        <v>840</v>
      </c>
      <c r="M926" t="s">
        <v>1472</v>
      </c>
      <c r="N926" t="s">
        <v>11</v>
      </c>
      <c r="O926" s="54">
        <v>2.3666999999999998</v>
      </c>
      <c r="P926" s="35">
        <f t="shared" si="88"/>
        <v>1988.03</v>
      </c>
      <c r="Q926" s="10">
        <f t="shared" si="91"/>
        <v>7.3003400000000003</v>
      </c>
      <c r="R926" s="10">
        <f t="shared" si="92"/>
        <v>0.32419999999999999</v>
      </c>
      <c r="S926" s="11">
        <f t="shared" si="93"/>
        <v>272.33</v>
      </c>
      <c r="T926" s="10" t="s">
        <v>349</v>
      </c>
      <c r="U926" t="s">
        <v>32</v>
      </c>
      <c r="V926" s="58">
        <v>7.1775000000000002</v>
      </c>
      <c r="W926" s="38">
        <f t="shared" si="89"/>
        <v>276.98056426332283</v>
      </c>
    </row>
    <row r="927" spans="1:23">
      <c r="A927" t="s">
        <v>2344</v>
      </c>
      <c r="B927" s="20">
        <v>45720</v>
      </c>
      <c r="C927" s="20">
        <v>45677</v>
      </c>
      <c r="D927" t="s">
        <v>287</v>
      </c>
      <c r="E927" t="s">
        <v>288</v>
      </c>
      <c r="F927" s="19"/>
      <c r="G927" t="s">
        <v>2899</v>
      </c>
      <c r="H927" t="s">
        <v>79</v>
      </c>
      <c r="I927" t="s">
        <v>80</v>
      </c>
      <c r="J927" s="8" t="str">
        <f t="shared" si="90"/>
        <v>ANYD</v>
      </c>
      <c r="K927" t="s">
        <v>10</v>
      </c>
      <c r="L927" s="54">
        <v>1050</v>
      </c>
      <c r="M927" t="s">
        <v>1472</v>
      </c>
      <c r="N927" t="s">
        <v>11</v>
      </c>
      <c r="O927" s="54">
        <v>6.5929000000000002</v>
      </c>
      <c r="P927" s="35">
        <f t="shared" si="88"/>
        <v>6922.55</v>
      </c>
      <c r="Q927" s="10">
        <f t="shared" si="91"/>
        <v>7.3003400000000003</v>
      </c>
      <c r="R927" s="10">
        <f t="shared" si="92"/>
        <v>0.90310000000000001</v>
      </c>
      <c r="S927" s="11">
        <f t="shared" si="93"/>
        <v>948.26</v>
      </c>
      <c r="T927" s="10" t="s">
        <v>349</v>
      </c>
      <c r="U927" t="s">
        <v>36</v>
      </c>
      <c r="V927" s="58">
        <v>7.1775000000000002</v>
      </c>
      <c r="W927" s="38">
        <f t="shared" si="89"/>
        <v>964.47857889237196</v>
      </c>
    </row>
    <row r="928" spans="1:23">
      <c r="A928" t="s">
        <v>2349</v>
      </c>
      <c r="B928" s="20">
        <v>45720</v>
      </c>
      <c r="C928" s="20">
        <v>45680</v>
      </c>
      <c r="D928" t="s">
        <v>121</v>
      </c>
      <c r="E928" t="s">
        <v>122</v>
      </c>
      <c r="F928" s="19"/>
      <c r="G928" t="s">
        <v>2845</v>
      </c>
      <c r="H928" t="s">
        <v>1548</v>
      </c>
      <c r="I928" t="s">
        <v>1549</v>
      </c>
      <c r="J928" s="8" t="str">
        <f t="shared" si="90"/>
        <v>ANYD</v>
      </c>
      <c r="K928" t="s">
        <v>10</v>
      </c>
      <c r="L928" s="54">
        <v>3050</v>
      </c>
      <c r="M928" t="s">
        <v>1472</v>
      </c>
      <c r="N928" t="s">
        <v>11</v>
      </c>
      <c r="O928" s="54">
        <v>0.8</v>
      </c>
      <c r="P928" s="35">
        <f t="shared" si="88"/>
        <v>2440</v>
      </c>
      <c r="Q928" s="10">
        <f t="shared" si="91"/>
        <v>7.3003400000000003</v>
      </c>
      <c r="R928" s="10">
        <f t="shared" si="92"/>
        <v>0.1096</v>
      </c>
      <c r="S928" s="11">
        <f t="shared" si="93"/>
        <v>334.28</v>
      </c>
      <c r="T928" s="10" t="s">
        <v>349</v>
      </c>
      <c r="U928" t="s">
        <v>36</v>
      </c>
      <c r="V928" s="58">
        <v>7.1775000000000002</v>
      </c>
      <c r="W928" s="38">
        <f t="shared" si="89"/>
        <v>339.95123650296063</v>
      </c>
    </row>
    <row r="929" spans="1:23">
      <c r="A929" t="s">
        <v>2350</v>
      </c>
      <c r="B929" s="20">
        <v>45720</v>
      </c>
      <c r="C929" s="20">
        <v>45680</v>
      </c>
      <c r="D929" t="s">
        <v>121</v>
      </c>
      <c r="E929" t="s">
        <v>122</v>
      </c>
      <c r="F929" s="19"/>
      <c r="G929" t="s">
        <v>2845</v>
      </c>
      <c r="H929" t="s">
        <v>1550</v>
      </c>
      <c r="I929" t="s">
        <v>1533</v>
      </c>
      <c r="J929" s="8" t="str">
        <f t="shared" si="90"/>
        <v>ANYD</v>
      </c>
      <c r="K929" t="s">
        <v>10</v>
      </c>
      <c r="L929" s="54">
        <v>2900</v>
      </c>
      <c r="M929" t="s">
        <v>1472</v>
      </c>
      <c r="N929" t="s">
        <v>11</v>
      </c>
      <c r="O929" s="54">
        <v>0.8</v>
      </c>
      <c r="P929" s="35">
        <f t="shared" si="88"/>
        <v>2320</v>
      </c>
      <c r="Q929" s="10">
        <f t="shared" si="91"/>
        <v>7.3003400000000003</v>
      </c>
      <c r="R929" s="10">
        <f t="shared" si="92"/>
        <v>0.1096</v>
      </c>
      <c r="S929" s="11">
        <f t="shared" si="93"/>
        <v>317.83999999999997</v>
      </c>
      <c r="T929" s="10" t="s">
        <v>349</v>
      </c>
      <c r="U929" t="s">
        <v>36</v>
      </c>
      <c r="V929" s="58">
        <v>7.1775000000000002</v>
      </c>
      <c r="W929" s="38">
        <f t="shared" si="89"/>
        <v>323.23232323232321</v>
      </c>
    </row>
    <row r="930" spans="1:23">
      <c r="A930" t="s">
        <v>2406</v>
      </c>
      <c r="B930" s="20">
        <v>45720</v>
      </c>
      <c r="C930" s="20">
        <v>45700</v>
      </c>
      <c r="D930" t="s">
        <v>94</v>
      </c>
      <c r="E930" t="s">
        <v>95</v>
      </c>
      <c r="F930" s="19"/>
      <c r="G930" t="s">
        <v>2846</v>
      </c>
      <c r="H930" t="s">
        <v>1734</v>
      </c>
      <c r="I930" t="s">
        <v>1735</v>
      </c>
      <c r="J930" s="8" t="str">
        <f t="shared" si="90"/>
        <v>LID-</v>
      </c>
      <c r="K930" t="s">
        <v>3481</v>
      </c>
      <c r="L930" s="54">
        <v>380</v>
      </c>
      <c r="M930" t="s">
        <v>1472</v>
      </c>
      <c r="N930" t="s">
        <v>11</v>
      </c>
      <c r="O930" s="54">
        <v>3.53</v>
      </c>
      <c r="P930" s="35">
        <f t="shared" si="88"/>
        <v>1341.4</v>
      </c>
      <c r="Q930" s="10">
        <f t="shared" si="91"/>
        <v>7.3003400000000003</v>
      </c>
      <c r="R930" s="10">
        <f t="shared" si="92"/>
        <v>0.48349999999999999</v>
      </c>
      <c r="S930" s="11">
        <f t="shared" si="93"/>
        <v>183.73</v>
      </c>
      <c r="T930" s="10" t="s">
        <v>349</v>
      </c>
      <c r="U930" t="s">
        <v>368</v>
      </c>
      <c r="V930" s="58">
        <v>7.1775000000000002</v>
      </c>
      <c r="W930" s="38">
        <f t="shared" si="89"/>
        <v>186.88958551027514</v>
      </c>
    </row>
    <row r="931" spans="1:23">
      <c r="A931" t="s">
        <v>2408</v>
      </c>
      <c r="B931" s="20">
        <v>45720</v>
      </c>
      <c r="C931" s="20">
        <v>45700</v>
      </c>
      <c r="D931" t="s">
        <v>94</v>
      </c>
      <c r="E931" t="s">
        <v>95</v>
      </c>
      <c r="F931" s="19"/>
      <c r="G931" t="s">
        <v>2846</v>
      </c>
      <c r="H931" t="s">
        <v>1734</v>
      </c>
      <c r="I931" t="s">
        <v>1735</v>
      </c>
      <c r="J931" s="8" t="str">
        <f t="shared" si="90"/>
        <v>LID-</v>
      </c>
      <c r="K931" t="s">
        <v>3481</v>
      </c>
      <c r="L931" s="54">
        <v>1030</v>
      </c>
      <c r="M931" t="s">
        <v>1472</v>
      </c>
      <c r="N931" t="s">
        <v>11</v>
      </c>
      <c r="O931" s="54">
        <v>3.53</v>
      </c>
      <c r="P931" s="35">
        <f t="shared" si="88"/>
        <v>3635.9</v>
      </c>
      <c r="Q931" s="10">
        <f t="shared" si="91"/>
        <v>7.3003400000000003</v>
      </c>
      <c r="R931" s="10">
        <f t="shared" si="92"/>
        <v>0.48349999999999999</v>
      </c>
      <c r="S931" s="11">
        <f t="shared" si="93"/>
        <v>498.01</v>
      </c>
      <c r="T931" s="10" t="s">
        <v>349</v>
      </c>
      <c r="U931" t="s">
        <v>368</v>
      </c>
      <c r="V931" s="58">
        <v>7.1775000000000002</v>
      </c>
      <c r="W931" s="38">
        <f t="shared" si="89"/>
        <v>506.56913967258788</v>
      </c>
    </row>
    <row r="932" spans="1:23">
      <c r="A932" t="s">
        <v>2523</v>
      </c>
      <c r="B932" s="20">
        <v>45720</v>
      </c>
      <c r="C932" s="20">
        <v>45713</v>
      </c>
      <c r="D932" t="s">
        <v>128</v>
      </c>
      <c r="E932" t="s">
        <v>129</v>
      </c>
      <c r="F932" s="19"/>
      <c r="G932" t="s">
        <v>2886</v>
      </c>
      <c r="H932" t="s">
        <v>958</v>
      </c>
      <c r="I932" t="s">
        <v>959</v>
      </c>
      <c r="J932" s="8" t="str">
        <f t="shared" si="90"/>
        <v>RIV-</v>
      </c>
      <c r="K932" t="s">
        <v>10</v>
      </c>
      <c r="L932" s="54">
        <v>4000</v>
      </c>
      <c r="M932" t="s">
        <v>1472</v>
      </c>
      <c r="N932" t="s">
        <v>11</v>
      </c>
      <c r="O932" s="54">
        <v>4.8000000000000001E-2</v>
      </c>
      <c r="P932" s="35">
        <f t="shared" si="88"/>
        <v>192</v>
      </c>
      <c r="Q932" s="10">
        <f t="shared" si="91"/>
        <v>7.3003400000000003</v>
      </c>
      <c r="R932" s="10">
        <f t="shared" si="92"/>
        <v>6.6E-3</v>
      </c>
      <c r="S932" s="11">
        <f t="shared" si="93"/>
        <v>26.4</v>
      </c>
      <c r="T932" s="10" t="s">
        <v>349</v>
      </c>
      <c r="U932" t="s">
        <v>132</v>
      </c>
      <c r="V932" s="58">
        <v>7.1775000000000002</v>
      </c>
      <c r="W932" s="38">
        <f t="shared" si="89"/>
        <v>26.750261233019856</v>
      </c>
    </row>
    <row r="933" spans="1:23">
      <c r="A933" t="s">
        <v>2603</v>
      </c>
      <c r="B933" s="20">
        <v>45720</v>
      </c>
      <c r="C933" s="20">
        <v>45719</v>
      </c>
      <c r="D933" t="s">
        <v>2829</v>
      </c>
      <c r="E933" t="s">
        <v>2830</v>
      </c>
      <c r="F933" s="19"/>
      <c r="G933" t="s">
        <v>3010</v>
      </c>
      <c r="H933" t="s">
        <v>1808</v>
      </c>
      <c r="I933" t="s">
        <v>1809</v>
      </c>
      <c r="J933" s="8" t="str">
        <f t="shared" si="90"/>
        <v>SSM-</v>
      </c>
      <c r="K933" t="s">
        <v>10</v>
      </c>
      <c r="L933" s="54">
        <v>33033</v>
      </c>
      <c r="M933" t="s">
        <v>186</v>
      </c>
      <c r="N933" t="s">
        <v>11</v>
      </c>
      <c r="O933" s="54">
        <v>11.8142</v>
      </c>
      <c r="P933" s="35">
        <f t="shared" si="88"/>
        <v>390258.47</v>
      </c>
      <c r="Q933" s="10">
        <f t="shared" si="91"/>
        <v>7.3003400000000003</v>
      </c>
      <c r="R933" s="10">
        <f t="shared" si="92"/>
        <v>1.6183000000000001</v>
      </c>
      <c r="S933" s="11">
        <f t="shared" si="93"/>
        <v>53457.3</v>
      </c>
      <c r="T933" s="10" t="s">
        <v>349</v>
      </c>
      <c r="U933" t="s">
        <v>33</v>
      </c>
      <c r="V933" s="58">
        <v>7.1775000000000002</v>
      </c>
      <c r="W933" s="38">
        <f t="shared" si="89"/>
        <v>54372.479080459772</v>
      </c>
    </row>
    <row r="934" spans="1:23">
      <c r="A934" t="s">
        <v>2603</v>
      </c>
      <c r="B934" s="20">
        <v>45720</v>
      </c>
      <c r="C934" s="20">
        <v>45719</v>
      </c>
      <c r="D934" t="s">
        <v>2829</v>
      </c>
      <c r="E934" t="s">
        <v>2830</v>
      </c>
      <c r="F934" s="19"/>
      <c r="G934" t="s">
        <v>3011</v>
      </c>
      <c r="H934" t="s">
        <v>1808</v>
      </c>
      <c r="I934" t="s">
        <v>1809</v>
      </c>
      <c r="J934" s="8" t="str">
        <f t="shared" si="90"/>
        <v>SSM-</v>
      </c>
      <c r="K934" t="s">
        <v>10</v>
      </c>
      <c r="L934" s="54">
        <v>32834</v>
      </c>
      <c r="M934" t="s">
        <v>186</v>
      </c>
      <c r="N934" t="s">
        <v>11</v>
      </c>
      <c r="O934" s="54">
        <v>11.8142</v>
      </c>
      <c r="P934" s="35">
        <f t="shared" si="88"/>
        <v>387907.44</v>
      </c>
      <c r="Q934" s="10">
        <f t="shared" si="91"/>
        <v>7.3003400000000003</v>
      </c>
      <c r="R934" s="10">
        <f t="shared" si="92"/>
        <v>1.6183000000000001</v>
      </c>
      <c r="S934" s="11">
        <f t="shared" si="93"/>
        <v>53135.26</v>
      </c>
      <c r="T934" s="10" t="s">
        <v>349</v>
      </c>
      <c r="U934" t="s">
        <v>33</v>
      </c>
      <c r="V934" s="58">
        <v>7.1775000000000002</v>
      </c>
      <c r="W934" s="38">
        <f t="shared" si="89"/>
        <v>54044.924110066182</v>
      </c>
    </row>
    <row r="935" spans="1:23">
      <c r="A935" t="s">
        <v>2059</v>
      </c>
      <c r="B935" s="20">
        <v>45721</v>
      </c>
      <c r="C935" s="20">
        <v>45630</v>
      </c>
      <c r="D935" t="s">
        <v>830</v>
      </c>
      <c r="E935" t="s">
        <v>831</v>
      </c>
      <c r="F935" s="19"/>
      <c r="G935" t="s">
        <v>2856</v>
      </c>
      <c r="H935" t="s">
        <v>834</v>
      </c>
      <c r="I935" t="s">
        <v>835</v>
      </c>
      <c r="J935" s="8" t="str">
        <f t="shared" si="90"/>
        <v>SKU-</v>
      </c>
      <c r="K935" t="s">
        <v>98</v>
      </c>
      <c r="L935" s="54">
        <v>200</v>
      </c>
      <c r="M935" t="s">
        <v>1472</v>
      </c>
      <c r="N935" t="s">
        <v>11</v>
      </c>
      <c r="O935" s="54">
        <v>4.9154</v>
      </c>
      <c r="P935" s="35">
        <f t="shared" si="88"/>
        <v>983.08</v>
      </c>
      <c r="Q935" s="10">
        <f t="shared" si="91"/>
        <v>7.3003400000000003</v>
      </c>
      <c r="R935" s="10">
        <f t="shared" si="92"/>
        <v>0.67330000000000001</v>
      </c>
      <c r="S935" s="11">
        <f t="shared" si="93"/>
        <v>134.66</v>
      </c>
      <c r="T935" s="10" t="s">
        <v>349</v>
      </c>
      <c r="U935" t="s">
        <v>2</v>
      </c>
      <c r="V935" s="58">
        <v>7.1775000000000002</v>
      </c>
      <c r="W935" s="38">
        <f t="shared" si="89"/>
        <v>136.96691048415187</v>
      </c>
    </row>
    <row r="936" spans="1:23">
      <c r="A936" t="s">
        <v>2291</v>
      </c>
      <c r="B936" s="20">
        <v>45721</v>
      </c>
      <c r="C936" s="20">
        <v>45636</v>
      </c>
      <c r="D936" t="s">
        <v>143</v>
      </c>
      <c r="E936" t="s">
        <v>144</v>
      </c>
      <c r="F936" s="19"/>
      <c r="G936" t="s">
        <v>2859</v>
      </c>
      <c r="H936" t="s">
        <v>3065</v>
      </c>
      <c r="I936" t="s">
        <v>3281</v>
      </c>
      <c r="J936" s="8" t="str">
        <f t="shared" si="90"/>
        <v>HDL-</v>
      </c>
      <c r="K936" t="s">
        <v>10</v>
      </c>
      <c r="L936" s="54">
        <v>670</v>
      </c>
      <c r="M936" t="s">
        <v>1472</v>
      </c>
      <c r="N936" t="s">
        <v>11</v>
      </c>
      <c r="O936" s="54">
        <v>15.564299999999999</v>
      </c>
      <c r="P936" s="35">
        <f t="shared" si="88"/>
        <v>10428.08</v>
      </c>
      <c r="Q936" s="10">
        <f t="shared" si="91"/>
        <v>7.3003400000000003</v>
      </c>
      <c r="R936" s="10">
        <f t="shared" si="92"/>
        <v>2.1320000000000001</v>
      </c>
      <c r="S936" s="11">
        <f t="shared" si="93"/>
        <v>1428.44</v>
      </c>
      <c r="T936" s="10" t="s">
        <v>349</v>
      </c>
      <c r="U936" t="s">
        <v>228</v>
      </c>
      <c r="V936" s="58">
        <v>7.1775000000000002</v>
      </c>
      <c r="W936" s="38">
        <f t="shared" si="89"/>
        <v>1452.8848484848484</v>
      </c>
    </row>
    <row r="937" spans="1:23">
      <c r="A937" t="s">
        <v>2292</v>
      </c>
      <c r="B937" s="20">
        <v>45721</v>
      </c>
      <c r="C937" s="20">
        <v>45636</v>
      </c>
      <c r="D937" t="s">
        <v>143</v>
      </c>
      <c r="E937" t="s">
        <v>144</v>
      </c>
      <c r="F937" s="19"/>
      <c r="G937" t="s">
        <v>2859</v>
      </c>
      <c r="H937" t="s">
        <v>3066</v>
      </c>
      <c r="I937" t="s">
        <v>3282</v>
      </c>
      <c r="J937" s="8" t="str">
        <f t="shared" si="90"/>
        <v>HDL-</v>
      </c>
      <c r="K937" t="s">
        <v>10</v>
      </c>
      <c r="L937" s="54">
        <v>540</v>
      </c>
      <c r="M937" t="s">
        <v>1472</v>
      </c>
      <c r="N937" t="s">
        <v>11</v>
      </c>
      <c r="O937" s="54">
        <v>15.564299999999999</v>
      </c>
      <c r="P937" s="35">
        <f t="shared" si="88"/>
        <v>8404.7199999999993</v>
      </c>
      <c r="Q937" s="10">
        <f t="shared" si="91"/>
        <v>7.3003400000000003</v>
      </c>
      <c r="R937" s="10">
        <f t="shared" si="92"/>
        <v>2.1320000000000001</v>
      </c>
      <c r="S937" s="11">
        <f t="shared" si="93"/>
        <v>1151.28</v>
      </c>
      <c r="T937" s="10" t="s">
        <v>349</v>
      </c>
      <c r="U937" t="s">
        <v>228</v>
      </c>
      <c r="V937" s="58">
        <v>7.1775000000000002</v>
      </c>
      <c r="W937" s="38">
        <f t="shared" si="89"/>
        <v>1170.9818181818182</v>
      </c>
    </row>
    <row r="938" spans="1:23">
      <c r="A938" t="s">
        <v>2297</v>
      </c>
      <c r="B938" s="20">
        <v>45721</v>
      </c>
      <c r="C938" s="20">
        <v>45646</v>
      </c>
      <c r="D938" t="s">
        <v>830</v>
      </c>
      <c r="E938" t="s">
        <v>831</v>
      </c>
      <c r="F938" s="19"/>
      <c r="G938" t="s">
        <v>2856</v>
      </c>
      <c r="H938" t="s">
        <v>834</v>
      </c>
      <c r="I938" t="s">
        <v>835</v>
      </c>
      <c r="J938" s="8" t="str">
        <f t="shared" si="90"/>
        <v>SKU-</v>
      </c>
      <c r="K938" t="s">
        <v>98</v>
      </c>
      <c r="L938" s="54">
        <v>2000</v>
      </c>
      <c r="M938" t="s">
        <v>1472</v>
      </c>
      <c r="N938" t="s">
        <v>11</v>
      </c>
      <c r="O938" s="54">
        <v>4.9154</v>
      </c>
      <c r="P938" s="35">
        <f t="shared" si="88"/>
        <v>9830.7999999999993</v>
      </c>
      <c r="Q938" s="10">
        <f t="shared" si="91"/>
        <v>7.3003400000000003</v>
      </c>
      <c r="R938" s="10">
        <f t="shared" si="92"/>
        <v>0.67330000000000001</v>
      </c>
      <c r="S938" s="11">
        <f t="shared" si="93"/>
        <v>1346.6</v>
      </c>
      <c r="T938" s="10" t="s">
        <v>349</v>
      </c>
      <c r="U938" t="s">
        <v>2</v>
      </c>
      <c r="V938" s="58">
        <v>7.1775000000000002</v>
      </c>
      <c r="W938" s="38">
        <f t="shared" si="89"/>
        <v>1369.6691048415187</v>
      </c>
    </row>
    <row r="939" spans="1:23">
      <c r="A939" t="s">
        <v>1965</v>
      </c>
      <c r="B939" s="20">
        <v>45721</v>
      </c>
      <c r="C939" s="20">
        <v>45660</v>
      </c>
      <c r="D939" t="s">
        <v>709</v>
      </c>
      <c r="E939" t="s">
        <v>710</v>
      </c>
      <c r="F939" s="19"/>
      <c r="G939" t="s">
        <v>2869</v>
      </c>
      <c r="H939" t="s">
        <v>1684</v>
      </c>
      <c r="I939" t="s">
        <v>1685</v>
      </c>
      <c r="J939" s="8" t="str">
        <f t="shared" si="90"/>
        <v>SHDL</v>
      </c>
      <c r="K939" t="s">
        <v>10</v>
      </c>
      <c r="L939" s="54">
        <v>1260</v>
      </c>
      <c r="M939" t="s">
        <v>1472</v>
      </c>
      <c r="N939" t="s">
        <v>11</v>
      </c>
      <c r="O939" s="54">
        <v>2.6659999999999999</v>
      </c>
      <c r="P939" s="35">
        <f t="shared" si="88"/>
        <v>3359.16</v>
      </c>
      <c r="Q939" s="10">
        <f t="shared" si="91"/>
        <v>7.3003400000000003</v>
      </c>
      <c r="R939" s="10">
        <f t="shared" si="92"/>
        <v>0.36520000000000002</v>
      </c>
      <c r="S939" s="11">
        <f t="shared" si="93"/>
        <v>460.15</v>
      </c>
      <c r="T939" s="10" t="s">
        <v>349</v>
      </c>
      <c r="U939" t="s">
        <v>722</v>
      </c>
      <c r="V939" s="58">
        <v>7.1775000000000002</v>
      </c>
      <c r="W939" s="38">
        <f t="shared" si="89"/>
        <v>468.01253918495297</v>
      </c>
    </row>
    <row r="940" spans="1:23">
      <c r="A940" t="s">
        <v>2323</v>
      </c>
      <c r="B940" s="20">
        <v>45721</v>
      </c>
      <c r="C940" s="20">
        <v>45664</v>
      </c>
      <c r="D940" t="s">
        <v>94</v>
      </c>
      <c r="E940" t="s">
        <v>95</v>
      </c>
      <c r="F940" s="19"/>
      <c r="G940" t="s">
        <v>2880</v>
      </c>
      <c r="H940" t="s">
        <v>1734</v>
      </c>
      <c r="I940" t="s">
        <v>1735</v>
      </c>
      <c r="J940" s="8" t="str">
        <f t="shared" si="90"/>
        <v>LID-</v>
      </c>
      <c r="K940" t="s">
        <v>3481</v>
      </c>
      <c r="L940" s="54">
        <v>1742</v>
      </c>
      <c r="M940" t="s">
        <v>1472</v>
      </c>
      <c r="N940" t="s">
        <v>11</v>
      </c>
      <c r="O940" s="54">
        <v>3.53</v>
      </c>
      <c r="P940" s="35">
        <f t="shared" si="88"/>
        <v>6149.26</v>
      </c>
      <c r="Q940" s="10">
        <f t="shared" si="91"/>
        <v>7.3003400000000003</v>
      </c>
      <c r="R940" s="10">
        <f t="shared" si="92"/>
        <v>0.48349999999999999</v>
      </c>
      <c r="S940" s="11">
        <f t="shared" si="93"/>
        <v>842.26</v>
      </c>
      <c r="T940" s="10" t="s">
        <v>349</v>
      </c>
      <c r="U940" t="s">
        <v>368</v>
      </c>
      <c r="V940" s="58">
        <v>7.1775000000000002</v>
      </c>
      <c r="W940" s="38">
        <f t="shared" si="89"/>
        <v>856.74120515499817</v>
      </c>
    </row>
    <row r="941" spans="1:23">
      <c r="A941" t="s">
        <v>2022</v>
      </c>
      <c r="B941" s="20">
        <v>45721</v>
      </c>
      <c r="C941" s="20">
        <v>45671</v>
      </c>
      <c r="D941" t="s">
        <v>121</v>
      </c>
      <c r="E941" t="s">
        <v>122</v>
      </c>
      <c r="F941" s="19"/>
      <c r="G941" t="s">
        <v>2885</v>
      </c>
      <c r="H941" t="s">
        <v>357</v>
      </c>
      <c r="I941" t="s">
        <v>358</v>
      </c>
      <c r="J941" s="8" t="str">
        <f t="shared" si="90"/>
        <v>HDL-</v>
      </c>
      <c r="K941" t="s">
        <v>10</v>
      </c>
      <c r="L941" s="54">
        <v>1845</v>
      </c>
      <c r="M941" t="s">
        <v>1472</v>
      </c>
      <c r="N941" t="s">
        <v>11</v>
      </c>
      <c r="O941" s="54">
        <v>3.5398000000000001</v>
      </c>
      <c r="P941" s="35">
        <f t="shared" si="88"/>
        <v>6530.93</v>
      </c>
      <c r="Q941" s="10">
        <f t="shared" si="91"/>
        <v>7.3003400000000003</v>
      </c>
      <c r="R941" s="10">
        <f t="shared" si="92"/>
        <v>0.4849</v>
      </c>
      <c r="S941" s="11">
        <f t="shared" si="93"/>
        <v>894.64</v>
      </c>
      <c r="T941" s="10" t="s">
        <v>349</v>
      </c>
      <c r="U941" t="s">
        <v>228</v>
      </c>
      <c r="V941" s="58">
        <v>7.1775000000000002</v>
      </c>
      <c r="W941" s="38">
        <f t="shared" si="89"/>
        <v>909.91724137931033</v>
      </c>
    </row>
    <row r="942" spans="1:23">
      <c r="A942" t="s">
        <v>2333</v>
      </c>
      <c r="B942" s="20">
        <v>45721</v>
      </c>
      <c r="C942" s="20">
        <v>45671</v>
      </c>
      <c r="D942" t="s">
        <v>169</v>
      </c>
      <c r="E942" t="s">
        <v>170</v>
      </c>
      <c r="F942" s="19"/>
      <c r="G942" t="s">
        <v>2888</v>
      </c>
      <c r="H942" t="s">
        <v>3086</v>
      </c>
      <c r="I942" t="s">
        <v>3302</v>
      </c>
      <c r="J942" s="8" t="str">
        <f t="shared" si="90"/>
        <v>BHRE</v>
      </c>
      <c r="K942" t="s">
        <v>10</v>
      </c>
      <c r="L942" s="54">
        <v>7100</v>
      </c>
      <c r="M942" t="s">
        <v>1472</v>
      </c>
      <c r="N942" t="s">
        <v>11</v>
      </c>
      <c r="O942" s="54">
        <v>1.22</v>
      </c>
      <c r="P942" s="35">
        <f t="shared" si="88"/>
        <v>8662</v>
      </c>
      <c r="Q942" s="10">
        <f t="shared" si="91"/>
        <v>7.3003400000000003</v>
      </c>
      <c r="R942" s="10">
        <f t="shared" si="92"/>
        <v>0.1671</v>
      </c>
      <c r="S942" s="11">
        <f t="shared" si="93"/>
        <v>1186.4100000000001</v>
      </c>
      <c r="T942" s="10" t="s">
        <v>349</v>
      </c>
      <c r="U942" t="s">
        <v>173</v>
      </c>
      <c r="V942" s="58">
        <v>7.1775000000000002</v>
      </c>
      <c r="W942" s="38">
        <f t="shared" si="89"/>
        <v>1206.8268895855101</v>
      </c>
    </row>
    <row r="943" spans="1:23">
      <c r="A943" t="s">
        <v>2336</v>
      </c>
      <c r="B943" s="20">
        <v>45721</v>
      </c>
      <c r="C943" s="20">
        <v>45674</v>
      </c>
      <c r="D943" t="s">
        <v>169</v>
      </c>
      <c r="E943" t="s">
        <v>170</v>
      </c>
      <c r="F943" s="19"/>
      <c r="G943" t="s">
        <v>2893</v>
      </c>
      <c r="H943" t="s">
        <v>1090</v>
      </c>
      <c r="I943" t="s">
        <v>1091</v>
      </c>
      <c r="J943" s="8" t="str">
        <f t="shared" si="90"/>
        <v>PAP-</v>
      </c>
      <c r="K943" t="s">
        <v>10</v>
      </c>
      <c r="L943" s="54">
        <v>15000</v>
      </c>
      <c r="M943" t="s">
        <v>1472</v>
      </c>
      <c r="N943" t="s">
        <v>11</v>
      </c>
      <c r="O943" s="54">
        <v>0.47789999999999999</v>
      </c>
      <c r="P943" s="35">
        <f t="shared" si="88"/>
        <v>7168.5</v>
      </c>
      <c r="Q943" s="10">
        <f t="shared" si="91"/>
        <v>7.3003400000000003</v>
      </c>
      <c r="R943" s="10">
        <f t="shared" si="92"/>
        <v>6.5500000000000003E-2</v>
      </c>
      <c r="S943" s="11">
        <f t="shared" si="93"/>
        <v>982.5</v>
      </c>
      <c r="T943" s="10" t="s">
        <v>349</v>
      </c>
      <c r="U943" t="s">
        <v>1094</v>
      </c>
      <c r="V943" s="58">
        <v>7.1775000000000002</v>
      </c>
      <c r="W943" s="38">
        <f t="shared" si="89"/>
        <v>998.74608150470215</v>
      </c>
    </row>
    <row r="944" spans="1:23">
      <c r="A944" t="s">
        <v>2397</v>
      </c>
      <c r="B944" s="20">
        <v>45721</v>
      </c>
      <c r="C944" s="20">
        <v>45698</v>
      </c>
      <c r="D944" t="s">
        <v>709</v>
      </c>
      <c r="E944" t="s">
        <v>710</v>
      </c>
      <c r="F944" s="19"/>
      <c r="G944" t="s">
        <v>2869</v>
      </c>
      <c r="H944" t="s">
        <v>3097</v>
      </c>
      <c r="I944" t="s">
        <v>3312</v>
      </c>
      <c r="J944" s="8" t="str">
        <f t="shared" si="90"/>
        <v>LHDL</v>
      </c>
      <c r="K944" t="s">
        <v>10</v>
      </c>
      <c r="L944" s="54">
        <v>900</v>
      </c>
      <c r="M944" t="s">
        <v>1472</v>
      </c>
      <c r="N944" t="s">
        <v>11</v>
      </c>
      <c r="O944" s="54">
        <v>1.7138</v>
      </c>
      <c r="P944" s="35">
        <f t="shared" si="88"/>
        <v>1542.42</v>
      </c>
      <c r="Q944" s="10">
        <f t="shared" si="91"/>
        <v>7.3003400000000003</v>
      </c>
      <c r="R944" s="10">
        <f t="shared" si="92"/>
        <v>0.23480000000000001</v>
      </c>
      <c r="S944" s="11">
        <f t="shared" si="93"/>
        <v>211.32</v>
      </c>
      <c r="T944" s="10" t="s">
        <v>349</v>
      </c>
      <c r="U944" t="s">
        <v>125</v>
      </c>
      <c r="V944" s="58">
        <v>7.1775000000000002</v>
      </c>
      <c r="W944" s="38">
        <f t="shared" si="89"/>
        <v>214.89655172413794</v>
      </c>
    </row>
    <row r="945" spans="1:23">
      <c r="A945" t="s">
        <v>2019</v>
      </c>
      <c r="B945" s="20">
        <v>45721</v>
      </c>
      <c r="C945" s="20">
        <v>45700</v>
      </c>
      <c r="D945" t="s">
        <v>94</v>
      </c>
      <c r="E945" t="s">
        <v>95</v>
      </c>
      <c r="F945" s="19"/>
      <c r="G945" t="s">
        <v>2880</v>
      </c>
      <c r="H945" t="s">
        <v>1001</v>
      </c>
      <c r="I945" t="s">
        <v>1002</v>
      </c>
      <c r="J945" s="8" t="str">
        <f t="shared" si="90"/>
        <v>LID-</v>
      </c>
      <c r="K945" t="s">
        <v>3481</v>
      </c>
      <c r="L945" s="54">
        <v>699</v>
      </c>
      <c r="M945" t="s">
        <v>1472</v>
      </c>
      <c r="N945" t="s">
        <v>11</v>
      </c>
      <c r="O945" s="54">
        <v>3.42</v>
      </c>
      <c r="P945" s="35">
        <f t="shared" si="88"/>
        <v>2390.58</v>
      </c>
      <c r="Q945" s="10">
        <f t="shared" si="91"/>
        <v>7.3003400000000003</v>
      </c>
      <c r="R945" s="10">
        <f t="shared" si="92"/>
        <v>0.46850000000000003</v>
      </c>
      <c r="S945" s="11">
        <f t="shared" si="93"/>
        <v>327.48</v>
      </c>
      <c r="T945" s="10" t="s">
        <v>349</v>
      </c>
      <c r="U945" t="s">
        <v>368</v>
      </c>
      <c r="V945" s="58">
        <v>7.1775000000000002</v>
      </c>
      <c r="W945" s="38">
        <f t="shared" si="89"/>
        <v>333.06583072100312</v>
      </c>
    </row>
    <row r="946" spans="1:23">
      <c r="A946" t="s">
        <v>2407</v>
      </c>
      <c r="B946" s="20">
        <v>45721</v>
      </c>
      <c r="C946" s="20">
        <v>45700</v>
      </c>
      <c r="D946" t="s">
        <v>94</v>
      </c>
      <c r="E946" t="s">
        <v>95</v>
      </c>
      <c r="F946" s="19"/>
      <c r="G946" t="s">
        <v>2880</v>
      </c>
      <c r="H946" t="s">
        <v>1001</v>
      </c>
      <c r="I946" t="s">
        <v>1002</v>
      </c>
      <c r="J946" s="8" t="str">
        <f t="shared" si="90"/>
        <v>LID-</v>
      </c>
      <c r="K946" t="s">
        <v>3481</v>
      </c>
      <c r="L946" s="54">
        <v>981</v>
      </c>
      <c r="M946" t="s">
        <v>1472</v>
      </c>
      <c r="N946" t="s">
        <v>11</v>
      </c>
      <c r="O946" s="54">
        <v>3.42</v>
      </c>
      <c r="P946" s="35">
        <f t="shared" si="88"/>
        <v>3355.02</v>
      </c>
      <c r="Q946" s="10">
        <f t="shared" si="91"/>
        <v>7.3003400000000003</v>
      </c>
      <c r="R946" s="10">
        <f t="shared" si="92"/>
        <v>0.46850000000000003</v>
      </c>
      <c r="S946" s="11">
        <f t="shared" si="93"/>
        <v>459.6</v>
      </c>
      <c r="T946" s="10" t="s">
        <v>349</v>
      </c>
      <c r="U946" t="s">
        <v>368</v>
      </c>
      <c r="V946" s="58">
        <v>7.1775000000000002</v>
      </c>
      <c r="W946" s="38">
        <f t="shared" si="89"/>
        <v>467.43573667711598</v>
      </c>
    </row>
    <row r="947" spans="1:23">
      <c r="A947" t="s">
        <v>2455</v>
      </c>
      <c r="B947" s="20">
        <v>45721</v>
      </c>
      <c r="C947" s="20">
        <v>45706</v>
      </c>
      <c r="D947" t="s">
        <v>2821</v>
      </c>
      <c r="E947" t="s">
        <v>2822</v>
      </c>
      <c r="F947" s="19"/>
      <c r="G947" t="s">
        <v>2942</v>
      </c>
      <c r="H947" t="s">
        <v>3138</v>
      </c>
      <c r="I947" t="s">
        <v>3348</v>
      </c>
      <c r="J947" s="8" t="str">
        <f t="shared" si="90"/>
        <v>MISC</v>
      </c>
      <c r="K947" t="s">
        <v>10</v>
      </c>
      <c r="L947" s="54">
        <v>3000</v>
      </c>
      <c r="M947" t="s">
        <v>186</v>
      </c>
      <c r="N947" t="s">
        <v>11</v>
      </c>
      <c r="O947" s="54">
        <v>1.9735</v>
      </c>
      <c r="P947" s="35">
        <f t="shared" si="88"/>
        <v>5920.5</v>
      </c>
      <c r="Q947" s="10">
        <f t="shared" si="91"/>
        <v>7.3003400000000003</v>
      </c>
      <c r="R947" s="10">
        <f t="shared" si="92"/>
        <v>0.27029999999999998</v>
      </c>
      <c r="S947" s="11">
        <f t="shared" si="93"/>
        <v>810.9</v>
      </c>
      <c r="T947" s="10" t="s">
        <v>349</v>
      </c>
      <c r="U947" t="s">
        <v>25</v>
      </c>
      <c r="V947" s="58">
        <v>7.1775000000000002</v>
      </c>
      <c r="W947" s="38">
        <f t="shared" si="89"/>
        <v>824.86938349007312</v>
      </c>
    </row>
    <row r="948" spans="1:23">
      <c r="A948" t="s">
        <v>2482</v>
      </c>
      <c r="B948" s="20">
        <v>45721</v>
      </c>
      <c r="C948" s="20">
        <v>45712</v>
      </c>
      <c r="D948" t="s">
        <v>709</v>
      </c>
      <c r="E948" t="s">
        <v>710</v>
      </c>
      <c r="F948" s="19"/>
      <c r="G948" t="s">
        <v>2869</v>
      </c>
      <c r="H948" t="s">
        <v>3146</v>
      </c>
      <c r="I948" t="s">
        <v>3356</v>
      </c>
      <c r="J948" s="8" t="str">
        <f t="shared" si="90"/>
        <v>LHDL</v>
      </c>
      <c r="K948" t="s">
        <v>10</v>
      </c>
      <c r="L948" s="54">
        <v>1800</v>
      </c>
      <c r="M948" t="s">
        <v>1472</v>
      </c>
      <c r="N948" t="s">
        <v>11</v>
      </c>
      <c r="O948" s="54">
        <v>1.8576999999999999</v>
      </c>
      <c r="P948" s="35">
        <f t="shared" si="88"/>
        <v>3343.86</v>
      </c>
      <c r="Q948" s="10">
        <f t="shared" si="91"/>
        <v>7.3003400000000003</v>
      </c>
      <c r="R948" s="10">
        <f t="shared" si="92"/>
        <v>0.2545</v>
      </c>
      <c r="S948" s="11">
        <f t="shared" si="93"/>
        <v>458.1</v>
      </c>
      <c r="T948" s="10" t="s">
        <v>349</v>
      </c>
      <c r="U948" t="s">
        <v>125</v>
      </c>
      <c r="V948" s="58">
        <v>7.1775000000000002</v>
      </c>
      <c r="W948" s="38">
        <f t="shared" si="89"/>
        <v>465.88087774294667</v>
      </c>
    </row>
    <row r="949" spans="1:23">
      <c r="A949" t="s">
        <v>2603</v>
      </c>
      <c r="B949" s="20">
        <v>45721</v>
      </c>
      <c r="C949" s="20">
        <v>45719</v>
      </c>
      <c r="D949" t="s">
        <v>2829</v>
      </c>
      <c r="E949" t="s">
        <v>2830</v>
      </c>
      <c r="F949" s="19"/>
      <c r="G949" t="s">
        <v>3009</v>
      </c>
      <c r="H949" t="s">
        <v>1808</v>
      </c>
      <c r="I949" t="s">
        <v>1809</v>
      </c>
      <c r="J949" s="8" t="str">
        <f t="shared" si="90"/>
        <v>SSM-</v>
      </c>
      <c r="K949" t="s">
        <v>10</v>
      </c>
      <c r="L949" s="54">
        <v>43134</v>
      </c>
      <c r="M949" t="s">
        <v>186</v>
      </c>
      <c r="N949" t="s">
        <v>11</v>
      </c>
      <c r="O949" s="54">
        <v>11.8142</v>
      </c>
      <c r="P949" s="35">
        <f t="shared" si="88"/>
        <v>509593.7</v>
      </c>
      <c r="Q949" s="10">
        <f t="shared" si="91"/>
        <v>7.3003400000000003</v>
      </c>
      <c r="R949" s="10">
        <f t="shared" si="92"/>
        <v>1.6183000000000001</v>
      </c>
      <c r="S949" s="11">
        <f t="shared" si="93"/>
        <v>69803.75</v>
      </c>
      <c r="T949" s="10" t="s">
        <v>349</v>
      </c>
      <c r="U949" t="s">
        <v>33</v>
      </c>
      <c r="V949" s="58">
        <v>7.1775000000000002</v>
      </c>
      <c r="W949" s="38">
        <f t="shared" si="89"/>
        <v>70998.774336468123</v>
      </c>
    </row>
    <row r="950" spans="1:23">
      <c r="A950" t="s">
        <v>2041</v>
      </c>
      <c r="B950" s="20">
        <v>45722</v>
      </c>
      <c r="C950" s="20">
        <v>45636</v>
      </c>
      <c r="D950" t="s">
        <v>94</v>
      </c>
      <c r="E950" t="s">
        <v>95</v>
      </c>
      <c r="F950" s="19"/>
      <c r="G950" t="s">
        <v>2860</v>
      </c>
      <c r="H950" t="s">
        <v>1750</v>
      </c>
      <c r="I950" t="s">
        <v>1751</v>
      </c>
      <c r="J950" s="8" t="str">
        <f t="shared" si="90"/>
        <v>LID-</v>
      </c>
      <c r="K950" t="s">
        <v>3481</v>
      </c>
      <c r="L950" s="54">
        <v>46</v>
      </c>
      <c r="M950" t="s">
        <v>1472</v>
      </c>
      <c r="N950" t="s">
        <v>11</v>
      </c>
      <c r="O950" s="54">
        <v>3.92</v>
      </c>
      <c r="P950" s="35">
        <f t="shared" si="88"/>
        <v>180.32</v>
      </c>
      <c r="Q950" s="10">
        <f t="shared" si="91"/>
        <v>7.3003400000000003</v>
      </c>
      <c r="R950" s="10">
        <f t="shared" si="92"/>
        <v>0.53700000000000003</v>
      </c>
      <c r="S950" s="11">
        <f t="shared" si="93"/>
        <v>24.7</v>
      </c>
      <c r="T950" s="10" t="s">
        <v>349</v>
      </c>
      <c r="U950" t="s">
        <v>368</v>
      </c>
      <c r="V950" s="58">
        <v>7.1775000000000002</v>
      </c>
      <c r="W950" s="38">
        <f t="shared" si="89"/>
        <v>25.122953674677813</v>
      </c>
    </row>
    <row r="951" spans="1:23">
      <c r="A951" t="s">
        <v>2305</v>
      </c>
      <c r="B951" s="20">
        <v>45722</v>
      </c>
      <c r="C951" s="20">
        <v>45663</v>
      </c>
      <c r="D951" t="s">
        <v>2817</v>
      </c>
      <c r="E951" t="s">
        <v>2818</v>
      </c>
      <c r="F951" s="19"/>
      <c r="G951" t="s">
        <v>2873</v>
      </c>
      <c r="H951" t="s">
        <v>3069</v>
      </c>
      <c r="I951" t="s">
        <v>3286</v>
      </c>
      <c r="J951" s="8" t="str">
        <f t="shared" si="90"/>
        <v>T&amp;G-</v>
      </c>
      <c r="K951" t="s">
        <v>10</v>
      </c>
      <c r="L951" s="54">
        <v>3500</v>
      </c>
      <c r="M951" t="s">
        <v>1472</v>
      </c>
      <c r="N951" t="s">
        <v>2246</v>
      </c>
      <c r="O951" s="54">
        <v>0.23</v>
      </c>
      <c r="P951" s="35">
        <f t="shared" si="88"/>
        <v>805</v>
      </c>
      <c r="Q951" s="10">
        <f t="shared" si="91"/>
        <v>1</v>
      </c>
      <c r="R951" s="10">
        <f t="shared" si="92"/>
        <v>0.23</v>
      </c>
      <c r="S951" s="11">
        <f t="shared" si="93"/>
        <v>805</v>
      </c>
      <c r="T951" s="10" t="s">
        <v>349</v>
      </c>
      <c r="U951" t="s">
        <v>2245</v>
      </c>
      <c r="V951" s="58">
        <v>7.1775000000000002</v>
      </c>
      <c r="W951" s="38">
        <f t="shared" si="89"/>
        <v>1</v>
      </c>
    </row>
    <row r="952" spans="1:23">
      <c r="A952" t="s">
        <v>2306</v>
      </c>
      <c r="B952" s="20">
        <v>45722</v>
      </c>
      <c r="C952" s="20">
        <v>45663</v>
      </c>
      <c r="D952" t="s">
        <v>2817</v>
      </c>
      <c r="E952" t="s">
        <v>2818</v>
      </c>
      <c r="F952" s="19"/>
      <c r="G952" t="s">
        <v>2873</v>
      </c>
      <c r="H952" t="s">
        <v>3070</v>
      </c>
      <c r="I952" t="s">
        <v>3287</v>
      </c>
      <c r="J952" s="8" t="str">
        <f t="shared" si="90"/>
        <v>T&amp;G-</v>
      </c>
      <c r="K952" t="s">
        <v>10</v>
      </c>
      <c r="L952" s="54">
        <v>3500</v>
      </c>
      <c r="M952" t="s">
        <v>1472</v>
      </c>
      <c r="N952" t="s">
        <v>2246</v>
      </c>
      <c r="O952" s="54">
        <v>0.2</v>
      </c>
      <c r="P952" s="35">
        <f t="shared" si="88"/>
        <v>700</v>
      </c>
      <c r="Q952" s="10">
        <f t="shared" si="91"/>
        <v>1</v>
      </c>
      <c r="R952" s="10">
        <f t="shared" si="92"/>
        <v>0.2</v>
      </c>
      <c r="S952" s="11">
        <f t="shared" si="93"/>
        <v>700</v>
      </c>
      <c r="T952" s="10" t="s">
        <v>349</v>
      </c>
      <c r="U952" t="s">
        <v>2245</v>
      </c>
      <c r="V952" s="58">
        <v>7.1775000000000002</v>
      </c>
      <c r="W952" s="38">
        <f t="shared" si="89"/>
        <v>1</v>
      </c>
    </row>
    <row r="953" spans="1:23">
      <c r="A953" t="s">
        <v>2307</v>
      </c>
      <c r="B953" s="20">
        <v>45722</v>
      </c>
      <c r="C953" s="20">
        <v>45663</v>
      </c>
      <c r="D953" t="s">
        <v>2817</v>
      </c>
      <c r="E953" t="s">
        <v>2818</v>
      </c>
      <c r="F953" s="19"/>
      <c r="G953" t="s">
        <v>2873</v>
      </c>
      <c r="H953" t="s">
        <v>3071</v>
      </c>
      <c r="I953" t="s">
        <v>3288</v>
      </c>
      <c r="J953" s="8" t="str">
        <f t="shared" si="90"/>
        <v>T&amp;G-</v>
      </c>
      <c r="K953" t="s">
        <v>10</v>
      </c>
      <c r="L953" s="54">
        <v>3500</v>
      </c>
      <c r="M953" t="s">
        <v>1472</v>
      </c>
      <c r="N953" t="s">
        <v>2246</v>
      </c>
      <c r="O953" s="54">
        <v>0.18</v>
      </c>
      <c r="P953" s="35">
        <f t="shared" si="88"/>
        <v>630</v>
      </c>
      <c r="Q953" s="10">
        <f t="shared" si="91"/>
        <v>1</v>
      </c>
      <c r="R953" s="10">
        <f t="shared" si="92"/>
        <v>0.18</v>
      </c>
      <c r="S953" s="11">
        <f t="shared" si="93"/>
        <v>630</v>
      </c>
      <c r="T953" s="10" t="s">
        <v>349</v>
      </c>
      <c r="U953" t="s">
        <v>2245</v>
      </c>
      <c r="V953" s="58">
        <v>7.1775000000000002</v>
      </c>
      <c r="W953" s="38">
        <f t="shared" si="89"/>
        <v>1</v>
      </c>
    </row>
    <row r="954" spans="1:23">
      <c r="A954" t="s">
        <v>2322</v>
      </c>
      <c r="B954" s="20">
        <v>45722</v>
      </c>
      <c r="C954" s="20">
        <v>45664</v>
      </c>
      <c r="D954" t="s">
        <v>94</v>
      </c>
      <c r="E954" t="s">
        <v>95</v>
      </c>
      <c r="F954" s="19"/>
      <c r="G954" t="s">
        <v>2860</v>
      </c>
      <c r="H954" t="s">
        <v>1001</v>
      </c>
      <c r="I954" t="s">
        <v>1002</v>
      </c>
      <c r="J954" s="8" t="str">
        <f t="shared" si="90"/>
        <v>LID-</v>
      </c>
      <c r="K954" t="s">
        <v>3481</v>
      </c>
      <c r="L954" s="54">
        <v>1022</v>
      </c>
      <c r="M954" t="s">
        <v>1472</v>
      </c>
      <c r="N954" t="s">
        <v>11</v>
      </c>
      <c r="O954" s="54">
        <v>3.42</v>
      </c>
      <c r="P954" s="35">
        <f t="shared" si="88"/>
        <v>3495.24</v>
      </c>
      <c r="Q954" s="10">
        <f t="shared" si="91"/>
        <v>7.3003400000000003</v>
      </c>
      <c r="R954" s="10">
        <f t="shared" si="92"/>
        <v>0.46850000000000003</v>
      </c>
      <c r="S954" s="11">
        <f t="shared" si="93"/>
        <v>478.81</v>
      </c>
      <c r="T954" s="10" t="s">
        <v>349</v>
      </c>
      <c r="U954" t="s">
        <v>368</v>
      </c>
      <c r="V954" s="58">
        <v>7.1775000000000002</v>
      </c>
      <c r="W954" s="38">
        <f t="shared" si="89"/>
        <v>486.97178683385579</v>
      </c>
    </row>
    <row r="955" spans="1:23">
      <c r="A955" t="s">
        <v>2324</v>
      </c>
      <c r="B955" s="20">
        <v>45722</v>
      </c>
      <c r="C955" s="20">
        <v>45664</v>
      </c>
      <c r="D955" t="s">
        <v>94</v>
      </c>
      <c r="E955" t="s">
        <v>95</v>
      </c>
      <c r="F955" s="19"/>
      <c r="G955" t="s">
        <v>2860</v>
      </c>
      <c r="H955" t="s">
        <v>997</v>
      </c>
      <c r="I955" t="s">
        <v>998</v>
      </c>
      <c r="J955" s="8" t="str">
        <f t="shared" si="90"/>
        <v>LID-</v>
      </c>
      <c r="K955" t="s">
        <v>3481</v>
      </c>
      <c r="L955" s="54">
        <v>170</v>
      </c>
      <c r="M955" t="s">
        <v>1472</v>
      </c>
      <c r="N955" t="s">
        <v>11</v>
      </c>
      <c r="O955" s="54">
        <v>3.64</v>
      </c>
      <c r="P955" s="35">
        <f t="shared" si="88"/>
        <v>618.79999999999995</v>
      </c>
      <c r="Q955" s="10">
        <f t="shared" si="91"/>
        <v>7.3003400000000003</v>
      </c>
      <c r="R955" s="10">
        <f t="shared" si="92"/>
        <v>0.49859999999999999</v>
      </c>
      <c r="S955" s="11">
        <f t="shared" si="93"/>
        <v>84.76</v>
      </c>
      <c r="T955" s="10" t="s">
        <v>349</v>
      </c>
      <c r="U955" t="s">
        <v>368</v>
      </c>
      <c r="V955" s="58">
        <v>7.1775000000000002</v>
      </c>
      <c r="W955" s="38">
        <f t="shared" si="89"/>
        <v>86.213862765586896</v>
      </c>
    </row>
    <row r="956" spans="1:23">
      <c r="A956" t="s">
        <v>1866</v>
      </c>
      <c r="B956" s="20">
        <v>45722</v>
      </c>
      <c r="C956" s="20">
        <v>45672</v>
      </c>
      <c r="D956" t="s">
        <v>806</v>
      </c>
      <c r="E956" t="s">
        <v>807</v>
      </c>
      <c r="F956" s="19"/>
      <c r="G956" t="s">
        <v>2891</v>
      </c>
      <c r="H956" t="s">
        <v>1603</v>
      </c>
      <c r="I956" t="s">
        <v>1604</v>
      </c>
      <c r="J956" s="8" t="str">
        <f t="shared" si="90"/>
        <v>BAG-</v>
      </c>
      <c r="K956" t="s">
        <v>10</v>
      </c>
      <c r="L956" s="54">
        <v>-10000</v>
      </c>
      <c r="M956" t="s">
        <v>1472</v>
      </c>
      <c r="N956" t="s">
        <v>11</v>
      </c>
      <c r="O956" s="54">
        <v>0.158</v>
      </c>
      <c r="P956" s="35">
        <f t="shared" si="88"/>
        <v>-1580</v>
      </c>
      <c r="Q956" s="10">
        <f t="shared" si="91"/>
        <v>7.3003400000000003</v>
      </c>
      <c r="R956" s="10">
        <f t="shared" si="92"/>
        <v>2.1600000000000001E-2</v>
      </c>
      <c r="S956" s="11">
        <f t="shared" si="93"/>
        <v>-216</v>
      </c>
      <c r="T956" s="10" t="s">
        <v>349</v>
      </c>
      <c r="U956" t="s">
        <v>810</v>
      </c>
      <c r="V956" s="58">
        <v>7.1775000000000002</v>
      </c>
      <c r="W956" s="38">
        <f t="shared" si="89"/>
        <v>-220.13235806339256</v>
      </c>
    </row>
    <row r="957" spans="1:23">
      <c r="A957" t="s">
        <v>2339</v>
      </c>
      <c r="B957" s="20">
        <v>45722</v>
      </c>
      <c r="C957" s="20">
        <v>45674</v>
      </c>
      <c r="D957" t="s">
        <v>806</v>
      </c>
      <c r="E957" t="s">
        <v>807</v>
      </c>
      <c r="F957" s="19"/>
      <c r="G957" t="s">
        <v>2896</v>
      </c>
      <c r="H957" t="s">
        <v>3087</v>
      </c>
      <c r="I957" t="s">
        <v>3303</v>
      </c>
      <c r="J957" s="8" t="str">
        <f t="shared" si="90"/>
        <v>SWF-</v>
      </c>
      <c r="K957" t="s">
        <v>10</v>
      </c>
      <c r="L957" s="54">
        <v>294.3</v>
      </c>
      <c r="M957" t="s">
        <v>186</v>
      </c>
      <c r="N957" t="s">
        <v>11</v>
      </c>
      <c r="O957" s="54">
        <v>16</v>
      </c>
      <c r="P957" s="35">
        <f t="shared" si="88"/>
        <v>4708.8</v>
      </c>
      <c r="Q957" s="10">
        <f t="shared" si="91"/>
        <v>7.3003400000000003</v>
      </c>
      <c r="R957" s="10">
        <f t="shared" si="92"/>
        <v>2.1917</v>
      </c>
      <c r="S957" s="11">
        <f t="shared" si="93"/>
        <v>645.02</v>
      </c>
      <c r="T957" s="10" t="s">
        <v>349</v>
      </c>
      <c r="U957" t="s">
        <v>3483</v>
      </c>
      <c r="V957" s="58">
        <v>7.1775000000000002</v>
      </c>
      <c r="W957" s="38">
        <f t="shared" si="89"/>
        <v>656.050156739812</v>
      </c>
    </row>
    <row r="958" spans="1:23">
      <c r="A958" t="s">
        <v>2392</v>
      </c>
      <c r="B958" s="20">
        <v>45722</v>
      </c>
      <c r="C958" s="20">
        <v>45695</v>
      </c>
      <c r="D958" t="s">
        <v>149</v>
      </c>
      <c r="E958" t="s">
        <v>150</v>
      </c>
      <c r="F958" s="19"/>
      <c r="G958" t="s">
        <v>2918</v>
      </c>
      <c r="H958" t="s">
        <v>3093</v>
      </c>
      <c r="I958" t="s">
        <v>3309</v>
      </c>
      <c r="J958" s="8" t="str">
        <f t="shared" si="90"/>
        <v>GLID</v>
      </c>
      <c r="K958" t="s">
        <v>10</v>
      </c>
      <c r="L958" s="54">
        <v>1000</v>
      </c>
      <c r="M958" t="s">
        <v>1472</v>
      </c>
      <c r="N958" t="s">
        <v>11</v>
      </c>
      <c r="O958" s="54">
        <v>3.1193</v>
      </c>
      <c r="P958" s="35">
        <f t="shared" si="88"/>
        <v>3119.3</v>
      </c>
      <c r="Q958" s="10">
        <f t="shared" si="91"/>
        <v>7.3003400000000003</v>
      </c>
      <c r="R958" s="10">
        <f t="shared" si="92"/>
        <v>0.42730000000000001</v>
      </c>
      <c r="S958" s="11">
        <f t="shared" si="93"/>
        <v>427.3</v>
      </c>
      <c r="T958" s="10" t="s">
        <v>349</v>
      </c>
      <c r="U958" t="s">
        <v>78</v>
      </c>
      <c r="V958" s="58">
        <v>7.1775000000000002</v>
      </c>
      <c r="W958" s="38">
        <f t="shared" si="89"/>
        <v>434.59421804249388</v>
      </c>
    </row>
    <row r="959" spans="1:23">
      <c r="A959" t="s">
        <v>2403</v>
      </c>
      <c r="B959" s="20">
        <v>45722</v>
      </c>
      <c r="C959" s="20">
        <v>45698</v>
      </c>
      <c r="D959" t="s">
        <v>149</v>
      </c>
      <c r="E959" t="s">
        <v>150</v>
      </c>
      <c r="F959" s="19"/>
      <c r="G959" t="s">
        <v>2918</v>
      </c>
      <c r="H959" t="s">
        <v>3101</v>
      </c>
      <c r="I959" t="s">
        <v>3316</v>
      </c>
      <c r="J959" s="8" t="str">
        <f t="shared" si="90"/>
        <v>GLID</v>
      </c>
      <c r="K959" t="s">
        <v>10</v>
      </c>
      <c r="L959" s="54">
        <v>500</v>
      </c>
      <c r="M959" t="s">
        <v>1472</v>
      </c>
      <c r="N959" t="s">
        <v>11</v>
      </c>
      <c r="O959" s="54">
        <v>3.6379000000000001</v>
      </c>
      <c r="P959" s="35">
        <f t="shared" si="88"/>
        <v>1818.95</v>
      </c>
      <c r="Q959" s="10">
        <f t="shared" si="91"/>
        <v>7.3003400000000003</v>
      </c>
      <c r="R959" s="10">
        <f t="shared" si="92"/>
        <v>0.49830000000000002</v>
      </c>
      <c r="S959" s="11">
        <f t="shared" si="93"/>
        <v>249.15</v>
      </c>
      <c r="T959" s="10" t="s">
        <v>349</v>
      </c>
      <c r="U959" t="s">
        <v>78</v>
      </c>
      <c r="V959" s="58">
        <v>7.1775000000000002</v>
      </c>
      <c r="W959" s="38">
        <f t="shared" si="89"/>
        <v>253.42389411354927</v>
      </c>
    </row>
    <row r="960" spans="1:23">
      <c r="A960" t="s">
        <v>1970</v>
      </c>
      <c r="B960" s="20">
        <v>45722</v>
      </c>
      <c r="C960" s="20">
        <v>45698</v>
      </c>
      <c r="D960" t="s">
        <v>149</v>
      </c>
      <c r="E960" t="s">
        <v>150</v>
      </c>
      <c r="F960" s="19"/>
      <c r="G960" t="s">
        <v>2918</v>
      </c>
      <c r="H960" t="s">
        <v>786</v>
      </c>
      <c r="I960" t="s">
        <v>787</v>
      </c>
      <c r="J960" s="8" t="str">
        <f t="shared" si="90"/>
        <v>GLID</v>
      </c>
      <c r="K960" t="s">
        <v>10</v>
      </c>
      <c r="L960" s="54">
        <v>200</v>
      </c>
      <c r="M960" t="s">
        <v>1472</v>
      </c>
      <c r="N960" t="s">
        <v>11</v>
      </c>
      <c r="O960" s="54">
        <v>2.7494000000000001</v>
      </c>
      <c r="P960" s="35">
        <f t="shared" si="88"/>
        <v>549.88</v>
      </c>
      <c r="Q960" s="10">
        <f t="shared" si="91"/>
        <v>7.3003400000000003</v>
      </c>
      <c r="R960" s="10">
        <f t="shared" si="92"/>
        <v>0.37659999999999999</v>
      </c>
      <c r="S960" s="11">
        <f t="shared" si="93"/>
        <v>75.319999999999993</v>
      </c>
      <c r="T960" s="10" t="s">
        <v>349</v>
      </c>
      <c r="U960" t="s">
        <v>78</v>
      </c>
      <c r="V960" s="58">
        <v>7.1775000000000002</v>
      </c>
      <c r="W960" s="38">
        <f t="shared" si="89"/>
        <v>76.611633577150812</v>
      </c>
    </row>
    <row r="961" spans="1:23">
      <c r="A961" t="s">
        <v>2404</v>
      </c>
      <c r="B961" s="20">
        <v>45722</v>
      </c>
      <c r="C961" s="20">
        <v>45698</v>
      </c>
      <c r="D961" t="s">
        <v>149</v>
      </c>
      <c r="E961" t="s">
        <v>150</v>
      </c>
      <c r="F961" s="19"/>
      <c r="G961" t="s">
        <v>2918</v>
      </c>
      <c r="H961" t="s">
        <v>3102</v>
      </c>
      <c r="I961" t="s">
        <v>3317</v>
      </c>
      <c r="J961" s="8" t="str">
        <f t="shared" si="90"/>
        <v>GLID</v>
      </c>
      <c r="K961" t="s">
        <v>10</v>
      </c>
      <c r="L961" s="54">
        <v>340</v>
      </c>
      <c r="M961" t="s">
        <v>1472</v>
      </c>
      <c r="N961" t="s">
        <v>11</v>
      </c>
      <c r="O961" s="54">
        <v>4.8014000000000001</v>
      </c>
      <c r="P961" s="35">
        <f t="shared" si="88"/>
        <v>1632.48</v>
      </c>
      <c r="Q961" s="10">
        <f t="shared" si="91"/>
        <v>7.3003400000000003</v>
      </c>
      <c r="R961" s="10">
        <f t="shared" si="92"/>
        <v>0.65769999999999995</v>
      </c>
      <c r="S961" s="11">
        <f t="shared" si="93"/>
        <v>223.62</v>
      </c>
      <c r="T961" s="10" t="s">
        <v>349</v>
      </c>
      <c r="U961" t="s">
        <v>78</v>
      </c>
      <c r="V961" s="58">
        <v>7.1775000000000002</v>
      </c>
      <c r="W961" s="38">
        <f t="shared" si="89"/>
        <v>227.44353883664229</v>
      </c>
    </row>
    <row r="962" spans="1:23">
      <c r="A962" t="s">
        <v>2407</v>
      </c>
      <c r="B962" s="20">
        <v>45722</v>
      </c>
      <c r="C962" s="20">
        <v>45700</v>
      </c>
      <c r="D962" t="s">
        <v>94</v>
      </c>
      <c r="E962" t="s">
        <v>95</v>
      </c>
      <c r="F962" s="19"/>
      <c r="G962" t="s">
        <v>2860</v>
      </c>
      <c r="H962" t="s">
        <v>1001</v>
      </c>
      <c r="I962" t="s">
        <v>1002</v>
      </c>
      <c r="J962" s="8" t="str">
        <f t="shared" si="90"/>
        <v>LID-</v>
      </c>
      <c r="K962" t="s">
        <v>3481</v>
      </c>
      <c r="L962" s="54">
        <v>49</v>
      </c>
      <c r="M962" t="s">
        <v>1472</v>
      </c>
      <c r="N962" t="s">
        <v>11</v>
      </c>
      <c r="O962" s="54">
        <v>3.42</v>
      </c>
      <c r="P962" s="35">
        <f t="shared" ref="P962:P1025" si="94">ROUND(O962*L962,2)</f>
        <v>167.58</v>
      </c>
      <c r="Q962" s="10">
        <f t="shared" si="91"/>
        <v>7.3003400000000003</v>
      </c>
      <c r="R962" s="10">
        <f t="shared" si="92"/>
        <v>0.46850000000000003</v>
      </c>
      <c r="S962" s="11">
        <f t="shared" si="93"/>
        <v>22.96</v>
      </c>
      <c r="T962" s="10" t="s">
        <v>349</v>
      </c>
      <c r="U962" t="s">
        <v>368</v>
      </c>
      <c r="V962" s="58">
        <v>7.1775000000000002</v>
      </c>
      <c r="W962" s="38">
        <f t="shared" ref="W962:W1025" si="95">IF(N962="CNY",O962/V962*L962,1)</f>
        <v>23.347962382445139</v>
      </c>
    </row>
    <row r="963" spans="1:23">
      <c r="A963" t="s">
        <v>2409</v>
      </c>
      <c r="B963" s="20">
        <v>45722</v>
      </c>
      <c r="C963" s="20">
        <v>45700</v>
      </c>
      <c r="D963" t="s">
        <v>94</v>
      </c>
      <c r="E963" t="s">
        <v>95</v>
      </c>
      <c r="F963" s="19"/>
      <c r="G963" t="s">
        <v>2860</v>
      </c>
      <c r="H963" t="s">
        <v>997</v>
      </c>
      <c r="I963" t="s">
        <v>998</v>
      </c>
      <c r="J963" s="8" t="str">
        <f t="shared" si="90"/>
        <v>LID-</v>
      </c>
      <c r="K963" t="s">
        <v>3481</v>
      </c>
      <c r="L963" s="54">
        <v>1030</v>
      </c>
      <c r="M963" t="s">
        <v>1472</v>
      </c>
      <c r="N963" t="s">
        <v>11</v>
      </c>
      <c r="O963" s="54">
        <v>3.64</v>
      </c>
      <c r="P963" s="35">
        <f t="shared" si="94"/>
        <v>3749.2</v>
      </c>
      <c r="Q963" s="10">
        <f t="shared" si="91"/>
        <v>7.3003400000000003</v>
      </c>
      <c r="R963" s="10">
        <f t="shared" si="92"/>
        <v>0.49859999999999999</v>
      </c>
      <c r="S963" s="11">
        <f t="shared" si="93"/>
        <v>513.55999999999995</v>
      </c>
      <c r="T963" s="10" t="s">
        <v>349</v>
      </c>
      <c r="U963" t="s">
        <v>368</v>
      </c>
      <c r="V963" s="58">
        <v>7.1775000000000002</v>
      </c>
      <c r="W963" s="38">
        <f t="shared" si="95"/>
        <v>522.3545802856147</v>
      </c>
    </row>
    <row r="964" spans="1:23">
      <c r="A964" t="s">
        <v>2410</v>
      </c>
      <c r="B964" s="20">
        <v>45722</v>
      </c>
      <c r="C964" s="20">
        <v>45700</v>
      </c>
      <c r="D964" t="s">
        <v>94</v>
      </c>
      <c r="E964" t="s">
        <v>95</v>
      </c>
      <c r="F964" s="19"/>
      <c r="G964" t="s">
        <v>2860</v>
      </c>
      <c r="H964" t="s">
        <v>1750</v>
      </c>
      <c r="I964" t="s">
        <v>1751</v>
      </c>
      <c r="J964" s="8" t="str">
        <f t="shared" si="90"/>
        <v>LID-</v>
      </c>
      <c r="K964" t="s">
        <v>3481</v>
      </c>
      <c r="L964" s="54">
        <v>594</v>
      </c>
      <c r="M964" t="s">
        <v>1472</v>
      </c>
      <c r="N964" t="s">
        <v>11</v>
      </c>
      <c r="O964" s="54">
        <v>3.92</v>
      </c>
      <c r="P964" s="35">
        <f t="shared" si="94"/>
        <v>2328.48</v>
      </c>
      <c r="Q964" s="10">
        <f t="shared" si="91"/>
        <v>7.3003400000000003</v>
      </c>
      <c r="R964" s="10">
        <f t="shared" si="92"/>
        <v>0.53700000000000003</v>
      </c>
      <c r="S964" s="11">
        <f t="shared" si="93"/>
        <v>318.98</v>
      </c>
      <c r="T964" s="10" t="s">
        <v>349</v>
      </c>
      <c r="U964" t="s">
        <v>368</v>
      </c>
      <c r="V964" s="58">
        <v>7.1775000000000002</v>
      </c>
      <c r="W964" s="38">
        <f t="shared" si="95"/>
        <v>324.41379310344826</v>
      </c>
    </row>
    <row r="965" spans="1:23">
      <c r="A965" t="s">
        <v>2461</v>
      </c>
      <c r="B965" s="20">
        <v>45722</v>
      </c>
      <c r="C965" s="20">
        <v>45706</v>
      </c>
      <c r="D965" t="s">
        <v>806</v>
      </c>
      <c r="E965" t="s">
        <v>807</v>
      </c>
      <c r="F965" s="19"/>
      <c r="G965" t="s">
        <v>2945</v>
      </c>
      <c r="H965" t="s">
        <v>3139</v>
      </c>
      <c r="I965" t="s">
        <v>3349</v>
      </c>
      <c r="J965" s="8" t="str">
        <f t="shared" si="90"/>
        <v>BAG-</v>
      </c>
      <c r="K965" t="s">
        <v>10</v>
      </c>
      <c r="L965" s="54">
        <v>3000</v>
      </c>
      <c r="M965" t="s">
        <v>1472</v>
      </c>
      <c r="N965" t="s">
        <v>11</v>
      </c>
      <c r="O965" s="54">
        <v>7.2999999999999995E-2</v>
      </c>
      <c r="P965" s="35">
        <f t="shared" si="94"/>
        <v>219</v>
      </c>
      <c r="Q965" s="10">
        <f t="shared" si="91"/>
        <v>7.3003400000000003</v>
      </c>
      <c r="R965" s="10">
        <f t="shared" si="92"/>
        <v>0.01</v>
      </c>
      <c r="S965" s="11">
        <f t="shared" si="93"/>
        <v>30</v>
      </c>
      <c r="T965" s="10" t="s">
        <v>349</v>
      </c>
      <c r="U965" t="s">
        <v>810</v>
      </c>
      <c r="V965" s="58">
        <v>7.1775000000000002</v>
      </c>
      <c r="W965" s="38">
        <f t="shared" si="95"/>
        <v>30.512016718913269</v>
      </c>
    </row>
    <row r="966" spans="1:23">
      <c r="A966" t="s">
        <v>2462</v>
      </c>
      <c r="B966" s="20">
        <v>45722</v>
      </c>
      <c r="C966" s="20">
        <v>45706</v>
      </c>
      <c r="D966" t="s">
        <v>806</v>
      </c>
      <c r="E966" t="s">
        <v>807</v>
      </c>
      <c r="F966" s="19"/>
      <c r="G966" t="s">
        <v>2945</v>
      </c>
      <c r="H966" t="s">
        <v>1585</v>
      </c>
      <c r="I966" t="s">
        <v>1586</v>
      </c>
      <c r="J966" s="8" t="str">
        <f t="shared" si="90"/>
        <v>BAG-</v>
      </c>
      <c r="K966" t="s">
        <v>10</v>
      </c>
      <c r="L966" s="54">
        <v>10000</v>
      </c>
      <c r="M966" t="s">
        <v>1472</v>
      </c>
      <c r="N966" t="s">
        <v>11</v>
      </c>
      <c r="O966" s="54">
        <v>0.09</v>
      </c>
      <c r="P966" s="35">
        <f t="shared" si="94"/>
        <v>900</v>
      </c>
      <c r="Q966" s="10">
        <f t="shared" si="91"/>
        <v>7.3003400000000003</v>
      </c>
      <c r="R966" s="10">
        <f t="shared" si="92"/>
        <v>1.23E-2</v>
      </c>
      <c r="S966" s="11">
        <f t="shared" si="93"/>
        <v>123</v>
      </c>
      <c r="T966" s="10" t="s">
        <v>349</v>
      </c>
      <c r="U966" t="s">
        <v>810</v>
      </c>
      <c r="V966" s="58">
        <v>7.1775000000000002</v>
      </c>
      <c r="W966" s="38">
        <f t="shared" si="95"/>
        <v>125.39184952978056</v>
      </c>
    </row>
    <row r="967" spans="1:23">
      <c r="A967" t="s">
        <v>2463</v>
      </c>
      <c r="B967" s="20">
        <v>45722</v>
      </c>
      <c r="C967" s="20">
        <v>45706</v>
      </c>
      <c r="D967" t="s">
        <v>806</v>
      </c>
      <c r="E967" t="s">
        <v>807</v>
      </c>
      <c r="F967" s="19"/>
      <c r="G967" t="s">
        <v>2945</v>
      </c>
      <c r="H967" t="s">
        <v>1599</v>
      </c>
      <c r="I967" t="s">
        <v>1600</v>
      </c>
      <c r="J967" s="8" t="str">
        <f t="shared" si="90"/>
        <v>BAG-</v>
      </c>
      <c r="K967" t="s">
        <v>10</v>
      </c>
      <c r="L967" s="54">
        <v>10000</v>
      </c>
      <c r="M967" t="s">
        <v>1472</v>
      </c>
      <c r="N967" t="s">
        <v>11</v>
      </c>
      <c r="O967" s="54">
        <v>0.12</v>
      </c>
      <c r="P967" s="35">
        <f t="shared" si="94"/>
        <v>1200</v>
      </c>
      <c r="Q967" s="10">
        <f t="shared" si="91"/>
        <v>7.3003400000000003</v>
      </c>
      <c r="R967" s="10">
        <f t="shared" si="92"/>
        <v>1.6400000000000001E-2</v>
      </c>
      <c r="S967" s="11">
        <f t="shared" si="93"/>
        <v>164</v>
      </c>
      <c r="T967" s="10" t="s">
        <v>349</v>
      </c>
      <c r="U967" t="s">
        <v>810</v>
      </c>
      <c r="V967" s="58">
        <v>7.1775000000000002</v>
      </c>
      <c r="W967" s="38">
        <f t="shared" si="95"/>
        <v>167.18913270637407</v>
      </c>
    </row>
    <row r="968" spans="1:23">
      <c r="A968" t="s">
        <v>2464</v>
      </c>
      <c r="B968" s="20">
        <v>45722</v>
      </c>
      <c r="C968" s="20">
        <v>45706</v>
      </c>
      <c r="D968" t="s">
        <v>806</v>
      </c>
      <c r="E968" t="s">
        <v>807</v>
      </c>
      <c r="F968" s="19"/>
      <c r="G968" t="s">
        <v>2945</v>
      </c>
      <c r="H968" t="s">
        <v>3140</v>
      </c>
      <c r="I968" t="s">
        <v>3350</v>
      </c>
      <c r="J968" s="8" t="str">
        <f t="shared" si="90"/>
        <v>BAG-</v>
      </c>
      <c r="K968" t="s">
        <v>10</v>
      </c>
      <c r="L968" s="54">
        <v>1500</v>
      </c>
      <c r="M968" t="s">
        <v>1472</v>
      </c>
      <c r="N968" t="s">
        <v>11</v>
      </c>
      <c r="O968" s="54">
        <v>0.13200000000000001</v>
      </c>
      <c r="P968" s="35">
        <f t="shared" si="94"/>
        <v>198</v>
      </c>
      <c r="Q968" s="10">
        <f t="shared" si="91"/>
        <v>7.3003400000000003</v>
      </c>
      <c r="R968" s="10">
        <f t="shared" si="92"/>
        <v>1.8100000000000002E-2</v>
      </c>
      <c r="S968" s="11">
        <f t="shared" si="93"/>
        <v>27.15</v>
      </c>
      <c r="T968" s="10" t="s">
        <v>349</v>
      </c>
      <c r="U968" t="s">
        <v>810</v>
      </c>
      <c r="V968" s="58">
        <v>7.1775000000000002</v>
      </c>
      <c r="W968" s="38">
        <f t="shared" si="95"/>
        <v>27.586206896551722</v>
      </c>
    </row>
    <row r="969" spans="1:23">
      <c r="A969" t="s">
        <v>2465</v>
      </c>
      <c r="B969" s="20">
        <v>45722</v>
      </c>
      <c r="C969" s="20">
        <v>45706</v>
      </c>
      <c r="D969" t="s">
        <v>806</v>
      </c>
      <c r="E969" t="s">
        <v>807</v>
      </c>
      <c r="F969" s="19"/>
      <c r="G969" t="s">
        <v>2945</v>
      </c>
      <c r="H969" t="s">
        <v>3141</v>
      </c>
      <c r="I969" t="s">
        <v>3351</v>
      </c>
      <c r="J969" s="8" t="str">
        <f t="shared" si="90"/>
        <v>BAG-</v>
      </c>
      <c r="K969" t="s">
        <v>10</v>
      </c>
      <c r="L969" s="54">
        <v>10000</v>
      </c>
      <c r="M969" t="s">
        <v>1472</v>
      </c>
      <c r="N969" t="s">
        <v>11</v>
      </c>
      <c r="O969" s="54">
        <v>0.15</v>
      </c>
      <c r="P969" s="35">
        <f t="shared" si="94"/>
        <v>1500</v>
      </c>
      <c r="Q969" s="10">
        <f t="shared" si="91"/>
        <v>7.3003400000000003</v>
      </c>
      <c r="R969" s="10">
        <f t="shared" si="92"/>
        <v>2.0500000000000001E-2</v>
      </c>
      <c r="S969" s="11">
        <f t="shared" si="93"/>
        <v>205</v>
      </c>
      <c r="T969" s="10" t="s">
        <v>349</v>
      </c>
      <c r="U969" t="s">
        <v>810</v>
      </c>
      <c r="V969" s="58">
        <v>7.1775000000000002</v>
      </c>
      <c r="W969" s="38">
        <f t="shared" si="95"/>
        <v>208.98641588296761</v>
      </c>
    </row>
    <row r="970" spans="1:23">
      <c r="A970" t="s">
        <v>2604</v>
      </c>
      <c r="B970" s="20">
        <v>45722</v>
      </c>
      <c r="C970" s="20">
        <v>45719</v>
      </c>
      <c r="D970" t="s">
        <v>806</v>
      </c>
      <c r="E970" t="s">
        <v>807</v>
      </c>
      <c r="F970" s="19"/>
      <c r="G970" t="s">
        <v>2945</v>
      </c>
      <c r="H970" t="s">
        <v>3194</v>
      </c>
      <c r="I970" t="s">
        <v>3401</v>
      </c>
      <c r="J970" s="8" t="str">
        <f t="shared" si="90"/>
        <v>BAG-</v>
      </c>
      <c r="K970" t="s">
        <v>10</v>
      </c>
      <c r="L970" s="54">
        <v>10000</v>
      </c>
      <c r="M970" t="s">
        <v>1472</v>
      </c>
      <c r="N970" t="s">
        <v>11</v>
      </c>
      <c r="O970" s="54">
        <v>0.115</v>
      </c>
      <c r="P970" s="35">
        <f t="shared" si="94"/>
        <v>1150</v>
      </c>
      <c r="Q970" s="10">
        <f t="shared" si="91"/>
        <v>7.3003400000000003</v>
      </c>
      <c r="R970" s="10">
        <f t="shared" si="92"/>
        <v>1.5800000000000002E-2</v>
      </c>
      <c r="S970" s="11">
        <f t="shared" si="93"/>
        <v>158</v>
      </c>
      <c r="T970" s="10" t="s">
        <v>349</v>
      </c>
      <c r="U970" t="s">
        <v>810</v>
      </c>
      <c r="V970" s="58">
        <v>7.1775000000000002</v>
      </c>
      <c r="W970" s="38">
        <f t="shared" si="95"/>
        <v>160.22291884360848</v>
      </c>
    </row>
    <row r="971" spans="1:23">
      <c r="A971" t="s">
        <v>2283</v>
      </c>
      <c r="B971" s="20">
        <v>45723</v>
      </c>
      <c r="C971" s="20">
        <v>45596</v>
      </c>
      <c r="D971" t="s">
        <v>287</v>
      </c>
      <c r="E971" t="s">
        <v>288</v>
      </c>
      <c r="F971" s="19"/>
      <c r="G971" t="s">
        <v>2850</v>
      </c>
      <c r="H971" t="s">
        <v>3064</v>
      </c>
      <c r="I971" t="s">
        <v>83</v>
      </c>
      <c r="J971" s="8" t="str">
        <f t="shared" si="90"/>
        <v>ANYD</v>
      </c>
      <c r="K971" t="s">
        <v>10</v>
      </c>
      <c r="L971" s="54">
        <v>-79</v>
      </c>
      <c r="M971" t="s">
        <v>1472</v>
      </c>
      <c r="N971" t="s">
        <v>11</v>
      </c>
      <c r="O971" s="54">
        <v>7.4237000000000002</v>
      </c>
      <c r="P971" s="35">
        <f t="shared" si="94"/>
        <v>-586.47</v>
      </c>
      <c r="Q971" s="10">
        <f t="shared" si="91"/>
        <v>7.3003400000000003</v>
      </c>
      <c r="R971" s="10">
        <f t="shared" si="92"/>
        <v>1.0168999999999999</v>
      </c>
      <c r="S971" s="11">
        <f t="shared" si="93"/>
        <v>-80.34</v>
      </c>
      <c r="T971" s="10" t="s">
        <v>349</v>
      </c>
      <c r="U971" t="s">
        <v>36</v>
      </c>
      <c r="V971" s="58">
        <v>7.1775000000000002</v>
      </c>
      <c r="W971" s="38">
        <f t="shared" si="95"/>
        <v>-81.70982932776036</v>
      </c>
    </row>
    <row r="972" spans="1:23">
      <c r="A972" t="s">
        <v>2284</v>
      </c>
      <c r="B972" s="20">
        <v>45723</v>
      </c>
      <c r="C972" s="20">
        <v>45604</v>
      </c>
      <c r="D972" t="s">
        <v>287</v>
      </c>
      <c r="E972" t="s">
        <v>288</v>
      </c>
      <c r="F972" s="19"/>
      <c r="G972" t="s">
        <v>2850</v>
      </c>
      <c r="H972" t="s">
        <v>75</v>
      </c>
      <c r="I972" t="s">
        <v>3280</v>
      </c>
      <c r="J972" s="8" t="str">
        <f t="shared" si="90"/>
        <v>ANYD</v>
      </c>
      <c r="K972" t="s">
        <v>10</v>
      </c>
      <c r="L972" s="54">
        <v>-100</v>
      </c>
      <c r="M972" t="s">
        <v>1472</v>
      </c>
      <c r="N972" t="s">
        <v>11</v>
      </c>
      <c r="O972" s="54">
        <v>9.2149999999999999</v>
      </c>
      <c r="P972" s="35">
        <f t="shared" si="94"/>
        <v>-921.5</v>
      </c>
      <c r="Q972" s="10">
        <f t="shared" si="91"/>
        <v>7.3003400000000003</v>
      </c>
      <c r="R972" s="10">
        <f t="shared" si="92"/>
        <v>1.2623</v>
      </c>
      <c r="S972" s="11">
        <f t="shared" si="93"/>
        <v>-126.23</v>
      </c>
      <c r="T972" s="10" t="s">
        <v>349</v>
      </c>
      <c r="U972" t="s">
        <v>36</v>
      </c>
      <c r="V972" s="58">
        <v>7.1775000000000002</v>
      </c>
      <c r="W972" s="38">
        <f t="shared" si="95"/>
        <v>-128.38732149076978</v>
      </c>
    </row>
    <row r="973" spans="1:23">
      <c r="A973" t="s">
        <v>2291</v>
      </c>
      <c r="B973" s="20">
        <v>45723</v>
      </c>
      <c r="C973" s="20">
        <v>45636</v>
      </c>
      <c r="D973" t="s">
        <v>143</v>
      </c>
      <c r="E973" t="s">
        <v>144</v>
      </c>
      <c r="F973" s="19"/>
      <c r="G973" t="s">
        <v>2858</v>
      </c>
      <c r="H973" t="s">
        <v>3065</v>
      </c>
      <c r="I973" t="s">
        <v>3281</v>
      </c>
      <c r="J973" s="8" t="str">
        <f t="shared" si="90"/>
        <v>HDL-</v>
      </c>
      <c r="K973" t="s">
        <v>10</v>
      </c>
      <c r="L973" s="54">
        <v>370</v>
      </c>
      <c r="M973" t="s">
        <v>1472</v>
      </c>
      <c r="N973" t="s">
        <v>11</v>
      </c>
      <c r="O973" s="54">
        <v>15.564299999999999</v>
      </c>
      <c r="P973" s="35">
        <f t="shared" si="94"/>
        <v>5758.79</v>
      </c>
      <c r="Q973" s="10">
        <f t="shared" si="91"/>
        <v>7.3003400000000003</v>
      </c>
      <c r="R973" s="10">
        <f t="shared" si="92"/>
        <v>2.1320000000000001</v>
      </c>
      <c r="S973" s="11">
        <f t="shared" si="93"/>
        <v>788.84</v>
      </c>
      <c r="T973" s="10" t="s">
        <v>349</v>
      </c>
      <c r="U973" t="s">
        <v>228</v>
      </c>
      <c r="V973" s="58">
        <v>7.1775000000000002</v>
      </c>
      <c r="W973" s="38">
        <f t="shared" si="95"/>
        <v>802.33939393939397</v>
      </c>
    </row>
    <row r="974" spans="1:23">
      <c r="A974" t="s">
        <v>2292</v>
      </c>
      <c r="B974" s="20">
        <v>45723</v>
      </c>
      <c r="C974" s="20">
        <v>45636</v>
      </c>
      <c r="D974" t="s">
        <v>143</v>
      </c>
      <c r="E974" t="s">
        <v>144</v>
      </c>
      <c r="F974" s="19"/>
      <c r="G974" t="s">
        <v>2858</v>
      </c>
      <c r="H974" t="s">
        <v>3066</v>
      </c>
      <c r="I974" t="s">
        <v>3282</v>
      </c>
      <c r="J974" s="8" t="str">
        <f t="shared" si="90"/>
        <v>HDL-</v>
      </c>
      <c r="K974" t="s">
        <v>10</v>
      </c>
      <c r="L974" s="54">
        <v>500</v>
      </c>
      <c r="M974" t="s">
        <v>1472</v>
      </c>
      <c r="N974" t="s">
        <v>11</v>
      </c>
      <c r="O974" s="54">
        <v>15.564299999999999</v>
      </c>
      <c r="P974" s="35">
        <f t="shared" si="94"/>
        <v>7782.15</v>
      </c>
      <c r="Q974" s="10">
        <f t="shared" si="91"/>
        <v>7.3003400000000003</v>
      </c>
      <c r="R974" s="10">
        <f t="shared" si="92"/>
        <v>2.1320000000000001</v>
      </c>
      <c r="S974" s="11">
        <f t="shared" si="93"/>
        <v>1066</v>
      </c>
      <c r="T974" s="10" t="s">
        <v>349</v>
      </c>
      <c r="U974" t="s">
        <v>228</v>
      </c>
      <c r="V974" s="58">
        <v>7.1775000000000002</v>
      </c>
      <c r="W974" s="38">
        <f t="shared" si="95"/>
        <v>1084.2424242424242</v>
      </c>
    </row>
    <row r="975" spans="1:23">
      <c r="A975" t="s">
        <v>705</v>
      </c>
      <c r="B975" s="20">
        <v>45723</v>
      </c>
      <c r="C975" s="20">
        <v>45639</v>
      </c>
      <c r="D975" t="s">
        <v>287</v>
      </c>
      <c r="E975" t="s">
        <v>288</v>
      </c>
      <c r="F975" s="19"/>
      <c r="G975" t="s">
        <v>2850</v>
      </c>
      <c r="H975" t="s">
        <v>703</v>
      </c>
      <c r="I975" t="s">
        <v>704</v>
      </c>
      <c r="J975" s="8" t="str">
        <f t="shared" si="90"/>
        <v>ANYD</v>
      </c>
      <c r="K975" t="s">
        <v>10</v>
      </c>
      <c r="L975" s="54">
        <v>-78</v>
      </c>
      <c r="M975" t="s">
        <v>1472</v>
      </c>
      <c r="N975" t="s">
        <v>11</v>
      </c>
      <c r="O975" s="54">
        <v>7.4237000000000002</v>
      </c>
      <c r="P975" s="35">
        <f t="shared" si="94"/>
        <v>-579.04999999999995</v>
      </c>
      <c r="Q975" s="10">
        <f t="shared" si="91"/>
        <v>7.3003400000000003</v>
      </c>
      <c r="R975" s="10">
        <f t="shared" si="92"/>
        <v>1.0168999999999999</v>
      </c>
      <c r="S975" s="11">
        <f t="shared" si="93"/>
        <v>-79.319999999999993</v>
      </c>
      <c r="T975" s="10" t="s">
        <v>349</v>
      </c>
      <c r="U975" t="s">
        <v>36</v>
      </c>
      <c r="V975" s="58">
        <v>7.1775000000000002</v>
      </c>
      <c r="W975" s="38">
        <f t="shared" si="95"/>
        <v>-80.675527690700108</v>
      </c>
    </row>
    <row r="976" spans="1:23">
      <c r="A976" t="s">
        <v>648</v>
      </c>
      <c r="B976" s="20">
        <v>45723</v>
      </c>
      <c r="C976" s="20">
        <v>45643</v>
      </c>
      <c r="D976" t="s">
        <v>169</v>
      </c>
      <c r="E976" t="s">
        <v>170</v>
      </c>
      <c r="F976" s="19"/>
      <c r="G976" t="s">
        <v>2863</v>
      </c>
      <c r="H976" t="s">
        <v>646</v>
      </c>
      <c r="I976" t="s">
        <v>647</v>
      </c>
      <c r="J976" s="8" t="str">
        <f t="shared" si="90"/>
        <v>PRIM</v>
      </c>
      <c r="K976" t="s">
        <v>10</v>
      </c>
      <c r="L976" s="54">
        <v>-1200</v>
      </c>
      <c r="M976" t="s">
        <v>1472</v>
      </c>
      <c r="N976" t="s">
        <v>11</v>
      </c>
      <c r="O976" s="54">
        <v>0.82</v>
      </c>
      <c r="P976" s="35">
        <f t="shared" si="94"/>
        <v>-984</v>
      </c>
      <c r="Q976" s="10">
        <f t="shared" si="91"/>
        <v>7.3003400000000003</v>
      </c>
      <c r="R976" s="10">
        <f t="shared" si="92"/>
        <v>0.1123</v>
      </c>
      <c r="S976" s="11">
        <f t="shared" si="93"/>
        <v>-134.76</v>
      </c>
      <c r="T976" s="10" t="s">
        <v>349</v>
      </c>
      <c r="U976" t="s">
        <v>181</v>
      </c>
      <c r="V976" s="58">
        <v>7.1775000000000002</v>
      </c>
      <c r="W976" s="38">
        <f t="shared" si="95"/>
        <v>-137.09508881922676</v>
      </c>
    </row>
    <row r="977" spans="1:23">
      <c r="A977" t="s">
        <v>2054</v>
      </c>
      <c r="B977" s="20">
        <v>45723</v>
      </c>
      <c r="C977" s="20">
        <v>45656</v>
      </c>
      <c r="D977" t="s">
        <v>128</v>
      </c>
      <c r="E977" t="s">
        <v>129</v>
      </c>
      <c r="F977" s="19"/>
      <c r="G977" t="s">
        <v>2867</v>
      </c>
      <c r="H977" t="s">
        <v>1762</v>
      </c>
      <c r="I977" t="s">
        <v>1763</v>
      </c>
      <c r="J977" s="8" t="str">
        <f t="shared" si="90"/>
        <v>HDL-</v>
      </c>
      <c r="K977" t="s">
        <v>10</v>
      </c>
      <c r="L977" s="54">
        <v>3200</v>
      </c>
      <c r="M977" t="s">
        <v>1472</v>
      </c>
      <c r="N977" t="s">
        <v>11</v>
      </c>
      <c r="O977" s="54">
        <v>4.5491999999999999</v>
      </c>
      <c r="P977" s="35">
        <f t="shared" si="94"/>
        <v>14557.44</v>
      </c>
      <c r="Q977" s="10">
        <f t="shared" si="91"/>
        <v>7.3003400000000003</v>
      </c>
      <c r="R977" s="10">
        <f t="shared" si="92"/>
        <v>0.62309999999999999</v>
      </c>
      <c r="S977" s="11">
        <f t="shared" si="93"/>
        <v>1993.92</v>
      </c>
      <c r="T977" s="10" t="s">
        <v>349</v>
      </c>
      <c r="U977" t="s">
        <v>228</v>
      </c>
      <c r="V977" s="58">
        <v>7.1775000000000002</v>
      </c>
      <c r="W977" s="38">
        <f t="shared" si="95"/>
        <v>2028.2048066875652</v>
      </c>
    </row>
    <row r="978" spans="1:23">
      <c r="A978" t="s">
        <v>2324</v>
      </c>
      <c r="B978" s="20">
        <v>45723</v>
      </c>
      <c r="C978" s="20">
        <v>45664</v>
      </c>
      <c r="D978" t="s">
        <v>94</v>
      </c>
      <c r="E978" t="s">
        <v>95</v>
      </c>
      <c r="F978" s="19"/>
      <c r="G978" t="s">
        <v>2881</v>
      </c>
      <c r="H978" t="s">
        <v>997</v>
      </c>
      <c r="I978" t="s">
        <v>998</v>
      </c>
      <c r="J978" s="8" t="str">
        <f t="shared" si="90"/>
        <v>LID-</v>
      </c>
      <c r="K978" t="s">
        <v>3481</v>
      </c>
      <c r="L978" s="54">
        <v>1234</v>
      </c>
      <c r="M978" t="s">
        <v>1472</v>
      </c>
      <c r="N978" t="s">
        <v>11</v>
      </c>
      <c r="O978" s="54">
        <v>3.64</v>
      </c>
      <c r="P978" s="35">
        <f t="shared" si="94"/>
        <v>4491.76</v>
      </c>
      <c r="Q978" s="10">
        <f t="shared" si="91"/>
        <v>7.3003400000000003</v>
      </c>
      <c r="R978" s="10">
        <f t="shared" si="92"/>
        <v>0.49859999999999999</v>
      </c>
      <c r="S978" s="11">
        <f t="shared" si="93"/>
        <v>615.27</v>
      </c>
      <c r="T978" s="10" t="s">
        <v>349</v>
      </c>
      <c r="U978" t="s">
        <v>368</v>
      </c>
      <c r="V978" s="58">
        <v>7.1775000000000002</v>
      </c>
      <c r="W978" s="38">
        <f t="shared" si="95"/>
        <v>625.81121560431905</v>
      </c>
    </row>
    <row r="979" spans="1:23">
      <c r="A979" t="s">
        <v>2325</v>
      </c>
      <c r="B979" s="20">
        <v>45723</v>
      </c>
      <c r="C979" s="20">
        <v>45664</v>
      </c>
      <c r="D979" t="s">
        <v>94</v>
      </c>
      <c r="E979" t="s">
        <v>95</v>
      </c>
      <c r="F979" s="19"/>
      <c r="G979" t="s">
        <v>2882</v>
      </c>
      <c r="H979" t="s">
        <v>1750</v>
      </c>
      <c r="I979" t="s">
        <v>1751</v>
      </c>
      <c r="J979" s="8" t="str">
        <f t="shared" si="90"/>
        <v>LID-</v>
      </c>
      <c r="K979" t="s">
        <v>3481</v>
      </c>
      <c r="L979" s="54">
        <v>990</v>
      </c>
      <c r="M979" t="s">
        <v>1472</v>
      </c>
      <c r="N979" t="s">
        <v>11</v>
      </c>
      <c r="O979" s="54">
        <v>3.92</v>
      </c>
      <c r="P979" s="35">
        <f t="shared" si="94"/>
        <v>3880.8</v>
      </c>
      <c r="Q979" s="10">
        <f t="shared" si="91"/>
        <v>7.3003400000000003</v>
      </c>
      <c r="R979" s="10">
        <f t="shared" si="92"/>
        <v>0.53700000000000003</v>
      </c>
      <c r="S979" s="11">
        <f t="shared" si="93"/>
        <v>531.63</v>
      </c>
      <c r="T979" s="10" t="s">
        <v>349</v>
      </c>
      <c r="U979" t="s">
        <v>368</v>
      </c>
      <c r="V979" s="58">
        <v>7.1775000000000002</v>
      </c>
      <c r="W979" s="38">
        <f t="shared" si="95"/>
        <v>540.68965517241372</v>
      </c>
    </row>
    <row r="980" spans="1:23">
      <c r="A980" t="s">
        <v>1912</v>
      </c>
      <c r="B980" s="20">
        <v>45723</v>
      </c>
      <c r="C980" s="20">
        <v>45671</v>
      </c>
      <c r="D980" t="s">
        <v>128</v>
      </c>
      <c r="E980" t="s">
        <v>129</v>
      </c>
      <c r="F980" s="19"/>
      <c r="G980" t="s">
        <v>2867</v>
      </c>
      <c r="H980" t="s">
        <v>443</v>
      </c>
      <c r="I980" t="s">
        <v>444</v>
      </c>
      <c r="J980" s="8" t="str">
        <f t="shared" si="90"/>
        <v>FG--</v>
      </c>
      <c r="K980" t="s">
        <v>10</v>
      </c>
      <c r="L980" s="54">
        <v>3000</v>
      </c>
      <c r="M980" t="s">
        <v>1472</v>
      </c>
      <c r="N980" t="s">
        <v>11</v>
      </c>
      <c r="O980" s="54">
        <v>1.0021</v>
      </c>
      <c r="P980" s="35">
        <f t="shared" si="94"/>
        <v>3006.3</v>
      </c>
      <c r="Q980" s="10">
        <f t="shared" si="91"/>
        <v>7.3003400000000003</v>
      </c>
      <c r="R980" s="10">
        <f t="shared" si="92"/>
        <v>0.13730000000000001</v>
      </c>
      <c r="S980" s="11">
        <f t="shared" si="93"/>
        <v>411.9</v>
      </c>
      <c r="T980" s="10" t="s">
        <v>349</v>
      </c>
      <c r="U980" t="s">
        <v>64</v>
      </c>
      <c r="V980" s="58">
        <v>7.1775000000000002</v>
      </c>
      <c r="W980" s="38">
        <f t="shared" si="95"/>
        <v>418.85057471264366</v>
      </c>
    </row>
    <row r="981" spans="1:23">
      <c r="A981" t="s">
        <v>2338</v>
      </c>
      <c r="B981" s="20">
        <v>45723</v>
      </c>
      <c r="C981" s="20">
        <v>45674</v>
      </c>
      <c r="D981" t="s">
        <v>169</v>
      </c>
      <c r="E981" t="s">
        <v>170</v>
      </c>
      <c r="F981" s="19"/>
      <c r="G981" t="s">
        <v>2863</v>
      </c>
      <c r="H981" t="s">
        <v>646</v>
      </c>
      <c r="I981" t="s">
        <v>647</v>
      </c>
      <c r="J981" s="8" t="str">
        <f t="shared" ref="J981:J1044" si="96">+LEFT(U981,4)</f>
        <v>PRIM</v>
      </c>
      <c r="K981" t="s">
        <v>10</v>
      </c>
      <c r="L981" s="54">
        <v>-5300</v>
      </c>
      <c r="M981" t="s">
        <v>1472</v>
      </c>
      <c r="N981" t="s">
        <v>11</v>
      </c>
      <c r="O981" s="54">
        <v>1.46</v>
      </c>
      <c r="P981" s="35">
        <f t="shared" si="94"/>
        <v>-7738</v>
      </c>
      <c r="Q981" s="10">
        <f t="shared" ref="Q981:Q1044" si="97">IF(N981="HKD",7.8,IF(N981="CNY",7.30034,1))</f>
        <v>7.3003400000000003</v>
      </c>
      <c r="R981" s="10">
        <f t="shared" ref="R981:R1044" si="98">+ROUND(O981/Q981,4)</f>
        <v>0.2</v>
      </c>
      <c r="S981" s="11">
        <f t="shared" ref="S981:S1044" si="99">ROUND(R981*L981,2)</f>
        <v>-1060</v>
      </c>
      <c r="T981" s="10" t="s">
        <v>349</v>
      </c>
      <c r="U981" t="s">
        <v>181</v>
      </c>
      <c r="V981" s="58">
        <v>7.1775000000000002</v>
      </c>
      <c r="W981" s="38">
        <f t="shared" si="95"/>
        <v>-1078.0912574016022</v>
      </c>
    </row>
    <row r="982" spans="1:23">
      <c r="A982" t="s">
        <v>2338</v>
      </c>
      <c r="B982" s="20">
        <v>45723</v>
      </c>
      <c r="C982" s="20">
        <v>45674</v>
      </c>
      <c r="D982" t="s">
        <v>169</v>
      </c>
      <c r="E982" t="s">
        <v>170</v>
      </c>
      <c r="F982" s="19"/>
      <c r="G982" t="s">
        <v>2863</v>
      </c>
      <c r="H982" t="s">
        <v>646</v>
      </c>
      <c r="I982" t="s">
        <v>647</v>
      </c>
      <c r="J982" s="8" t="str">
        <f t="shared" si="96"/>
        <v>PRIM</v>
      </c>
      <c r="K982" t="s">
        <v>10</v>
      </c>
      <c r="L982" s="54">
        <v>-1200</v>
      </c>
      <c r="M982" t="s">
        <v>1472</v>
      </c>
      <c r="N982" t="s">
        <v>11</v>
      </c>
      <c r="O982" s="54">
        <v>1.46</v>
      </c>
      <c r="P982" s="35">
        <f t="shared" si="94"/>
        <v>-1752</v>
      </c>
      <c r="Q982" s="10">
        <f t="shared" si="97"/>
        <v>7.3003400000000003</v>
      </c>
      <c r="R982" s="10">
        <f t="shared" si="98"/>
        <v>0.2</v>
      </c>
      <c r="S982" s="11">
        <f t="shared" si="99"/>
        <v>-240</v>
      </c>
      <c r="T982" s="10" t="s">
        <v>349</v>
      </c>
      <c r="U982" t="s">
        <v>181</v>
      </c>
      <c r="V982" s="58">
        <v>7.1775000000000002</v>
      </c>
      <c r="W982" s="38">
        <f t="shared" si="95"/>
        <v>-244.09613375130616</v>
      </c>
    </row>
    <row r="983" spans="1:23">
      <c r="A983" t="s">
        <v>2339</v>
      </c>
      <c r="B983" s="20">
        <v>45723</v>
      </c>
      <c r="C983" s="20">
        <v>45674</v>
      </c>
      <c r="D983" t="s">
        <v>806</v>
      </c>
      <c r="E983" t="s">
        <v>807</v>
      </c>
      <c r="F983" s="19"/>
      <c r="G983" t="s">
        <v>2896</v>
      </c>
      <c r="H983" t="s">
        <v>3087</v>
      </c>
      <c r="I983" t="s">
        <v>3303</v>
      </c>
      <c r="J983" s="8" t="str">
        <f t="shared" si="96"/>
        <v>SWF-</v>
      </c>
      <c r="K983" t="s">
        <v>10</v>
      </c>
      <c r="L983" s="54">
        <v>18.7</v>
      </c>
      <c r="M983" t="s">
        <v>186</v>
      </c>
      <c r="N983" t="s">
        <v>11</v>
      </c>
      <c r="O983" s="54">
        <v>16</v>
      </c>
      <c r="P983" s="35">
        <f t="shared" si="94"/>
        <v>299.2</v>
      </c>
      <c r="Q983" s="10">
        <f t="shared" si="97"/>
        <v>7.3003400000000003</v>
      </c>
      <c r="R983" s="10">
        <f t="shared" si="98"/>
        <v>2.1917</v>
      </c>
      <c r="S983" s="11">
        <f t="shared" si="99"/>
        <v>40.98</v>
      </c>
      <c r="T983" s="10" t="s">
        <v>349</v>
      </c>
      <c r="U983" t="s">
        <v>3483</v>
      </c>
      <c r="V983" s="58">
        <v>7.1775000000000002</v>
      </c>
      <c r="W983" s="38">
        <f t="shared" si="95"/>
        <v>41.685823754789268</v>
      </c>
    </row>
    <row r="984" spans="1:23">
      <c r="A984" t="s">
        <v>2340</v>
      </c>
      <c r="B984" s="20">
        <v>45723</v>
      </c>
      <c r="C984" s="20">
        <v>45674</v>
      </c>
      <c r="D984" t="s">
        <v>128</v>
      </c>
      <c r="E984" t="s">
        <v>129</v>
      </c>
      <c r="F984" s="19"/>
      <c r="G984" t="s">
        <v>2867</v>
      </c>
      <c r="H984" t="s">
        <v>1762</v>
      </c>
      <c r="I984" t="s">
        <v>1763</v>
      </c>
      <c r="J984" s="8" t="str">
        <f t="shared" si="96"/>
        <v>HDL-</v>
      </c>
      <c r="K984" t="s">
        <v>10</v>
      </c>
      <c r="L984" s="54">
        <v>200</v>
      </c>
      <c r="M984" t="s">
        <v>1472</v>
      </c>
      <c r="N984" t="s">
        <v>11</v>
      </c>
      <c r="O984" s="54">
        <v>4.5491999999999999</v>
      </c>
      <c r="P984" s="35">
        <f t="shared" si="94"/>
        <v>909.84</v>
      </c>
      <c r="Q984" s="10">
        <f t="shared" si="97"/>
        <v>7.3003400000000003</v>
      </c>
      <c r="R984" s="10">
        <f t="shared" si="98"/>
        <v>0.62309999999999999</v>
      </c>
      <c r="S984" s="11">
        <f t="shared" si="99"/>
        <v>124.62</v>
      </c>
      <c r="T984" s="10" t="s">
        <v>349</v>
      </c>
      <c r="U984" t="s">
        <v>228</v>
      </c>
      <c r="V984" s="58">
        <v>7.1775000000000002</v>
      </c>
      <c r="W984" s="38">
        <f t="shared" si="95"/>
        <v>126.76280041797283</v>
      </c>
    </row>
    <row r="985" spans="1:23">
      <c r="A985" t="s">
        <v>2342</v>
      </c>
      <c r="B985" s="20">
        <v>45723</v>
      </c>
      <c r="C985" s="20">
        <v>45674</v>
      </c>
      <c r="D985" t="s">
        <v>287</v>
      </c>
      <c r="E985" t="s">
        <v>288</v>
      </c>
      <c r="F985" s="19"/>
      <c r="G985" t="s">
        <v>2897</v>
      </c>
      <c r="H985" t="s">
        <v>3064</v>
      </c>
      <c r="I985" t="s">
        <v>83</v>
      </c>
      <c r="J985" s="8" t="str">
        <f t="shared" si="96"/>
        <v>ANYD</v>
      </c>
      <c r="K985" t="s">
        <v>10</v>
      </c>
      <c r="L985" s="54">
        <v>2100</v>
      </c>
      <c r="M985" t="s">
        <v>1472</v>
      </c>
      <c r="N985" t="s">
        <v>11</v>
      </c>
      <c r="O985" s="54">
        <v>7.4237000000000002</v>
      </c>
      <c r="P985" s="35">
        <f t="shared" si="94"/>
        <v>15589.77</v>
      </c>
      <c r="Q985" s="10">
        <f t="shared" si="97"/>
        <v>7.3003400000000003</v>
      </c>
      <c r="R985" s="10">
        <f t="shared" si="98"/>
        <v>1.0168999999999999</v>
      </c>
      <c r="S985" s="11">
        <f t="shared" si="99"/>
        <v>2135.4899999999998</v>
      </c>
      <c r="T985" s="10" t="s">
        <v>349</v>
      </c>
      <c r="U985" t="s">
        <v>36</v>
      </c>
      <c r="V985" s="58">
        <v>7.1775000000000002</v>
      </c>
      <c r="W985" s="38">
        <f t="shared" si="95"/>
        <v>2172.0334378265416</v>
      </c>
    </row>
    <row r="986" spans="1:23">
      <c r="A986" t="s">
        <v>2373</v>
      </c>
      <c r="B986" s="20">
        <v>45723</v>
      </c>
      <c r="C986" s="20">
        <v>45695</v>
      </c>
      <c r="D986" t="s">
        <v>128</v>
      </c>
      <c r="E986" t="s">
        <v>129</v>
      </c>
      <c r="F986" s="19"/>
      <c r="G986" t="s">
        <v>2867</v>
      </c>
      <c r="H986" t="s">
        <v>3090</v>
      </c>
      <c r="I986" t="s">
        <v>3306</v>
      </c>
      <c r="J986" s="8" t="str">
        <f t="shared" si="96"/>
        <v>RIV-</v>
      </c>
      <c r="K986" t="s">
        <v>10</v>
      </c>
      <c r="L986" s="54">
        <v>12000</v>
      </c>
      <c r="M986" t="s">
        <v>1472</v>
      </c>
      <c r="N986" t="s">
        <v>11</v>
      </c>
      <c r="O986" s="54">
        <v>6.2199999999999998E-2</v>
      </c>
      <c r="P986" s="35">
        <f t="shared" si="94"/>
        <v>746.4</v>
      </c>
      <c r="Q986" s="10">
        <f t="shared" si="97"/>
        <v>7.3003400000000003</v>
      </c>
      <c r="R986" s="10">
        <f t="shared" si="98"/>
        <v>8.5000000000000006E-3</v>
      </c>
      <c r="S986" s="11">
        <f t="shared" si="99"/>
        <v>102</v>
      </c>
      <c r="T986" s="10" t="s">
        <v>349</v>
      </c>
      <c r="U986" t="s">
        <v>132</v>
      </c>
      <c r="V986" s="58">
        <v>7.1775000000000002</v>
      </c>
      <c r="W986" s="38">
        <f t="shared" si="95"/>
        <v>103.99164054336467</v>
      </c>
    </row>
    <row r="987" spans="1:23">
      <c r="A987" t="s">
        <v>2410</v>
      </c>
      <c r="B987" s="20">
        <v>45723</v>
      </c>
      <c r="C987" s="20">
        <v>45700</v>
      </c>
      <c r="D987" t="s">
        <v>94</v>
      </c>
      <c r="E987" t="s">
        <v>95</v>
      </c>
      <c r="F987" s="19"/>
      <c r="G987" t="s">
        <v>2882</v>
      </c>
      <c r="H987" t="s">
        <v>1750</v>
      </c>
      <c r="I987" t="s">
        <v>1751</v>
      </c>
      <c r="J987" s="8" t="str">
        <f t="shared" si="96"/>
        <v>LID-</v>
      </c>
      <c r="K987" t="s">
        <v>3481</v>
      </c>
      <c r="L987" s="54">
        <v>436</v>
      </c>
      <c r="M987" t="s">
        <v>1472</v>
      </c>
      <c r="N987" t="s">
        <v>11</v>
      </c>
      <c r="O987" s="54">
        <v>3.92</v>
      </c>
      <c r="P987" s="35">
        <f t="shared" si="94"/>
        <v>1709.12</v>
      </c>
      <c r="Q987" s="10">
        <f t="shared" si="97"/>
        <v>7.3003400000000003</v>
      </c>
      <c r="R987" s="10">
        <f t="shared" si="98"/>
        <v>0.53700000000000003</v>
      </c>
      <c r="S987" s="11">
        <f t="shared" si="99"/>
        <v>234.13</v>
      </c>
      <c r="T987" s="10" t="s">
        <v>349</v>
      </c>
      <c r="U987" t="s">
        <v>368</v>
      </c>
      <c r="V987" s="58">
        <v>7.1775000000000002</v>
      </c>
      <c r="W987" s="38">
        <f t="shared" si="95"/>
        <v>238.12190874259838</v>
      </c>
    </row>
    <row r="988" spans="1:23">
      <c r="A988" t="s">
        <v>2456</v>
      </c>
      <c r="B988" s="20">
        <v>45723</v>
      </c>
      <c r="C988" s="20">
        <v>45706</v>
      </c>
      <c r="D988" t="s">
        <v>61</v>
      </c>
      <c r="E988" t="s">
        <v>61</v>
      </c>
      <c r="F988" s="19"/>
      <c r="G988" t="s">
        <v>2943</v>
      </c>
      <c r="H988" t="s">
        <v>221</v>
      </c>
      <c r="I988" t="s">
        <v>222</v>
      </c>
      <c r="J988" s="8" t="str">
        <f t="shared" si="96"/>
        <v>KNOB</v>
      </c>
      <c r="K988" t="s">
        <v>10</v>
      </c>
      <c r="L988" s="54">
        <v>2700</v>
      </c>
      <c r="M988" t="s">
        <v>1472</v>
      </c>
      <c r="N988" t="s">
        <v>11</v>
      </c>
      <c r="O988" s="54">
        <v>1.2455000000000001</v>
      </c>
      <c r="P988" s="35">
        <f t="shared" si="94"/>
        <v>3362.85</v>
      </c>
      <c r="Q988" s="10">
        <f t="shared" si="97"/>
        <v>7.3003400000000003</v>
      </c>
      <c r="R988" s="10">
        <f t="shared" si="98"/>
        <v>0.1706</v>
      </c>
      <c r="S988" s="11">
        <f t="shared" si="99"/>
        <v>460.62</v>
      </c>
      <c r="T988" s="10" t="s">
        <v>349</v>
      </c>
      <c r="U988" t="s">
        <v>32</v>
      </c>
      <c r="V988" s="58">
        <v>7.1775000000000002</v>
      </c>
      <c r="W988" s="38">
        <f t="shared" si="95"/>
        <v>468.52664576802511</v>
      </c>
    </row>
    <row r="989" spans="1:23">
      <c r="A989" t="s">
        <v>2467</v>
      </c>
      <c r="B989" s="20">
        <v>45723</v>
      </c>
      <c r="C989" s="20">
        <v>45706</v>
      </c>
      <c r="D989" t="s">
        <v>128</v>
      </c>
      <c r="E989" t="s">
        <v>129</v>
      </c>
      <c r="F989" s="19"/>
      <c r="G989" t="s">
        <v>2867</v>
      </c>
      <c r="H989" t="s">
        <v>954</v>
      </c>
      <c r="I989" t="s">
        <v>955</v>
      </c>
      <c r="J989" s="8" t="str">
        <f t="shared" si="96"/>
        <v>RIV-</v>
      </c>
      <c r="K989" t="s">
        <v>10</v>
      </c>
      <c r="L989" s="54">
        <v>20000</v>
      </c>
      <c r="M989" t="s">
        <v>1472</v>
      </c>
      <c r="N989" t="s">
        <v>11</v>
      </c>
      <c r="O989" s="54">
        <v>6.8599999999999994E-2</v>
      </c>
      <c r="P989" s="35">
        <f t="shared" si="94"/>
        <v>1372</v>
      </c>
      <c r="Q989" s="10">
        <f t="shared" si="97"/>
        <v>7.3003400000000003</v>
      </c>
      <c r="R989" s="10">
        <f t="shared" si="98"/>
        <v>9.4000000000000004E-3</v>
      </c>
      <c r="S989" s="11">
        <f t="shared" si="99"/>
        <v>188</v>
      </c>
      <c r="T989" s="10" t="s">
        <v>349</v>
      </c>
      <c r="U989" t="s">
        <v>132</v>
      </c>
      <c r="V989" s="58">
        <v>7.1775000000000002</v>
      </c>
      <c r="W989" s="38">
        <f t="shared" si="95"/>
        <v>191.15290839428769</v>
      </c>
    </row>
    <row r="990" spans="1:23">
      <c r="A990" t="s">
        <v>2580</v>
      </c>
      <c r="B990" s="20">
        <v>45723</v>
      </c>
      <c r="C990" s="20">
        <v>45716</v>
      </c>
      <c r="D990" t="s">
        <v>268</v>
      </c>
      <c r="E990" t="s">
        <v>269</v>
      </c>
      <c r="F990" s="19"/>
      <c r="G990" t="s">
        <v>3003</v>
      </c>
      <c r="H990" t="s">
        <v>3184</v>
      </c>
      <c r="I990" t="s">
        <v>3391</v>
      </c>
      <c r="J990" s="8" t="str">
        <f t="shared" si="96"/>
        <v>MISC</v>
      </c>
      <c r="K990" t="s">
        <v>10</v>
      </c>
      <c r="L990" s="54">
        <v>50</v>
      </c>
      <c r="M990" t="s">
        <v>136</v>
      </c>
      <c r="N990" t="s">
        <v>11</v>
      </c>
      <c r="O990" s="54">
        <v>2.57</v>
      </c>
      <c r="P990" s="35">
        <f t="shared" si="94"/>
        <v>128.5</v>
      </c>
      <c r="Q990" s="10">
        <f t="shared" si="97"/>
        <v>7.3003400000000003</v>
      </c>
      <c r="R990" s="10">
        <f t="shared" si="98"/>
        <v>0.35199999999999998</v>
      </c>
      <c r="S990" s="11">
        <f t="shared" si="99"/>
        <v>17.600000000000001</v>
      </c>
      <c r="T990" s="10" t="s">
        <v>349</v>
      </c>
      <c r="U990" t="s">
        <v>25</v>
      </c>
      <c r="V990" s="58">
        <v>7.1775000000000002</v>
      </c>
      <c r="W990" s="38">
        <f t="shared" si="95"/>
        <v>17.903169627307559</v>
      </c>
    </row>
    <row r="991" spans="1:23">
      <c r="A991" t="s">
        <v>2581</v>
      </c>
      <c r="B991" s="20">
        <v>45723</v>
      </c>
      <c r="C991" s="20">
        <v>45716</v>
      </c>
      <c r="D991" t="s">
        <v>268</v>
      </c>
      <c r="E991" t="s">
        <v>269</v>
      </c>
      <c r="F991" s="19"/>
      <c r="G991" t="s">
        <v>3003</v>
      </c>
      <c r="H991" t="s">
        <v>1077</v>
      </c>
      <c r="I991" t="s">
        <v>1078</v>
      </c>
      <c r="J991" s="8" t="str">
        <f t="shared" si="96"/>
        <v>MISC</v>
      </c>
      <c r="K991" t="s">
        <v>10</v>
      </c>
      <c r="L991" s="54">
        <v>50</v>
      </c>
      <c r="M991" t="s">
        <v>136</v>
      </c>
      <c r="N991" t="s">
        <v>11</v>
      </c>
      <c r="O991" s="54">
        <v>5.18</v>
      </c>
      <c r="P991" s="35">
        <f t="shared" si="94"/>
        <v>259</v>
      </c>
      <c r="Q991" s="10">
        <f t="shared" si="97"/>
        <v>7.3003400000000003</v>
      </c>
      <c r="R991" s="10">
        <f t="shared" si="98"/>
        <v>0.70960000000000001</v>
      </c>
      <c r="S991" s="11">
        <f t="shared" si="99"/>
        <v>35.479999999999997</v>
      </c>
      <c r="T991" s="10" t="s">
        <v>349</v>
      </c>
      <c r="U991" t="s">
        <v>25</v>
      </c>
      <c r="V991" s="58">
        <v>7.1775000000000002</v>
      </c>
      <c r="W991" s="38">
        <f t="shared" si="95"/>
        <v>36.084987809125735</v>
      </c>
    </row>
    <row r="992" spans="1:23">
      <c r="A992" t="s">
        <v>2281</v>
      </c>
      <c r="B992" s="20">
        <v>45726</v>
      </c>
      <c r="C992" s="20">
        <v>45576</v>
      </c>
      <c r="D992" t="s">
        <v>94</v>
      </c>
      <c r="E992" t="s">
        <v>95</v>
      </c>
      <c r="F992" s="19"/>
      <c r="G992" t="s">
        <v>2848</v>
      </c>
      <c r="H992" t="s">
        <v>3062</v>
      </c>
      <c r="I992" t="s">
        <v>3278</v>
      </c>
      <c r="J992" s="8" t="str">
        <f t="shared" si="96"/>
        <v>LID-</v>
      </c>
      <c r="K992" t="s">
        <v>98</v>
      </c>
      <c r="L992" s="54">
        <v>1010</v>
      </c>
      <c r="M992" t="s">
        <v>1472</v>
      </c>
      <c r="N992" t="s">
        <v>11</v>
      </c>
      <c r="O992" s="54">
        <v>3.5</v>
      </c>
      <c r="P992" s="35">
        <f t="shared" si="94"/>
        <v>3535</v>
      </c>
      <c r="Q992" s="10">
        <f t="shared" si="97"/>
        <v>7.3003400000000003</v>
      </c>
      <c r="R992" s="10">
        <f t="shared" si="98"/>
        <v>0.47939999999999999</v>
      </c>
      <c r="S992" s="11">
        <f t="shared" si="99"/>
        <v>484.19</v>
      </c>
      <c r="T992" s="10" t="s">
        <v>349</v>
      </c>
      <c r="U992" t="s">
        <v>368</v>
      </c>
      <c r="V992" s="58">
        <v>7.1775000000000002</v>
      </c>
      <c r="W992" s="38">
        <f t="shared" si="95"/>
        <v>492.51132009752695</v>
      </c>
    </row>
    <row r="993" spans="1:23">
      <c r="A993" t="s">
        <v>2042</v>
      </c>
      <c r="B993" s="20">
        <v>45726</v>
      </c>
      <c r="C993" s="20">
        <v>45576</v>
      </c>
      <c r="D993" t="s">
        <v>94</v>
      </c>
      <c r="E993" t="s">
        <v>95</v>
      </c>
      <c r="F993" s="19"/>
      <c r="G993" t="s">
        <v>2848</v>
      </c>
      <c r="H993" t="s">
        <v>1752</v>
      </c>
      <c r="I993" t="s">
        <v>1753</v>
      </c>
      <c r="J993" s="8" t="str">
        <f t="shared" si="96"/>
        <v>LID-</v>
      </c>
      <c r="K993" t="s">
        <v>98</v>
      </c>
      <c r="L993" s="54">
        <v>383</v>
      </c>
      <c r="M993" t="s">
        <v>1472</v>
      </c>
      <c r="N993" t="s">
        <v>11</v>
      </c>
      <c r="O993" s="54">
        <v>4</v>
      </c>
      <c r="P993" s="35">
        <f t="shared" si="94"/>
        <v>1532</v>
      </c>
      <c r="Q993" s="10">
        <f t="shared" si="97"/>
        <v>7.3003400000000003</v>
      </c>
      <c r="R993" s="10">
        <f t="shared" si="98"/>
        <v>0.54790000000000005</v>
      </c>
      <c r="S993" s="11">
        <f t="shared" si="99"/>
        <v>209.85</v>
      </c>
      <c r="T993" s="10" t="s">
        <v>349</v>
      </c>
      <c r="U993" t="s">
        <v>368</v>
      </c>
      <c r="V993" s="58">
        <v>7.1775000000000002</v>
      </c>
      <c r="W993" s="38">
        <f t="shared" si="95"/>
        <v>213.4447927551376</v>
      </c>
    </row>
    <row r="994" spans="1:23">
      <c r="A994" t="s">
        <v>648</v>
      </c>
      <c r="B994" s="20">
        <v>45726</v>
      </c>
      <c r="C994" s="20">
        <v>45643</v>
      </c>
      <c r="D994" t="s">
        <v>169</v>
      </c>
      <c r="E994" t="s">
        <v>170</v>
      </c>
      <c r="F994" s="19"/>
      <c r="G994" t="s">
        <v>2862</v>
      </c>
      <c r="H994" t="s">
        <v>646</v>
      </c>
      <c r="I994" t="s">
        <v>647</v>
      </c>
      <c r="J994" s="8" t="str">
        <f t="shared" si="96"/>
        <v>PRIM</v>
      </c>
      <c r="K994" t="s">
        <v>10</v>
      </c>
      <c r="L994" s="54">
        <v>1200</v>
      </c>
      <c r="M994" t="s">
        <v>1472</v>
      </c>
      <c r="N994" t="s">
        <v>11</v>
      </c>
      <c r="O994" s="54">
        <v>0.82</v>
      </c>
      <c r="P994" s="35">
        <f t="shared" si="94"/>
        <v>984</v>
      </c>
      <c r="Q994" s="10">
        <f t="shared" si="97"/>
        <v>7.3003400000000003</v>
      </c>
      <c r="R994" s="10">
        <f t="shared" si="98"/>
        <v>0.1123</v>
      </c>
      <c r="S994" s="11">
        <f t="shared" si="99"/>
        <v>134.76</v>
      </c>
      <c r="T994" s="10" t="s">
        <v>349</v>
      </c>
      <c r="U994" t="s">
        <v>181</v>
      </c>
      <c r="V994" s="58">
        <v>7.1775000000000002</v>
      </c>
      <c r="W994" s="38">
        <f t="shared" si="95"/>
        <v>137.09508881922676</v>
      </c>
    </row>
    <row r="995" spans="1:23">
      <c r="A995" t="s">
        <v>2326</v>
      </c>
      <c r="B995" s="20">
        <v>45726</v>
      </c>
      <c r="C995" s="20">
        <v>45664</v>
      </c>
      <c r="D995" t="s">
        <v>2817</v>
      </c>
      <c r="E995" t="s">
        <v>2818</v>
      </c>
      <c r="F995" s="19"/>
      <c r="G995" t="s">
        <v>2883</v>
      </c>
      <c r="H995" t="s">
        <v>3082</v>
      </c>
      <c r="I995" t="s">
        <v>3298</v>
      </c>
      <c r="J995" s="8" t="str">
        <f t="shared" si="96"/>
        <v>LID-</v>
      </c>
      <c r="K995" t="s">
        <v>10</v>
      </c>
      <c r="L995" s="54">
        <v>1020</v>
      </c>
      <c r="M995" t="s">
        <v>1472</v>
      </c>
      <c r="N995" t="s">
        <v>2246</v>
      </c>
      <c r="O995" s="54">
        <v>2.2799999999999998</v>
      </c>
      <c r="P995" s="35">
        <f t="shared" si="94"/>
        <v>2325.6</v>
      </c>
      <c r="Q995" s="10">
        <f t="shared" si="97"/>
        <v>1</v>
      </c>
      <c r="R995" s="10">
        <f t="shared" si="98"/>
        <v>2.2799999999999998</v>
      </c>
      <c r="S995" s="11">
        <f t="shared" si="99"/>
        <v>2325.6</v>
      </c>
      <c r="T995" s="10" t="s">
        <v>349</v>
      </c>
      <c r="U995" t="s">
        <v>368</v>
      </c>
      <c r="V995" s="58">
        <v>7.1775000000000002</v>
      </c>
      <c r="W995" s="38">
        <f t="shared" si="95"/>
        <v>1</v>
      </c>
    </row>
    <row r="996" spans="1:23">
      <c r="A996" t="s">
        <v>2327</v>
      </c>
      <c r="B996" s="20">
        <v>45726</v>
      </c>
      <c r="C996" s="20">
        <v>45664</v>
      </c>
      <c r="D996" t="s">
        <v>2817</v>
      </c>
      <c r="E996" t="s">
        <v>2818</v>
      </c>
      <c r="F996" s="19"/>
      <c r="G996" t="s">
        <v>2883</v>
      </c>
      <c r="H996" t="s">
        <v>3083</v>
      </c>
      <c r="I996" t="s">
        <v>3299</v>
      </c>
      <c r="J996" s="8" t="str">
        <f t="shared" si="96"/>
        <v>STM-</v>
      </c>
      <c r="K996" t="s">
        <v>10</v>
      </c>
      <c r="L996" s="54">
        <v>1008</v>
      </c>
      <c r="M996" t="s">
        <v>1472</v>
      </c>
      <c r="N996" t="s">
        <v>2246</v>
      </c>
      <c r="O996" s="54">
        <v>6</v>
      </c>
      <c r="P996" s="35">
        <f t="shared" si="94"/>
        <v>6048</v>
      </c>
      <c r="Q996" s="10">
        <f t="shared" si="97"/>
        <v>1</v>
      </c>
      <c r="R996" s="10">
        <f t="shared" si="98"/>
        <v>6</v>
      </c>
      <c r="S996" s="11">
        <f t="shared" si="99"/>
        <v>6048</v>
      </c>
      <c r="T996" s="10" t="s">
        <v>349</v>
      </c>
      <c r="U996" t="s">
        <v>3482</v>
      </c>
      <c r="V996" s="58">
        <v>7.1775000000000002</v>
      </c>
      <c r="W996" s="38">
        <f t="shared" si="95"/>
        <v>1</v>
      </c>
    </row>
    <row r="997" spans="1:23">
      <c r="A997" t="s">
        <v>2338</v>
      </c>
      <c r="B997" s="20">
        <v>45726</v>
      </c>
      <c r="C997" s="20">
        <v>45674</v>
      </c>
      <c r="D997" t="s">
        <v>169</v>
      </c>
      <c r="E997" t="s">
        <v>170</v>
      </c>
      <c r="F997" s="19"/>
      <c r="G997" t="s">
        <v>2862</v>
      </c>
      <c r="H997" t="s">
        <v>646</v>
      </c>
      <c r="I997" t="s">
        <v>647</v>
      </c>
      <c r="J997" s="8" t="str">
        <f t="shared" si="96"/>
        <v>PRIM</v>
      </c>
      <c r="K997" t="s">
        <v>10</v>
      </c>
      <c r="L997" s="54">
        <v>6500</v>
      </c>
      <c r="M997" t="s">
        <v>1472</v>
      </c>
      <c r="N997" t="s">
        <v>11</v>
      </c>
      <c r="O997" s="54">
        <v>1.46</v>
      </c>
      <c r="P997" s="35">
        <f t="shared" si="94"/>
        <v>9490</v>
      </c>
      <c r="Q997" s="10">
        <f t="shared" si="97"/>
        <v>7.3003400000000003</v>
      </c>
      <c r="R997" s="10">
        <f t="shared" si="98"/>
        <v>0.2</v>
      </c>
      <c r="S997" s="11">
        <f t="shared" si="99"/>
        <v>1300</v>
      </c>
      <c r="T997" s="10" t="s">
        <v>349</v>
      </c>
      <c r="U997" t="s">
        <v>181</v>
      </c>
      <c r="V997" s="58">
        <v>7.1775000000000002</v>
      </c>
      <c r="W997" s="38">
        <f t="shared" si="95"/>
        <v>1322.1873911529085</v>
      </c>
    </row>
    <row r="998" spans="1:23">
      <c r="A998" t="s">
        <v>2393</v>
      </c>
      <c r="B998" s="20">
        <v>45726</v>
      </c>
      <c r="C998" s="20">
        <v>45695</v>
      </c>
      <c r="D998" t="s">
        <v>169</v>
      </c>
      <c r="E998" t="s">
        <v>170</v>
      </c>
      <c r="F998" s="19"/>
      <c r="G998" t="s">
        <v>2919</v>
      </c>
      <c r="H998" t="s">
        <v>3094</v>
      </c>
      <c r="I998" t="s">
        <v>1628</v>
      </c>
      <c r="J998" s="8" t="str">
        <f t="shared" si="96"/>
        <v>WACD</v>
      </c>
      <c r="K998" t="s">
        <v>10</v>
      </c>
      <c r="L998" s="54">
        <v>1000</v>
      </c>
      <c r="M998" t="s">
        <v>1472</v>
      </c>
      <c r="N998" t="s">
        <v>11</v>
      </c>
      <c r="O998" s="54">
        <v>0.39200000000000002</v>
      </c>
      <c r="P998" s="35">
        <f t="shared" si="94"/>
        <v>392</v>
      </c>
      <c r="Q998" s="10">
        <f t="shared" si="97"/>
        <v>7.3003400000000003</v>
      </c>
      <c r="R998" s="10">
        <f t="shared" si="98"/>
        <v>5.3699999999999998E-2</v>
      </c>
      <c r="S998" s="11">
        <f t="shared" si="99"/>
        <v>53.7</v>
      </c>
      <c r="T998" s="10" t="s">
        <v>349</v>
      </c>
      <c r="U998" t="s">
        <v>635</v>
      </c>
      <c r="V998" s="58">
        <v>7.1775000000000002</v>
      </c>
      <c r="W998" s="38">
        <f t="shared" si="95"/>
        <v>54.615116684082196</v>
      </c>
    </row>
    <row r="999" spans="1:23">
      <c r="A999" t="s">
        <v>2400</v>
      </c>
      <c r="B999" s="20">
        <v>45726</v>
      </c>
      <c r="C999" s="20">
        <v>45698</v>
      </c>
      <c r="D999" t="s">
        <v>235</v>
      </c>
      <c r="E999" t="s">
        <v>236</v>
      </c>
      <c r="F999" s="19"/>
      <c r="G999" t="s">
        <v>2923</v>
      </c>
      <c r="H999" t="s">
        <v>1361</v>
      </c>
      <c r="I999" t="s">
        <v>1362</v>
      </c>
      <c r="J999" s="8" t="str">
        <f t="shared" si="96"/>
        <v>RIV-</v>
      </c>
      <c r="K999" t="s">
        <v>10</v>
      </c>
      <c r="L999" s="54">
        <v>10000</v>
      </c>
      <c r="M999" t="s">
        <v>1472</v>
      </c>
      <c r="N999" t="s">
        <v>11</v>
      </c>
      <c r="O999" s="54">
        <v>0.17649999999999999</v>
      </c>
      <c r="P999" s="35">
        <f t="shared" si="94"/>
        <v>1765</v>
      </c>
      <c r="Q999" s="10">
        <f t="shared" si="97"/>
        <v>7.3003400000000003</v>
      </c>
      <c r="R999" s="10">
        <f t="shared" si="98"/>
        <v>2.4199999999999999E-2</v>
      </c>
      <c r="S999" s="11">
        <f t="shared" si="99"/>
        <v>242</v>
      </c>
      <c r="T999" s="10" t="s">
        <v>349</v>
      </c>
      <c r="U999" t="s">
        <v>132</v>
      </c>
      <c r="V999" s="58">
        <v>7.1775000000000002</v>
      </c>
      <c r="W999" s="38">
        <f t="shared" si="95"/>
        <v>245.9073493556252</v>
      </c>
    </row>
    <row r="1000" spans="1:23">
      <c r="A1000" t="s">
        <v>2428</v>
      </c>
      <c r="B1000" s="20">
        <v>45726</v>
      </c>
      <c r="C1000" s="20">
        <v>45702</v>
      </c>
      <c r="D1000" t="s">
        <v>295</v>
      </c>
      <c r="E1000" t="s">
        <v>296</v>
      </c>
      <c r="F1000" s="19"/>
      <c r="G1000" t="s">
        <v>2932</v>
      </c>
      <c r="H1000" t="s">
        <v>3117</v>
      </c>
      <c r="I1000" t="s">
        <v>307</v>
      </c>
      <c r="J1000" s="8" t="str">
        <f t="shared" si="96"/>
        <v>LHDL</v>
      </c>
      <c r="K1000" t="s">
        <v>10</v>
      </c>
      <c r="L1000" s="54">
        <v>1040</v>
      </c>
      <c r="M1000" t="s">
        <v>1472</v>
      </c>
      <c r="N1000" t="s">
        <v>11</v>
      </c>
      <c r="O1000" s="54">
        <v>0.98939999999999995</v>
      </c>
      <c r="P1000" s="35">
        <f t="shared" si="94"/>
        <v>1028.98</v>
      </c>
      <c r="Q1000" s="10">
        <f t="shared" si="97"/>
        <v>7.3003400000000003</v>
      </c>
      <c r="R1000" s="10">
        <f t="shared" si="98"/>
        <v>0.13550000000000001</v>
      </c>
      <c r="S1000" s="11">
        <f t="shared" si="99"/>
        <v>140.91999999999999</v>
      </c>
      <c r="T1000" s="10" t="s">
        <v>349</v>
      </c>
      <c r="U1000" t="s">
        <v>125</v>
      </c>
      <c r="V1000" s="58">
        <v>7.1775000000000002</v>
      </c>
      <c r="W1000" s="38">
        <f t="shared" si="95"/>
        <v>143.36133751306164</v>
      </c>
    </row>
    <row r="1001" spans="1:23">
      <c r="A1001" t="s">
        <v>2429</v>
      </c>
      <c r="B1001" s="20">
        <v>45726</v>
      </c>
      <c r="C1001" s="20">
        <v>45702</v>
      </c>
      <c r="D1001" t="s">
        <v>295</v>
      </c>
      <c r="E1001" t="s">
        <v>296</v>
      </c>
      <c r="F1001" s="19"/>
      <c r="G1001" t="s">
        <v>2932</v>
      </c>
      <c r="H1001" t="s">
        <v>3118</v>
      </c>
      <c r="I1001" t="s">
        <v>303</v>
      </c>
      <c r="J1001" s="8" t="str">
        <f t="shared" si="96"/>
        <v>LHDL</v>
      </c>
      <c r="K1001" t="s">
        <v>10</v>
      </c>
      <c r="L1001" s="54">
        <v>1040</v>
      </c>
      <c r="M1001" t="s">
        <v>1472</v>
      </c>
      <c r="N1001" t="s">
        <v>11</v>
      </c>
      <c r="O1001" s="54">
        <v>1.0419</v>
      </c>
      <c r="P1001" s="35">
        <f t="shared" si="94"/>
        <v>1083.58</v>
      </c>
      <c r="Q1001" s="10">
        <f t="shared" si="97"/>
        <v>7.3003400000000003</v>
      </c>
      <c r="R1001" s="10">
        <f t="shared" si="98"/>
        <v>0.14269999999999999</v>
      </c>
      <c r="S1001" s="11">
        <f t="shared" si="99"/>
        <v>148.41</v>
      </c>
      <c r="T1001" s="10" t="s">
        <v>349</v>
      </c>
      <c r="U1001" t="s">
        <v>125</v>
      </c>
      <c r="V1001" s="58">
        <v>7.1775000000000002</v>
      </c>
      <c r="W1001" s="38">
        <f t="shared" si="95"/>
        <v>150.96844305120169</v>
      </c>
    </row>
    <row r="1002" spans="1:23">
      <c r="A1002" t="s">
        <v>2430</v>
      </c>
      <c r="B1002" s="20">
        <v>45726</v>
      </c>
      <c r="C1002" s="20">
        <v>45702</v>
      </c>
      <c r="D1002" t="s">
        <v>295</v>
      </c>
      <c r="E1002" t="s">
        <v>296</v>
      </c>
      <c r="F1002" s="19"/>
      <c r="G1002" t="s">
        <v>2933</v>
      </c>
      <c r="H1002" t="s">
        <v>3119</v>
      </c>
      <c r="I1002" t="s">
        <v>300</v>
      </c>
      <c r="J1002" s="8" t="str">
        <f t="shared" si="96"/>
        <v>LHDL</v>
      </c>
      <c r="K1002" t="s">
        <v>10</v>
      </c>
      <c r="L1002" s="54">
        <v>1040</v>
      </c>
      <c r="M1002" t="s">
        <v>1472</v>
      </c>
      <c r="N1002" t="s">
        <v>11</v>
      </c>
      <c r="O1002" s="54">
        <v>1.0419</v>
      </c>
      <c r="P1002" s="35">
        <f t="shared" si="94"/>
        <v>1083.58</v>
      </c>
      <c r="Q1002" s="10">
        <f t="shared" si="97"/>
        <v>7.3003400000000003</v>
      </c>
      <c r="R1002" s="10">
        <f t="shared" si="98"/>
        <v>0.14269999999999999</v>
      </c>
      <c r="S1002" s="11">
        <f t="shared" si="99"/>
        <v>148.41</v>
      </c>
      <c r="T1002" s="10" t="s">
        <v>349</v>
      </c>
      <c r="U1002" t="s">
        <v>125</v>
      </c>
      <c r="V1002" s="58">
        <v>7.1775000000000002</v>
      </c>
      <c r="W1002" s="38">
        <f t="shared" si="95"/>
        <v>150.96844305120169</v>
      </c>
    </row>
    <row r="1003" spans="1:23">
      <c r="A1003" t="s">
        <v>2431</v>
      </c>
      <c r="B1003" s="20">
        <v>45726</v>
      </c>
      <c r="C1003" s="20">
        <v>45702</v>
      </c>
      <c r="D1003" t="s">
        <v>295</v>
      </c>
      <c r="E1003" t="s">
        <v>296</v>
      </c>
      <c r="F1003" s="19"/>
      <c r="G1003" t="s">
        <v>2933</v>
      </c>
      <c r="H1003" t="s">
        <v>3120</v>
      </c>
      <c r="I1003" t="s">
        <v>294</v>
      </c>
      <c r="J1003" s="8" t="str">
        <f t="shared" si="96"/>
        <v>LHDL</v>
      </c>
      <c r="K1003" t="s">
        <v>10</v>
      </c>
      <c r="L1003" s="54">
        <v>1020</v>
      </c>
      <c r="M1003" t="s">
        <v>1472</v>
      </c>
      <c r="N1003" t="s">
        <v>11</v>
      </c>
      <c r="O1003" s="54">
        <v>1.0419</v>
      </c>
      <c r="P1003" s="35">
        <f t="shared" si="94"/>
        <v>1062.74</v>
      </c>
      <c r="Q1003" s="10">
        <f t="shared" si="97"/>
        <v>7.3003400000000003</v>
      </c>
      <c r="R1003" s="10">
        <f t="shared" si="98"/>
        <v>0.14269999999999999</v>
      </c>
      <c r="S1003" s="11">
        <f t="shared" si="99"/>
        <v>145.55000000000001</v>
      </c>
      <c r="T1003" s="10" t="s">
        <v>349</v>
      </c>
      <c r="U1003" t="s">
        <v>125</v>
      </c>
      <c r="V1003" s="58">
        <v>7.1775000000000002</v>
      </c>
      <c r="W1003" s="38">
        <f t="shared" si="95"/>
        <v>148.0652037617555</v>
      </c>
    </row>
    <row r="1004" spans="1:23">
      <c r="A1004" t="s">
        <v>2432</v>
      </c>
      <c r="B1004" s="20">
        <v>45726</v>
      </c>
      <c r="C1004" s="20">
        <v>45702</v>
      </c>
      <c r="D1004" t="s">
        <v>295</v>
      </c>
      <c r="E1004" t="s">
        <v>296</v>
      </c>
      <c r="F1004" s="19"/>
      <c r="G1004" t="s">
        <v>2933</v>
      </c>
      <c r="H1004" t="s">
        <v>3121</v>
      </c>
      <c r="I1004" t="s">
        <v>3331</v>
      </c>
      <c r="J1004" s="8" t="str">
        <f t="shared" si="96"/>
        <v>LHDL</v>
      </c>
      <c r="K1004" t="s">
        <v>10</v>
      </c>
      <c r="L1004" s="54">
        <v>1040</v>
      </c>
      <c r="M1004" t="s">
        <v>1472</v>
      </c>
      <c r="N1004" t="s">
        <v>11</v>
      </c>
      <c r="O1004" s="54">
        <v>1.0419</v>
      </c>
      <c r="P1004" s="35">
        <f t="shared" si="94"/>
        <v>1083.58</v>
      </c>
      <c r="Q1004" s="10">
        <f t="shared" si="97"/>
        <v>7.3003400000000003</v>
      </c>
      <c r="R1004" s="10">
        <f t="shared" si="98"/>
        <v>0.14269999999999999</v>
      </c>
      <c r="S1004" s="11">
        <f t="shared" si="99"/>
        <v>148.41</v>
      </c>
      <c r="T1004" s="10" t="s">
        <v>349</v>
      </c>
      <c r="U1004" t="s">
        <v>125</v>
      </c>
      <c r="V1004" s="58">
        <v>7.1775000000000002</v>
      </c>
      <c r="W1004" s="38">
        <f t="shared" si="95"/>
        <v>150.96844305120169</v>
      </c>
    </row>
    <row r="1005" spans="1:23">
      <c r="A1005" t="s">
        <v>2452</v>
      </c>
      <c r="B1005" s="20">
        <v>45726</v>
      </c>
      <c r="C1005" s="20">
        <v>45705</v>
      </c>
      <c r="D1005" t="s">
        <v>2817</v>
      </c>
      <c r="E1005" t="s">
        <v>2818</v>
      </c>
      <c r="F1005" s="19"/>
      <c r="G1005" t="s">
        <v>2941</v>
      </c>
      <c r="H1005" t="s">
        <v>3069</v>
      </c>
      <c r="I1005" t="s">
        <v>3286</v>
      </c>
      <c r="J1005" s="8" t="str">
        <f t="shared" si="96"/>
        <v>T&amp;G-</v>
      </c>
      <c r="K1005" t="s">
        <v>10</v>
      </c>
      <c r="L1005" s="54">
        <v>1000</v>
      </c>
      <c r="M1005" t="s">
        <v>1472</v>
      </c>
      <c r="N1005" t="s">
        <v>2246</v>
      </c>
      <c r="O1005" s="54">
        <v>0.23</v>
      </c>
      <c r="P1005" s="35">
        <f t="shared" si="94"/>
        <v>230</v>
      </c>
      <c r="Q1005" s="10">
        <f t="shared" si="97"/>
        <v>1</v>
      </c>
      <c r="R1005" s="10">
        <f t="shared" si="98"/>
        <v>0.23</v>
      </c>
      <c r="S1005" s="11">
        <f t="shared" si="99"/>
        <v>230</v>
      </c>
      <c r="T1005" s="10" t="s">
        <v>349</v>
      </c>
      <c r="U1005" t="s">
        <v>2245</v>
      </c>
      <c r="V1005" s="58">
        <v>7.1775000000000002</v>
      </c>
      <c r="W1005" s="38">
        <f t="shared" si="95"/>
        <v>1</v>
      </c>
    </row>
    <row r="1006" spans="1:23">
      <c r="A1006" t="s">
        <v>2453</v>
      </c>
      <c r="B1006" s="20">
        <v>45726</v>
      </c>
      <c r="C1006" s="20">
        <v>45705</v>
      </c>
      <c r="D1006" t="s">
        <v>2817</v>
      </c>
      <c r="E1006" t="s">
        <v>2818</v>
      </c>
      <c r="F1006" s="19"/>
      <c r="G1006" t="s">
        <v>2941</v>
      </c>
      <c r="H1006" t="s">
        <v>3070</v>
      </c>
      <c r="I1006" t="s">
        <v>3287</v>
      </c>
      <c r="J1006" s="8" t="str">
        <f t="shared" si="96"/>
        <v>T&amp;G-</v>
      </c>
      <c r="K1006" t="s">
        <v>10</v>
      </c>
      <c r="L1006" s="54">
        <v>1000</v>
      </c>
      <c r="M1006" t="s">
        <v>1472</v>
      </c>
      <c r="N1006" t="s">
        <v>2246</v>
      </c>
      <c r="O1006" s="54">
        <v>0.2</v>
      </c>
      <c r="P1006" s="35">
        <f t="shared" si="94"/>
        <v>200</v>
      </c>
      <c r="Q1006" s="10">
        <f t="shared" si="97"/>
        <v>1</v>
      </c>
      <c r="R1006" s="10">
        <f t="shared" si="98"/>
        <v>0.2</v>
      </c>
      <c r="S1006" s="11">
        <f t="shared" si="99"/>
        <v>200</v>
      </c>
      <c r="T1006" s="10" t="s">
        <v>349</v>
      </c>
      <c r="U1006" t="s">
        <v>2245</v>
      </c>
      <c r="V1006" s="58">
        <v>7.1775000000000002</v>
      </c>
      <c r="W1006" s="38">
        <f t="shared" si="95"/>
        <v>1</v>
      </c>
    </row>
    <row r="1007" spans="1:23">
      <c r="A1007" t="s">
        <v>2454</v>
      </c>
      <c r="B1007" s="20">
        <v>45726</v>
      </c>
      <c r="C1007" s="20">
        <v>45705</v>
      </c>
      <c r="D1007" t="s">
        <v>2817</v>
      </c>
      <c r="E1007" t="s">
        <v>2818</v>
      </c>
      <c r="F1007" s="19"/>
      <c r="G1007" t="s">
        <v>2941</v>
      </c>
      <c r="H1007" t="s">
        <v>3071</v>
      </c>
      <c r="I1007" t="s">
        <v>3288</v>
      </c>
      <c r="J1007" s="8" t="str">
        <f t="shared" si="96"/>
        <v>T&amp;G-</v>
      </c>
      <c r="K1007" t="s">
        <v>10</v>
      </c>
      <c r="L1007" s="54">
        <v>1000</v>
      </c>
      <c r="M1007" t="s">
        <v>1472</v>
      </c>
      <c r="N1007" t="s">
        <v>2246</v>
      </c>
      <c r="O1007" s="54">
        <v>0.18</v>
      </c>
      <c r="P1007" s="35">
        <f t="shared" si="94"/>
        <v>180</v>
      </c>
      <c r="Q1007" s="10">
        <f t="shared" si="97"/>
        <v>1</v>
      </c>
      <c r="R1007" s="10">
        <f t="shared" si="98"/>
        <v>0.18</v>
      </c>
      <c r="S1007" s="11">
        <f t="shared" si="99"/>
        <v>180</v>
      </c>
      <c r="T1007" s="10" t="s">
        <v>349</v>
      </c>
      <c r="U1007" t="s">
        <v>2245</v>
      </c>
      <c r="V1007" s="58">
        <v>7.1775000000000002</v>
      </c>
      <c r="W1007" s="38">
        <f t="shared" si="95"/>
        <v>1</v>
      </c>
    </row>
    <row r="1008" spans="1:23">
      <c r="A1008" t="s">
        <v>2484</v>
      </c>
      <c r="B1008" s="20">
        <v>45726</v>
      </c>
      <c r="C1008" s="20">
        <v>45712</v>
      </c>
      <c r="D1008" t="s">
        <v>2257</v>
      </c>
      <c r="E1008" t="s">
        <v>2258</v>
      </c>
      <c r="F1008" s="19"/>
      <c r="G1008" t="s">
        <v>2950</v>
      </c>
      <c r="H1008" t="s">
        <v>3147</v>
      </c>
      <c r="I1008" t="s">
        <v>3357</v>
      </c>
      <c r="J1008" s="8" t="str">
        <f t="shared" si="96"/>
        <v>HDL-</v>
      </c>
      <c r="K1008" t="s">
        <v>10</v>
      </c>
      <c r="L1008" s="54">
        <v>3100</v>
      </c>
      <c r="M1008" t="s">
        <v>1472</v>
      </c>
      <c r="N1008" t="s">
        <v>11</v>
      </c>
      <c r="O1008" s="54">
        <v>8.5710999999999995</v>
      </c>
      <c r="P1008" s="35">
        <f t="shared" si="94"/>
        <v>26570.41</v>
      </c>
      <c r="Q1008" s="10">
        <f t="shared" si="97"/>
        <v>7.3003400000000003</v>
      </c>
      <c r="R1008" s="10">
        <f t="shared" si="98"/>
        <v>1.1740999999999999</v>
      </c>
      <c r="S1008" s="11">
        <f t="shared" si="99"/>
        <v>3639.71</v>
      </c>
      <c r="T1008" s="10" t="s">
        <v>349</v>
      </c>
      <c r="U1008" t="s">
        <v>228</v>
      </c>
      <c r="V1008" s="58">
        <v>7.1775000000000002</v>
      </c>
      <c r="W1008" s="38">
        <f t="shared" si="95"/>
        <v>3701.9031696273073</v>
      </c>
    </row>
    <row r="1009" spans="1:23">
      <c r="A1009" t="s">
        <v>2485</v>
      </c>
      <c r="B1009" s="20">
        <v>45726</v>
      </c>
      <c r="C1009" s="20">
        <v>45712</v>
      </c>
      <c r="D1009" t="s">
        <v>2257</v>
      </c>
      <c r="E1009" t="s">
        <v>2258</v>
      </c>
      <c r="F1009" s="19"/>
      <c r="G1009" t="s">
        <v>2950</v>
      </c>
      <c r="H1009" t="s">
        <v>3148</v>
      </c>
      <c r="I1009" t="s">
        <v>3358</v>
      </c>
      <c r="J1009" s="8" t="str">
        <f t="shared" si="96"/>
        <v>HDL-</v>
      </c>
      <c r="K1009" t="s">
        <v>10</v>
      </c>
      <c r="L1009" s="54">
        <v>1200</v>
      </c>
      <c r="M1009" t="s">
        <v>1472</v>
      </c>
      <c r="N1009" t="s">
        <v>11</v>
      </c>
      <c r="O1009" s="54">
        <v>7.6459999999999999</v>
      </c>
      <c r="P1009" s="35">
        <f t="shared" si="94"/>
        <v>9175.2000000000007</v>
      </c>
      <c r="Q1009" s="10">
        <f t="shared" si="97"/>
        <v>7.3003400000000003</v>
      </c>
      <c r="R1009" s="10">
        <f t="shared" si="98"/>
        <v>1.0472999999999999</v>
      </c>
      <c r="S1009" s="11">
        <f t="shared" si="99"/>
        <v>1256.76</v>
      </c>
      <c r="T1009" s="10" t="s">
        <v>349</v>
      </c>
      <c r="U1009" t="s">
        <v>228</v>
      </c>
      <c r="V1009" s="58">
        <v>7.1775000000000002</v>
      </c>
      <c r="W1009" s="38">
        <f t="shared" si="95"/>
        <v>1278.3281086729362</v>
      </c>
    </row>
    <row r="1010" spans="1:23">
      <c r="A1010" t="s">
        <v>2486</v>
      </c>
      <c r="B1010" s="20">
        <v>45726</v>
      </c>
      <c r="C1010" s="20">
        <v>45712</v>
      </c>
      <c r="D1010" t="s">
        <v>2257</v>
      </c>
      <c r="E1010" t="s">
        <v>2258</v>
      </c>
      <c r="F1010" s="19"/>
      <c r="G1010" t="s">
        <v>2950</v>
      </c>
      <c r="H1010" t="s">
        <v>3148</v>
      </c>
      <c r="I1010" t="s">
        <v>3358</v>
      </c>
      <c r="J1010" s="8" t="str">
        <f t="shared" si="96"/>
        <v>HDL-</v>
      </c>
      <c r="K1010" t="s">
        <v>10</v>
      </c>
      <c r="L1010" s="54">
        <v>3000</v>
      </c>
      <c r="M1010" t="s">
        <v>1472</v>
      </c>
      <c r="N1010" t="s">
        <v>11</v>
      </c>
      <c r="O1010" s="54">
        <v>7.6459999999999999</v>
      </c>
      <c r="P1010" s="35">
        <f t="shared" si="94"/>
        <v>22938</v>
      </c>
      <c r="Q1010" s="10">
        <f t="shared" si="97"/>
        <v>7.3003400000000003</v>
      </c>
      <c r="R1010" s="10">
        <f t="shared" si="98"/>
        <v>1.0472999999999999</v>
      </c>
      <c r="S1010" s="11">
        <f t="shared" si="99"/>
        <v>3141.9</v>
      </c>
      <c r="T1010" s="10" t="s">
        <v>349</v>
      </c>
      <c r="U1010" t="s">
        <v>228</v>
      </c>
      <c r="V1010" s="58">
        <v>7.1775000000000002</v>
      </c>
      <c r="W1010" s="38">
        <f t="shared" si="95"/>
        <v>3195.8202716823407</v>
      </c>
    </row>
    <row r="1011" spans="1:23">
      <c r="A1011" t="s">
        <v>2489</v>
      </c>
      <c r="B1011" s="20">
        <v>45726</v>
      </c>
      <c r="C1011" s="20">
        <v>45712</v>
      </c>
      <c r="D1011" t="s">
        <v>2257</v>
      </c>
      <c r="E1011" t="s">
        <v>2258</v>
      </c>
      <c r="F1011" s="19"/>
      <c r="G1011" t="s">
        <v>2950</v>
      </c>
      <c r="H1011" t="s">
        <v>3147</v>
      </c>
      <c r="I1011" t="s">
        <v>3357</v>
      </c>
      <c r="J1011" s="8" t="str">
        <f t="shared" si="96"/>
        <v>HDL-</v>
      </c>
      <c r="K1011" t="s">
        <v>10</v>
      </c>
      <c r="L1011" s="54">
        <v>600</v>
      </c>
      <c r="M1011" t="s">
        <v>1472</v>
      </c>
      <c r="N1011" t="s">
        <v>11</v>
      </c>
      <c r="O1011" s="54">
        <v>8.5710999999999995</v>
      </c>
      <c r="P1011" s="35">
        <f t="shared" si="94"/>
        <v>5142.66</v>
      </c>
      <c r="Q1011" s="10">
        <f t="shared" si="97"/>
        <v>7.3003400000000003</v>
      </c>
      <c r="R1011" s="10">
        <f t="shared" si="98"/>
        <v>1.1740999999999999</v>
      </c>
      <c r="S1011" s="11">
        <f t="shared" si="99"/>
        <v>704.46</v>
      </c>
      <c r="T1011" s="10" t="s">
        <v>349</v>
      </c>
      <c r="U1011" t="s">
        <v>228</v>
      </c>
      <c r="V1011" s="58">
        <v>7.1775000000000002</v>
      </c>
      <c r="W1011" s="38">
        <f t="shared" si="95"/>
        <v>716.49738766980136</v>
      </c>
    </row>
    <row r="1012" spans="1:23">
      <c r="A1012" t="s">
        <v>2495</v>
      </c>
      <c r="B1012" s="20">
        <v>45726</v>
      </c>
      <c r="C1012" s="20">
        <v>45713</v>
      </c>
      <c r="D1012" t="s">
        <v>2257</v>
      </c>
      <c r="E1012" t="s">
        <v>2258</v>
      </c>
      <c r="F1012" s="19"/>
      <c r="G1012" t="s">
        <v>2950</v>
      </c>
      <c r="H1012" t="s">
        <v>3150</v>
      </c>
      <c r="I1012" t="s">
        <v>3360</v>
      </c>
      <c r="J1012" s="8" t="str">
        <f t="shared" si="96"/>
        <v>HDL-</v>
      </c>
      <c r="K1012" t="s">
        <v>10</v>
      </c>
      <c r="L1012" s="54">
        <v>510</v>
      </c>
      <c r="M1012" t="s">
        <v>1472</v>
      </c>
      <c r="N1012" t="s">
        <v>11</v>
      </c>
      <c r="O1012" s="54">
        <v>8.7460000000000004</v>
      </c>
      <c r="P1012" s="35">
        <f t="shared" si="94"/>
        <v>4460.46</v>
      </c>
      <c r="Q1012" s="10">
        <f t="shared" si="97"/>
        <v>7.3003400000000003</v>
      </c>
      <c r="R1012" s="10">
        <f t="shared" si="98"/>
        <v>1.198</v>
      </c>
      <c r="S1012" s="11">
        <f t="shared" si="99"/>
        <v>610.98</v>
      </c>
      <c r="T1012" s="10" t="s">
        <v>349</v>
      </c>
      <c r="U1012" t="s">
        <v>228</v>
      </c>
      <c r="V1012" s="58">
        <v>7.1775000000000002</v>
      </c>
      <c r="W1012" s="38">
        <f t="shared" si="95"/>
        <v>621.4503657262278</v>
      </c>
    </row>
    <row r="1013" spans="1:23">
      <c r="A1013" t="s">
        <v>2515</v>
      </c>
      <c r="B1013" s="20">
        <v>45726</v>
      </c>
      <c r="C1013" s="20">
        <v>45713</v>
      </c>
      <c r="D1013" t="s">
        <v>169</v>
      </c>
      <c r="E1013" t="s">
        <v>170</v>
      </c>
      <c r="F1013" s="19"/>
      <c r="G1013" t="s">
        <v>2961</v>
      </c>
      <c r="H1013" t="s">
        <v>1098</v>
      </c>
      <c r="I1013" t="s">
        <v>1099</v>
      </c>
      <c r="J1013" s="8" t="str">
        <f t="shared" si="96"/>
        <v>PAP-</v>
      </c>
      <c r="K1013" t="s">
        <v>10</v>
      </c>
      <c r="L1013" s="54">
        <v>10000</v>
      </c>
      <c r="M1013" t="s">
        <v>1472</v>
      </c>
      <c r="N1013" t="s">
        <v>11</v>
      </c>
      <c r="O1013" s="54">
        <v>0.23</v>
      </c>
      <c r="P1013" s="35">
        <f t="shared" si="94"/>
        <v>2300</v>
      </c>
      <c r="Q1013" s="10">
        <f t="shared" si="97"/>
        <v>7.3003400000000003</v>
      </c>
      <c r="R1013" s="10">
        <f t="shared" si="98"/>
        <v>3.15E-2</v>
      </c>
      <c r="S1013" s="11">
        <f t="shared" si="99"/>
        <v>315</v>
      </c>
      <c r="T1013" s="10" t="s">
        <v>349</v>
      </c>
      <c r="U1013" t="s">
        <v>1094</v>
      </c>
      <c r="V1013" s="58">
        <v>7.1775000000000002</v>
      </c>
      <c r="W1013" s="38">
        <f t="shared" si="95"/>
        <v>320.44583768721697</v>
      </c>
    </row>
    <row r="1014" spans="1:23">
      <c r="A1014" t="s">
        <v>2516</v>
      </c>
      <c r="B1014" s="20">
        <v>45726</v>
      </c>
      <c r="C1014" s="20">
        <v>45713</v>
      </c>
      <c r="D1014" t="s">
        <v>169</v>
      </c>
      <c r="E1014" t="s">
        <v>170</v>
      </c>
      <c r="F1014" s="19"/>
      <c r="G1014" t="s">
        <v>2961</v>
      </c>
      <c r="H1014" t="s">
        <v>1095</v>
      </c>
      <c r="I1014" t="s">
        <v>1096</v>
      </c>
      <c r="J1014" s="8" t="str">
        <f t="shared" si="96"/>
        <v>PAP-</v>
      </c>
      <c r="K1014" t="s">
        <v>10</v>
      </c>
      <c r="L1014" s="54">
        <v>30000</v>
      </c>
      <c r="M1014" t="s">
        <v>1472</v>
      </c>
      <c r="N1014" t="s">
        <v>11</v>
      </c>
      <c r="O1014" s="54">
        <v>0.28999999999999998</v>
      </c>
      <c r="P1014" s="35">
        <f t="shared" si="94"/>
        <v>8700</v>
      </c>
      <c r="Q1014" s="10">
        <f t="shared" si="97"/>
        <v>7.3003400000000003</v>
      </c>
      <c r="R1014" s="10">
        <f t="shared" si="98"/>
        <v>3.9699999999999999E-2</v>
      </c>
      <c r="S1014" s="11">
        <f t="shared" si="99"/>
        <v>1191</v>
      </c>
      <c r="T1014" s="10" t="s">
        <v>349</v>
      </c>
      <c r="U1014" t="s">
        <v>1094</v>
      </c>
      <c r="V1014" s="58">
        <v>7.1775000000000002</v>
      </c>
      <c r="W1014" s="38">
        <f t="shared" si="95"/>
        <v>1212.121212121212</v>
      </c>
    </row>
    <row r="1015" spans="1:23">
      <c r="A1015" t="s">
        <v>2545</v>
      </c>
      <c r="B1015" s="20">
        <v>45726</v>
      </c>
      <c r="C1015" s="20">
        <v>45714</v>
      </c>
      <c r="D1015" t="s">
        <v>235</v>
      </c>
      <c r="E1015" t="s">
        <v>236</v>
      </c>
      <c r="F1015" s="19"/>
      <c r="G1015" t="s">
        <v>2923</v>
      </c>
      <c r="H1015" t="s">
        <v>1352</v>
      </c>
      <c r="I1015" t="s">
        <v>1353</v>
      </c>
      <c r="J1015" s="8" t="str">
        <f t="shared" si="96"/>
        <v>RIV-</v>
      </c>
      <c r="K1015" t="s">
        <v>10</v>
      </c>
      <c r="L1015" s="54">
        <v>80000</v>
      </c>
      <c r="M1015" t="s">
        <v>1472</v>
      </c>
      <c r="N1015" t="s">
        <v>11</v>
      </c>
      <c r="O1015" s="54">
        <v>0.13150000000000001</v>
      </c>
      <c r="P1015" s="35">
        <f t="shared" si="94"/>
        <v>10520</v>
      </c>
      <c r="Q1015" s="10">
        <f t="shared" si="97"/>
        <v>7.3003400000000003</v>
      </c>
      <c r="R1015" s="10">
        <f t="shared" si="98"/>
        <v>1.7999999999999999E-2</v>
      </c>
      <c r="S1015" s="11">
        <f t="shared" si="99"/>
        <v>1440</v>
      </c>
      <c r="T1015" s="10" t="s">
        <v>349</v>
      </c>
      <c r="U1015" t="s">
        <v>132</v>
      </c>
      <c r="V1015" s="58">
        <v>7.1775000000000002</v>
      </c>
      <c r="W1015" s="38">
        <f t="shared" si="95"/>
        <v>1465.6913967258795</v>
      </c>
    </row>
    <row r="1016" spans="1:23">
      <c r="A1016" t="s">
        <v>2619</v>
      </c>
      <c r="B1016" s="20">
        <v>45726</v>
      </c>
      <c r="C1016" s="20">
        <v>45721</v>
      </c>
      <c r="D1016" t="s">
        <v>169</v>
      </c>
      <c r="E1016" t="s">
        <v>170</v>
      </c>
      <c r="F1016" s="19"/>
      <c r="G1016" t="s">
        <v>3015</v>
      </c>
      <c r="H1016" t="s">
        <v>1324</v>
      </c>
      <c r="I1016" t="s">
        <v>1325</v>
      </c>
      <c r="J1016" s="8" t="str">
        <f t="shared" si="96"/>
        <v>STKR</v>
      </c>
      <c r="K1016" t="s">
        <v>10</v>
      </c>
      <c r="L1016" s="54">
        <v>1010</v>
      </c>
      <c r="M1016" t="s">
        <v>1472</v>
      </c>
      <c r="N1016" t="s">
        <v>11</v>
      </c>
      <c r="O1016" s="54">
        <v>0.08</v>
      </c>
      <c r="P1016" s="35">
        <f t="shared" si="94"/>
        <v>80.8</v>
      </c>
      <c r="Q1016" s="10">
        <f t="shared" si="97"/>
        <v>7.3003400000000003</v>
      </c>
      <c r="R1016" s="10">
        <f t="shared" si="98"/>
        <v>1.0999999999999999E-2</v>
      </c>
      <c r="S1016" s="11">
        <f t="shared" si="99"/>
        <v>11.11</v>
      </c>
      <c r="T1016" s="10" t="s">
        <v>349</v>
      </c>
      <c r="U1016" t="s">
        <v>18</v>
      </c>
      <c r="V1016" s="58">
        <v>7.1775000000000002</v>
      </c>
      <c r="W1016" s="38">
        <f t="shared" si="95"/>
        <v>11.257401602229189</v>
      </c>
    </row>
    <row r="1017" spans="1:23">
      <c r="A1017" t="s">
        <v>2620</v>
      </c>
      <c r="B1017" s="20">
        <v>45726</v>
      </c>
      <c r="C1017" s="20">
        <v>45721</v>
      </c>
      <c r="D1017" t="s">
        <v>169</v>
      </c>
      <c r="E1017" t="s">
        <v>170</v>
      </c>
      <c r="F1017" s="19"/>
      <c r="G1017" t="s">
        <v>3015</v>
      </c>
      <c r="H1017" t="s">
        <v>3204</v>
      </c>
      <c r="I1017" t="s">
        <v>3411</v>
      </c>
      <c r="J1017" s="8" t="str">
        <f t="shared" si="96"/>
        <v>STKR</v>
      </c>
      <c r="K1017" t="s">
        <v>10</v>
      </c>
      <c r="L1017" s="54">
        <v>1010</v>
      </c>
      <c r="M1017" t="s">
        <v>1472</v>
      </c>
      <c r="N1017" t="s">
        <v>11</v>
      </c>
      <c r="O1017" s="54">
        <v>0.06</v>
      </c>
      <c r="P1017" s="35">
        <f t="shared" si="94"/>
        <v>60.6</v>
      </c>
      <c r="Q1017" s="10">
        <f t="shared" si="97"/>
        <v>7.3003400000000003</v>
      </c>
      <c r="R1017" s="10">
        <f t="shared" si="98"/>
        <v>8.2000000000000007E-3</v>
      </c>
      <c r="S1017" s="11">
        <f t="shared" si="99"/>
        <v>8.2799999999999994</v>
      </c>
      <c r="T1017" s="10" t="s">
        <v>349</v>
      </c>
      <c r="U1017" t="s">
        <v>18</v>
      </c>
      <c r="V1017" s="58">
        <v>7.1775000000000002</v>
      </c>
      <c r="W1017" s="38">
        <f t="shared" si="95"/>
        <v>8.4430512016718904</v>
      </c>
    </row>
    <row r="1018" spans="1:23">
      <c r="A1018" t="s">
        <v>2621</v>
      </c>
      <c r="B1018" s="20">
        <v>45726</v>
      </c>
      <c r="C1018" s="20">
        <v>45721</v>
      </c>
      <c r="D1018" t="s">
        <v>169</v>
      </c>
      <c r="E1018" t="s">
        <v>170</v>
      </c>
      <c r="F1018" s="19"/>
      <c r="G1018" t="s">
        <v>3015</v>
      </c>
      <c r="H1018" t="s">
        <v>1320</v>
      </c>
      <c r="I1018" t="s">
        <v>1321</v>
      </c>
      <c r="J1018" s="8" t="str">
        <f t="shared" si="96"/>
        <v>STKR</v>
      </c>
      <c r="K1018" t="s">
        <v>10</v>
      </c>
      <c r="L1018" s="54">
        <v>1010</v>
      </c>
      <c r="M1018" t="s">
        <v>1472</v>
      </c>
      <c r="N1018" t="s">
        <v>11</v>
      </c>
      <c r="O1018" s="54">
        <v>0.06</v>
      </c>
      <c r="P1018" s="35">
        <f t="shared" si="94"/>
        <v>60.6</v>
      </c>
      <c r="Q1018" s="10">
        <f t="shared" si="97"/>
        <v>7.3003400000000003</v>
      </c>
      <c r="R1018" s="10">
        <f t="shared" si="98"/>
        <v>8.2000000000000007E-3</v>
      </c>
      <c r="S1018" s="11">
        <f t="shared" si="99"/>
        <v>8.2799999999999994</v>
      </c>
      <c r="T1018" s="10" t="s">
        <v>349</v>
      </c>
      <c r="U1018" t="s">
        <v>18</v>
      </c>
      <c r="V1018" s="58">
        <v>7.1775000000000002</v>
      </c>
      <c r="W1018" s="38">
        <f t="shared" si="95"/>
        <v>8.4430512016718904</v>
      </c>
    </row>
    <row r="1019" spans="1:23">
      <c r="A1019" t="s">
        <v>2622</v>
      </c>
      <c r="B1019" s="20">
        <v>45726</v>
      </c>
      <c r="C1019" s="20">
        <v>45721</v>
      </c>
      <c r="D1019" t="s">
        <v>169</v>
      </c>
      <c r="E1019" t="s">
        <v>170</v>
      </c>
      <c r="F1019" s="19"/>
      <c r="G1019" t="s">
        <v>3015</v>
      </c>
      <c r="H1019" t="s">
        <v>3205</v>
      </c>
      <c r="I1019" t="s">
        <v>3412</v>
      </c>
      <c r="J1019" s="8" t="str">
        <f t="shared" si="96"/>
        <v>STKR</v>
      </c>
      <c r="K1019" t="s">
        <v>10</v>
      </c>
      <c r="L1019" s="54">
        <v>1010</v>
      </c>
      <c r="M1019" t="s">
        <v>1472</v>
      </c>
      <c r="N1019" t="s">
        <v>11</v>
      </c>
      <c r="O1019" s="54">
        <v>0.06</v>
      </c>
      <c r="P1019" s="35">
        <f t="shared" si="94"/>
        <v>60.6</v>
      </c>
      <c r="Q1019" s="10">
        <f t="shared" si="97"/>
        <v>7.3003400000000003</v>
      </c>
      <c r="R1019" s="10">
        <f t="shared" si="98"/>
        <v>8.2000000000000007E-3</v>
      </c>
      <c r="S1019" s="11">
        <f t="shared" si="99"/>
        <v>8.2799999999999994</v>
      </c>
      <c r="T1019" s="10" t="s">
        <v>349</v>
      </c>
      <c r="U1019" t="s">
        <v>18</v>
      </c>
      <c r="V1019" s="58">
        <v>7.1775000000000002</v>
      </c>
      <c r="W1019" s="38">
        <f t="shared" si="95"/>
        <v>8.4430512016718904</v>
      </c>
    </row>
    <row r="1020" spans="1:23">
      <c r="A1020" t="s">
        <v>2053</v>
      </c>
      <c r="B1020" s="20">
        <v>45727</v>
      </c>
      <c r="C1020" s="20">
        <v>45350</v>
      </c>
      <c r="D1020" t="s">
        <v>128</v>
      </c>
      <c r="E1020" t="s">
        <v>129</v>
      </c>
      <c r="F1020" s="19"/>
      <c r="G1020" t="s">
        <v>2839</v>
      </c>
      <c r="H1020" t="s">
        <v>1762</v>
      </c>
      <c r="I1020" t="s">
        <v>1763</v>
      </c>
      <c r="J1020" s="8" t="str">
        <f t="shared" si="96"/>
        <v>HDL-</v>
      </c>
      <c r="K1020" t="s">
        <v>10</v>
      </c>
      <c r="L1020" s="54">
        <v>-1820</v>
      </c>
      <c r="M1020" t="s">
        <v>1472</v>
      </c>
      <c r="N1020" t="s">
        <v>11</v>
      </c>
      <c r="O1020" s="54">
        <v>4.5491999999999999</v>
      </c>
      <c r="P1020" s="35">
        <f t="shared" si="94"/>
        <v>-8279.5400000000009</v>
      </c>
      <c r="Q1020" s="10">
        <f t="shared" si="97"/>
        <v>7.3003400000000003</v>
      </c>
      <c r="R1020" s="10">
        <f t="shared" si="98"/>
        <v>0.62309999999999999</v>
      </c>
      <c r="S1020" s="11">
        <f t="shared" si="99"/>
        <v>-1134.04</v>
      </c>
      <c r="T1020" s="10" t="s">
        <v>349</v>
      </c>
      <c r="U1020" t="s">
        <v>228</v>
      </c>
      <c r="V1020" s="58">
        <v>7.1775000000000002</v>
      </c>
      <c r="W1020" s="38">
        <f t="shared" si="95"/>
        <v>-1153.5414838035529</v>
      </c>
    </row>
    <row r="1021" spans="1:23">
      <c r="A1021" t="s">
        <v>2053</v>
      </c>
      <c r="B1021" s="20">
        <v>45727</v>
      </c>
      <c r="C1021" s="20">
        <v>45350</v>
      </c>
      <c r="D1021" t="s">
        <v>128</v>
      </c>
      <c r="E1021" t="s">
        <v>129</v>
      </c>
      <c r="F1021" s="19"/>
      <c r="G1021" t="s">
        <v>2840</v>
      </c>
      <c r="H1021" t="s">
        <v>1762</v>
      </c>
      <c r="I1021" t="s">
        <v>1763</v>
      </c>
      <c r="J1021" s="8" t="str">
        <f t="shared" si="96"/>
        <v>HDL-</v>
      </c>
      <c r="K1021" t="s">
        <v>10</v>
      </c>
      <c r="L1021" s="54">
        <v>1820</v>
      </c>
      <c r="M1021" t="s">
        <v>1472</v>
      </c>
      <c r="N1021" t="s">
        <v>11</v>
      </c>
      <c r="O1021" s="54">
        <v>4.5491999999999999</v>
      </c>
      <c r="P1021" s="35">
        <f t="shared" si="94"/>
        <v>8279.5400000000009</v>
      </c>
      <c r="Q1021" s="10">
        <f t="shared" si="97"/>
        <v>7.3003400000000003</v>
      </c>
      <c r="R1021" s="10">
        <f t="shared" si="98"/>
        <v>0.62309999999999999</v>
      </c>
      <c r="S1021" s="11">
        <f t="shared" si="99"/>
        <v>1134.04</v>
      </c>
      <c r="T1021" s="10" t="s">
        <v>349</v>
      </c>
      <c r="U1021" t="s">
        <v>228</v>
      </c>
      <c r="V1021" s="58">
        <v>7.1775000000000002</v>
      </c>
      <c r="W1021" s="38">
        <f t="shared" si="95"/>
        <v>1153.5414838035529</v>
      </c>
    </row>
    <row r="1022" spans="1:23">
      <c r="A1022" t="s">
        <v>2034</v>
      </c>
      <c r="B1022" s="20">
        <v>45727</v>
      </c>
      <c r="C1022" s="20">
        <v>45609</v>
      </c>
      <c r="D1022" t="s">
        <v>128</v>
      </c>
      <c r="E1022" t="s">
        <v>129</v>
      </c>
      <c r="F1022" s="19"/>
      <c r="G1022" t="s">
        <v>2840</v>
      </c>
      <c r="H1022" t="s">
        <v>1744</v>
      </c>
      <c r="I1022" t="s">
        <v>1745</v>
      </c>
      <c r="J1022" s="8" t="str">
        <f t="shared" si="96"/>
        <v>HDL-</v>
      </c>
      <c r="K1022" t="s">
        <v>10</v>
      </c>
      <c r="L1022" s="54">
        <v>18</v>
      </c>
      <c r="M1022" t="s">
        <v>1472</v>
      </c>
      <c r="N1022" t="s">
        <v>11</v>
      </c>
      <c r="O1022" s="54">
        <v>3.7610000000000001</v>
      </c>
      <c r="P1022" s="35">
        <f t="shared" si="94"/>
        <v>67.7</v>
      </c>
      <c r="Q1022" s="10">
        <f t="shared" si="97"/>
        <v>7.3003400000000003</v>
      </c>
      <c r="R1022" s="10">
        <f t="shared" si="98"/>
        <v>0.51519999999999999</v>
      </c>
      <c r="S1022" s="11">
        <f t="shared" si="99"/>
        <v>9.27</v>
      </c>
      <c r="T1022" s="10" t="s">
        <v>349</v>
      </c>
      <c r="U1022" t="s">
        <v>228</v>
      </c>
      <c r="V1022" s="58">
        <v>7.1775000000000002</v>
      </c>
      <c r="W1022" s="38">
        <f t="shared" si="95"/>
        <v>9.4319749216300934</v>
      </c>
    </row>
    <row r="1023" spans="1:23">
      <c r="A1023" t="s">
        <v>2054</v>
      </c>
      <c r="B1023" s="20">
        <v>45727</v>
      </c>
      <c r="C1023" s="20">
        <v>45656</v>
      </c>
      <c r="D1023" t="s">
        <v>128</v>
      </c>
      <c r="E1023" t="s">
        <v>129</v>
      </c>
      <c r="F1023" s="19"/>
      <c r="G1023" t="s">
        <v>2839</v>
      </c>
      <c r="H1023" t="s">
        <v>1762</v>
      </c>
      <c r="I1023" t="s">
        <v>1763</v>
      </c>
      <c r="J1023" s="8" t="str">
        <f t="shared" si="96"/>
        <v>HDL-</v>
      </c>
      <c r="K1023" t="s">
        <v>10</v>
      </c>
      <c r="L1023" s="54">
        <v>-3200</v>
      </c>
      <c r="M1023" t="s">
        <v>1472</v>
      </c>
      <c r="N1023" t="s">
        <v>11</v>
      </c>
      <c r="O1023" s="54">
        <v>4.5491999999999999</v>
      </c>
      <c r="P1023" s="35">
        <f t="shared" si="94"/>
        <v>-14557.44</v>
      </c>
      <c r="Q1023" s="10">
        <f t="shared" si="97"/>
        <v>7.3003400000000003</v>
      </c>
      <c r="R1023" s="10">
        <f t="shared" si="98"/>
        <v>0.62309999999999999</v>
      </c>
      <c r="S1023" s="11">
        <f t="shared" si="99"/>
        <v>-1993.92</v>
      </c>
      <c r="T1023" s="10" t="s">
        <v>349</v>
      </c>
      <c r="U1023" t="s">
        <v>228</v>
      </c>
      <c r="V1023" s="58">
        <v>7.1775000000000002</v>
      </c>
      <c r="W1023" s="38">
        <f t="shared" si="95"/>
        <v>-2028.2048066875652</v>
      </c>
    </row>
    <row r="1024" spans="1:23">
      <c r="A1024" t="s">
        <v>2304</v>
      </c>
      <c r="B1024" s="20">
        <v>45727</v>
      </c>
      <c r="C1024" s="20">
        <v>45660</v>
      </c>
      <c r="D1024" t="s">
        <v>252</v>
      </c>
      <c r="E1024" t="s">
        <v>253</v>
      </c>
      <c r="F1024" s="19"/>
      <c r="G1024" t="s">
        <v>2872</v>
      </c>
      <c r="H1024" t="s">
        <v>3068</v>
      </c>
      <c r="I1024" t="s">
        <v>3285</v>
      </c>
      <c r="J1024" s="8" t="str">
        <f t="shared" si="96"/>
        <v>ANYD</v>
      </c>
      <c r="K1024" t="s">
        <v>10</v>
      </c>
      <c r="L1024" s="54">
        <v>6010</v>
      </c>
      <c r="M1024" t="s">
        <v>1472</v>
      </c>
      <c r="N1024" t="s">
        <v>11</v>
      </c>
      <c r="O1024" s="54">
        <v>0.873</v>
      </c>
      <c r="P1024" s="35">
        <f t="shared" si="94"/>
        <v>5246.73</v>
      </c>
      <c r="Q1024" s="10">
        <f t="shared" si="97"/>
        <v>7.3003400000000003</v>
      </c>
      <c r="R1024" s="10">
        <f t="shared" si="98"/>
        <v>0.1196</v>
      </c>
      <c r="S1024" s="11">
        <f t="shared" si="99"/>
        <v>718.8</v>
      </c>
      <c r="T1024" s="10" t="s">
        <v>349</v>
      </c>
      <c r="U1024" t="s">
        <v>36</v>
      </c>
      <c r="V1024" s="58">
        <v>7.1775000000000002</v>
      </c>
      <c r="W1024" s="38">
        <f t="shared" si="95"/>
        <v>730.99686520376167</v>
      </c>
    </row>
    <row r="1025" spans="1:23">
      <c r="A1025" t="s">
        <v>2316</v>
      </c>
      <c r="B1025" s="20">
        <v>45727</v>
      </c>
      <c r="C1025" s="20">
        <v>45664</v>
      </c>
      <c r="D1025" t="s">
        <v>287</v>
      </c>
      <c r="E1025" t="s">
        <v>288</v>
      </c>
      <c r="F1025" s="19"/>
      <c r="G1025" t="s">
        <v>2876</v>
      </c>
      <c r="H1025" t="s">
        <v>1557</v>
      </c>
      <c r="I1025" t="s">
        <v>1558</v>
      </c>
      <c r="J1025" s="8" t="str">
        <f t="shared" si="96"/>
        <v>ANYD</v>
      </c>
      <c r="K1025" t="s">
        <v>10</v>
      </c>
      <c r="L1025" s="54">
        <v>2080</v>
      </c>
      <c r="M1025" t="s">
        <v>1472</v>
      </c>
      <c r="N1025" t="s">
        <v>11</v>
      </c>
      <c r="O1025" s="54">
        <v>7.2716000000000003</v>
      </c>
      <c r="P1025" s="35">
        <f t="shared" si="94"/>
        <v>15124.93</v>
      </c>
      <c r="Q1025" s="10">
        <f t="shared" si="97"/>
        <v>7.3003400000000003</v>
      </c>
      <c r="R1025" s="10">
        <f t="shared" si="98"/>
        <v>0.99609999999999999</v>
      </c>
      <c r="S1025" s="11">
        <f t="shared" si="99"/>
        <v>2071.89</v>
      </c>
      <c r="T1025" s="10" t="s">
        <v>349</v>
      </c>
      <c r="U1025" t="s">
        <v>36</v>
      </c>
      <c r="V1025" s="58">
        <v>7.1775000000000002</v>
      </c>
      <c r="W1025" s="38">
        <f t="shared" si="95"/>
        <v>2107.2696621386281</v>
      </c>
    </row>
    <row r="1026" spans="1:23">
      <c r="A1026" t="s">
        <v>2320</v>
      </c>
      <c r="B1026" s="20">
        <v>45727</v>
      </c>
      <c r="C1026" s="20">
        <v>45664</v>
      </c>
      <c r="D1026" t="s">
        <v>287</v>
      </c>
      <c r="E1026" t="s">
        <v>288</v>
      </c>
      <c r="F1026" s="19"/>
      <c r="G1026" t="s">
        <v>2876</v>
      </c>
      <c r="H1026" t="s">
        <v>71</v>
      </c>
      <c r="I1026" t="s">
        <v>72</v>
      </c>
      <c r="J1026" s="8" t="str">
        <f t="shared" si="96"/>
        <v>ANYD</v>
      </c>
      <c r="K1026" t="s">
        <v>10</v>
      </c>
      <c r="L1026" s="54">
        <v>2050</v>
      </c>
      <c r="M1026" t="s">
        <v>1472</v>
      </c>
      <c r="N1026" t="s">
        <v>11</v>
      </c>
      <c r="O1026" s="54">
        <v>7.9870000000000001</v>
      </c>
      <c r="P1026" s="35">
        <f t="shared" ref="P1026:P1089" si="100">ROUND(O1026*L1026,2)</f>
        <v>16373.35</v>
      </c>
      <c r="Q1026" s="10">
        <f t="shared" si="97"/>
        <v>7.3003400000000003</v>
      </c>
      <c r="R1026" s="10">
        <f t="shared" si="98"/>
        <v>1.0941000000000001</v>
      </c>
      <c r="S1026" s="11">
        <f t="shared" si="99"/>
        <v>2242.91</v>
      </c>
      <c r="T1026" s="10" t="s">
        <v>349</v>
      </c>
      <c r="U1026" t="s">
        <v>36</v>
      </c>
      <c r="V1026" s="58">
        <v>7.1775000000000002</v>
      </c>
      <c r="W1026" s="38">
        <f t="shared" ref="W1026:W1089" si="101">IF(N1026="CNY",O1026/V1026*L1026,1)</f>
        <v>2281.2051549982584</v>
      </c>
    </row>
    <row r="1027" spans="1:23">
      <c r="A1027" t="s">
        <v>1912</v>
      </c>
      <c r="B1027" s="20">
        <v>45727</v>
      </c>
      <c r="C1027" s="20">
        <v>45671</v>
      </c>
      <c r="D1027" t="s">
        <v>128</v>
      </c>
      <c r="E1027" t="s">
        <v>129</v>
      </c>
      <c r="F1027" s="19"/>
      <c r="G1027" t="s">
        <v>2840</v>
      </c>
      <c r="H1027" t="s">
        <v>443</v>
      </c>
      <c r="I1027" t="s">
        <v>444</v>
      </c>
      <c r="J1027" s="8" t="str">
        <f t="shared" si="96"/>
        <v>FG--</v>
      </c>
      <c r="K1027" t="s">
        <v>10</v>
      </c>
      <c r="L1027" s="54">
        <v>1300</v>
      </c>
      <c r="M1027" t="s">
        <v>1472</v>
      </c>
      <c r="N1027" t="s">
        <v>11</v>
      </c>
      <c r="O1027" s="54">
        <v>1.0021</v>
      </c>
      <c r="P1027" s="35">
        <f t="shared" si="100"/>
        <v>1302.73</v>
      </c>
      <c r="Q1027" s="10">
        <f t="shared" si="97"/>
        <v>7.3003400000000003</v>
      </c>
      <c r="R1027" s="10">
        <f t="shared" si="98"/>
        <v>0.13730000000000001</v>
      </c>
      <c r="S1027" s="11">
        <f t="shared" si="99"/>
        <v>178.49</v>
      </c>
      <c r="T1027" s="10" t="s">
        <v>349</v>
      </c>
      <c r="U1027" t="s">
        <v>64</v>
      </c>
      <c r="V1027" s="58">
        <v>7.1775000000000002</v>
      </c>
      <c r="W1027" s="38">
        <f t="shared" si="101"/>
        <v>181.50191570881225</v>
      </c>
    </row>
    <row r="1028" spans="1:23">
      <c r="A1028" t="s">
        <v>2340</v>
      </c>
      <c r="B1028" s="20">
        <v>45727</v>
      </c>
      <c r="C1028" s="20">
        <v>45674</v>
      </c>
      <c r="D1028" t="s">
        <v>128</v>
      </c>
      <c r="E1028" t="s">
        <v>129</v>
      </c>
      <c r="F1028" s="19"/>
      <c r="G1028" t="s">
        <v>2839</v>
      </c>
      <c r="H1028" t="s">
        <v>1762</v>
      </c>
      <c r="I1028" t="s">
        <v>1763</v>
      </c>
      <c r="J1028" s="8" t="str">
        <f t="shared" si="96"/>
        <v>HDL-</v>
      </c>
      <c r="K1028" t="s">
        <v>10</v>
      </c>
      <c r="L1028" s="54">
        <v>-200</v>
      </c>
      <c r="M1028" t="s">
        <v>1472</v>
      </c>
      <c r="N1028" t="s">
        <v>11</v>
      </c>
      <c r="O1028" s="54">
        <v>4.5491999999999999</v>
      </c>
      <c r="P1028" s="35">
        <f t="shared" si="100"/>
        <v>-909.84</v>
      </c>
      <c r="Q1028" s="10">
        <f t="shared" si="97"/>
        <v>7.3003400000000003</v>
      </c>
      <c r="R1028" s="10">
        <f t="shared" si="98"/>
        <v>0.62309999999999999</v>
      </c>
      <c r="S1028" s="11">
        <f t="shared" si="99"/>
        <v>-124.62</v>
      </c>
      <c r="T1028" s="10" t="s">
        <v>349</v>
      </c>
      <c r="U1028" t="s">
        <v>228</v>
      </c>
      <c r="V1028" s="58">
        <v>7.1775000000000002</v>
      </c>
      <c r="W1028" s="38">
        <f t="shared" si="101"/>
        <v>-126.76280041797283</v>
      </c>
    </row>
    <row r="1029" spans="1:23">
      <c r="A1029" t="s">
        <v>2360</v>
      </c>
      <c r="B1029" s="20">
        <v>45727</v>
      </c>
      <c r="C1029" s="20">
        <v>45680</v>
      </c>
      <c r="D1029" t="s">
        <v>252</v>
      </c>
      <c r="E1029" t="s">
        <v>253</v>
      </c>
      <c r="F1029" s="19"/>
      <c r="G1029" t="s">
        <v>2872</v>
      </c>
      <c r="H1029" t="s">
        <v>685</v>
      </c>
      <c r="I1029" t="s">
        <v>686</v>
      </c>
      <c r="J1029" s="8" t="str">
        <f t="shared" si="96"/>
        <v>ANYD</v>
      </c>
      <c r="K1029" t="s">
        <v>10</v>
      </c>
      <c r="L1029" s="54">
        <v>1300</v>
      </c>
      <c r="M1029" t="s">
        <v>1472</v>
      </c>
      <c r="N1029" t="s">
        <v>11</v>
      </c>
      <c r="O1029" s="54">
        <v>1.31</v>
      </c>
      <c r="P1029" s="35">
        <f t="shared" si="100"/>
        <v>1703</v>
      </c>
      <c r="Q1029" s="10">
        <f t="shared" si="97"/>
        <v>7.3003400000000003</v>
      </c>
      <c r="R1029" s="10">
        <f t="shared" si="98"/>
        <v>0.1794</v>
      </c>
      <c r="S1029" s="11">
        <f t="shared" si="99"/>
        <v>233.22</v>
      </c>
      <c r="T1029" s="10" t="s">
        <v>349</v>
      </c>
      <c r="U1029" t="s">
        <v>36</v>
      </c>
      <c r="V1029" s="58">
        <v>7.1775000000000002</v>
      </c>
      <c r="W1029" s="38">
        <f t="shared" si="101"/>
        <v>237.26924416579587</v>
      </c>
    </row>
    <row r="1030" spans="1:23">
      <c r="A1030" t="s">
        <v>2361</v>
      </c>
      <c r="B1030" s="20">
        <v>45727</v>
      </c>
      <c r="C1030" s="20">
        <v>45680</v>
      </c>
      <c r="D1030" t="s">
        <v>252</v>
      </c>
      <c r="E1030" t="s">
        <v>253</v>
      </c>
      <c r="F1030" s="19"/>
      <c r="G1030" t="s">
        <v>2872</v>
      </c>
      <c r="H1030" t="s">
        <v>1530</v>
      </c>
      <c r="I1030" t="s">
        <v>1531</v>
      </c>
      <c r="J1030" s="8" t="str">
        <f t="shared" si="96"/>
        <v>ANYD</v>
      </c>
      <c r="K1030" t="s">
        <v>10</v>
      </c>
      <c r="L1030" s="54">
        <v>3000</v>
      </c>
      <c r="M1030" t="s">
        <v>1472</v>
      </c>
      <c r="N1030" t="s">
        <v>11</v>
      </c>
      <c r="O1030" s="54">
        <v>1.3524</v>
      </c>
      <c r="P1030" s="35">
        <f t="shared" si="100"/>
        <v>4057.2</v>
      </c>
      <c r="Q1030" s="10">
        <f t="shared" si="97"/>
        <v>7.3003400000000003</v>
      </c>
      <c r="R1030" s="10">
        <f t="shared" si="98"/>
        <v>0.18529999999999999</v>
      </c>
      <c r="S1030" s="11">
        <f t="shared" si="99"/>
        <v>555.9</v>
      </c>
      <c r="T1030" s="10" t="s">
        <v>349</v>
      </c>
      <c r="U1030" t="s">
        <v>36</v>
      </c>
      <c r="V1030" s="58">
        <v>7.1775000000000002</v>
      </c>
      <c r="W1030" s="38">
        <f t="shared" si="101"/>
        <v>565.26645768025082</v>
      </c>
    </row>
    <row r="1031" spans="1:23">
      <c r="A1031" t="s">
        <v>2362</v>
      </c>
      <c r="B1031" s="20">
        <v>45727</v>
      </c>
      <c r="C1031" s="20">
        <v>45680</v>
      </c>
      <c r="D1031" t="s">
        <v>252</v>
      </c>
      <c r="E1031" t="s">
        <v>253</v>
      </c>
      <c r="F1031" s="19"/>
      <c r="G1031" t="s">
        <v>2872</v>
      </c>
      <c r="H1031" t="s">
        <v>678</v>
      </c>
      <c r="I1031" t="s">
        <v>679</v>
      </c>
      <c r="J1031" s="8" t="str">
        <f t="shared" si="96"/>
        <v>ANYD</v>
      </c>
      <c r="K1031" t="s">
        <v>10</v>
      </c>
      <c r="L1031" s="54">
        <v>2000</v>
      </c>
      <c r="M1031" t="s">
        <v>1472</v>
      </c>
      <c r="N1031" t="s">
        <v>11</v>
      </c>
      <c r="O1031" s="54">
        <v>1.3524</v>
      </c>
      <c r="P1031" s="35">
        <f t="shared" si="100"/>
        <v>2704.8</v>
      </c>
      <c r="Q1031" s="10">
        <f t="shared" si="97"/>
        <v>7.3003400000000003</v>
      </c>
      <c r="R1031" s="10">
        <f t="shared" si="98"/>
        <v>0.18529999999999999</v>
      </c>
      <c r="S1031" s="11">
        <f t="shared" si="99"/>
        <v>370.6</v>
      </c>
      <c r="T1031" s="10" t="s">
        <v>349</v>
      </c>
      <c r="U1031" t="s">
        <v>36</v>
      </c>
      <c r="V1031" s="58">
        <v>7.1775000000000002</v>
      </c>
      <c r="W1031" s="38">
        <f t="shared" si="101"/>
        <v>376.84430512016718</v>
      </c>
    </row>
    <row r="1032" spans="1:23">
      <c r="A1032" t="s">
        <v>2363</v>
      </c>
      <c r="B1032" s="20">
        <v>45727</v>
      </c>
      <c r="C1032" s="20">
        <v>45680</v>
      </c>
      <c r="D1032" t="s">
        <v>252</v>
      </c>
      <c r="E1032" t="s">
        <v>253</v>
      </c>
      <c r="F1032" s="19"/>
      <c r="G1032" t="s">
        <v>2872</v>
      </c>
      <c r="H1032" t="s">
        <v>1026</v>
      </c>
      <c r="I1032" t="s">
        <v>1027</v>
      </c>
      <c r="J1032" s="8" t="str">
        <f t="shared" si="96"/>
        <v>ANYD</v>
      </c>
      <c r="K1032" t="s">
        <v>10</v>
      </c>
      <c r="L1032" s="54">
        <v>1050</v>
      </c>
      <c r="M1032" t="s">
        <v>1472</v>
      </c>
      <c r="N1032" t="s">
        <v>11</v>
      </c>
      <c r="O1032" s="54">
        <v>0.9</v>
      </c>
      <c r="P1032" s="35">
        <f t="shared" si="100"/>
        <v>945</v>
      </c>
      <c r="Q1032" s="10">
        <f t="shared" si="97"/>
        <v>7.3003400000000003</v>
      </c>
      <c r="R1032" s="10">
        <f t="shared" si="98"/>
        <v>0.12330000000000001</v>
      </c>
      <c r="S1032" s="11">
        <f t="shared" si="99"/>
        <v>129.47</v>
      </c>
      <c r="T1032" s="10" t="s">
        <v>349</v>
      </c>
      <c r="U1032" t="s">
        <v>36</v>
      </c>
      <c r="V1032" s="58">
        <v>7.1775000000000002</v>
      </c>
      <c r="W1032" s="38">
        <f t="shared" si="101"/>
        <v>131.66144200626957</v>
      </c>
    </row>
    <row r="1033" spans="1:23">
      <c r="A1033" t="s">
        <v>2370</v>
      </c>
      <c r="B1033" s="20">
        <v>45727</v>
      </c>
      <c r="C1033" s="20">
        <v>45695</v>
      </c>
      <c r="D1033" t="s">
        <v>121</v>
      </c>
      <c r="E1033" t="s">
        <v>122</v>
      </c>
      <c r="F1033" s="19"/>
      <c r="G1033" t="s">
        <v>2908</v>
      </c>
      <c r="H1033" t="s">
        <v>1306</v>
      </c>
      <c r="I1033" t="s">
        <v>1307</v>
      </c>
      <c r="J1033" s="8" t="str">
        <f t="shared" si="96"/>
        <v>ANYD</v>
      </c>
      <c r="K1033" t="s">
        <v>10</v>
      </c>
      <c r="L1033" s="54">
        <v>6000</v>
      </c>
      <c r="M1033" t="s">
        <v>1472</v>
      </c>
      <c r="N1033" t="s">
        <v>11</v>
      </c>
      <c r="O1033" s="54">
        <v>0.8</v>
      </c>
      <c r="P1033" s="35">
        <f t="shared" si="100"/>
        <v>4800</v>
      </c>
      <c r="Q1033" s="10">
        <f t="shared" si="97"/>
        <v>7.3003400000000003</v>
      </c>
      <c r="R1033" s="10">
        <f t="shared" si="98"/>
        <v>0.1096</v>
      </c>
      <c r="S1033" s="11">
        <f t="shared" si="99"/>
        <v>657.6</v>
      </c>
      <c r="T1033" s="10" t="s">
        <v>349</v>
      </c>
      <c r="U1033" t="s">
        <v>36</v>
      </c>
      <c r="V1033" s="58">
        <v>7.1775000000000002</v>
      </c>
      <c r="W1033" s="38">
        <f t="shared" si="101"/>
        <v>668.75653082549638</v>
      </c>
    </row>
    <row r="1034" spans="1:23">
      <c r="A1034" t="s">
        <v>2371</v>
      </c>
      <c r="B1034" s="20">
        <v>45727</v>
      </c>
      <c r="C1034" s="20">
        <v>45695</v>
      </c>
      <c r="D1034" t="s">
        <v>121</v>
      </c>
      <c r="E1034" t="s">
        <v>122</v>
      </c>
      <c r="F1034" s="19"/>
      <c r="G1034" t="s">
        <v>2908</v>
      </c>
      <c r="H1034" t="s">
        <v>1548</v>
      </c>
      <c r="I1034" t="s">
        <v>1549</v>
      </c>
      <c r="J1034" s="8" t="str">
        <f t="shared" si="96"/>
        <v>ANYD</v>
      </c>
      <c r="K1034" t="s">
        <v>10</v>
      </c>
      <c r="L1034" s="54">
        <v>2100</v>
      </c>
      <c r="M1034" t="s">
        <v>1472</v>
      </c>
      <c r="N1034" t="s">
        <v>11</v>
      </c>
      <c r="O1034" s="54">
        <v>0.8</v>
      </c>
      <c r="P1034" s="35">
        <f t="shared" si="100"/>
        <v>1680</v>
      </c>
      <c r="Q1034" s="10">
        <f t="shared" si="97"/>
        <v>7.3003400000000003</v>
      </c>
      <c r="R1034" s="10">
        <f t="shared" si="98"/>
        <v>0.1096</v>
      </c>
      <c r="S1034" s="11">
        <f t="shared" si="99"/>
        <v>230.16</v>
      </c>
      <c r="T1034" s="10" t="s">
        <v>349</v>
      </c>
      <c r="U1034" t="s">
        <v>36</v>
      </c>
      <c r="V1034" s="58">
        <v>7.1775000000000002</v>
      </c>
      <c r="W1034" s="38">
        <f t="shared" si="101"/>
        <v>234.06478578892373</v>
      </c>
    </row>
    <row r="1035" spans="1:23">
      <c r="A1035" t="s">
        <v>2372</v>
      </c>
      <c r="B1035" s="20">
        <v>45727</v>
      </c>
      <c r="C1035" s="20">
        <v>45695</v>
      </c>
      <c r="D1035" t="s">
        <v>121</v>
      </c>
      <c r="E1035" t="s">
        <v>122</v>
      </c>
      <c r="F1035" s="19"/>
      <c r="G1035" t="s">
        <v>2908</v>
      </c>
      <c r="H1035" t="s">
        <v>1550</v>
      </c>
      <c r="I1035" t="s">
        <v>1533</v>
      </c>
      <c r="J1035" s="8" t="str">
        <f t="shared" si="96"/>
        <v>ANYD</v>
      </c>
      <c r="K1035" t="s">
        <v>10</v>
      </c>
      <c r="L1035" s="54">
        <v>4050</v>
      </c>
      <c r="M1035" t="s">
        <v>1472</v>
      </c>
      <c r="N1035" t="s">
        <v>11</v>
      </c>
      <c r="O1035" s="54">
        <v>0.8</v>
      </c>
      <c r="P1035" s="35">
        <f t="shared" si="100"/>
        <v>3240</v>
      </c>
      <c r="Q1035" s="10">
        <f t="shared" si="97"/>
        <v>7.3003400000000003</v>
      </c>
      <c r="R1035" s="10">
        <f t="shared" si="98"/>
        <v>0.1096</v>
      </c>
      <c r="S1035" s="11">
        <f t="shared" si="99"/>
        <v>443.88</v>
      </c>
      <c r="T1035" s="10" t="s">
        <v>349</v>
      </c>
      <c r="U1035" t="s">
        <v>36</v>
      </c>
      <c r="V1035" s="58">
        <v>7.1775000000000002</v>
      </c>
      <c r="W1035" s="38">
        <f t="shared" si="101"/>
        <v>451.41065830721004</v>
      </c>
    </row>
    <row r="1036" spans="1:23">
      <c r="A1036" t="s">
        <v>2386</v>
      </c>
      <c r="B1036" s="20">
        <v>45727</v>
      </c>
      <c r="C1036" s="20">
        <v>45695</v>
      </c>
      <c r="D1036" t="s">
        <v>252</v>
      </c>
      <c r="E1036" t="s">
        <v>253</v>
      </c>
      <c r="F1036" s="19"/>
      <c r="G1036" t="s">
        <v>2872</v>
      </c>
      <c r="H1036" t="s">
        <v>688</v>
      </c>
      <c r="I1036" t="s">
        <v>689</v>
      </c>
      <c r="J1036" s="8" t="str">
        <f t="shared" si="96"/>
        <v>ANYD</v>
      </c>
      <c r="K1036" t="s">
        <v>10</v>
      </c>
      <c r="L1036" s="54">
        <v>1050</v>
      </c>
      <c r="M1036" t="s">
        <v>1472</v>
      </c>
      <c r="N1036" t="s">
        <v>11</v>
      </c>
      <c r="O1036" s="54">
        <v>0.9</v>
      </c>
      <c r="P1036" s="35">
        <f t="shared" si="100"/>
        <v>945</v>
      </c>
      <c r="Q1036" s="10">
        <f t="shared" si="97"/>
        <v>7.3003400000000003</v>
      </c>
      <c r="R1036" s="10">
        <f t="shared" si="98"/>
        <v>0.12330000000000001</v>
      </c>
      <c r="S1036" s="11">
        <f t="shared" si="99"/>
        <v>129.47</v>
      </c>
      <c r="T1036" s="10" t="s">
        <v>349</v>
      </c>
      <c r="U1036" t="s">
        <v>36</v>
      </c>
      <c r="V1036" s="58">
        <v>7.1775000000000002</v>
      </c>
      <c r="W1036" s="38">
        <f t="shared" si="101"/>
        <v>131.66144200626957</v>
      </c>
    </row>
    <row r="1037" spans="1:23">
      <c r="A1037" t="s">
        <v>2389</v>
      </c>
      <c r="B1037" s="20">
        <v>45727</v>
      </c>
      <c r="C1037" s="20">
        <v>45695</v>
      </c>
      <c r="D1037" t="s">
        <v>252</v>
      </c>
      <c r="E1037" t="s">
        <v>253</v>
      </c>
      <c r="F1037" s="19"/>
      <c r="G1037" t="s">
        <v>2872</v>
      </c>
      <c r="H1037" t="s">
        <v>1530</v>
      </c>
      <c r="I1037" t="s">
        <v>1531</v>
      </c>
      <c r="J1037" s="8" t="str">
        <f t="shared" si="96"/>
        <v>ANYD</v>
      </c>
      <c r="K1037" t="s">
        <v>10</v>
      </c>
      <c r="L1037" s="54">
        <v>4000</v>
      </c>
      <c r="M1037" t="s">
        <v>1472</v>
      </c>
      <c r="N1037" t="s">
        <v>11</v>
      </c>
      <c r="O1037" s="54">
        <v>1.38</v>
      </c>
      <c r="P1037" s="35">
        <f t="shared" si="100"/>
        <v>5520</v>
      </c>
      <c r="Q1037" s="10">
        <f t="shared" si="97"/>
        <v>7.3003400000000003</v>
      </c>
      <c r="R1037" s="10">
        <f t="shared" si="98"/>
        <v>0.189</v>
      </c>
      <c r="S1037" s="11">
        <f t="shared" si="99"/>
        <v>756</v>
      </c>
      <c r="T1037" s="10" t="s">
        <v>349</v>
      </c>
      <c r="U1037" t="s">
        <v>36</v>
      </c>
      <c r="V1037" s="58">
        <v>7.1775000000000002</v>
      </c>
      <c r="W1037" s="38">
        <f t="shared" si="101"/>
        <v>769.07001044932065</v>
      </c>
    </row>
    <row r="1038" spans="1:23">
      <c r="A1038" t="s">
        <v>2538</v>
      </c>
      <c r="B1038" s="20">
        <v>45727</v>
      </c>
      <c r="C1038" s="20">
        <v>45714</v>
      </c>
      <c r="D1038" t="s">
        <v>830</v>
      </c>
      <c r="E1038" t="s">
        <v>831</v>
      </c>
      <c r="F1038" s="19"/>
      <c r="G1038" t="s">
        <v>2982</v>
      </c>
      <c r="H1038" t="s">
        <v>3166</v>
      </c>
      <c r="I1038" t="s">
        <v>3376</v>
      </c>
      <c r="J1038" s="8" t="str">
        <f t="shared" si="96"/>
        <v>LID-</v>
      </c>
      <c r="K1038" t="s">
        <v>98</v>
      </c>
      <c r="L1038" s="54">
        <v>1920</v>
      </c>
      <c r="M1038" t="s">
        <v>1472</v>
      </c>
      <c r="N1038" t="s">
        <v>11</v>
      </c>
      <c r="O1038" s="54">
        <v>4.2</v>
      </c>
      <c r="P1038" s="35">
        <f t="shared" si="100"/>
        <v>8064</v>
      </c>
      <c r="Q1038" s="10">
        <f t="shared" si="97"/>
        <v>7.3003400000000003</v>
      </c>
      <c r="R1038" s="10">
        <f t="shared" si="98"/>
        <v>0.57530000000000003</v>
      </c>
      <c r="S1038" s="11">
        <f t="shared" si="99"/>
        <v>1104.58</v>
      </c>
      <c r="T1038" s="10" t="s">
        <v>349</v>
      </c>
      <c r="U1038" t="s">
        <v>368</v>
      </c>
      <c r="V1038" s="58">
        <v>7.1775000000000002</v>
      </c>
      <c r="W1038" s="38">
        <f t="shared" si="101"/>
        <v>1123.5109717868338</v>
      </c>
    </row>
    <row r="1039" spans="1:23">
      <c r="A1039" t="s">
        <v>2538</v>
      </c>
      <c r="B1039" s="20">
        <v>45727</v>
      </c>
      <c r="C1039" s="20">
        <v>45714</v>
      </c>
      <c r="D1039" t="s">
        <v>830</v>
      </c>
      <c r="E1039" t="s">
        <v>831</v>
      </c>
      <c r="F1039" s="19"/>
      <c r="G1039" t="s">
        <v>2983</v>
      </c>
      <c r="H1039" t="s">
        <v>3166</v>
      </c>
      <c r="I1039" t="s">
        <v>3376</v>
      </c>
      <c r="J1039" s="8" t="str">
        <f t="shared" si="96"/>
        <v>LID-</v>
      </c>
      <c r="K1039" t="s">
        <v>98</v>
      </c>
      <c r="L1039" s="54">
        <v>-1920</v>
      </c>
      <c r="M1039" t="s">
        <v>1472</v>
      </c>
      <c r="N1039" t="s">
        <v>11</v>
      </c>
      <c r="O1039" s="54">
        <v>4.2</v>
      </c>
      <c r="P1039" s="35">
        <f t="shared" si="100"/>
        <v>-8064</v>
      </c>
      <c r="Q1039" s="10">
        <f t="shared" si="97"/>
        <v>7.3003400000000003</v>
      </c>
      <c r="R1039" s="10">
        <f t="shared" si="98"/>
        <v>0.57530000000000003</v>
      </c>
      <c r="S1039" s="11">
        <f t="shared" si="99"/>
        <v>-1104.58</v>
      </c>
      <c r="T1039" s="10" t="s">
        <v>349</v>
      </c>
      <c r="U1039" t="s">
        <v>368</v>
      </c>
      <c r="V1039" s="58">
        <v>7.1775000000000002</v>
      </c>
      <c r="W1039" s="38">
        <f t="shared" si="101"/>
        <v>-1123.5109717868338</v>
      </c>
    </row>
    <row r="1040" spans="1:23">
      <c r="A1040" t="s">
        <v>2538</v>
      </c>
      <c r="B1040" s="20">
        <v>45727</v>
      </c>
      <c r="C1040" s="20">
        <v>45714</v>
      </c>
      <c r="D1040" t="s">
        <v>830</v>
      </c>
      <c r="E1040" t="s">
        <v>831</v>
      </c>
      <c r="F1040" s="19"/>
      <c r="G1040" t="s">
        <v>2854</v>
      </c>
      <c r="H1040" t="s">
        <v>3166</v>
      </c>
      <c r="I1040" t="s">
        <v>3376</v>
      </c>
      <c r="J1040" s="8" t="str">
        <f t="shared" si="96"/>
        <v>LID-</v>
      </c>
      <c r="K1040" t="s">
        <v>98</v>
      </c>
      <c r="L1040" s="54">
        <v>1920</v>
      </c>
      <c r="M1040" t="s">
        <v>1472</v>
      </c>
      <c r="N1040" t="s">
        <v>11</v>
      </c>
      <c r="O1040" s="54">
        <v>4.2</v>
      </c>
      <c r="P1040" s="35">
        <f t="shared" si="100"/>
        <v>8064</v>
      </c>
      <c r="Q1040" s="10">
        <f t="shared" si="97"/>
        <v>7.3003400000000003</v>
      </c>
      <c r="R1040" s="10">
        <f t="shared" si="98"/>
        <v>0.57530000000000003</v>
      </c>
      <c r="S1040" s="11">
        <f t="shared" si="99"/>
        <v>1104.58</v>
      </c>
      <c r="T1040" s="10" t="s">
        <v>349</v>
      </c>
      <c r="U1040" t="s">
        <v>368</v>
      </c>
      <c r="V1040" s="58">
        <v>7.1775000000000002</v>
      </c>
      <c r="W1040" s="38">
        <f t="shared" si="101"/>
        <v>1123.5109717868338</v>
      </c>
    </row>
    <row r="1041" spans="1:23">
      <c r="A1041" t="s">
        <v>2574</v>
      </c>
      <c r="B1041" s="20">
        <v>45727</v>
      </c>
      <c r="C1041" s="20">
        <v>45716</v>
      </c>
      <c r="D1041" t="s">
        <v>121</v>
      </c>
      <c r="E1041" t="s">
        <v>122</v>
      </c>
      <c r="F1041" s="19"/>
      <c r="G1041" t="s">
        <v>2908</v>
      </c>
      <c r="H1041" t="s">
        <v>1306</v>
      </c>
      <c r="I1041" t="s">
        <v>1307</v>
      </c>
      <c r="J1041" s="8" t="str">
        <f t="shared" si="96"/>
        <v>ANYD</v>
      </c>
      <c r="K1041" t="s">
        <v>10</v>
      </c>
      <c r="L1041" s="54">
        <v>500</v>
      </c>
      <c r="M1041" t="s">
        <v>1472</v>
      </c>
      <c r="N1041" t="s">
        <v>11</v>
      </c>
      <c r="O1041" s="54">
        <v>0.8</v>
      </c>
      <c r="P1041" s="35">
        <f t="shared" si="100"/>
        <v>400</v>
      </c>
      <c r="Q1041" s="10">
        <f t="shared" si="97"/>
        <v>7.3003400000000003</v>
      </c>
      <c r="R1041" s="10">
        <f t="shared" si="98"/>
        <v>0.1096</v>
      </c>
      <c r="S1041" s="11">
        <f t="shared" si="99"/>
        <v>54.8</v>
      </c>
      <c r="T1041" s="10" t="s">
        <v>349</v>
      </c>
      <c r="U1041" t="s">
        <v>36</v>
      </c>
      <c r="V1041" s="58">
        <v>7.1775000000000002</v>
      </c>
      <c r="W1041" s="38">
        <f t="shared" si="101"/>
        <v>55.729710902124694</v>
      </c>
    </row>
    <row r="1042" spans="1:23">
      <c r="A1042" t="s">
        <v>914</v>
      </c>
      <c r="B1042" s="20">
        <v>45728</v>
      </c>
      <c r="C1042" s="20">
        <v>45526</v>
      </c>
      <c r="D1042" t="s">
        <v>866</v>
      </c>
      <c r="E1042" t="s">
        <v>867</v>
      </c>
      <c r="F1042" s="19"/>
      <c r="G1042" t="s">
        <v>2844</v>
      </c>
      <c r="H1042" t="s">
        <v>912</v>
      </c>
      <c r="I1042" t="s">
        <v>913</v>
      </c>
      <c r="J1042" s="8" t="str">
        <f t="shared" si="96"/>
        <v>ANYD</v>
      </c>
      <c r="K1042" t="s">
        <v>10</v>
      </c>
      <c r="L1042" s="54">
        <v>12000</v>
      </c>
      <c r="M1042" t="s">
        <v>1472</v>
      </c>
      <c r="N1042" t="s">
        <v>11</v>
      </c>
      <c r="O1042" s="54">
        <v>6.5929000000000002</v>
      </c>
      <c r="P1042" s="35">
        <f t="shared" si="100"/>
        <v>79114.8</v>
      </c>
      <c r="Q1042" s="10">
        <f t="shared" si="97"/>
        <v>7.3003400000000003</v>
      </c>
      <c r="R1042" s="10">
        <f t="shared" si="98"/>
        <v>0.90310000000000001</v>
      </c>
      <c r="S1042" s="11">
        <f t="shared" si="99"/>
        <v>10837.2</v>
      </c>
      <c r="T1042" s="10" t="s">
        <v>349</v>
      </c>
      <c r="U1042" t="s">
        <v>36</v>
      </c>
      <c r="V1042" s="58">
        <v>7.1775000000000002</v>
      </c>
      <c r="W1042" s="38">
        <f t="shared" si="101"/>
        <v>11022.612330198537</v>
      </c>
    </row>
    <row r="1043" spans="1:23">
      <c r="A1043" t="s">
        <v>889</v>
      </c>
      <c r="B1043" s="20">
        <v>45728</v>
      </c>
      <c r="C1043" s="20">
        <v>45526</v>
      </c>
      <c r="D1043" t="s">
        <v>866</v>
      </c>
      <c r="E1043" t="s">
        <v>867</v>
      </c>
      <c r="F1043" s="19"/>
      <c r="G1043" t="s">
        <v>2844</v>
      </c>
      <c r="H1043" t="s">
        <v>887</v>
      </c>
      <c r="I1043" t="s">
        <v>888</v>
      </c>
      <c r="J1043" s="8" t="str">
        <f t="shared" si="96"/>
        <v>ANYD</v>
      </c>
      <c r="K1043" t="s">
        <v>10</v>
      </c>
      <c r="L1043" s="54">
        <v>5008</v>
      </c>
      <c r="M1043" t="s">
        <v>1472</v>
      </c>
      <c r="N1043" t="s">
        <v>11</v>
      </c>
      <c r="O1043" s="54">
        <v>9.2124000000000006</v>
      </c>
      <c r="P1043" s="35">
        <f t="shared" si="100"/>
        <v>46135.7</v>
      </c>
      <c r="Q1043" s="10">
        <f t="shared" si="97"/>
        <v>7.3003400000000003</v>
      </c>
      <c r="R1043" s="10">
        <f t="shared" si="98"/>
        <v>1.2619</v>
      </c>
      <c r="S1043" s="11">
        <f t="shared" si="99"/>
        <v>6319.6</v>
      </c>
      <c r="T1043" s="10" t="s">
        <v>349</v>
      </c>
      <c r="U1043" t="s">
        <v>36</v>
      </c>
      <c r="V1043" s="58">
        <v>7.1775000000000002</v>
      </c>
      <c r="W1043" s="38">
        <f t="shared" si="101"/>
        <v>6427.8229467084639</v>
      </c>
    </row>
    <row r="1044" spans="1:23">
      <c r="A1044" t="s">
        <v>885</v>
      </c>
      <c r="B1044" s="20">
        <v>45728</v>
      </c>
      <c r="C1044" s="20">
        <v>45526</v>
      </c>
      <c r="D1044" t="s">
        <v>866</v>
      </c>
      <c r="E1044" t="s">
        <v>867</v>
      </c>
      <c r="F1044" s="19"/>
      <c r="G1044" t="s">
        <v>2844</v>
      </c>
      <c r="H1044" t="s">
        <v>883</v>
      </c>
      <c r="I1044" t="s">
        <v>884</v>
      </c>
      <c r="J1044" s="8" t="str">
        <f t="shared" si="96"/>
        <v>ANYD</v>
      </c>
      <c r="K1044" t="s">
        <v>10</v>
      </c>
      <c r="L1044" s="54">
        <v>5004</v>
      </c>
      <c r="M1044" t="s">
        <v>1472</v>
      </c>
      <c r="N1044" t="s">
        <v>11</v>
      </c>
      <c r="O1044" s="54">
        <v>9.7788000000000004</v>
      </c>
      <c r="P1044" s="35">
        <f t="shared" si="100"/>
        <v>48933.120000000003</v>
      </c>
      <c r="Q1044" s="10">
        <f t="shared" si="97"/>
        <v>7.3003400000000003</v>
      </c>
      <c r="R1044" s="10">
        <f t="shared" si="98"/>
        <v>1.3394999999999999</v>
      </c>
      <c r="S1044" s="11">
        <f t="shared" si="99"/>
        <v>6702.86</v>
      </c>
      <c r="T1044" s="10" t="s">
        <v>349</v>
      </c>
      <c r="U1044" t="s">
        <v>36</v>
      </c>
      <c r="V1044" s="58">
        <v>7.1775000000000002</v>
      </c>
      <c r="W1044" s="38">
        <f t="shared" si="101"/>
        <v>6817.5709090909095</v>
      </c>
    </row>
    <row r="1045" spans="1:23">
      <c r="A1045" t="s">
        <v>2069</v>
      </c>
      <c r="B1045" s="20">
        <v>45728</v>
      </c>
      <c r="C1045" s="20">
        <v>45646</v>
      </c>
      <c r="D1045" t="s">
        <v>866</v>
      </c>
      <c r="E1045" t="s">
        <v>867</v>
      </c>
      <c r="F1045" s="19"/>
      <c r="G1045" t="s">
        <v>2864</v>
      </c>
      <c r="H1045" t="s">
        <v>34</v>
      </c>
      <c r="I1045" t="s">
        <v>35</v>
      </c>
      <c r="J1045" s="8" t="str">
        <f t="shared" ref="J1045:J1108" si="102">+LEFT(U1045,4)</f>
        <v>ANYD</v>
      </c>
      <c r="K1045" t="s">
        <v>10</v>
      </c>
      <c r="L1045" s="54">
        <v>8016</v>
      </c>
      <c r="M1045" t="s">
        <v>1472</v>
      </c>
      <c r="N1045" t="s">
        <v>11</v>
      </c>
      <c r="O1045" s="54">
        <v>5.2389000000000001</v>
      </c>
      <c r="P1045" s="35">
        <f t="shared" si="100"/>
        <v>41995.02</v>
      </c>
      <c r="Q1045" s="10">
        <f t="shared" ref="Q1045:Q1108" si="103">IF(N1045="HKD",7.8,IF(N1045="CNY",7.30034,1))</f>
        <v>7.3003400000000003</v>
      </c>
      <c r="R1045" s="10">
        <f t="shared" ref="R1045:R1108" si="104">+ROUND(O1045/Q1045,4)</f>
        <v>0.71760000000000002</v>
      </c>
      <c r="S1045" s="11">
        <f t="shared" ref="S1045:S1108" si="105">ROUND(R1045*L1045,2)</f>
        <v>5752.28</v>
      </c>
      <c r="T1045" s="10" t="s">
        <v>349</v>
      </c>
      <c r="U1045" t="s">
        <v>36</v>
      </c>
      <c r="V1045" s="58">
        <v>7.1775000000000002</v>
      </c>
      <c r="W1045" s="38">
        <f t="shared" si="101"/>
        <v>5850.9261442006273</v>
      </c>
    </row>
    <row r="1046" spans="1:23">
      <c r="A1046" t="s">
        <v>918</v>
      </c>
      <c r="B1046" s="20">
        <v>45728</v>
      </c>
      <c r="C1046" s="20">
        <v>45646</v>
      </c>
      <c r="D1046" t="s">
        <v>866</v>
      </c>
      <c r="E1046" t="s">
        <v>867</v>
      </c>
      <c r="F1046" s="19"/>
      <c r="G1046" t="s">
        <v>2864</v>
      </c>
      <c r="H1046" t="s">
        <v>916</v>
      </c>
      <c r="I1046" t="s">
        <v>917</v>
      </c>
      <c r="J1046" s="8" t="str">
        <f t="shared" si="102"/>
        <v>ANYD</v>
      </c>
      <c r="K1046" t="s">
        <v>10</v>
      </c>
      <c r="L1046" s="54">
        <v>24</v>
      </c>
      <c r="M1046" t="s">
        <v>1472</v>
      </c>
      <c r="N1046" t="s">
        <v>11</v>
      </c>
      <c r="O1046" s="54">
        <v>5.9381000000000004</v>
      </c>
      <c r="P1046" s="35">
        <f t="shared" si="100"/>
        <v>142.51</v>
      </c>
      <c r="Q1046" s="10">
        <f t="shared" si="103"/>
        <v>7.3003400000000003</v>
      </c>
      <c r="R1046" s="10">
        <f t="shared" si="104"/>
        <v>0.81340000000000001</v>
      </c>
      <c r="S1046" s="11">
        <f t="shared" si="105"/>
        <v>19.52</v>
      </c>
      <c r="T1046" s="10" t="s">
        <v>349</v>
      </c>
      <c r="U1046" t="s">
        <v>36</v>
      </c>
      <c r="V1046" s="58">
        <v>7.1775000000000002</v>
      </c>
      <c r="W1046" s="38">
        <f t="shared" si="101"/>
        <v>19.855715778474401</v>
      </c>
    </row>
    <row r="1047" spans="1:23">
      <c r="A1047" t="s">
        <v>918</v>
      </c>
      <c r="B1047" s="20">
        <v>45728</v>
      </c>
      <c r="C1047" s="20">
        <v>45646</v>
      </c>
      <c r="D1047" t="s">
        <v>866</v>
      </c>
      <c r="E1047" t="s">
        <v>867</v>
      </c>
      <c r="F1047" s="19"/>
      <c r="G1047" t="s">
        <v>2864</v>
      </c>
      <c r="H1047" t="s">
        <v>916</v>
      </c>
      <c r="I1047" t="s">
        <v>917</v>
      </c>
      <c r="J1047" s="8" t="str">
        <f t="shared" si="102"/>
        <v>ANYD</v>
      </c>
      <c r="K1047" t="s">
        <v>10</v>
      </c>
      <c r="L1047" s="54">
        <v>10008</v>
      </c>
      <c r="M1047" t="s">
        <v>1472</v>
      </c>
      <c r="N1047" t="s">
        <v>11</v>
      </c>
      <c r="O1047" s="54">
        <v>5.9381000000000004</v>
      </c>
      <c r="P1047" s="35">
        <f t="shared" si="100"/>
        <v>59428.5</v>
      </c>
      <c r="Q1047" s="10">
        <f t="shared" si="103"/>
        <v>7.3003400000000003</v>
      </c>
      <c r="R1047" s="10">
        <f t="shared" si="104"/>
        <v>0.81340000000000001</v>
      </c>
      <c r="S1047" s="11">
        <f t="shared" si="105"/>
        <v>8140.51</v>
      </c>
      <c r="T1047" s="10" t="s">
        <v>349</v>
      </c>
      <c r="U1047" t="s">
        <v>36</v>
      </c>
      <c r="V1047" s="58">
        <v>7.1775000000000002</v>
      </c>
      <c r="W1047" s="38">
        <f t="shared" si="101"/>
        <v>8279.833479623825</v>
      </c>
    </row>
    <row r="1048" spans="1:23">
      <c r="A1048" t="s">
        <v>2300</v>
      </c>
      <c r="B1048" s="20">
        <v>45728</v>
      </c>
      <c r="C1048" s="20">
        <v>45653</v>
      </c>
      <c r="D1048" t="s">
        <v>5</v>
      </c>
      <c r="E1048" t="s">
        <v>6</v>
      </c>
      <c r="F1048" s="19"/>
      <c r="G1048" t="s">
        <v>2866</v>
      </c>
      <c r="H1048" t="s">
        <v>489</v>
      </c>
      <c r="I1048" t="s">
        <v>490</v>
      </c>
      <c r="J1048" s="8" t="str">
        <f t="shared" si="102"/>
        <v>SHTS</v>
      </c>
      <c r="K1048" t="s">
        <v>10</v>
      </c>
      <c r="L1048" s="54">
        <v>1010</v>
      </c>
      <c r="M1048" t="s">
        <v>1472</v>
      </c>
      <c r="N1048" t="s">
        <v>11</v>
      </c>
      <c r="O1048" s="54">
        <v>1.66</v>
      </c>
      <c r="P1048" s="35">
        <f t="shared" si="100"/>
        <v>1676.6</v>
      </c>
      <c r="Q1048" s="10">
        <f t="shared" si="103"/>
        <v>7.3003400000000003</v>
      </c>
      <c r="R1048" s="10">
        <f t="shared" si="104"/>
        <v>0.22739999999999999</v>
      </c>
      <c r="S1048" s="11">
        <f t="shared" si="105"/>
        <v>229.67</v>
      </c>
      <c r="T1048" s="10" t="s">
        <v>349</v>
      </c>
      <c r="U1048" t="s">
        <v>9</v>
      </c>
      <c r="V1048" s="58">
        <v>7.1775000000000002</v>
      </c>
      <c r="W1048" s="38">
        <f t="shared" si="101"/>
        <v>233.59108324625564</v>
      </c>
    </row>
    <row r="1049" spans="1:23">
      <c r="A1049" t="s">
        <v>1866</v>
      </c>
      <c r="B1049" s="20">
        <v>45728</v>
      </c>
      <c r="C1049" s="20">
        <v>45672</v>
      </c>
      <c r="D1049" t="s">
        <v>806</v>
      </c>
      <c r="E1049" t="s">
        <v>807</v>
      </c>
      <c r="F1049" s="19"/>
      <c r="G1049" t="s">
        <v>2890</v>
      </c>
      <c r="H1049" t="s">
        <v>1603</v>
      </c>
      <c r="I1049" t="s">
        <v>1604</v>
      </c>
      <c r="J1049" s="8" t="str">
        <f t="shared" si="102"/>
        <v>BAG-</v>
      </c>
      <c r="K1049" t="s">
        <v>10</v>
      </c>
      <c r="L1049" s="54">
        <v>10000</v>
      </c>
      <c r="M1049" t="s">
        <v>1472</v>
      </c>
      <c r="N1049" t="s">
        <v>11</v>
      </c>
      <c r="O1049" s="54">
        <v>0.158</v>
      </c>
      <c r="P1049" s="35">
        <f t="shared" si="100"/>
        <v>1580</v>
      </c>
      <c r="Q1049" s="10">
        <f t="shared" si="103"/>
        <v>7.3003400000000003</v>
      </c>
      <c r="R1049" s="10">
        <f t="shared" si="104"/>
        <v>2.1600000000000001E-2</v>
      </c>
      <c r="S1049" s="11">
        <f t="shared" si="105"/>
        <v>216</v>
      </c>
      <c r="T1049" s="10" t="s">
        <v>349</v>
      </c>
      <c r="U1049" t="s">
        <v>810</v>
      </c>
      <c r="V1049" s="58">
        <v>7.1775000000000002</v>
      </c>
      <c r="W1049" s="38">
        <f t="shared" si="101"/>
        <v>220.13235806339256</v>
      </c>
    </row>
    <row r="1050" spans="1:23">
      <c r="A1050" t="s">
        <v>2345</v>
      </c>
      <c r="B1050" s="20">
        <v>45728</v>
      </c>
      <c r="C1050" s="20">
        <v>45677</v>
      </c>
      <c r="D1050" t="s">
        <v>5</v>
      </c>
      <c r="E1050" t="s">
        <v>6</v>
      </c>
      <c r="F1050" s="19"/>
      <c r="G1050" t="s">
        <v>2866</v>
      </c>
      <c r="H1050" t="s">
        <v>493</v>
      </c>
      <c r="I1050" t="s">
        <v>494</v>
      </c>
      <c r="J1050" s="8" t="str">
        <f t="shared" si="102"/>
        <v>SHTS</v>
      </c>
      <c r="K1050" t="s">
        <v>10</v>
      </c>
      <c r="L1050" s="54">
        <v>1010</v>
      </c>
      <c r="M1050" t="s">
        <v>1472</v>
      </c>
      <c r="N1050" t="s">
        <v>11</v>
      </c>
      <c r="O1050" s="54">
        <v>1.64</v>
      </c>
      <c r="P1050" s="35">
        <f t="shared" si="100"/>
        <v>1656.4</v>
      </c>
      <c r="Q1050" s="10">
        <f t="shared" si="103"/>
        <v>7.3003400000000003</v>
      </c>
      <c r="R1050" s="10">
        <f t="shared" si="104"/>
        <v>0.22459999999999999</v>
      </c>
      <c r="S1050" s="11">
        <f t="shared" si="105"/>
        <v>226.85</v>
      </c>
      <c r="T1050" s="10" t="s">
        <v>349</v>
      </c>
      <c r="U1050" t="s">
        <v>9</v>
      </c>
      <c r="V1050" s="58">
        <v>7.1775000000000002</v>
      </c>
      <c r="W1050" s="38">
        <f t="shared" si="101"/>
        <v>230.77673284569835</v>
      </c>
    </row>
    <row r="1051" spans="1:23">
      <c r="A1051" t="s">
        <v>2346</v>
      </c>
      <c r="B1051" s="20">
        <v>45728</v>
      </c>
      <c r="C1051" s="20">
        <v>45677</v>
      </c>
      <c r="D1051" t="s">
        <v>5</v>
      </c>
      <c r="E1051" t="s">
        <v>6</v>
      </c>
      <c r="F1051" s="19"/>
      <c r="G1051" t="s">
        <v>2866</v>
      </c>
      <c r="H1051" t="s">
        <v>1676</v>
      </c>
      <c r="I1051" t="s">
        <v>1677</v>
      </c>
      <c r="J1051" s="8" t="str">
        <f t="shared" si="102"/>
        <v>SHTS</v>
      </c>
      <c r="K1051" t="s">
        <v>10</v>
      </c>
      <c r="L1051" s="54">
        <v>1010</v>
      </c>
      <c r="M1051" t="s">
        <v>1472</v>
      </c>
      <c r="N1051" t="s">
        <v>11</v>
      </c>
      <c r="O1051" s="54">
        <v>2.27</v>
      </c>
      <c r="P1051" s="35">
        <f t="shared" si="100"/>
        <v>2292.6999999999998</v>
      </c>
      <c r="Q1051" s="10">
        <f t="shared" si="103"/>
        <v>7.3003400000000003</v>
      </c>
      <c r="R1051" s="10">
        <f t="shared" si="104"/>
        <v>0.31090000000000001</v>
      </c>
      <c r="S1051" s="11">
        <f t="shared" si="105"/>
        <v>314.01</v>
      </c>
      <c r="T1051" s="10" t="s">
        <v>349</v>
      </c>
      <c r="U1051" t="s">
        <v>9</v>
      </c>
      <c r="V1051" s="58">
        <v>7.1775000000000002</v>
      </c>
      <c r="W1051" s="38">
        <f t="shared" si="101"/>
        <v>319.42877046325322</v>
      </c>
    </row>
    <row r="1052" spans="1:23">
      <c r="A1052" t="s">
        <v>2348</v>
      </c>
      <c r="B1052" s="20">
        <v>45728</v>
      </c>
      <c r="C1052" s="20">
        <v>45677</v>
      </c>
      <c r="D1052" t="s">
        <v>5</v>
      </c>
      <c r="E1052" t="s">
        <v>6</v>
      </c>
      <c r="F1052" s="19"/>
      <c r="G1052" t="s">
        <v>2866</v>
      </c>
      <c r="H1052" t="s">
        <v>1660</v>
      </c>
      <c r="I1052" t="s">
        <v>1661</v>
      </c>
      <c r="J1052" s="8" t="str">
        <f t="shared" si="102"/>
        <v>SHTS</v>
      </c>
      <c r="K1052" t="s">
        <v>10</v>
      </c>
      <c r="L1052" s="54">
        <v>1010</v>
      </c>
      <c r="M1052" t="s">
        <v>1472</v>
      </c>
      <c r="N1052" t="s">
        <v>11</v>
      </c>
      <c r="O1052" s="54">
        <v>1.63</v>
      </c>
      <c r="P1052" s="35">
        <f t="shared" si="100"/>
        <v>1646.3</v>
      </c>
      <c r="Q1052" s="10">
        <f t="shared" si="103"/>
        <v>7.3003400000000003</v>
      </c>
      <c r="R1052" s="10">
        <f t="shared" si="104"/>
        <v>0.2233</v>
      </c>
      <c r="S1052" s="11">
        <f t="shared" si="105"/>
        <v>225.53</v>
      </c>
      <c r="T1052" s="10" t="s">
        <v>349</v>
      </c>
      <c r="U1052" t="s">
        <v>9</v>
      </c>
      <c r="V1052" s="58">
        <v>7.1775000000000002</v>
      </c>
      <c r="W1052" s="38">
        <f t="shared" si="101"/>
        <v>229.36955764541969</v>
      </c>
    </row>
    <row r="1053" spans="1:23">
      <c r="A1053" t="s">
        <v>2375</v>
      </c>
      <c r="B1053" s="20">
        <v>45728</v>
      </c>
      <c r="C1053" s="20">
        <v>45695</v>
      </c>
      <c r="D1053" t="s">
        <v>2255</v>
      </c>
      <c r="E1053" t="s">
        <v>2256</v>
      </c>
      <c r="F1053" s="19"/>
      <c r="G1053" t="s">
        <v>2911</v>
      </c>
      <c r="H1053" t="s">
        <v>1796</v>
      </c>
      <c r="I1053" t="s">
        <v>1797</v>
      </c>
      <c r="J1053" s="8" t="str">
        <f t="shared" si="102"/>
        <v>GLID</v>
      </c>
      <c r="K1053" t="s">
        <v>10</v>
      </c>
      <c r="L1053" s="54">
        <v>610</v>
      </c>
      <c r="M1053" t="s">
        <v>1472</v>
      </c>
      <c r="N1053" t="s">
        <v>11</v>
      </c>
      <c r="O1053" s="54">
        <v>7.4503000000000004</v>
      </c>
      <c r="P1053" s="35">
        <f t="shared" si="100"/>
        <v>4544.68</v>
      </c>
      <c r="Q1053" s="10">
        <f t="shared" si="103"/>
        <v>7.3003400000000003</v>
      </c>
      <c r="R1053" s="10">
        <f t="shared" si="104"/>
        <v>1.0205</v>
      </c>
      <c r="S1053" s="11">
        <f t="shared" si="105"/>
        <v>622.51</v>
      </c>
      <c r="T1053" s="10" t="s">
        <v>349</v>
      </c>
      <c r="U1053" t="s">
        <v>78</v>
      </c>
      <c r="V1053" s="58">
        <v>7.1775000000000002</v>
      </c>
      <c r="W1053" s="38">
        <f t="shared" si="101"/>
        <v>633.18467432950195</v>
      </c>
    </row>
    <row r="1054" spans="1:23">
      <c r="A1054" t="s">
        <v>1900</v>
      </c>
      <c r="B1054" s="20">
        <v>45728</v>
      </c>
      <c r="C1054" s="20">
        <v>45695</v>
      </c>
      <c r="D1054" t="s">
        <v>709</v>
      </c>
      <c r="E1054" t="s">
        <v>710</v>
      </c>
      <c r="F1054" s="19"/>
      <c r="G1054" t="s">
        <v>2917</v>
      </c>
      <c r="H1054" t="s">
        <v>713</v>
      </c>
      <c r="I1054" t="s">
        <v>714</v>
      </c>
      <c r="J1054" s="8" t="str">
        <f t="shared" si="102"/>
        <v>KNOB</v>
      </c>
      <c r="K1054" t="s">
        <v>10</v>
      </c>
      <c r="L1054" s="54">
        <v>850</v>
      </c>
      <c r="M1054" t="s">
        <v>1472</v>
      </c>
      <c r="N1054" t="s">
        <v>11</v>
      </c>
      <c r="O1054" s="54">
        <v>0.61839999999999995</v>
      </c>
      <c r="P1054" s="35">
        <f t="shared" si="100"/>
        <v>525.64</v>
      </c>
      <c r="Q1054" s="10">
        <f t="shared" si="103"/>
        <v>7.3003400000000003</v>
      </c>
      <c r="R1054" s="10">
        <f t="shared" si="104"/>
        <v>8.4699999999999998E-2</v>
      </c>
      <c r="S1054" s="11">
        <f t="shared" si="105"/>
        <v>72</v>
      </c>
      <c r="T1054" s="10" t="s">
        <v>349</v>
      </c>
      <c r="U1054" t="s">
        <v>32</v>
      </c>
      <c r="V1054" s="58">
        <v>7.1775000000000002</v>
      </c>
      <c r="W1054" s="38">
        <f t="shared" si="101"/>
        <v>73.234413096482058</v>
      </c>
    </row>
    <row r="1055" spans="1:23">
      <c r="A1055" t="s">
        <v>2667</v>
      </c>
      <c r="B1055" s="20">
        <v>45728</v>
      </c>
      <c r="C1055" s="20">
        <v>45723</v>
      </c>
      <c r="D1055" t="s">
        <v>806</v>
      </c>
      <c r="E1055" t="s">
        <v>807</v>
      </c>
      <c r="F1055" s="19"/>
      <c r="G1055" t="s">
        <v>2890</v>
      </c>
      <c r="H1055" t="s">
        <v>3214</v>
      </c>
      <c r="I1055" t="s">
        <v>3421</v>
      </c>
      <c r="J1055" s="8" t="str">
        <f t="shared" si="102"/>
        <v>BAG-</v>
      </c>
      <c r="K1055" t="s">
        <v>10</v>
      </c>
      <c r="L1055" s="54">
        <v>10000</v>
      </c>
      <c r="M1055" t="s">
        <v>1472</v>
      </c>
      <c r="N1055" t="s">
        <v>11</v>
      </c>
      <c r="O1055" s="54">
        <v>8.7999999999999995E-2</v>
      </c>
      <c r="P1055" s="35">
        <f t="shared" si="100"/>
        <v>880</v>
      </c>
      <c r="Q1055" s="10">
        <f t="shared" si="103"/>
        <v>7.3003400000000003</v>
      </c>
      <c r="R1055" s="10">
        <f t="shared" si="104"/>
        <v>1.21E-2</v>
      </c>
      <c r="S1055" s="11">
        <f t="shared" si="105"/>
        <v>121</v>
      </c>
      <c r="T1055" s="10" t="s">
        <v>349</v>
      </c>
      <c r="U1055" t="s">
        <v>810</v>
      </c>
      <c r="V1055" s="58">
        <v>7.1775000000000002</v>
      </c>
      <c r="W1055" s="38">
        <f t="shared" si="101"/>
        <v>122.60536398467431</v>
      </c>
    </row>
    <row r="1056" spans="1:23">
      <c r="A1056" t="s">
        <v>2669</v>
      </c>
      <c r="B1056" s="20">
        <v>45728</v>
      </c>
      <c r="C1056" s="20">
        <v>45723</v>
      </c>
      <c r="D1056" t="s">
        <v>806</v>
      </c>
      <c r="E1056" t="s">
        <v>807</v>
      </c>
      <c r="F1056" s="19"/>
      <c r="G1056" t="s">
        <v>2890</v>
      </c>
      <c r="H1056" t="s">
        <v>3216</v>
      </c>
      <c r="I1056" t="s">
        <v>3423</v>
      </c>
      <c r="J1056" s="8" t="str">
        <f t="shared" si="102"/>
        <v>BAG-</v>
      </c>
      <c r="K1056" t="s">
        <v>10</v>
      </c>
      <c r="L1056" s="54">
        <v>15000</v>
      </c>
      <c r="M1056" t="s">
        <v>1472</v>
      </c>
      <c r="N1056" t="s">
        <v>11</v>
      </c>
      <c r="O1056" s="54">
        <v>0.13</v>
      </c>
      <c r="P1056" s="35">
        <f t="shared" si="100"/>
        <v>1950</v>
      </c>
      <c r="Q1056" s="10">
        <f t="shared" si="103"/>
        <v>7.3003400000000003</v>
      </c>
      <c r="R1056" s="10">
        <f t="shared" si="104"/>
        <v>1.78E-2</v>
      </c>
      <c r="S1056" s="11">
        <f t="shared" si="105"/>
        <v>267</v>
      </c>
      <c r="T1056" s="10" t="s">
        <v>349</v>
      </c>
      <c r="U1056" t="s">
        <v>810</v>
      </c>
      <c r="V1056" s="58">
        <v>7.1775000000000002</v>
      </c>
      <c r="W1056" s="38">
        <f t="shared" si="101"/>
        <v>271.68234064785787</v>
      </c>
    </row>
    <row r="1057" spans="1:23">
      <c r="A1057" t="s">
        <v>2670</v>
      </c>
      <c r="B1057" s="20">
        <v>45728</v>
      </c>
      <c r="C1057" s="20">
        <v>45723</v>
      </c>
      <c r="D1057" t="s">
        <v>806</v>
      </c>
      <c r="E1057" t="s">
        <v>807</v>
      </c>
      <c r="F1057" s="19"/>
      <c r="G1057" t="s">
        <v>2890</v>
      </c>
      <c r="H1057" t="s">
        <v>3217</v>
      </c>
      <c r="I1057" t="s">
        <v>3424</v>
      </c>
      <c r="J1057" s="8" t="str">
        <f t="shared" si="102"/>
        <v>BAG-</v>
      </c>
      <c r="K1057" t="s">
        <v>10</v>
      </c>
      <c r="L1057" s="54">
        <v>5000</v>
      </c>
      <c r="M1057" t="s">
        <v>1472</v>
      </c>
      <c r="N1057" t="s">
        <v>11</v>
      </c>
      <c r="O1057" s="54">
        <v>0.14000000000000001</v>
      </c>
      <c r="P1057" s="35">
        <f t="shared" si="100"/>
        <v>700</v>
      </c>
      <c r="Q1057" s="10">
        <f t="shared" si="103"/>
        <v>7.3003400000000003</v>
      </c>
      <c r="R1057" s="10">
        <f t="shared" si="104"/>
        <v>1.9199999999999998E-2</v>
      </c>
      <c r="S1057" s="11">
        <f t="shared" si="105"/>
        <v>96</v>
      </c>
      <c r="T1057" s="10" t="s">
        <v>349</v>
      </c>
      <c r="U1057" t="s">
        <v>810</v>
      </c>
      <c r="V1057" s="58">
        <v>7.1775000000000002</v>
      </c>
      <c r="W1057" s="38">
        <f t="shared" si="101"/>
        <v>97.526994078718218</v>
      </c>
    </row>
    <row r="1058" spans="1:23">
      <c r="A1058" t="s">
        <v>2685</v>
      </c>
      <c r="B1058" s="20">
        <v>45728</v>
      </c>
      <c r="C1058" s="20">
        <v>45727</v>
      </c>
      <c r="D1058" t="s">
        <v>5</v>
      </c>
      <c r="E1058" t="s">
        <v>6</v>
      </c>
      <c r="F1058" s="19"/>
      <c r="G1058" t="s">
        <v>3030</v>
      </c>
      <c r="H1058" t="s">
        <v>3224</v>
      </c>
      <c r="I1058" t="s">
        <v>3431</v>
      </c>
      <c r="J1058" s="8" t="str">
        <f t="shared" si="102"/>
        <v>BOX-</v>
      </c>
      <c r="K1058" t="s">
        <v>10</v>
      </c>
      <c r="L1058" s="54">
        <v>1000</v>
      </c>
      <c r="M1058" t="s">
        <v>1472</v>
      </c>
      <c r="N1058" t="s">
        <v>11</v>
      </c>
      <c r="O1058" s="54">
        <v>2.27</v>
      </c>
      <c r="P1058" s="35">
        <f t="shared" si="100"/>
        <v>2270</v>
      </c>
      <c r="Q1058" s="10">
        <f t="shared" si="103"/>
        <v>7.3003400000000003</v>
      </c>
      <c r="R1058" s="10">
        <f t="shared" si="104"/>
        <v>0.31090000000000001</v>
      </c>
      <c r="S1058" s="11">
        <f t="shared" si="105"/>
        <v>310.89999999999998</v>
      </c>
      <c r="T1058" s="10" t="s">
        <v>349</v>
      </c>
      <c r="U1058" t="s">
        <v>1</v>
      </c>
      <c r="V1058" s="58">
        <v>7.1775000000000002</v>
      </c>
      <c r="W1058" s="38">
        <f t="shared" si="101"/>
        <v>316.26610936955763</v>
      </c>
    </row>
    <row r="1059" spans="1:23">
      <c r="A1059" t="s">
        <v>2686</v>
      </c>
      <c r="B1059" s="20">
        <v>45728</v>
      </c>
      <c r="C1059" s="20">
        <v>45727</v>
      </c>
      <c r="D1059" t="s">
        <v>5</v>
      </c>
      <c r="E1059" t="s">
        <v>6</v>
      </c>
      <c r="F1059" s="19"/>
      <c r="G1059" t="s">
        <v>3030</v>
      </c>
      <c r="H1059" t="s">
        <v>3225</v>
      </c>
      <c r="I1059" t="s">
        <v>3432</v>
      </c>
      <c r="J1059" s="8" t="str">
        <f t="shared" si="102"/>
        <v>BOX-</v>
      </c>
      <c r="K1059" t="s">
        <v>10</v>
      </c>
      <c r="L1059" s="54">
        <v>1000</v>
      </c>
      <c r="M1059" t="s">
        <v>1472</v>
      </c>
      <c r="N1059" t="s">
        <v>11</v>
      </c>
      <c r="O1059" s="54">
        <v>2.29</v>
      </c>
      <c r="P1059" s="35">
        <f t="shared" si="100"/>
        <v>2290</v>
      </c>
      <c r="Q1059" s="10">
        <f t="shared" si="103"/>
        <v>7.3003400000000003</v>
      </c>
      <c r="R1059" s="10">
        <f t="shared" si="104"/>
        <v>0.31369999999999998</v>
      </c>
      <c r="S1059" s="11">
        <f t="shared" si="105"/>
        <v>313.7</v>
      </c>
      <c r="T1059" s="10" t="s">
        <v>349</v>
      </c>
      <c r="U1059" t="s">
        <v>1</v>
      </c>
      <c r="V1059" s="58">
        <v>7.1775000000000002</v>
      </c>
      <c r="W1059" s="38">
        <f t="shared" si="101"/>
        <v>319.05259491466387</v>
      </c>
    </row>
    <row r="1060" spans="1:23">
      <c r="A1060" t="s">
        <v>2687</v>
      </c>
      <c r="B1060" s="20">
        <v>45728</v>
      </c>
      <c r="C1060" s="20">
        <v>45727</v>
      </c>
      <c r="D1060" t="s">
        <v>5</v>
      </c>
      <c r="E1060" t="s">
        <v>6</v>
      </c>
      <c r="F1060" s="19"/>
      <c r="G1060" t="s">
        <v>3030</v>
      </c>
      <c r="H1060" t="s">
        <v>418</v>
      </c>
      <c r="I1060" t="s">
        <v>419</v>
      </c>
      <c r="J1060" s="8" t="str">
        <f t="shared" si="102"/>
        <v>BOX-</v>
      </c>
      <c r="K1060" t="s">
        <v>10</v>
      </c>
      <c r="L1060" s="54">
        <v>2020</v>
      </c>
      <c r="M1060" t="s">
        <v>1472</v>
      </c>
      <c r="N1060" t="s">
        <v>11</v>
      </c>
      <c r="O1060" s="54">
        <v>1.94</v>
      </c>
      <c r="P1060" s="35">
        <f t="shared" si="100"/>
        <v>3918.8</v>
      </c>
      <c r="Q1060" s="10">
        <f t="shared" si="103"/>
        <v>7.3003400000000003</v>
      </c>
      <c r="R1060" s="10">
        <f t="shared" si="104"/>
        <v>0.26569999999999999</v>
      </c>
      <c r="S1060" s="11">
        <f t="shared" si="105"/>
        <v>536.71</v>
      </c>
      <c r="T1060" s="10" t="s">
        <v>349</v>
      </c>
      <c r="U1060" t="s">
        <v>1</v>
      </c>
      <c r="V1060" s="58">
        <v>7.1775000000000002</v>
      </c>
      <c r="W1060" s="38">
        <f t="shared" si="101"/>
        <v>545.98397770811562</v>
      </c>
    </row>
    <row r="1061" spans="1:23">
      <c r="A1061" t="s">
        <v>2272</v>
      </c>
      <c r="B1061" s="20">
        <v>45729</v>
      </c>
      <c r="C1061" s="20">
        <v>44813</v>
      </c>
      <c r="D1061" t="s">
        <v>866</v>
      </c>
      <c r="E1061" t="s">
        <v>867</v>
      </c>
      <c r="F1061" s="19"/>
      <c r="G1061" t="s">
        <v>2834</v>
      </c>
      <c r="H1061" t="s">
        <v>1551</v>
      </c>
      <c r="I1061" t="s">
        <v>1552</v>
      </c>
      <c r="J1061" s="8" t="str">
        <f t="shared" si="102"/>
        <v>ANYD</v>
      </c>
      <c r="K1061" t="s">
        <v>10</v>
      </c>
      <c r="L1061" s="54">
        <v>1960</v>
      </c>
      <c r="M1061" t="s">
        <v>1472</v>
      </c>
      <c r="N1061" t="s">
        <v>11</v>
      </c>
      <c r="O1061" s="54">
        <v>8.2035</v>
      </c>
      <c r="P1061" s="35">
        <f t="shared" si="100"/>
        <v>16078.86</v>
      </c>
      <c r="Q1061" s="10">
        <f t="shared" si="103"/>
        <v>7.3003400000000003</v>
      </c>
      <c r="R1061" s="10">
        <f t="shared" si="104"/>
        <v>1.1236999999999999</v>
      </c>
      <c r="S1061" s="11">
        <f t="shared" si="105"/>
        <v>2202.4499999999998</v>
      </c>
      <c r="T1061" s="10" t="s">
        <v>349</v>
      </c>
      <c r="U1061" t="s">
        <v>36</v>
      </c>
      <c r="V1061" s="58">
        <v>7.1775000000000002</v>
      </c>
      <c r="W1061" s="38">
        <f t="shared" si="101"/>
        <v>2240.1755485893414</v>
      </c>
    </row>
    <row r="1062" spans="1:23">
      <c r="A1062" t="s">
        <v>2273</v>
      </c>
      <c r="B1062" s="20">
        <v>45729</v>
      </c>
      <c r="C1062" s="20">
        <v>45000</v>
      </c>
      <c r="D1062" t="s">
        <v>866</v>
      </c>
      <c r="E1062" t="s">
        <v>867</v>
      </c>
      <c r="F1062" s="19"/>
      <c r="G1062" t="s">
        <v>2835</v>
      </c>
      <c r="H1062" t="s">
        <v>1546</v>
      </c>
      <c r="I1062" t="s">
        <v>1818</v>
      </c>
      <c r="J1062" s="8" t="str">
        <f t="shared" si="102"/>
        <v>ANYD</v>
      </c>
      <c r="K1062" t="s">
        <v>10</v>
      </c>
      <c r="L1062" s="54">
        <v>820</v>
      </c>
      <c r="M1062" t="s">
        <v>1472</v>
      </c>
      <c r="N1062" t="s">
        <v>11</v>
      </c>
      <c r="O1062" s="54">
        <v>17.805299999999999</v>
      </c>
      <c r="P1062" s="35">
        <f t="shared" si="100"/>
        <v>14600.35</v>
      </c>
      <c r="Q1062" s="10">
        <f t="shared" si="103"/>
        <v>7.3003400000000003</v>
      </c>
      <c r="R1062" s="10">
        <f t="shared" si="104"/>
        <v>2.4390000000000001</v>
      </c>
      <c r="S1062" s="11">
        <f t="shared" si="105"/>
        <v>1999.98</v>
      </c>
      <c r="T1062" s="10" t="s">
        <v>349</v>
      </c>
      <c r="U1062" t="s">
        <v>36</v>
      </c>
      <c r="V1062" s="58">
        <v>7.1775000000000002</v>
      </c>
      <c r="W1062" s="38">
        <f t="shared" si="101"/>
        <v>2034.1826541274816</v>
      </c>
    </row>
    <row r="1063" spans="1:23">
      <c r="A1063" t="s">
        <v>910</v>
      </c>
      <c r="B1063" s="20">
        <v>45729</v>
      </c>
      <c r="C1063" s="20">
        <v>45287</v>
      </c>
      <c r="D1063" t="s">
        <v>866</v>
      </c>
      <c r="E1063" t="s">
        <v>867</v>
      </c>
      <c r="F1063" s="19"/>
      <c r="G1063" t="s">
        <v>2836</v>
      </c>
      <c r="H1063" t="s">
        <v>908</v>
      </c>
      <c r="I1063" t="s">
        <v>909</v>
      </c>
      <c r="J1063" s="8" t="str">
        <f t="shared" si="102"/>
        <v>ANYD</v>
      </c>
      <c r="K1063" t="s">
        <v>10</v>
      </c>
      <c r="L1063" s="54">
        <v>8016</v>
      </c>
      <c r="M1063" t="s">
        <v>1472</v>
      </c>
      <c r="N1063" t="s">
        <v>11</v>
      </c>
      <c r="O1063" s="54">
        <v>5.3804999999999996</v>
      </c>
      <c r="P1063" s="35">
        <f t="shared" si="100"/>
        <v>43130.09</v>
      </c>
      <c r="Q1063" s="10">
        <f t="shared" si="103"/>
        <v>7.3003400000000003</v>
      </c>
      <c r="R1063" s="10">
        <f t="shared" si="104"/>
        <v>0.73699999999999999</v>
      </c>
      <c r="S1063" s="11">
        <f t="shared" si="105"/>
        <v>5907.79</v>
      </c>
      <c r="T1063" s="10" t="s">
        <v>349</v>
      </c>
      <c r="U1063" t="s">
        <v>36</v>
      </c>
      <c r="V1063" s="58">
        <v>7.1775000000000002</v>
      </c>
      <c r="W1063" s="38">
        <f t="shared" si="101"/>
        <v>6009.0683385579932</v>
      </c>
    </row>
    <row r="1064" spans="1:23">
      <c r="A1064" t="s">
        <v>882</v>
      </c>
      <c r="B1064" s="20">
        <v>45729</v>
      </c>
      <c r="C1064" s="20">
        <v>45287</v>
      </c>
      <c r="D1064" t="s">
        <v>866</v>
      </c>
      <c r="E1064" t="s">
        <v>867</v>
      </c>
      <c r="F1064" s="19"/>
      <c r="G1064" t="s">
        <v>2836</v>
      </c>
      <c r="H1064" t="s">
        <v>880</v>
      </c>
      <c r="I1064" t="s">
        <v>881</v>
      </c>
      <c r="J1064" s="8" t="str">
        <f t="shared" si="102"/>
        <v>ANYD</v>
      </c>
      <c r="K1064" t="s">
        <v>10</v>
      </c>
      <c r="L1064" s="54">
        <v>6000</v>
      </c>
      <c r="M1064" t="s">
        <v>1472</v>
      </c>
      <c r="N1064" t="s">
        <v>11</v>
      </c>
      <c r="O1064" s="54">
        <v>8.1858000000000004</v>
      </c>
      <c r="P1064" s="35">
        <f t="shared" si="100"/>
        <v>49114.8</v>
      </c>
      <c r="Q1064" s="10">
        <f t="shared" si="103"/>
        <v>7.3003400000000003</v>
      </c>
      <c r="R1064" s="10">
        <f t="shared" si="104"/>
        <v>1.1213</v>
      </c>
      <c r="S1064" s="11">
        <f t="shared" si="105"/>
        <v>6727.8</v>
      </c>
      <c r="T1064" s="10" t="s">
        <v>349</v>
      </c>
      <c r="U1064" t="s">
        <v>36</v>
      </c>
      <c r="V1064" s="58">
        <v>7.1775000000000002</v>
      </c>
      <c r="W1064" s="38">
        <f t="shared" si="101"/>
        <v>6842.8840125391844</v>
      </c>
    </row>
    <row r="1065" spans="1:23">
      <c r="A1065" t="s">
        <v>879</v>
      </c>
      <c r="B1065" s="20">
        <v>45729</v>
      </c>
      <c r="C1065" s="20">
        <v>45287</v>
      </c>
      <c r="D1065" t="s">
        <v>866</v>
      </c>
      <c r="E1065" t="s">
        <v>867</v>
      </c>
      <c r="F1065" s="19"/>
      <c r="G1065" t="s">
        <v>2836</v>
      </c>
      <c r="H1065" t="s">
        <v>877</v>
      </c>
      <c r="I1065" t="s">
        <v>878</v>
      </c>
      <c r="J1065" s="8" t="str">
        <f t="shared" si="102"/>
        <v>ANYD</v>
      </c>
      <c r="K1065" t="s">
        <v>10</v>
      </c>
      <c r="L1065" s="54">
        <v>2156</v>
      </c>
      <c r="M1065" t="s">
        <v>1472</v>
      </c>
      <c r="N1065" t="s">
        <v>11</v>
      </c>
      <c r="O1065" s="54">
        <v>11.672599999999999</v>
      </c>
      <c r="P1065" s="35">
        <f t="shared" si="100"/>
        <v>25166.13</v>
      </c>
      <c r="Q1065" s="10">
        <f t="shared" si="103"/>
        <v>7.3003400000000003</v>
      </c>
      <c r="R1065" s="10">
        <f t="shared" si="104"/>
        <v>1.5989</v>
      </c>
      <c r="S1065" s="11">
        <f t="shared" si="105"/>
        <v>3447.23</v>
      </c>
      <c r="T1065" s="10" t="s">
        <v>349</v>
      </c>
      <c r="U1065" t="s">
        <v>36</v>
      </c>
      <c r="V1065" s="58">
        <v>7.1775000000000002</v>
      </c>
      <c r="W1065" s="38">
        <f t="shared" si="101"/>
        <v>3506.2522605363979</v>
      </c>
    </row>
    <row r="1066" spans="1:23">
      <c r="A1066" t="s">
        <v>876</v>
      </c>
      <c r="B1066" s="20">
        <v>45729</v>
      </c>
      <c r="C1066" s="20">
        <v>45287</v>
      </c>
      <c r="D1066" t="s">
        <v>866</v>
      </c>
      <c r="E1066" t="s">
        <v>867</v>
      </c>
      <c r="F1066" s="19"/>
      <c r="G1066" t="s">
        <v>2836</v>
      </c>
      <c r="H1066" t="s">
        <v>874</v>
      </c>
      <c r="I1066" t="s">
        <v>875</v>
      </c>
      <c r="J1066" s="8" t="str">
        <f t="shared" si="102"/>
        <v>ANYD</v>
      </c>
      <c r="K1066" t="s">
        <v>10</v>
      </c>
      <c r="L1066" s="54">
        <v>6000</v>
      </c>
      <c r="M1066" t="s">
        <v>1472</v>
      </c>
      <c r="N1066" t="s">
        <v>11</v>
      </c>
      <c r="O1066" s="54">
        <v>6.6637000000000004</v>
      </c>
      <c r="P1066" s="35">
        <f t="shared" si="100"/>
        <v>39982.199999999997</v>
      </c>
      <c r="Q1066" s="10">
        <f t="shared" si="103"/>
        <v>7.3003400000000003</v>
      </c>
      <c r="R1066" s="10">
        <f t="shared" si="104"/>
        <v>0.91279999999999994</v>
      </c>
      <c r="S1066" s="11">
        <f t="shared" si="105"/>
        <v>5476.8</v>
      </c>
      <c r="T1066" s="10" t="s">
        <v>349</v>
      </c>
      <c r="U1066" t="s">
        <v>36</v>
      </c>
      <c r="V1066" s="58">
        <v>7.1775000000000002</v>
      </c>
      <c r="W1066" s="38">
        <f t="shared" si="101"/>
        <v>5570.4911180773252</v>
      </c>
    </row>
    <row r="1067" spans="1:23">
      <c r="A1067" t="s">
        <v>872</v>
      </c>
      <c r="B1067" s="20">
        <v>45729</v>
      </c>
      <c r="C1067" s="20">
        <v>45287</v>
      </c>
      <c r="D1067" t="s">
        <v>866</v>
      </c>
      <c r="E1067" t="s">
        <v>867</v>
      </c>
      <c r="F1067" s="19"/>
      <c r="G1067" t="s">
        <v>2836</v>
      </c>
      <c r="H1067" t="s">
        <v>870</v>
      </c>
      <c r="I1067" t="s">
        <v>871</v>
      </c>
      <c r="J1067" s="8" t="str">
        <f t="shared" si="102"/>
        <v>ANYD</v>
      </c>
      <c r="K1067" t="s">
        <v>10</v>
      </c>
      <c r="L1067" s="54">
        <v>120</v>
      </c>
      <c r="M1067" t="s">
        <v>1472</v>
      </c>
      <c r="N1067" t="s">
        <v>11</v>
      </c>
      <c r="O1067" s="54">
        <v>8.8053000000000008</v>
      </c>
      <c r="P1067" s="35">
        <f t="shared" si="100"/>
        <v>1056.6400000000001</v>
      </c>
      <c r="Q1067" s="10">
        <f t="shared" si="103"/>
        <v>7.3003400000000003</v>
      </c>
      <c r="R1067" s="10">
        <f t="shared" si="104"/>
        <v>1.2060999999999999</v>
      </c>
      <c r="S1067" s="11">
        <f t="shared" si="105"/>
        <v>144.72999999999999</v>
      </c>
      <c r="T1067" s="10" t="s">
        <v>349</v>
      </c>
      <c r="U1067" t="s">
        <v>36</v>
      </c>
      <c r="V1067" s="58">
        <v>7.1775000000000002</v>
      </c>
      <c r="W1067" s="38">
        <f t="shared" si="101"/>
        <v>147.21504702194358</v>
      </c>
    </row>
    <row r="1068" spans="1:23">
      <c r="A1068" t="s">
        <v>2070</v>
      </c>
      <c r="B1068" s="20">
        <v>45729</v>
      </c>
      <c r="C1068" s="20">
        <v>45309</v>
      </c>
      <c r="D1068" t="s">
        <v>866</v>
      </c>
      <c r="E1068" t="s">
        <v>867</v>
      </c>
      <c r="F1068" s="19"/>
      <c r="G1068" t="s">
        <v>2837</v>
      </c>
      <c r="H1068" t="s">
        <v>1497</v>
      </c>
      <c r="I1068" t="s">
        <v>1498</v>
      </c>
      <c r="J1068" s="8" t="str">
        <f t="shared" si="102"/>
        <v>ANYD</v>
      </c>
      <c r="K1068" t="s">
        <v>10</v>
      </c>
      <c r="L1068" s="54">
        <v>5000</v>
      </c>
      <c r="M1068" t="s">
        <v>1472</v>
      </c>
      <c r="N1068" t="s">
        <v>11</v>
      </c>
      <c r="O1068" s="54">
        <v>5.3574999999999999</v>
      </c>
      <c r="P1068" s="35">
        <f t="shared" si="100"/>
        <v>26787.5</v>
      </c>
      <c r="Q1068" s="10">
        <f t="shared" si="103"/>
        <v>7.3003400000000003</v>
      </c>
      <c r="R1068" s="10">
        <f t="shared" si="104"/>
        <v>0.7339</v>
      </c>
      <c r="S1068" s="11">
        <f t="shared" si="105"/>
        <v>3669.5</v>
      </c>
      <c r="T1068" s="10" t="s">
        <v>349</v>
      </c>
      <c r="U1068" t="s">
        <v>36</v>
      </c>
      <c r="V1068" s="58">
        <v>7.1775000000000002</v>
      </c>
      <c r="W1068" s="38">
        <f t="shared" si="101"/>
        <v>3732.1490769766629</v>
      </c>
    </row>
    <row r="1069" spans="1:23">
      <c r="A1069" t="s">
        <v>868</v>
      </c>
      <c r="B1069" s="20">
        <v>45729</v>
      </c>
      <c r="C1069" s="20">
        <v>45309</v>
      </c>
      <c r="D1069" t="s">
        <v>866</v>
      </c>
      <c r="E1069" t="s">
        <v>867</v>
      </c>
      <c r="F1069" s="19"/>
      <c r="G1069" t="s">
        <v>2837</v>
      </c>
      <c r="H1069" t="s">
        <v>864</v>
      </c>
      <c r="I1069" t="s">
        <v>865</v>
      </c>
      <c r="J1069" s="8" t="str">
        <f t="shared" si="102"/>
        <v>ANYD</v>
      </c>
      <c r="K1069" t="s">
        <v>10</v>
      </c>
      <c r="L1069" s="54">
        <v>3000</v>
      </c>
      <c r="M1069" t="s">
        <v>1472</v>
      </c>
      <c r="N1069" t="s">
        <v>11</v>
      </c>
      <c r="O1069" s="54">
        <v>6.0212000000000003</v>
      </c>
      <c r="P1069" s="35">
        <f t="shared" si="100"/>
        <v>18063.599999999999</v>
      </c>
      <c r="Q1069" s="10">
        <f t="shared" si="103"/>
        <v>7.3003400000000003</v>
      </c>
      <c r="R1069" s="10">
        <f t="shared" si="104"/>
        <v>0.82479999999999998</v>
      </c>
      <c r="S1069" s="11">
        <f t="shared" si="105"/>
        <v>2474.4</v>
      </c>
      <c r="T1069" s="10" t="s">
        <v>349</v>
      </c>
      <c r="U1069" t="s">
        <v>36</v>
      </c>
      <c r="V1069" s="58">
        <v>7.1775000000000002</v>
      </c>
      <c r="W1069" s="38">
        <f t="shared" si="101"/>
        <v>2516.6980146290493</v>
      </c>
    </row>
    <row r="1070" spans="1:23">
      <c r="A1070" t="s">
        <v>2274</v>
      </c>
      <c r="B1070" s="20">
        <v>45729</v>
      </c>
      <c r="C1070" s="20">
        <v>45498</v>
      </c>
      <c r="D1070" t="s">
        <v>866</v>
      </c>
      <c r="E1070" t="s">
        <v>867</v>
      </c>
      <c r="F1070" s="19"/>
      <c r="G1070" t="s">
        <v>2841</v>
      </c>
      <c r="H1070" t="s">
        <v>916</v>
      </c>
      <c r="I1070" t="s">
        <v>917</v>
      </c>
      <c r="J1070" s="8" t="str">
        <f t="shared" si="102"/>
        <v>ANYD</v>
      </c>
      <c r="K1070" t="s">
        <v>10</v>
      </c>
      <c r="L1070" s="54">
        <v>-4992</v>
      </c>
      <c r="M1070" t="s">
        <v>1472</v>
      </c>
      <c r="N1070" t="s">
        <v>11</v>
      </c>
      <c r="O1070" s="54">
        <v>5.9381000000000004</v>
      </c>
      <c r="P1070" s="35">
        <f t="shared" si="100"/>
        <v>-29643</v>
      </c>
      <c r="Q1070" s="10">
        <f t="shared" si="103"/>
        <v>7.3003400000000003</v>
      </c>
      <c r="R1070" s="10">
        <f t="shared" si="104"/>
        <v>0.81340000000000001</v>
      </c>
      <c r="S1070" s="11">
        <f t="shared" si="105"/>
        <v>-4060.49</v>
      </c>
      <c r="T1070" s="10" t="s">
        <v>349</v>
      </c>
      <c r="U1070" t="s">
        <v>36</v>
      </c>
      <c r="V1070" s="58">
        <v>7.1775000000000002</v>
      </c>
      <c r="W1070" s="38">
        <f t="shared" si="101"/>
        <v>-4129.9888819226753</v>
      </c>
    </row>
    <row r="1071" spans="1:23">
      <c r="A1071" t="s">
        <v>889</v>
      </c>
      <c r="B1071" s="20">
        <v>45729</v>
      </c>
      <c r="C1071" s="20">
        <v>45526</v>
      </c>
      <c r="D1071" t="s">
        <v>866</v>
      </c>
      <c r="E1071" t="s">
        <v>867</v>
      </c>
      <c r="F1071" s="19"/>
      <c r="G1071" t="s">
        <v>2841</v>
      </c>
      <c r="H1071" t="s">
        <v>887</v>
      </c>
      <c r="I1071" t="s">
        <v>888</v>
      </c>
      <c r="J1071" s="8" t="str">
        <f t="shared" si="102"/>
        <v>ANYD</v>
      </c>
      <c r="K1071" t="s">
        <v>10</v>
      </c>
      <c r="L1071" s="54">
        <v>-7680</v>
      </c>
      <c r="M1071" t="s">
        <v>1472</v>
      </c>
      <c r="N1071" t="s">
        <v>11</v>
      </c>
      <c r="O1071" s="54">
        <v>9.2124000000000006</v>
      </c>
      <c r="P1071" s="35">
        <f t="shared" si="100"/>
        <v>-70751.23</v>
      </c>
      <c r="Q1071" s="10">
        <f t="shared" si="103"/>
        <v>7.3003400000000003</v>
      </c>
      <c r="R1071" s="10">
        <f t="shared" si="104"/>
        <v>1.2619</v>
      </c>
      <c r="S1071" s="11">
        <f t="shared" si="105"/>
        <v>-9691.39</v>
      </c>
      <c r="T1071" s="10" t="s">
        <v>349</v>
      </c>
      <c r="U1071" t="s">
        <v>36</v>
      </c>
      <c r="V1071" s="58">
        <v>7.1775000000000002</v>
      </c>
      <c r="W1071" s="38">
        <f t="shared" si="101"/>
        <v>-9857.3642633228847</v>
      </c>
    </row>
    <row r="1072" spans="1:23">
      <c r="A1072" t="s">
        <v>2120</v>
      </c>
      <c r="B1072" s="20">
        <v>45729</v>
      </c>
      <c r="C1072" s="20">
        <v>45646</v>
      </c>
      <c r="D1072" t="s">
        <v>866</v>
      </c>
      <c r="E1072" t="s">
        <v>867</v>
      </c>
      <c r="F1072" s="19"/>
      <c r="G1072" t="s">
        <v>2865</v>
      </c>
      <c r="H1072" t="s">
        <v>1546</v>
      </c>
      <c r="I1072" t="s">
        <v>1818</v>
      </c>
      <c r="J1072" s="8" t="str">
        <f t="shared" si="102"/>
        <v>ANYD</v>
      </c>
      <c r="K1072" t="s">
        <v>10</v>
      </c>
      <c r="L1072" s="54">
        <v>188</v>
      </c>
      <c r="M1072" t="s">
        <v>1472</v>
      </c>
      <c r="N1072" t="s">
        <v>11</v>
      </c>
      <c r="O1072" s="54">
        <v>17.805299999999999</v>
      </c>
      <c r="P1072" s="35">
        <f t="shared" si="100"/>
        <v>3347.4</v>
      </c>
      <c r="Q1072" s="10">
        <f t="shared" si="103"/>
        <v>7.3003400000000003</v>
      </c>
      <c r="R1072" s="10">
        <f t="shared" si="104"/>
        <v>2.4390000000000001</v>
      </c>
      <c r="S1072" s="11">
        <f t="shared" si="105"/>
        <v>458.53</v>
      </c>
      <c r="T1072" s="10" t="s">
        <v>349</v>
      </c>
      <c r="U1072" t="s">
        <v>36</v>
      </c>
      <c r="V1072" s="58">
        <v>7.1775000000000002</v>
      </c>
      <c r="W1072" s="38">
        <f t="shared" si="101"/>
        <v>466.37358411703235</v>
      </c>
    </row>
    <row r="1073" spans="1:23">
      <c r="A1073" t="s">
        <v>2299</v>
      </c>
      <c r="B1073" s="20">
        <v>45729</v>
      </c>
      <c r="C1073" s="20">
        <v>45646</v>
      </c>
      <c r="D1073" t="s">
        <v>866</v>
      </c>
      <c r="E1073" t="s">
        <v>867</v>
      </c>
      <c r="F1073" s="19"/>
      <c r="G1073" t="s">
        <v>2865</v>
      </c>
      <c r="H1073" t="s">
        <v>877</v>
      </c>
      <c r="I1073" t="s">
        <v>878</v>
      </c>
      <c r="J1073" s="8" t="str">
        <f t="shared" si="102"/>
        <v>ANYD</v>
      </c>
      <c r="K1073" t="s">
        <v>10</v>
      </c>
      <c r="L1073" s="54">
        <v>2260</v>
      </c>
      <c r="M1073" t="s">
        <v>1472</v>
      </c>
      <c r="N1073" t="s">
        <v>11</v>
      </c>
      <c r="O1073" s="54">
        <v>11.672599999999999</v>
      </c>
      <c r="P1073" s="35">
        <f t="shared" si="100"/>
        <v>26380.080000000002</v>
      </c>
      <c r="Q1073" s="10">
        <f t="shared" si="103"/>
        <v>7.3003400000000003</v>
      </c>
      <c r="R1073" s="10">
        <f t="shared" si="104"/>
        <v>1.5989</v>
      </c>
      <c r="S1073" s="11">
        <f t="shared" si="105"/>
        <v>3613.51</v>
      </c>
      <c r="T1073" s="10" t="s">
        <v>349</v>
      </c>
      <c r="U1073" t="s">
        <v>36</v>
      </c>
      <c r="V1073" s="58">
        <v>7.1775000000000002</v>
      </c>
      <c r="W1073" s="38">
        <f t="shared" si="101"/>
        <v>3675.3850226401946</v>
      </c>
    </row>
    <row r="1074" spans="1:23">
      <c r="A1074" t="s">
        <v>1835</v>
      </c>
      <c r="B1074" s="20">
        <v>45729</v>
      </c>
      <c r="C1074" s="20">
        <v>45674</v>
      </c>
      <c r="D1074" t="s">
        <v>806</v>
      </c>
      <c r="E1074" t="s">
        <v>807</v>
      </c>
      <c r="F1074" s="19"/>
      <c r="G1074" t="s">
        <v>2895</v>
      </c>
      <c r="H1074" t="s">
        <v>1569</v>
      </c>
      <c r="I1074" t="s">
        <v>1570</v>
      </c>
      <c r="J1074" s="8" t="str">
        <f t="shared" si="102"/>
        <v>BAG-</v>
      </c>
      <c r="K1074" t="s">
        <v>10</v>
      </c>
      <c r="L1074" s="54">
        <v>2840</v>
      </c>
      <c r="M1074" t="s">
        <v>1472</v>
      </c>
      <c r="N1074" t="s">
        <v>11</v>
      </c>
      <c r="O1074" s="54">
        <v>0.06</v>
      </c>
      <c r="P1074" s="35">
        <f t="shared" si="100"/>
        <v>170.4</v>
      </c>
      <c r="Q1074" s="10">
        <f t="shared" si="103"/>
        <v>7.3003400000000003</v>
      </c>
      <c r="R1074" s="10">
        <f t="shared" si="104"/>
        <v>8.2000000000000007E-3</v>
      </c>
      <c r="S1074" s="11">
        <f t="shared" si="105"/>
        <v>23.29</v>
      </c>
      <c r="T1074" s="10" t="s">
        <v>349</v>
      </c>
      <c r="U1074" t="s">
        <v>810</v>
      </c>
      <c r="V1074" s="58">
        <v>7.1775000000000002</v>
      </c>
      <c r="W1074" s="38">
        <f t="shared" si="101"/>
        <v>23.740856844305117</v>
      </c>
    </row>
    <row r="1075" spans="1:23">
      <c r="A1075" t="s">
        <v>2343</v>
      </c>
      <c r="B1075" s="20">
        <v>45729</v>
      </c>
      <c r="C1075" s="20">
        <v>45675</v>
      </c>
      <c r="D1075" t="s">
        <v>866</v>
      </c>
      <c r="E1075" t="s">
        <v>867</v>
      </c>
      <c r="F1075" s="19"/>
      <c r="G1075" t="s">
        <v>2898</v>
      </c>
      <c r="H1075" t="s">
        <v>870</v>
      </c>
      <c r="I1075" t="s">
        <v>871</v>
      </c>
      <c r="J1075" s="8" t="str">
        <f t="shared" si="102"/>
        <v>ANYD</v>
      </c>
      <c r="K1075" t="s">
        <v>10</v>
      </c>
      <c r="L1075" s="54">
        <v>120</v>
      </c>
      <c r="M1075" t="s">
        <v>1472</v>
      </c>
      <c r="N1075" t="s">
        <v>11</v>
      </c>
      <c r="O1075" s="54">
        <v>8.8053000000000008</v>
      </c>
      <c r="P1075" s="35">
        <f t="shared" si="100"/>
        <v>1056.6400000000001</v>
      </c>
      <c r="Q1075" s="10">
        <f t="shared" si="103"/>
        <v>7.3003400000000003</v>
      </c>
      <c r="R1075" s="10">
        <f t="shared" si="104"/>
        <v>1.2060999999999999</v>
      </c>
      <c r="S1075" s="11">
        <f t="shared" si="105"/>
        <v>144.72999999999999</v>
      </c>
      <c r="T1075" s="10" t="s">
        <v>349</v>
      </c>
      <c r="U1075" t="s">
        <v>36</v>
      </c>
      <c r="V1075" s="58">
        <v>7.1775000000000002</v>
      </c>
      <c r="W1075" s="38">
        <f t="shared" si="101"/>
        <v>147.21504702194358</v>
      </c>
    </row>
    <row r="1076" spans="1:23">
      <c r="A1076" t="s">
        <v>2390</v>
      </c>
      <c r="B1076" s="20">
        <v>45729</v>
      </c>
      <c r="C1076" s="20">
        <v>45695</v>
      </c>
      <c r="D1076" t="s">
        <v>149</v>
      </c>
      <c r="E1076" t="s">
        <v>150</v>
      </c>
      <c r="F1076" s="19"/>
      <c r="G1076" t="s">
        <v>2916</v>
      </c>
      <c r="H1076" t="s">
        <v>3092</v>
      </c>
      <c r="I1076" t="s">
        <v>3308</v>
      </c>
      <c r="J1076" s="8" t="str">
        <f t="shared" si="102"/>
        <v>GLID</v>
      </c>
      <c r="K1076" t="s">
        <v>10</v>
      </c>
      <c r="L1076" s="54">
        <v>1020</v>
      </c>
      <c r="M1076" t="s">
        <v>1472</v>
      </c>
      <c r="N1076" t="s">
        <v>11</v>
      </c>
      <c r="O1076" s="54">
        <v>5.4089</v>
      </c>
      <c r="P1076" s="35">
        <f t="shared" si="100"/>
        <v>5517.08</v>
      </c>
      <c r="Q1076" s="10">
        <f t="shared" si="103"/>
        <v>7.3003400000000003</v>
      </c>
      <c r="R1076" s="10">
        <f t="shared" si="104"/>
        <v>0.7409</v>
      </c>
      <c r="S1076" s="11">
        <f t="shared" si="105"/>
        <v>755.72</v>
      </c>
      <c r="T1076" s="10" t="s">
        <v>349</v>
      </c>
      <c r="U1076" t="s">
        <v>78</v>
      </c>
      <c r="V1076" s="58">
        <v>7.1775000000000002</v>
      </c>
      <c r="W1076" s="38">
        <f t="shared" si="101"/>
        <v>768.66290491118082</v>
      </c>
    </row>
    <row r="1077" spans="1:23">
      <c r="A1077" t="s">
        <v>2411</v>
      </c>
      <c r="B1077" s="20">
        <v>45729</v>
      </c>
      <c r="C1077" s="20">
        <v>45702</v>
      </c>
      <c r="D1077" t="s">
        <v>372</v>
      </c>
      <c r="E1077" t="s">
        <v>373</v>
      </c>
      <c r="F1077" s="19"/>
      <c r="G1077" t="s">
        <v>2926</v>
      </c>
      <c r="H1077" t="s">
        <v>1033</v>
      </c>
      <c r="I1077" t="s">
        <v>1034</v>
      </c>
      <c r="J1077" s="8" t="str">
        <f t="shared" si="102"/>
        <v>HDL-</v>
      </c>
      <c r="K1077" t="s">
        <v>98</v>
      </c>
      <c r="L1077" s="54">
        <v>950</v>
      </c>
      <c r="M1077" t="s">
        <v>1472</v>
      </c>
      <c r="N1077" t="s">
        <v>11</v>
      </c>
      <c r="O1077" s="54">
        <v>1.1168</v>
      </c>
      <c r="P1077" s="35">
        <f t="shared" si="100"/>
        <v>1060.96</v>
      </c>
      <c r="Q1077" s="10">
        <f t="shared" si="103"/>
        <v>7.3003400000000003</v>
      </c>
      <c r="R1077" s="10">
        <f t="shared" si="104"/>
        <v>0.153</v>
      </c>
      <c r="S1077" s="11">
        <f t="shared" si="105"/>
        <v>145.35</v>
      </c>
      <c r="T1077" s="10" t="s">
        <v>349</v>
      </c>
      <c r="U1077" t="s">
        <v>228</v>
      </c>
      <c r="V1077" s="58">
        <v>7.1775000000000002</v>
      </c>
      <c r="W1077" s="38">
        <f t="shared" si="101"/>
        <v>147.81748519679553</v>
      </c>
    </row>
    <row r="1078" spans="1:23">
      <c r="A1078" t="s">
        <v>2483</v>
      </c>
      <c r="B1078" s="20">
        <v>45729</v>
      </c>
      <c r="C1078" s="20">
        <v>45712</v>
      </c>
      <c r="D1078" t="s">
        <v>898</v>
      </c>
      <c r="E1078" t="s">
        <v>899</v>
      </c>
      <c r="F1078" s="19"/>
      <c r="G1078" t="s">
        <v>2949</v>
      </c>
      <c r="H1078" t="s">
        <v>896</v>
      </c>
      <c r="I1078" t="s">
        <v>897</v>
      </c>
      <c r="J1078" s="8" t="str">
        <f t="shared" si="102"/>
        <v>GLID</v>
      </c>
      <c r="K1078" t="s">
        <v>10</v>
      </c>
      <c r="L1078" s="54">
        <v>2050</v>
      </c>
      <c r="M1078" t="s">
        <v>1472</v>
      </c>
      <c r="N1078" t="s">
        <v>11</v>
      </c>
      <c r="O1078" s="54">
        <v>16.5</v>
      </c>
      <c r="P1078" s="35">
        <f t="shared" si="100"/>
        <v>33825</v>
      </c>
      <c r="Q1078" s="10">
        <f t="shared" si="103"/>
        <v>7.3003400000000003</v>
      </c>
      <c r="R1078" s="10">
        <f t="shared" si="104"/>
        <v>2.2602000000000002</v>
      </c>
      <c r="S1078" s="11">
        <f t="shared" si="105"/>
        <v>4633.41</v>
      </c>
      <c r="T1078" s="10" t="s">
        <v>349</v>
      </c>
      <c r="U1078" t="s">
        <v>78</v>
      </c>
      <c r="V1078" s="58">
        <v>7.1775000000000002</v>
      </c>
      <c r="W1078" s="38">
        <f t="shared" si="101"/>
        <v>4712.6436781609191</v>
      </c>
    </row>
    <row r="1079" spans="1:23">
      <c r="A1079" t="s">
        <v>2531</v>
      </c>
      <c r="B1079" s="20">
        <v>45729</v>
      </c>
      <c r="C1079" s="20">
        <v>45713</v>
      </c>
      <c r="D1079" t="s">
        <v>372</v>
      </c>
      <c r="E1079" t="s">
        <v>373</v>
      </c>
      <c r="F1079" s="19"/>
      <c r="G1079" t="s">
        <v>2926</v>
      </c>
      <c r="H1079" t="s">
        <v>1029</v>
      </c>
      <c r="I1079" t="s">
        <v>1030</v>
      </c>
      <c r="J1079" s="8" t="str">
        <f t="shared" si="102"/>
        <v>LHDL</v>
      </c>
      <c r="K1079" t="s">
        <v>98</v>
      </c>
      <c r="L1079" s="54">
        <v>1800</v>
      </c>
      <c r="M1079" t="s">
        <v>1472</v>
      </c>
      <c r="N1079" t="s">
        <v>11</v>
      </c>
      <c r="O1079" s="54">
        <v>0.78120000000000001</v>
      </c>
      <c r="P1079" s="35">
        <f t="shared" si="100"/>
        <v>1406.16</v>
      </c>
      <c r="Q1079" s="10">
        <f t="shared" si="103"/>
        <v>7.3003400000000003</v>
      </c>
      <c r="R1079" s="10">
        <f t="shared" si="104"/>
        <v>0.107</v>
      </c>
      <c r="S1079" s="11">
        <f t="shared" si="105"/>
        <v>192.6</v>
      </c>
      <c r="T1079" s="10" t="s">
        <v>349</v>
      </c>
      <c r="U1079" t="s">
        <v>125</v>
      </c>
      <c r="V1079" s="58">
        <v>7.1775000000000002</v>
      </c>
      <c r="W1079" s="38">
        <f t="shared" si="101"/>
        <v>195.91222570532915</v>
      </c>
    </row>
    <row r="1080" spans="1:23">
      <c r="A1080" t="s">
        <v>2538</v>
      </c>
      <c r="B1080" s="20">
        <v>45729</v>
      </c>
      <c r="C1080" s="20">
        <v>45714</v>
      </c>
      <c r="D1080" t="s">
        <v>830</v>
      </c>
      <c r="E1080" t="s">
        <v>831</v>
      </c>
      <c r="F1080" s="19"/>
      <c r="G1080" t="s">
        <v>2981</v>
      </c>
      <c r="H1080" t="s">
        <v>3166</v>
      </c>
      <c r="I1080" t="s">
        <v>3376</v>
      </c>
      <c r="J1080" s="8" t="str">
        <f t="shared" si="102"/>
        <v>LID-</v>
      </c>
      <c r="K1080" t="s">
        <v>98</v>
      </c>
      <c r="L1080" s="54">
        <v>1460</v>
      </c>
      <c r="M1080" t="s">
        <v>1472</v>
      </c>
      <c r="N1080" t="s">
        <v>11</v>
      </c>
      <c r="O1080" s="54">
        <v>4.2</v>
      </c>
      <c r="P1080" s="35">
        <f t="shared" si="100"/>
        <v>6132</v>
      </c>
      <c r="Q1080" s="10">
        <f t="shared" si="103"/>
        <v>7.3003400000000003</v>
      </c>
      <c r="R1080" s="10">
        <f t="shared" si="104"/>
        <v>0.57530000000000003</v>
      </c>
      <c r="S1080" s="11">
        <f t="shared" si="105"/>
        <v>839.94</v>
      </c>
      <c r="T1080" s="10" t="s">
        <v>349</v>
      </c>
      <c r="U1080" t="s">
        <v>368</v>
      </c>
      <c r="V1080" s="58">
        <v>7.1775000000000002</v>
      </c>
      <c r="W1080" s="38">
        <f t="shared" si="101"/>
        <v>854.33646812957159</v>
      </c>
    </row>
    <row r="1081" spans="1:23">
      <c r="A1081" t="s">
        <v>2541</v>
      </c>
      <c r="B1081" s="20">
        <v>45729</v>
      </c>
      <c r="C1081" s="20">
        <v>45714</v>
      </c>
      <c r="D1081" t="s">
        <v>372</v>
      </c>
      <c r="E1081" t="s">
        <v>373</v>
      </c>
      <c r="F1081" s="19"/>
      <c r="G1081" t="s">
        <v>2926</v>
      </c>
      <c r="H1081" t="s">
        <v>1046</v>
      </c>
      <c r="I1081" t="s">
        <v>1047</v>
      </c>
      <c r="J1081" s="8" t="str">
        <f t="shared" si="102"/>
        <v>KNOB</v>
      </c>
      <c r="K1081" t="s">
        <v>98</v>
      </c>
      <c r="L1081" s="54">
        <v>4000</v>
      </c>
      <c r="M1081" t="s">
        <v>1472</v>
      </c>
      <c r="N1081" t="s">
        <v>11</v>
      </c>
      <c r="O1081" s="54">
        <v>0.6411</v>
      </c>
      <c r="P1081" s="35">
        <f t="shared" si="100"/>
        <v>2564.4</v>
      </c>
      <c r="Q1081" s="10">
        <f t="shared" si="103"/>
        <v>7.3003400000000003</v>
      </c>
      <c r="R1081" s="10">
        <f t="shared" si="104"/>
        <v>8.7800000000000003E-2</v>
      </c>
      <c r="S1081" s="11">
        <f t="shared" si="105"/>
        <v>351.2</v>
      </c>
      <c r="T1081" s="10" t="s">
        <v>349</v>
      </c>
      <c r="U1081" t="s">
        <v>32</v>
      </c>
      <c r="V1081" s="58">
        <v>7.1775000000000002</v>
      </c>
      <c r="W1081" s="38">
        <f t="shared" si="101"/>
        <v>357.28317659352143</v>
      </c>
    </row>
    <row r="1082" spans="1:23">
      <c r="A1082" t="s">
        <v>2668</v>
      </c>
      <c r="B1082" s="20">
        <v>45729</v>
      </c>
      <c r="C1082" s="20">
        <v>45723</v>
      </c>
      <c r="D1082" t="s">
        <v>806</v>
      </c>
      <c r="E1082" t="s">
        <v>807</v>
      </c>
      <c r="F1082" s="19"/>
      <c r="G1082" t="s">
        <v>2895</v>
      </c>
      <c r="H1082" t="s">
        <v>3215</v>
      </c>
      <c r="I1082" t="s">
        <v>3422</v>
      </c>
      <c r="J1082" s="8" t="str">
        <f t="shared" si="102"/>
        <v>BAG-</v>
      </c>
      <c r="K1082" t="s">
        <v>10</v>
      </c>
      <c r="L1082" s="54">
        <v>15000</v>
      </c>
      <c r="M1082" t="s">
        <v>1472</v>
      </c>
      <c r="N1082" t="s">
        <v>11</v>
      </c>
      <c r="O1082" s="54">
        <v>0.1</v>
      </c>
      <c r="P1082" s="35">
        <f t="shared" si="100"/>
        <v>1500</v>
      </c>
      <c r="Q1082" s="10">
        <f t="shared" si="103"/>
        <v>7.3003400000000003</v>
      </c>
      <c r="R1082" s="10">
        <f t="shared" si="104"/>
        <v>1.37E-2</v>
      </c>
      <c r="S1082" s="11">
        <f t="shared" si="105"/>
        <v>205.5</v>
      </c>
      <c r="T1082" s="10" t="s">
        <v>349</v>
      </c>
      <c r="U1082" t="s">
        <v>810</v>
      </c>
      <c r="V1082" s="58">
        <v>7.1775000000000002</v>
      </c>
      <c r="W1082" s="38">
        <f t="shared" si="101"/>
        <v>208.98641588296761</v>
      </c>
    </row>
    <row r="1083" spans="1:23">
      <c r="A1083" t="s">
        <v>2053</v>
      </c>
      <c r="B1083" s="20">
        <v>45730</v>
      </c>
      <c r="C1083" s="20">
        <v>45350</v>
      </c>
      <c r="D1083" t="s">
        <v>128</v>
      </c>
      <c r="E1083" t="s">
        <v>129</v>
      </c>
      <c r="F1083" s="19"/>
      <c r="G1083" t="s">
        <v>2838</v>
      </c>
      <c r="H1083" t="s">
        <v>1762</v>
      </c>
      <c r="I1083" t="s">
        <v>1763</v>
      </c>
      <c r="J1083" s="8" t="str">
        <f t="shared" si="102"/>
        <v>HDL-</v>
      </c>
      <c r="K1083" t="s">
        <v>10</v>
      </c>
      <c r="L1083" s="54">
        <v>1800</v>
      </c>
      <c r="M1083" t="s">
        <v>1472</v>
      </c>
      <c r="N1083" t="s">
        <v>11</v>
      </c>
      <c r="O1083" s="54">
        <v>4.5491999999999999</v>
      </c>
      <c r="P1083" s="35">
        <f t="shared" si="100"/>
        <v>8188.56</v>
      </c>
      <c r="Q1083" s="10">
        <f t="shared" si="103"/>
        <v>7.3003400000000003</v>
      </c>
      <c r="R1083" s="10">
        <f t="shared" si="104"/>
        <v>0.62309999999999999</v>
      </c>
      <c r="S1083" s="11">
        <f t="shared" si="105"/>
        <v>1121.58</v>
      </c>
      <c r="T1083" s="10" t="s">
        <v>349</v>
      </c>
      <c r="U1083" t="s">
        <v>228</v>
      </c>
      <c r="V1083" s="58">
        <v>7.1775000000000002</v>
      </c>
      <c r="W1083" s="38">
        <f t="shared" si="101"/>
        <v>1140.8652037617555</v>
      </c>
    </row>
    <row r="1084" spans="1:23">
      <c r="A1084" t="s">
        <v>2275</v>
      </c>
      <c r="B1084" s="20">
        <v>45730</v>
      </c>
      <c r="C1084" s="20">
        <v>45509</v>
      </c>
      <c r="D1084" t="s">
        <v>128</v>
      </c>
      <c r="E1084" t="s">
        <v>129</v>
      </c>
      <c r="F1084" s="19"/>
      <c r="G1084" t="s">
        <v>2842</v>
      </c>
      <c r="H1084" t="s">
        <v>26</v>
      </c>
      <c r="I1084" t="s">
        <v>27</v>
      </c>
      <c r="J1084" s="8" t="str">
        <f t="shared" si="102"/>
        <v>KNOB</v>
      </c>
      <c r="K1084" t="s">
        <v>10</v>
      </c>
      <c r="L1084" s="54">
        <v>1209</v>
      </c>
      <c r="M1084" t="s">
        <v>1472</v>
      </c>
      <c r="N1084" t="s">
        <v>11</v>
      </c>
      <c r="O1084" s="54">
        <v>2.2957000000000001</v>
      </c>
      <c r="P1084" s="35">
        <f t="shared" si="100"/>
        <v>2775.5</v>
      </c>
      <c r="Q1084" s="10">
        <f t="shared" si="103"/>
        <v>7.3003400000000003</v>
      </c>
      <c r="R1084" s="10">
        <f t="shared" si="104"/>
        <v>0.3145</v>
      </c>
      <c r="S1084" s="11">
        <f t="shared" si="105"/>
        <v>380.23</v>
      </c>
      <c r="T1084" s="10" t="s">
        <v>349</v>
      </c>
      <c r="U1084" t="s">
        <v>32</v>
      </c>
      <c r="V1084" s="58">
        <v>7.1775000000000002</v>
      </c>
      <c r="W1084" s="38">
        <f t="shared" si="101"/>
        <v>386.69471264367814</v>
      </c>
    </row>
    <row r="1085" spans="1:23">
      <c r="A1085" t="s">
        <v>2289</v>
      </c>
      <c r="B1085" s="20">
        <v>45730</v>
      </c>
      <c r="C1085" s="20">
        <v>45630</v>
      </c>
      <c r="D1085" t="s">
        <v>94</v>
      </c>
      <c r="E1085" t="s">
        <v>95</v>
      </c>
      <c r="F1085" s="19"/>
      <c r="G1085" t="s">
        <v>2853</v>
      </c>
      <c r="H1085" t="s">
        <v>360</v>
      </c>
      <c r="I1085" t="s">
        <v>361</v>
      </c>
      <c r="J1085" s="8" t="str">
        <f t="shared" si="102"/>
        <v>SKU-</v>
      </c>
      <c r="K1085" t="s">
        <v>98</v>
      </c>
      <c r="L1085" s="54">
        <v>1320</v>
      </c>
      <c r="M1085" t="s">
        <v>1472</v>
      </c>
      <c r="N1085" t="s">
        <v>11</v>
      </c>
      <c r="O1085" s="54">
        <v>5.8230000000000004</v>
      </c>
      <c r="P1085" s="35">
        <f t="shared" si="100"/>
        <v>7686.36</v>
      </c>
      <c r="Q1085" s="10">
        <f t="shared" si="103"/>
        <v>7.3003400000000003</v>
      </c>
      <c r="R1085" s="10">
        <f t="shared" si="104"/>
        <v>0.79759999999999998</v>
      </c>
      <c r="S1085" s="11">
        <f t="shared" si="105"/>
        <v>1052.83</v>
      </c>
      <c r="T1085" s="10" t="s">
        <v>349</v>
      </c>
      <c r="U1085" t="s">
        <v>2</v>
      </c>
      <c r="V1085" s="58">
        <v>7.1775000000000002</v>
      </c>
      <c r="W1085" s="38">
        <f t="shared" si="101"/>
        <v>1070.8965517241379</v>
      </c>
    </row>
    <row r="1086" spans="1:23">
      <c r="A1086" t="s">
        <v>2289</v>
      </c>
      <c r="B1086" s="20">
        <v>45730</v>
      </c>
      <c r="C1086" s="20">
        <v>45630</v>
      </c>
      <c r="D1086" t="s">
        <v>94</v>
      </c>
      <c r="E1086" t="s">
        <v>95</v>
      </c>
      <c r="F1086" s="19"/>
      <c r="G1086" t="s">
        <v>2854</v>
      </c>
      <c r="H1086" t="s">
        <v>360</v>
      </c>
      <c r="I1086" t="s">
        <v>361</v>
      </c>
      <c r="J1086" s="8" t="str">
        <f t="shared" si="102"/>
        <v>SKU-</v>
      </c>
      <c r="K1086" t="s">
        <v>98</v>
      </c>
      <c r="L1086" s="54">
        <v>7600</v>
      </c>
      <c r="M1086" t="s">
        <v>1472</v>
      </c>
      <c r="N1086" t="s">
        <v>11</v>
      </c>
      <c r="O1086" s="54">
        <v>5.8230000000000004</v>
      </c>
      <c r="P1086" s="35">
        <f t="shared" si="100"/>
        <v>44254.8</v>
      </c>
      <c r="Q1086" s="10">
        <f t="shared" si="103"/>
        <v>7.3003400000000003</v>
      </c>
      <c r="R1086" s="10">
        <f t="shared" si="104"/>
        <v>0.79759999999999998</v>
      </c>
      <c r="S1086" s="11">
        <f t="shared" si="105"/>
        <v>6061.76</v>
      </c>
      <c r="T1086" s="10" t="s">
        <v>349</v>
      </c>
      <c r="U1086" t="s">
        <v>2</v>
      </c>
      <c r="V1086" s="58">
        <v>7.1775000000000002</v>
      </c>
      <c r="W1086" s="38">
        <f t="shared" si="101"/>
        <v>6165.7680250783706</v>
      </c>
    </row>
    <row r="1087" spans="1:23">
      <c r="A1087" t="s">
        <v>2054</v>
      </c>
      <c r="B1087" s="20">
        <v>45730</v>
      </c>
      <c r="C1087" s="20">
        <v>45656</v>
      </c>
      <c r="D1087" t="s">
        <v>128</v>
      </c>
      <c r="E1087" t="s">
        <v>129</v>
      </c>
      <c r="F1087" s="19"/>
      <c r="G1087" t="s">
        <v>2838</v>
      </c>
      <c r="H1087" t="s">
        <v>1762</v>
      </c>
      <c r="I1087" t="s">
        <v>1763</v>
      </c>
      <c r="J1087" s="8" t="str">
        <f t="shared" si="102"/>
        <v>HDL-</v>
      </c>
      <c r="K1087" t="s">
        <v>10</v>
      </c>
      <c r="L1087" s="54">
        <v>3200</v>
      </c>
      <c r="M1087" t="s">
        <v>1472</v>
      </c>
      <c r="N1087" t="s">
        <v>11</v>
      </c>
      <c r="O1087" s="54">
        <v>4.5491999999999999</v>
      </c>
      <c r="P1087" s="35">
        <f t="shared" si="100"/>
        <v>14557.44</v>
      </c>
      <c r="Q1087" s="10">
        <f t="shared" si="103"/>
        <v>7.3003400000000003</v>
      </c>
      <c r="R1087" s="10">
        <f t="shared" si="104"/>
        <v>0.62309999999999999</v>
      </c>
      <c r="S1087" s="11">
        <f t="shared" si="105"/>
        <v>1993.92</v>
      </c>
      <c r="T1087" s="10" t="s">
        <v>349</v>
      </c>
      <c r="U1087" t="s">
        <v>228</v>
      </c>
      <c r="V1087" s="58">
        <v>7.1775000000000002</v>
      </c>
      <c r="W1087" s="38">
        <f t="shared" si="101"/>
        <v>2028.2048066875652</v>
      </c>
    </row>
    <row r="1088" spans="1:23">
      <c r="A1088" t="s">
        <v>2317</v>
      </c>
      <c r="B1088" s="20">
        <v>45730</v>
      </c>
      <c r="C1088" s="20">
        <v>45664</v>
      </c>
      <c r="D1088" t="s">
        <v>287</v>
      </c>
      <c r="E1088" t="s">
        <v>288</v>
      </c>
      <c r="F1088" s="19"/>
      <c r="G1088" t="s">
        <v>2877</v>
      </c>
      <c r="H1088" t="s">
        <v>73</v>
      </c>
      <c r="I1088" t="s">
        <v>74</v>
      </c>
      <c r="J1088" s="8" t="str">
        <f t="shared" si="102"/>
        <v>ANYD</v>
      </c>
      <c r="K1088" t="s">
        <v>10</v>
      </c>
      <c r="L1088" s="54">
        <v>1000</v>
      </c>
      <c r="M1088" t="s">
        <v>1472</v>
      </c>
      <c r="N1088" t="s">
        <v>11</v>
      </c>
      <c r="O1088" s="54">
        <v>8.84</v>
      </c>
      <c r="P1088" s="35">
        <f t="shared" si="100"/>
        <v>8840</v>
      </c>
      <c r="Q1088" s="10">
        <f t="shared" si="103"/>
        <v>7.3003400000000003</v>
      </c>
      <c r="R1088" s="10">
        <f t="shared" si="104"/>
        <v>1.2109000000000001</v>
      </c>
      <c r="S1088" s="11">
        <f t="shared" si="105"/>
        <v>1210.9000000000001</v>
      </c>
      <c r="T1088" s="10" t="s">
        <v>349</v>
      </c>
      <c r="U1088" t="s">
        <v>36</v>
      </c>
      <c r="V1088" s="58">
        <v>7.1775000000000002</v>
      </c>
      <c r="W1088" s="38">
        <f t="shared" si="101"/>
        <v>1231.6266109369558</v>
      </c>
    </row>
    <row r="1089" spans="1:23">
      <c r="A1089" t="s">
        <v>2318</v>
      </c>
      <c r="B1089" s="20">
        <v>45730</v>
      </c>
      <c r="C1089" s="20">
        <v>45664</v>
      </c>
      <c r="D1089" t="s">
        <v>287</v>
      </c>
      <c r="E1089" t="s">
        <v>288</v>
      </c>
      <c r="F1089" s="19"/>
      <c r="G1089" t="s">
        <v>2877</v>
      </c>
      <c r="H1089" t="s">
        <v>75</v>
      </c>
      <c r="I1089" t="s">
        <v>3280</v>
      </c>
      <c r="J1089" s="8" t="str">
        <f t="shared" si="102"/>
        <v>ANYD</v>
      </c>
      <c r="K1089" t="s">
        <v>10</v>
      </c>
      <c r="L1089" s="54">
        <v>1050</v>
      </c>
      <c r="M1089" t="s">
        <v>1472</v>
      </c>
      <c r="N1089" t="s">
        <v>11</v>
      </c>
      <c r="O1089" s="54">
        <v>9.5</v>
      </c>
      <c r="P1089" s="35">
        <f t="shared" si="100"/>
        <v>9975</v>
      </c>
      <c r="Q1089" s="10">
        <f t="shared" si="103"/>
        <v>7.3003400000000003</v>
      </c>
      <c r="R1089" s="10">
        <f t="shared" si="104"/>
        <v>1.3012999999999999</v>
      </c>
      <c r="S1089" s="11">
        <f t="shared" si="105"/>
        <v>1366.37</v>
      </c>
      <c r="T1089" s="10" t="s">
        <v>349</v>
      </c>
      <c r="U1089" t="s">
        <v>36</v>
      </c>
      <c r="V1089" s="58">
        <v>7.1775000000000002</v>
      </c>
      <c r="W1089" s="38">
        <f t="shared" si="101"/>
        <v>1389.7596656217345</v>
      </c>
    </row>
    <row r="1090" spans="1:23">
      <c r="A1090" t="s">
        <v>1912</v>
      </c>
      <c r="B1090" s="20">
        <v>45730</v>
      </c>
      <c r="C1090" s="20">
        <v>45671</v>
      </c>
      <c r="D1090" t="s">
        <v>128</v>
      </c>
      <c r="E1090" t="s">
        <v>129</v>
      </c>
      <c r="F1090" s="19"/>
      <c r="G1090" t="s">
        <v>2842</v>
      </c>
      <c r="H1090" t="s">
        <v>443</v>
      </c>
      <c r="I1090" t="s">
        <v>444</v>
      </c>
      <c r="J1090" s="8" t="str">
        <f t="shared" si="102"/>
        <v>FG--</v>
      </c>
      <c r="K1090" t="s">
        <v>10</v>
      </c>
      <c r="L1090" s="54">
        <v>5000</v>
      </c>
      <c r="M1090" t="s">
        <v>1472</v>
      </c>
      <c r="N1090" t="s">
        <v>11</v>
      </c>
      <c r="O1090" s="54">
        <v>1.0021</v>
      </c>
      <c r="P1090" s="35">
        <f t="shared" ref="P1090:P1153" si="106">ROUND(O1090*L1090,2)</f>
        <v>5010.5</v>
      </c>
      <c r="Q1090" s="10">
        <f t="shared" si="103"/>
        <v>7.3003400000000003</v>
      </c>
      <c r="R1090" s="10">
        <f t="shared" si="104"/>
        <v>0.13730000000000001</v>
      </c>
      <c r="S1090" s="11">
        <f t="shared" si="105"/>
        <v>686.5</v>
      </c>
      <c r="T1090" s="10" t="s">
        <v>349</v>
      </c>
      <c r="U1090" t="s">
        <v>64</v>
      </c>
      <c r="V1090" s="58">
        <v>7.1775000000000002</v>
      </c>
      <c r="W1090" s="38">
        <f t="shared" ref="W1090:W1153" si="107">IF(N1090="CNY",O1090/V1090*L1090,1)</f>
        <v>698.08429118773938</v>
      </c>
    </row>
    <row r="1091" spans="1:23">
      <c r="A1091" t="s">
        <v>2340</v>
      </c>
      <c r="B1091" s="20">
        <v>45730</v>
      </c>
      <c r="C1091" s="20">
        <v>45674</v>
      </c>
      <c r="D1091" t="s">
        <v>128</v>
      </c>
      <c r="E1091" t="s">
        <v>129</v>
      </c>
      <c r="F1091" s="19"/>
      <c r="G1091" t="s">
        <v>2838</v>
      </c>
      <c r="H1091" t="s">
        <v>1762</v>
      </c>
      <c r="I1091" t="s">
        <v>1763</v>
      </c>
      <c r="J1091" s="8" t="str">
        <f t="shared" si="102"/>
        <v>HDL-</v>
      </c>
      <c r="K1091" t="s">
        <v>10</v>
      </c>
      <c r="L1091" s="54">
        <v>200</v>
      </c>
      <c r="M1091" t="s">
        <v>1472</v>
      </c>
      <c r="N1091" t="s">
        <v>11</v>
      </c>
      <c r="O1091" s="54">
        <v>4.5491999999999999</v>
      </c>
      <c r="P1091" s="35">
        <f t="shared" si="106"/>
        <v>909.84</v>
      </c>
      <c r="Q1091" s="10">
        <f t="shared" si="103"/>
        <v>7.3003400000000003</v>
      </c>
      <c r="R1091" s="10">
        <f t="shared" si="104"/>
        <v>0.62309999999999999</v>
      </c>
      <c r="S1091" s="11">
        <f t="shared" si="105"/>
        <v>124.62</v>
      </c>
      <c r="T1091" s="10" t="s">
        <v>349</v>
      </c>
      <c r="U1091" t="s">
        <v>228</v>
      </c>
      <c r="V1091" s="58">
        <v>7.1775000000000002</v>
      </c>
      <c r="W1091" s="38">
        <f t="shared" si="107"/>
        <v>126.76280041797283</v>
      </c>
    </row>
    <row r="1092" spans="1:23">
      <c r="A1092" t="s">
        <v>2341</v>
      </c>
      <c r="B1092" s="20">
        <v>45730</v>
      </c>
      <c r="C1092" s="20">
        <v>45674</v>
      </c>
      <c r="D1092" t="s">
        <v>128</v>
      </c>
      <c r="E1092" t="s">
        <v>129</v>
      </c>
      <c r="F1092" s="19"/>
      <c r="G1092" t="s">
        <v>2842</v>
      </c>
      <c r="H1092" t="s">
        <v>26</v>
      </c>
      <c r="I1092" t="s">
        <v>27</v>
      </c>
      <c r="J1092" s="8" t="str">
        <f t="shared" si="102"/>
        <v>KNOB</v>
      </c>
      <c r="K1092" t="s">
        <v>10</v>
      </c>
      <c r="L1092" s="54">
        <v>1060</v>
      </c>
      <c r="M1092" t="s">
        <v>1472</v>
      </c>
      <c r="N1092" t="s">
        <v>11</v>
      </c>
      <c r="O1092" s="54">
        <v>2.3666999999999998</v>
      </c>
      <c r="P1092" s="35">
        <f t="shared" si="106"/>
        <v>2508.6999999999998</v>
      </c>
      <c r="Q1092" s="10">
        <f t="shared" si="103"/>
        <v>7.3003400000000003</v>
      </c>
      <c r="R1092" s="10">
        <f t="shared" si="104"/>
        <v>0.32419999999999999</v>
      </c>
      <c r="S1092" s="11">
        <f t="shared" si="105"/>
        <v>343.65</v>
      </c>
      <c r="T1092" s="10" t="s">
        <v>349</v>
      </c>
      <c r="U1092" t="s">
        <v>32</v>
      </c>
      <c r="V1092" s="58">
        <v>7.1775000000000002</v>
      </c>
      <c r="W1092" s="38">
        <f t="shared" si="107"/>
        <v>349.52309299895501</v>
      </c>
    </row>
    <row r="1093" spans="1:23">
      <c r="A1093" t="s">
        <v>2356</v>
      </c>
      <c r="B1093" s="20">
        <v>45730</v>
      </c>
      <c r="C1093" s="20">
        <v>45680</v>
      </c>
      <c r="D1093" t="s">
        <v>569</v>
      </c>
      <c r="E1093" t="s">
        <v>570</v>
      </c>
      <c r="F1093" s="19"/>
      <c r="G1093" t="s">
        <v>2903</v>
      </c>
      <c r="H1093" t="s">
        <v>1521</v>
      </c>
      <c r="I1093" t="s">
        <v>1522</v>
      </c>
      <c r="J1093" s="8" t="str">
        <f t="shared" si="102"/>
        <v>ANYD</v>
      </c>
      <c r="K1093" t="s">
        <v>10</v>
      </c>
      <c r="L1093" s="54">
        <v>1600</v>
      </c>
      <c r="M1093" t="s">
        <v>1472</v>
      </c>
      <c r="N1093" t="s">
        <v>11</v>
      </c>
      <c r="O1093" s="54">
        <v>3.1</v>
      </c>
      <c r="P1093" s="35">
        <f t="shared" si="106"/>
        <v>4960</v>
      </c>
      <c r="Q1093" s="10">
        <f t="shared" si="103"/>
        <v>7.3003400000000003</v>
      </c>
      <c r="R1093" s="10">
        <f t="shared" si="104"/>
        <v>0.42459999999999998</v>
      </c>
      <c r="S1093" s="11">
        <f t="shared" si="105"/>
        <v>679.36</v>
      </c>
      <c r="T1093" s="10" t="s">
        <v>349</v>
      </c>
      <c r="U1093" t="s">
        <v>36</v>
      </c>
      <c r="V1093" s="58">
        <v>7.1775000000000002</v>
      </c>
      <c r="W1093" s="38">
        <f t="shared" si="107"/>
        <v>691.04841518634623</v>
      </c>
    </row>
    <row r="1094" spans="1:23">
      <c r="A1094" t="s">
        <v>2357</v>
      </c>
      <c r="B1094" s="20">
        <v>45730</v>
      </c>
      <c r="C1094" s="20">
        <v>45680</v>
      </c>
      <c r="D1094" t="s">
        <v>569</v>
      </c>
      <c r="E1094" t="s">
        <v>570</v>
      </c>
      <c r="F1094" s="19"/>
      <c r="G1094" t="s">
        <v>2903</v>
      </c>
      <c r="H1094" t="s">
        <v>567</v>
      </c>
      <c r="I1094" t="s">
        <v>568</v>
      </c>
      <c r="J1094" s="8" t="str">
        <f t="shared" si="102"/>
        <v>ANYD</v>
      </c>
      <c r="K1094" t="s">
        <v>10</v>
      </c>
      <c r="L1094" s="54">
        <v>1200</v>
      </c>
      <c r="M1094" t="s">
        <v>1472</v>
      </c>
      <c r="N1094" t="s">
        <v>11</v>
      </c>
      <c r="O1094" s="54">
        <v>3.85</v>
      </c>
      <c r="P1094" s="35">
        <f t="shared" si="106"/>
        <v>4620</v>
      </c>
      <c r="Q1094" s="10">
        <f t="shared" si="103"/>
        <v>7.3003400000000003</v>
      </c>
      <c r="R1094" s="10">
        <f t="shared" si="104"/>
        <v>0.52739999999999998</v>
      </c>
      <c r="S1094" s="11">
        <f t="shared" si="105"/>
        <v>632.88</v>
      </c>
      <c r="T1094" s="10" t="s">
        <v>349</v>
      </c>
      <c r="U1094" t="s">
        <v>36</v>
      </c>
      <c r="V1094" s="58">
        <v>7.1775000000000002</v>
      </c>
      <c r="W1094" s="38">
        <f t="shared" si="107"/>
        <v>643.67816091954023</v>
      </c>
    </row>
    <row r="1095" spans="1:23">
      <c r="A1095" t="s">
        <v>2358</v>
      </c>
      <c r="B1095" s="20">
        <v>45730</v>
      </c>
      <c r="C1095" s="20">
        <v>45680</v>
      </c>
      <c r="D1095" t="s">
        <v>569</v>
      </c>
      <c r="E1095" t="s">
        <v>570</v>
      </c>
      <c r="F1095" s="19"/>
      <c r="G1095" t="s">
        <v>2903</v>
      </c>
      <c r="H1095" t="s">
        <v>763</v>
      </c>
      <c r="I1095" t="s">
        <v>764</v>
      </c>
      <c r="J1095" s="8" t="str">
        <f t="shared" si="102"/>
        <v>ANYD</v>
      </c>
      <c r="K1095" t="s">
        <v>10</v>
      </c>
      <c r="L1095" s="54">
        <v>1800</v>
      </c>
      <c r="M1095" t="s">
        <v>1472</v>
      </c>
      <c r="N1095" t="s">
        <v>11</v>
      </c>
      <c r="O1095" s="54">
        <v>4.9000000000000004</v>
      </c>
      <c r="P1095" s="35">
        <f t="shared" si="106"/>
        <v>8820</v>
      </c>
      <c r="Q1095" s="10">
        <f t="shared" si="103"/>
        <v>7.3003400000000003</v>
      </c>
      <c r="R1095" s="10">
        <f t="shared" si="104"/>
        <v>0.67120000000000002</v>
      </c>
      <c r="S1095" s="11">
        <f t="shared" si="105"/>
        <v>1208.1600000000001</v>
      </c>
      <c r="T1095" s="10" t="s">
        <v>349</v>
      </c>
      <c r="U1095" t="s">
        <v>36</v>
      </c>
      <c r="V1095" s="58">
        <v>7.1775000000000002</v>
      </c>
      <c r="W1095" s="38">
        <f t="shared" si="107"/>
        <v>1228.8401253918496</v>
      </c>
    </row>
    <row r="1096" spans="1:23">
      <c r="A1096" t="s">
        <v>2359</v>
      </c>
      <c r="B1096" s="20">
        <v>45730</v>
      </c>
      <c r="C1096" s="20">
        <v>45680</v>
      </c>
      <c r="D1096" t="s">
        <v>569</v>
      </c>
      <c r="E1096" t="s">
        <v>570</v>
      </c>
      <c r="F1096" s="19"/>
      <c r="G1096" t="s">
        <v>2903</v>
      </c>
      <c r="H1096" t="s">
        <v>1415</v>
      </c>
      <c r="I1096" t="s">
        <v>1416</v>
      </c>
      <c r="J1096" s="8" t="str">
        <f t="shared" si="102"/>
        <v>ANYD</v>
      </c>
      <c r="K1096" t="s">
        <v>10</v>
      </c>
      <c r="L1096" s="54">
        <v>1500</v>
      </c>
      <c r="M1096" t="s">
        <v>1472</v>
      </c>
      <c r="N1096" t="s">
        <v>11</v>
      </c>
      <c r="O1096" s="54">
        <v>5.7</v>
      </c>
      <c r="P1096" s="35">
        <f t="shared" si="106"/>
        <v>8550</v>
      </c>
      <c r="Q1096" s="10">
        <f t="shared" si="103"/>
        <v>7.3003400000000003</v>
      </c>
      <c r="R1096" s="10">
        <f t="shared" si="104"/>
        <v>0.78080000000000005</v>
      </c>
      <c r="S1096" s="11">
        <f t="shared" si="105"/>
        <v>1171.2</v>
      </c>
      <c r="T1096" s="10" t="s">
        <v>349</v>
      </c>
      <c r="U1096" t="s">
        <v>36</v>
      </c>
      <c r="V1096" s="58">
        <v>7.1775000000000002</v>
      </c>
      <c r="W1096" s="38">
        <f t="shared" si="107"/>
        <v>1191.2225705329154</v>
      </c>
    </row>
    <row r="1097" spans="1:23">
      <c r="A1097" t="s">
        <v>2364</v>
      </c>
      <c r="B1097" s="20">
        <v>45730</v>
      </c>
      <c r="C1097" s="20">
        <v>45680</v>
      </c>
      <c r="D1097" t="s">
        <v>569</v>
      </c>
      <c r="E1097" t="s">
        <v>570</v>
      </c>
      <c r="F1097" s="19"/>
      <c r="G1097" t="s">
        <v>2903</v>
      </c>
      <c r="H1097" t="s">
        <v>1508</v>
      </c>
      <c r="I1097" t="s">
        <v>1509</v>
      </c>
      <c r="J1097" s="8" t="str">
        <f t="shared" si="102"/>
        <v>ANYD</v>
      </c>
      <c r="K1097" t="s">
        <v>10</v>
      </c>
      <c r="L1097" s="54">
        <v>1500</v>
      </c>
      <c r="M1097" t="s">
        <v>1472</v>
      </c>
      <c r="N1097" t="s">
        <v>11</v>
      </c>
      <c r="O1097" s="54">
        <v>2.75</v>
      </c>
      <c r="P1097" s="35">
        <f t="shared" si="106"/>
        <v>4125</v>
      </c>
      <c r="Q1097" s="10">
        <f t="shared" si="103"/>
        <v>7.3003400000000003</v>
      </c>
      <c r="R1097" s="10">
        <f t="shared" si="104"/>
        <v>0.37669999999999998</v>
      </c>
      <c r="S1097" s="11">
        <f t="shared" si="105"/>
        <v>565.04999999999995</v>
      </c>
      <c r="T1097" s="10" t="s">
        <v>349</v>
      </c>
      <c r="U1097" t="s">
        <v>36</v>
      </c>
      <c r="V1097" s="58">
        <v>7.1775000000000002</v>
      </c>
      <c r="W1097" s="38">
        <f t="shared" si="107"/>
        <v>574.71264367816093</v>
      </c>
    </row>
    <row r="1098" spans="1:23">
      <c r="A1098" t="s">
        <v>2374</v>
      </c>
      <c r="B1098" s="20">
        <v>45730</v>
      </c>
      <c r="C1098" s="20">
        <v>45695</v>
      </c>
      <c r="D1098" t="s">
        <v>128</v>
      </c>
      <c r="E1098" t="s">
        <v>129</v>
      </c>
      <c r="F1098" s="19"/>
      <c r="G1098" t="s">
        <v>2842</v>
      </c>
      <c r="H1098" t="s">
        <v>443</v>
      </c>
      <c r="I1098" t="s">
        <v>444</v>
      </c>
      <c r="J1098" s="8" t="str">
        <f t="shared" si="102"/>
        <v>FG--</v>
      </c>
      <c r="K1098" t="s">
        <v>10</v>
      </c>
      <c r="L1098" s="54">
        <v>1000</v>
      </c>
      <c r="M1098" t="s">
        <v>1472</v>
      </c>
      <c r="N1098" t="s">
        <v>11</v>
      </c>
      <c r="O1098" s="54">
        <v>1.0021</v>
      </c>
      <c r="P1098" s="35">
        <f t="shared" si="106"/>
        <v>1002.1</v>
      </c>
      <c r="Q1098" s="10">
        <f t="shared" si="103"/>
        <v>7.3003400000000003</v>
      </c>
      <c r="R1098" s="10">
        <f t="shared" si="104"/>
        <v>0.13730000000000001</v>
      </c>
      <c r="S1098" s="11">
        <f t="shared" si="105"/>
        <v>137.30000000000001</v>
      </c>
      <c r="T1098" s="10" t="s">
        <v>349</v>
      </c>
      <c r="U1098" t="s">
        <v>64</v>
      </c>
      <c r="V1098" s="58">
        <v>7.1775000000000002</v>
      </c>
      <c r="W1098" s="38">
        <f t="shared" si="107"/>
        <v>139.61685823754789</v>
      </c>
    </row>
    <row r="1099" spans="1:23">
      <c r="A1099" t="s">
        <v>2381</v>
      </c>
      <c r="B1099" s="20">
        <v>45730</v>
      </c>
      <c r="C1099" s="20">
        <v>45695</v>
      </c>
      <c r="D1099" t="s">
        <v>569</v>
      </c>
      <c r="E1099" t="s">
        <v>570</v>
      </c>
      <c r="F1099" s="19"/>
      <c r="G1099" t="s">
        <v>2914</v>
      </c>
      <c r="H1099" t="s">
        <v>1408</v>
      </c>
      <c r="I1099" t="s">
        <v>1409</v>
      </c>
      <c r="J1099" s="8" t="str">
        <f t="shared" si="102"/>
        <v>ANYD</v>
      </c>
      <c r="K1099" t="s">
        <v>10</v>
      </c>
      <c r="L1099" s="54">
        <v>2050</v>
      </c>
      <c r="M1099" t="s">
        <v>1472</v>
      </c>
      <c r="N1099" t="s">
        <v>11</v>
      </c>
      <c r="O1099" s="54">
        <v>4.8019999999999996</v>
      </c>
      <c r="P1099" s="35">
        <f t="shared" si="106"/>
        <v>9844.1</v>
      </c>
      <c r="Q1099" s="10">
        <f t="shared" si="103"/>
        <v>7.3003400000000003</v>
      </c>
      <c r="R1099" s="10">
        <f t="shared" si="104"/>
        <v>0.65780000000000005</v>
      </c>
      <c r="S1099" s="11">
        <f t="shared" si="105"/>
        <v>1348.49</v>
      </c>
      <c r="T1099" s="10" t="s">
        <v>349</v>
      </c>
      <c r="U1099" t="s">
        <v>36</v>
      </c>
      <c r="V1099" s="58">
        <v>7.1775000000000002</v>
      </c>
      <c r="W1099" s="38">
        <f t="shared" si="107"/>
        <v>1371.5221177290141</v>
      </c>
    </row>
    <row r="1100" spans="1:23">
      <c r="A1100" t="s">
        <v>2382</v>
      </c>
      <c r="B1100" s="20">
        <v>45730</v>
      </c>
      <c r="C1100" s="20">
        <v>45695</v>
      </c>
      <c r="D1100" t="s">
        <v>569</v>
      </c>
      <c r="E1100" t="s">
        <v>570</v>
      </c>
      <c r="F1100" s="19"/>
      <c r="G1100" t="s">
        <v>2914</v>
      </c>
      <c r="H1100" t="s">
        <v>766</v>
      </c>
      <c r="I1100" t="s">
        <v>767</v>
      </c>
      <c r="J1100" s="8" t="str">
        <f t="shared" si="102"/>
        <v>ANYD</v>
      </c>
      <c r="K1100" t="s">
        <v>10</v>
      </c>
      <c r="L1100" s="54">
        <v>3000</v>
      </c>
      <c r="M1100" t="s">
        <v>1472</v>
      </c>
      <c r="N1100" t="s">
        <v>11</v>
      </c>
      <c r="O1100" s="54">
        <v>5.5860000000000003</v>
      </c>
      <c r="P1100" s="35">
        <f t="shared" si="106"/>
        <v>16758</v>
      </c>
      <c r="Q1100" s="10">
        <f t="shared" si="103"/>
        <v>7.3003400000000003</v>
      </c>
      <c r="R1100" s="10">
        <f t="shared" si="104"/>
        <v>0.76519999999999999</v>
      </c>
      <c r="S1100" s="11">
        <f t="shared" si="105"/>
        <v>2295.6</v>
      </c>
      <c r="T1100" s="10" t="s">
        <v>349</v>
      </c>
      <c r="U1100" t="s">
        <v>36</v>
      </c>
      <c r="V1100" s="58">
        <v>7.1775000000000002</v>
      </c>
      <c r="W1100" s="38">
        <f t="shared" si="107"/>
        <v>2334.7962382445144</v>
      </c>
    </row>
    <row r="1101" spans="1:23">
      <c r="A1101" t="s">
        <v>2383</v>
      </c>
      <c r="B1101" s="20">
        <v>45730</v>
      </c>
      <c r="C1101" s="20">
        <v>45695</v>
      </c>
      <c r="D1101" t="s">
        <v>569</v>
      </c>
      <c r="E1101" t="s">
        <v>570</v>
      </c>
      <c r="F1101" s="19"/>
      <c r="G1101" t="s">
        <v>2914</v>
      </c>
      <c r="H1101" t="s">
        <v>1405</v>
      </c>
      <c r="I1101" t="s">
        <v>1406</v>
      </c>
      <c r="J1101" s="8" t="str">
        <f t="shared" si="102"/>
        <v>ANYD</v>
      </c>
      <c r="K1101" t="s">
        <v>10</v>
      </c>
      <c r="L1101" s="54">
        <v>2000</v>
      </c>
      <c r="M1101" t="s">
        <v>1472</v>
      </c>
      <c r="N1101" t="s">
        <v>11</v>
      </c>
      <c r="O1101" s="54">
        <v>5.5860000000000003</v>
      </c>
      <c r="P1101" s="35">
        <f t="shared" si="106"/>
        <v>11172</v>
      </c>
      <c r="Q1101" s="10">
        <f t="shared" si="103"/>
        <v>7.3003400000000003</v>
      </c>
      <c r="R1101" s="10">
        <f t="shared" si="104"/>
        <v>0.76519999999999999</v>
      </c>
      <c r="S1101" s="11">
        <f t="shared" si="105"/>
        <v>1530.4</v>
      </c>
      <c r="T1101" s="10" t="s">
        <v>349</v>
      </c>
      <c r="U1101" t="s">
        <v>36</v>
      </c>
      <c r="V1101" s="58">
        <v>7.1775000000000002</v>
      </c>
      <c r="W1101" s="38">
        <f t="shared" si="107"/>
        <v>1556.5308254963429</v>
      </c>
    </row>
    <row r="1102" spans="1:23">
      <c r="A1102" t="s">
        <v>2391</v>
      </c>
      <c r="B1102" s="20">
        <v>45730</v>
      </c>
      <c r="C1102" s="20">
        <v>45695</v>
      </c>
      <c r="D1102" t="s">
        <v>287</v>
      </c>
      <c r="E1102" t="s">
        <v>288</v>
      </c>
      <c r="F1102" s="19"/>
      <c r="G1102" t="s">
        <v>2877</v>
      </c>
      <c r="H1102" t="s">
        <v>703</v>
      </c>
      <c r="I1102" t="s">
        <v>704</v>
      </c>
      <c r="J1102" s="8" t="str">
        <f t="shared" si="102"/>
        <v>ANYD</v>
      </c>
      <c r="K1102" t="s">
        <v>10</v>
      </c>
      <c r="L1102" s="54">
        <v>1800</v>
      </c>
      <c r="M1102" t="s">
        <v>1472</v>
      </c>
      <c r="N1102" t="s">
        <v>11</v>
      </c>
      <c r="O1102" s="54">
        <v>7.5751999999999997</v>
      </c>
      <c r="P1102" s="35">
        <f t="shared" si="106"/>
        <v>13635.36</v>
      </c>
      <c r="Q1102" s="10">
        <f t="shared" si="103"/>
        <v>7.3003400000000003</v>
      </c>
      <c r="R1102" s="10">
        <f t="shared" si="104"/>
        <v>1.0377000000000001</v>
      </c>
      <c r="S1102" s="11">
        <f t="shared" si="105"/>
        <v>1867.86</v>
      </c>
      <c r="T1102" s="10" t="s">
        <v>349</v>
      </c>
      <c r="U1102" t="s">
        <v>36</v>
      </c>
      <c r="V1102" s="58">
        <v>7.1775000000000002</v>
      </c>
      <c r="W1102" s="38">
        <f t="shared" si="107"/>
        <v>1899.7366771159873</v>
      </c>
    </row>
    <row r="1103" spans="1:23">
      <c r="A1103" t="s">
        <v>2405</v>
      </c>
      <c r="B1103" s="20">
        <v>45730</v>
      </c>
      <c r="C1103" s="20">
        <v>45698</v>
      </c>
      <c r="D1103" t="s">
        <v>128</v>
      </c>
      <c r="E1103" t="s">
        <v>129</v>
      </c>
      <c r="F1103" s="19"/>
      <c r="G1103" t="s">
        <v>2842</v>
      </c>
      <c r="H1103" t="s">
        <v>1587</v>
      </c>
      <c r="I1103" t="s">
        <v>1588</v>
      </c>
      <c r="J1103" s="8" t="str">
        <f t="shared" si="102"/>
        <v>RIV-</v>
      </c>
      <c r="K1103" t="s">
        <v>10</v>
      </c>
      <c r="L1103" s="54">
        <v>3100</v>
      </c>
      <c r="M1103" t="s">
        <v>1472</v>
      </c>
      <c r="N1103" t="s">
        <v>11</v>
      </c>
      <c r="O1103" s="54">
        <v>9.6100000000000005E-2</v>
      </c>
      <c r="P1103" s="35">
        <f t="shared" si="106"/>
        <v>297.91000000000003</v>
      </c>
      <c r="Q1103" s="10">
        <f t="shared" si="103"/>
        <v>7.3003400000000003</v>
      </c>
      <c r="R1103" s="10">
        <f t="shared" si="104"/>
        <v>1.32E-2</v>
      </c>
      <c r="S1103" s="11">
        <f t="shared" si="105"/>
        <v>40.92</v>
      </c>
      <c r="T1103" s="10" t="s">
        <v>349</v>
      </c>
      <c r="U1103" t="s">
        <v>132</v>
      </c>
      <c r="V1103" s="58">
        <v>7.1775000000000002</v>
      </c>
      <c r="W1103" s="38">
        <f t="shared" si="107"/>
        <v>41.506095437129922</v>
      </c>
    </row>
    <row r="1104" spans="1:23">
      <c r="A1104" t="s">
        <v>2468</v>
      </c>
      <c r="B1104" s="20">
        <v>45730</v>
      </c>
      <c r="C1104" s="20">
        <v>45706</v>
      </c>
      <c r="D1104" t="s">
        <v>569</v>
      </c>
      <c r="E1104" t="s">
        <v>570</v>
      </c>
      <c r="F1104" s="19"/>
      <c r="G1104" t="s">
        <v>2914</v>
      </c>
      <c r="H1104" t="s">
        <v>1408</v>
      </c>
      <c r="I1104" t="s">
        <v>1409</v>
      </c>
      <c r="J1104" s="8" t="str">
        <f t="shared" si="102"/>
        <v>ANYD</v>
      </c>
      <c r="K1104" t="s">
        <v>10</v>
      </c>
      <c r="L1104" s="54">
        <v>1700</v>
      </c>
      <c r="M1104" t="s">
        <v>1472</v>
      </c>
      <c r="N1104" t="s">
        <v>11</v>
      </c>
      <c r="O1104" s="54">
        <v>4.9000000000000004</v>
      </c>
      <c r="P1104" s="35">
        <f t="shared" si="106"/>
        <v>8330</v>
      </c>
      <c r="Q1104" s="10">
        <f t="shared" si="103"/>
        <v>7.3003400000000003</v>
      </c>
      <c r="R1104" s="10">
        <f t="shared" si="104"/>
        <v>0.67120000000000002</v>
      </c>
      <c r="S1104" s="11">
        <f t="shared" si="105"/>
        <v>1141.04</v>
      </c>
      <c r="T1104" s="10" t="s">
        <v>349</v>
      </c>
      <c r="U1104" t="s">
        <v>36</v>
      </c>
      <c r="V1104" s="58">
        <v>7.1775000000000002</v>
      </c>
      <c r="W1104" s="38">
        <f t="shared" si="107"/>
        <v>1160.5712295367468</v>
      </c>
    </row>
    <row r="1105" spans="1:23">
      <c r="A1105" t="s">
        <v>2487</v>
      </c>
      <c r="B1105" s="20">
        <v>45730</v>
      </c>
      <c r="C1105" s="20">
        <v>45712</v>
      </c>
      <c r="D1105" t="s">
        <v>2257</v>
      </c>
      <c r="E1105" t="s">
        <v>2258</v>
      </c>
      <c r="F1105" s="19"/>
      <c r="G1105" t="s">
        <v>2951</v>
      </c>
      <c r="H1105" t="s">
        <v>3148</v>
      </c>
      <c r="I1105" t="s">
        <v>3358</v>
      </c>
      <c r="J1105" s="8" t="str">
        <f t="shared" si="102"/>
        <v>HDL-</v>
      </c>
      <c r="K1105" t="s">
        <v>10</v>
      </c>
      <c r="L1105" s="54">
        <v>2500</v>
      </c>
      <c r="M1105" t="s">
        <v>1472</v>
      </c>
      <c r="N1105" t="s">
        <v>11</v>
      </c>
      <c r="O1105" s="54">
        <v>7.6459999999999999</v>
      </c>
      <c r="P1105" s="35">
        <f t="shared" si="106"/>
        <v>19115</v>
      </c>
      <c r="Q1105" s="10">
        <f t="shared" si="103"/>
        <v>7.3003400000000003</v>
      </c>
      <c r="R1105" s="10">
        <f t="shared" si="104"/>
        <v>1.0472999999999999</v>
      </c>
      <c r="S1105" s="11">
        <f t="shared" si="105"/>
        <v>2618.25</v>
      </c>
      <c r="T1105" s="10" t="s">
        <v>349</v>
      </c>
      <c r="U1105" t="s">
        <v>228</v>
      </c>
      <c r="V1105" s="58">
        <v>7.1775000000000002</v>
      </c>
      <c r="W1105" s="38">
        <f t="shared" si="107"/>
        <v>2663.1835597352838</v>
      </c>
    </row>
    <row r="1106" spans="1:23">
      <c r="A1106" t="s">
        <v>2490</v>
      </c>
      <c r="B1106" s="20">
        <v>45730</v>
      </c>
      <c r="C1106" s="20">
        <v>45713</v>
      </c>
      <c r="D1106" t="s">
        <v>2257</v>
      </c>
      <c r="E1106" t="s">
        <v>2258</v>
      </c>
      <c r="F1106" s="19"/>
      <c r="G1106" t="s">
        <v>2951</v>
      </c>
      <c r="H1106" t="s">
        <v>3149</v>
      </c>
      <c r="I1106" t="s">
        <v>3359</v>
      </c>
      <c r="J1106" s="8" t="str">
        <f t="shared" si="102"/>
        <v>HDL-</v>
      </c>
      <c r="K1106" t="s">
        <v>10</v>
      </c>
      <c r="L1106" s="54">
        <v>3400</v>
      </c>
      <c r="M1106" t="s">
        <v>1472</v>
      </c>
      <c r="N1106" t="s">
        <v>11</v>
      </c>
      <c r="O1106" s="54">
        <v>8.5710999999999995</v>
      </c>
      <c r="P1106" s="35">
        <f t="shared" si="106"/>
        <v>29141.74</v>
      </c>
      <c r="Q1106" s="10">
        <f t="shared" si="103"/>
        <v>7.3003400000000003</v>
      </c>
      <c r="R1106" s="10">
        <f t="shared" si="104"/>
        <v>1.1740999999999999</v>
      </c>
      <c r="S1106" s="11">
        <f t="shared" si="105"/>
        <v>3991.94</v>
      </c>
      <c r="T1106" s="10" t="s">
        <v>349</v>
      </c>
      <c r="U1106" t="s">
        <v>228</v>
      </c>
      <c r="V1106" s="58">
        <v>7.1775000000000002</v>
      </c>
      <c r="W1106" s="38">
        <f t="shared" si="107"/>
        <v>4060.151863462208</v>
      </c>
    </row>
    <row r="1107" spans="1:23">
      <c r="A1107" t="s">
        <v>2496</v>
      </c>
      <c r="B1107" s="20">
        <v>45730</v>
      </c>
      <c r="C1107" s="20">
        <v>45713</v>
      </c>
      <c r="D1107" t="s">
        <v>2257</v>
      </c>
      <c r="E1107" t="s">
        <v>2258</v>
      </c>
      <c r="F1107" s="19"/>
      <c r="G1107" t="s">
        <v>2951</v>
      </c>
      <c r="H1107" t="s">
        <v>3150</v>
      </c>
      <c r="I1107" t="s">
        <v>3360</v>
      </c>
      <c r="J1107" s="8" t="str">
        <f t="shared" si="102"/>
        <v>HDL-</v>
      </c>
      <c r="K1107" t="s">
        <v>10</v>
      </c>
      <c r="L1107" s="54">
        <v>2700</v>
      </c>
      <c r="M1107" t="s">
        <v>1472</v>
      </c>
      <c r="N1107" t="s">
        <v>11</v>
      </c>
      <c r="O1107" s="54">
        <v>8.7460000000000004</v>
      </c>
      <c r="P1107" s="35">
        <f t="shared" si="106"/>
        <v>23614.2</v>
      </c>
      <c r="Q1107" s="10">
        <f t="shared" si="103"/>
        <v>7.3003400000000003</v>
      </c>
      <c r="R1107" s="10">
        <f t="shared" si="104"/>
        <v>1.198</v>
      </c>
      <c r="S1107" s="11">
        <f t="shared" si="105"/>
        <v>3234.6</v>
      </c>
      <c r="T1107" s="10" t="s">
        <v>349</v>
      </c>
      <c r="U1107" t="s">
        <v>228</v>
      </c>
      <c r="V1107" s="58">
        <v>7.1775000000000002</v>
      </c>
      <c r="W1107" s="38">
        <f t="shared" si="107"/>
        <v>3290.0313479623824</v>
      </c>
    </row>
    <row r="1108" spans="1:23">
      <c r="A1108" t="s">
        <v>2502</v>
      </c>
      <c r="B1108" s="20">
        <v>45730</v>
      </c>
      <c r="C1108" s="20">
        <v>45713</v>
      </c>
      <c r="D1108" t="s">
        <v>2257</v>
      </c>
      <c r="E1108" t="s">
        <v>2258</v>
      </c>
      <c r="F1108" s="19"/>
      <c r="G1108" t="s">
        <v>2951</v>
      </c>
      <c r="H1108" t="s">
        <v>3151</v>
      </c>
      <c r="I1108" t="s">
        <v>3361</v>
      </c>
      <c r="J1108" s="8" t="str">
        <f t="shared" si="102"/>
        <v>HDL-</v>
      </c>
      <c r="K1108" t="s">
        <v>10</v>
      </c>
      <c r="L1108" s="54">
        <v>600</v>
      </c>
      <c r="M1108" t="s">
        <v>1472</v>
      </c>
      <c r="N1108" t="s">
        <v>11</v>
      </c>
      <c r="O1108" s="54">
        <v>8.7460000000000004</v>
      </c>
      <c r="P1108" s="35">
        <f t="shared" si="106"/>
        <v>5247.6</v>
      </c>
      <c r="Q1108" s="10">
        <f t="shared" si="103"/>
        <v>7.3003400000000003</v>
      </c>
      <c r="R1108" s="10">
        <f t="shared" si="104"/>
        <v>1.198</v>
      </c>
      <c r="S1108" s="11">
        <f t="shared" si="105"/>
        <v>718.8</v>
      </c>
      <c r="T1108" s="10" t="s">
        <v>349</v>
      </c>
      <c r="U1108" t="s">
        <v>228</v>
      </c>
      <c r="V1108" s="58">
        <v>7.1775000000000002</v>
      </c>
      <c r="W1108" s="38">
        <f t="shared" si="107"/>
        <v>731.1180773249738</v>
      </c>
    </row>
    <row r="1109" spans="1:23">
      <c r="A1109" t="s">
        <v>2536</v>
      </c>
      <c r="B1109" s="20">
        <v>45730</v>
      </c>
      <c r="C1109" s="20">
        <v>45714</v>
      </c>
      <c r="D1109" t="s">
        <v>94</v>
      </c>
      <c r="E1109" t="s">
        <v>95</v>
      </c>
      <c r="F1109" s="19"/>
      <c r="G1109" t="s">
        <v>2978</v>
      </c>
      <c r="H1109" t="s">
        <v>3165</v>
      </c>
      <c r="I1109" t="s">
        <v>3375</v>
      </c>
      <c r="J1109" s="8" t="str">
        <f t="shared" ref="J1109:J1172" si="108">+LEFT(U1109,4)</f>
        <v>LID-</v>
      </c>
      <c r="K1109" t="s">
        <v>98</v>
      </c>
      <c r="L1109" s="54">
        <v>1080</v>
      </c>
      <c r="M1109" t="s">
        <v>1472</v>
      </c>
      <c r="N1109" t="s">
        <v>11</v>
      </c>
      <c r="O1109" s="54">
        <v>4.37</v>
      </c>
      <c r="P1109" s="35">
        <f t="shared" si="106"/>
        <v>4719.6000000000004</v>
      </c>
      <c r="Q1109" s="10">
        <f t="shared" ref="Q1109:Q1172" si="109">IF(N1109="HKD",7.8,IF(N1109="CNY",7.30034,1))</f>
        <v>7.3003400000000003</v>
      </c>
      <c r="R1109" s="10">
        <f t="shared" ref="R1109:R1172" si="110">+ROUND(O1109/Q1109,4)</f>
        <v>0.59860000000000002</v>
      </c>
      <c r="S1109" s="11">
        <f t="shared" ref="S1109:S1172" si="111">ROUND(R1109*L1109,2)</f>
        <v>646.49</v>
      </c>
      <c r="T1109" s="10" t="s">
        <v>349</v>
      </c>
      <c r="U1109" t="s">
        <v>368</v>
      </c>
      <c r="V1109" s="58">
        <v>7.1775000000000002</v>
      </c>
      <c r="W1109" s="38">
        <f t="shared" si="107"/>
        <v>657.55485893416926</v>
      </c>
    </row>
    <row r="1110" spans="1:23">
      <c r="A1110" t="s">
        <v>2544</v>
      </c>
      <c r="B1110" s="20">
        <v>45730</v>
      </c>
      <c r="C1110" s="20">
        <v>45714</v>
      </c>
      <c r="D1110" t="s">
        <v>545</v>
      </c>
      <c r="E1110" t="s">
        <v>546</v>
      </c>
      <c r="F1110" s="19"/>
      <c r="G1110" t="s">
        <v>2989</v>
      </c>
      <c r="H1110" t="s">
        <v>553</v>
      </c>
      <c r="I1110" t="s">
        <v>554</v>
      </c>
      <c r="J1110" s="8" t="str">
        <f t="shared" si="108"/>
        <v>WHR-</v>
      </c>
      <c r="K1110" t="s">
        <v>10</v>
      </c>
      <c r="L1110" s="54">
        <v>3500</v>
      </c>
      <c r="M1110" t="s">
        <v>1472</v>
      </c>
      <c r="N1110" t="s">
        <v>11</v>
      </c>
      <c r="O1110" s="54">
        <v>8.5000000000000006E-2</v>
      </c>
      <c r="P1110" s="35">
        <f t="shared" si="106"/>
        <v>297.5</v>
      </c>
      <c r="Q1110" s="10">
        <f t="shared" si="109"/>
        <v>7.3003400000000003</v>
      </c>
      <c r="R1110" s="10">
        <f t="shared" si="110"/>
        <v>1.1599999999999999E-2</v>
      </c>
      <c r="S1110" s="11">
        <f t="shared" si="111"/>
        <v>40.6</v>
      </c>
      <c r="T1110" s="10" t="s">
        <v>349</v>
      </c>
      <c r="U1110" t="s">
        <v>248</v>
      </c>
      <c r="V1110" s="58">
        <v>7.1775000000000002</v>
      </c>
      <c r="W1110" s="38">
        <f t="shared" si="107"/>
        <v>41.448972483455243</v>
      </c>
    </row>
    <row r="1111" spans="1:23">
      <c r="A1111" t="s">
        <v>2546</v>
      </c>
      <c r="B1111" s="20">
        <v>45730</v>
      </c>
      <c r="C1111" s="20">
        <v>45716</v>
      </c>
      <c r="D1111" t="s">
        <v>2825</v>
      </c>
      <c r="E1111" t="s">
        <v>2826</v>
      </c>
      <c r="F1111" s="19"/>
      <c r="G1111" t="s">
        <v>2991</v>
      </c>
      <c r="H1111" t="s">
        <v>3168</v>
      </c>
      <c r="I1111" t="s">
        <v>3378</v>
      </c>
      <c r="J1111" s="8" t="str">
        <f t="shared" si="108"/>
        <v>CDM-</v>
      </c>
      <c r="K1111" t="s">
        <v>10</v>
      </c>
      <c r="L1111" s="54">
        <v>550</v>
      </c>
      <c r="M1111" t="s">
        <v>1472</v>
      </c>
      <c r="N1111" t="s">
        <v>11</v>
      </c>
      <c r="O1111" s="54">
        <v>43.610599999999998</v>
      </c>
      <c r="P1111" s="35">
        <f t="shared" si="106"/>
        <v>23985.83</v>
      </c>
      <c r="Q1111" s="10">
        <f t="shared" si="109"/>
        <v>7.3003400000000003</v>
      </c>
      <c r="R1111" s="10">
        <f t="shared" si="110"/>
        <v>5.9737999999999998</v>
      </c>
      <c r="S1111" s="11">
        <f t="shared" si="111"/>
        <v>3285.59</v>
      </c>
      <c r="T1111" s="10" t="s">
        <v>349</v>
      </c>
      <c r="U1111" t="s">
        <v>3484</v>
      </c>
      <c r="V1111" s="58">
        <v>7.1775000000000002</v>
      </c>
      <c r="W1111" s="38">
        <f t="shared" si="107"/>
        <v>3341.8084291187738</v>
      </c>
    </row>
    <row r="1112" spans="1:23">
      <c r="A1112" t="s">
        <v>2289</v>
      </c>
      <c r="B1112" s="20">
        <v>45733</v>
      </c>
      <c r="C1112" s="20">
        <v>45630</v>
      </c>
      <c r="D1112" t="s">
        <v>94</v>
      </c>
      <c r="E1112" t="s">
        <v>95</v>
      </c>
      <c r="F1112" s="19"/>
      <c r="G1112" t="s">
        <v>2852</v>
      </c>
      <c r="H1112" t="s">
        <v>360</v>
      </c>
      <c r="I1112" t="s">
        <v>361</v>
      </c>
      <c r="J1112" s="8" t="str">
        <f t="shared" si="108"/>
        <v>SKU-</v>
      </c>
      <c r="K1112" t="s">
        <v>98</v>
      </c>
      <c r="L1112" s="54">
        <v>2380</v>
      </c>
      <c r="M1112" t="s">
        <v>1472</v>
      </c>
      <c r="N1112" t="s">
        <v>11</v>
      </c>
      <c r="O1112" s="54">
        <v>5.8230000000000004</v>
      </c>
      <c r="P1112" s="35">
        <f t="shared" si="106"/>
        <v>13858.74</v>
      </c>
      <c r="Q1112" s="10">
        <f t="shared" si="109"/>
        <v>7.3003400000000003</v>
      </c>
      <c r="R1112" s="10">
        <f t="shared" si="110"/>
        <v>0.79759999999999998</v>
      </c>
      <c r="S1112" s="11">
        <f t="shared" si="111"/>
        <v>1898.29</v>
      </c>
      <c r="T1112" s="10" t="s">
        <v>349</v>
      </c>
      <c r="U1112" t="s">
        <v>2</v>
      </c>
      <c r="V1112" s="58">
        <v>7.1775000000000002</v>
      </c>
      <c r="W1112" s="38">
        <f t="shared" si="107"/>
        <v>1930.8589341692791</v>
      </c>
    </row>
    <row r="1113" spans="1:23">
      <c r="A1113" t="s">
        <v>2295</v>
      </c>
      <c r="B1113" s="20">
        <v>45733</v>
      </c>
      <c r="C1113" s="20">
        <v>45646</v>
      </c>
      <c r="D1113" t="s">
        <v>94</v>
      </c>
      <c r="E1113" t="s">
        <v>95</v>
      </c>
      <c r="F1113" s="19"/>
      <c r="G1113" t="s">
        <v>2852</v>
      </c>
      <c r="H1113" t="s">
        <v>360</v>
      </c>
      <c r="I1113" t="s">
        <v>361</v>
      </c>
      <c r="J1113" s="8" t="str">
        <f t="shared" si="108"/>
        <v>SKU-</v>
      </c>
      <c r="K1113" t="s">
        <v>98</v>
      </c>
      <c r="L1113" s="54">
        <v>6000</v>
      </c>
      <c r="M1113" t="s">
        <v>1472</v>
      </c>
      <c r="N1113" t="s">
        <v>11</v>
      </c>
      <c r="O1113" s="54">
        <v>5.8230000000000004</v>
      </c>
      <c r="P1113" s="35">
        <f t="shared" si="106"/>
        <v>34938</v>
      </c>
      <c r="Q1113" s="10">
        <f t="shared" si="109"/>
        <v>7.3003400000000003</v>
      </c>
      <c r="R1113" s="10">
        <f t="shared" si="110"/>
        <v>0.79759999999999998</v>
      </c>
      <c r="S1113" s="11">
        <f t="shared" si="111"/>
        <v>4785.6000000000004</v>
      </c>
      <c r="T1113" s="10" t="s">
        <v>349</v>
      </c>
      <c r="U1113" t="s">
        <v>2</v>
      </c>
      <c r="V1113" s="58">
        <v>7.1775000000000002</v>
      </c>
      <c r="W1113" s="38">
        <f t="shared" si="107"/>
        <v>4867.711598746082</v>
      </c>
    </row>
    <row r="1114" spans="1:23">
      <c r="A1114" t="s">
        <v>2374</v>
      </c>
      <c r="B1114" s="20">
        <v>45733</v>
      </c>
      <c r="C1114" s="20">
        <v>45695</v>
      </c>
      <c r="D1114" t="s">
        <v>128</v>
      </c>
      <c r="E1114" t="s">
        <v>129</v>
      </c>
      <c r="F1114" s="19"/>
      <c r="G1114" t="s">
        <v>2910</v>
      </c>
      <c r="H1114" t="s">
        <v>443</v>
      </c>
      <c r="I1114" t="s">
        <v>444</v>
      </c>
      <c r="J1114" s="8" t="str">
        <f t="shared" si="108"/>
        <v>FG--</v>
      </c>
      <c r="K1114" t="s">
        <v>10</v>
      </c>
      <c r="L1114" s="54">
        <v>3000</v>
      </c>
      <c r="M1114" t="s">
        <v>1472</v>
      </c>
      <c r="N1114" t="s">
        <v>11</v>
      </c>
      <c r="O1114" s="54">
        <v>1.0021</v>
      </c>
      <c r="P1114" s="35">
        <f t="shared" si="106"/>
        <v>3006.3</v>
      </c>
      <c r="Q1114" s="10">
        <f t="shared" si="109"/>
        <v>7.3003400000000003</v>
      </c>
      <c r="R1114" s="10">
        <f t="shared" si="110"/>
        <v>0.13730000000000001</v>
      </c>
      <c r="S1114" s="11">
        <f t="shared" si="111"/>
        <v>411.9</v>
      </c>
      <c r="T1114" s="10" t="s">
        <v>349</v>
      </c>
      <c r="U1114" t="s">
        <v>64</v>
      </c>
      <c r="V1114" s="58">
        <v>7.1775000000000002</v>
      </c>
      <c r="W1114" s="38">
        <f t="shared" si="107"/>
        <v>418.85057471264366</v>
      </c>
    </row>
    <row r="1115" spans="1:23">
      <c r="A1115" t="s">
        <v>2413</v>
      </c>
      <c r="B1115" s="20">
        <v>45733</v>
      </c>
      <c r="C1115" s="20">
        <v>45702</v>
      </c>
      <c r="D1115" t="s">
        <v>372</v>
      </c>
      <c r="E1115" t="s">
        <v>373</v>
      </c>
      <c r="F1115" s="19"/>
      <c r="G1115" t="s">
        <v>2928</v>
      </c>
      <c r="H1115" t="s">
        <v>3104</v>
      </c>
      <c r="I1115" t="s">
        <v>3319</v>
      </c>
      <c r="J1115" s="8" t="str">
        <f t="shared" si="108"/>
        <v>FG--</v>
      </c>
      <c r="K1115" t="s">
        <v>98</v>
      </c>
      <c r="L1115" s="54">
        <v>1030</v>
      </c>
      <c r="M1115" t="s">
        <v>1472</v>
      </c>
      <c r="N1115" t="s">
        <v>11</v>
      </c>
      <c r="O1115" s="54">
        <v>0.99399999999999999</v>
      </c>
      <c r="P1115" s="35">
        <f t="shared" si="106"/>
        <v>1023.82</v>
      </c>
      <c r="Q1115" s="10">
        <f t="shared" si="109"/>
        <v>7.3003400000000003</v>
      </c>
      <c r="R1115" s="10">
        <f t="shared" si="110"/>
        <v>0.13619999999999999</v>
      </c>
      <c r="S1115" s="11">
        <f t="shared" si="111"/>
        <v>140.29</v>
      </c>
      <c r="T1115" s="10" t="s">
        <v>349</v>
      </c>
      <c r="U1115" t="s">
        <v>64</v>
      </c>
      <c r="V1115" s="58">
        <v>7.1775000000000002</v>
      </c>
      <c r="W1115" s="38">
        <f t="shared" si="107"/>
        <v>142.64298153953325</v>
      </c>
    </row>
    <row r="1116" spans="1:23">
      <c r="A1116" t="s">
        <v>2427</v>
      </c>
      <c r="B1116" s="20">
        <v>45733</v>
      </c>
      <c r="C1116" s="20">
        <v>45702</v>
      </c>
      <c r="D1116" t="s">
        <v>651</v>
      </c>
      <c r="E1116" t="s">
        <v>652</v>
      </c>
      <c r="F1116" s="19"/>
      <c r="G1116" t="s">
        <v>2931</v>
      </c>
      <c r="H1116" t="s">
        <v>3116</v>
      </c>
      <c r="I1116" t="s">
        <v>3330</v>
      </c>
      <c r="J1116" s="8" t="str">
        <f t="shared" si="108"/>
        <v>HDL-</v>
      </c>
      <c r="K1116" t="s">
        <v>10</v>
      </c>
      <c r="L1116" s="54">
        <v>4050</v>
      </c>
      <c r="M1116" t="s">
        <v>1472</v>
      </c>
      <c r="N1116" t="s">
        <v>11</v>
      </c>
      <c r="O1116" s="54">
        <v>1.7248000000000001</v>
      </c>
      <c r="P1116" s="35">
        <f t="shared" si="106"/>
        <v>6985.44</v>
      </c>
      <c r="Q1116" s="10">
        <f t="shared" si="109"/>
        <v>7.3003400000000003</v>
      </c>
      <c r="R1116" s="10">
        <f t="shared" si="110"/>
        <v>0.23630000000000001</v>
      </c>
      <c r="S1116" s="11">
        <f t="shared" si="111"/>
        <v>957.02</v>
      </c>
      <c r="T1116" s="10" t="s">
        <v>349</v>
      </c>
      <c r="U1116" t="s">
        <v>228</v>
      </c>
      <c r="V1116" s="58">
        <v>7.1775000000000002</v>
      </c>
      <c r="W1116" s="38">
        <f t="shared" si="107"/>
        <v>973.24137931034488</v>
      </c>
    </row>
    <row r="1117" spans="1:23">
      <c r="A1117" t="s">
        <v>2437</v>
      </c>
      <c r="B1117" s="20">
        <v>45733</v>
      </c>
      <c r="C1117" s="20">
        <v>45702</v>
      </c>
      <c r="D1117" t="s">
        <v>28</v>
      </c>
      <c r="E1117" t="s">
        <v>29</v>
      </c>
      <c r="F1117" s="19"/>
      <c r="G1117" t="s">
        <v>2936</v>
      </c>
      <c r="H1117" t="s">
        <v>3126</v>
      </c>
      <c r="I1117" t="s">
        <v>3336</v>
      </c>
      <c r="J1117" s="8" t="str">
        <f t="shared" si="108"/>
        <v>LHDL</v>
      </c>
      <c r="K1117" t="s">
        <v>10</v>
      </c>
      <c r="L1117" s="54">
        <v>530</v>
      </c>
      <c r="M1117" t="s">
        <v>1472</v>
      </c>
      <c r="N1117" t="s">
        <v>11</v>
      </c>
      <c r="O1117" s="54">
        <v>2.1898</v>
      </c>
      <c r="P1117" s="35">
        <f t="shared" si="106"/>
        <v>1160.5899999999999</v>
      </c>
      <c r="Q1117" s="10">
        <f t="shared" si="109"/>
        <v>7.3003400000000003</v>
      </c>
      <c r="R1117" s="10">
        <f t="shared" si="110"/>
        <v>0.3</v>
      </c>
      <c r="S1117" s="11">
        <f t="shared" si="111"/>
        <v>159</v>
      </c>
      <c r="T1117" s="10" t="s">
        <v>349</v>
      </c>
      <c r="U1117" t="s">
        <v>125</v>
      </c>
      <c r="V1117" s="58">
        <v>7.1775000000000002</v>
      </c>
      <c r="W1117" s="38">
        <f t="shared" si="107"/>
        <v>161.69892023685125</v>
      </c>
    </row>
    <row r="1118" spans="1:23">
      <c r="A1118" t="s">
        <v>2438</v>
      </c>
      <c r="B1118" s="20">
        <v>45733</v>
      </c>
      <c r="C1118" s="20">
        <v>45702</v>
      </c>
      <c r="D1118" t="s">
        <v>28</v>
      </c>
      <c r="E1118" t="s">
        <v>29</v>
      </c>
      <c r="F1118" s="19"/>
      <c r="G1118" t="s">
        <v>2936</v>
      </c>
      <c r="H1118" t="s">
        <v>3127</v>
      </c>
      <c r="I1118" t="s">
        <v>3337</v>
      </c>
      <c r="J1118" s="8" t="str">
        <f t="shared" si="108"/>
        <v>SHDL</v>
      </c>
      <c r="K1118" t="s">
        <v>10</v>
      </c>
      <c r="L1118" s="54">
        <v>1040</v>
      </c>
      <c r="M1118" t="s">
        <v>1472</v>
      </c>
      <c r="N1118" t="s">
        <v>11</v>
      </c>
      <c r="O1118" s="54">
        <v>2.4588000000000001</v>
      </c>
      <c r="P1118" s="35">
        <f t="shared" si="106"/>
        <v>2557.15</v>
      </c>
      <c r="Q1118" s="10">
        <f t="shared" si="109"/>
        <v>7.3003400000000003</v>
      </c>
      <c r="R1118" s="10">
        <f t="shared" si="110"/>
        <v>0.33679999999999999</v>
      </c>
      <c r="S1118" s="11">
        <f t="shared" si="111"/>
        <v>350.27</v>
      </c>
      <c r="T1118" s="10" t="s">
        <v>349</v>
      </c>
      <c r="U1118" t="s">
        <v>722</v>
      </c>
      <c r="V1118" s="58">
        <v>7.1775000000000002</v>
      </c>
      <c r="W1118" s="38">
        <f t="shared" si="107"/>
        <v>356.27335423197491</v>
      </c>
    </row>
    <row r="1119" spans="1:23">
      <c r="A1119" t="s">
        <v>2439</v>
      </c>
      <c r="B1119" s="20">
        <v>45733</v>
      </c>
      <c r="C1119" s="20">
        <v>45702</v>
      </c>
      <c r="D1119" t="s">
        <v>28</v>
      </c>
      <c r="E1119" t="s">
        <v>29</v>
      </c>
      <c r="F1119" s="19"/>
      <c r="G1119" t="s">
        <v>2936</v>
      </c>
      <c r="H1119" t="s">
        <v>1175</v>
      </c>
      <c r="I1119" t="s">
        <v>1176</v>
      </c>
      <c r="J1119" s="8" t="str">
        <f t="shared" si="108"/>
        <v>MISC</v>
      </c>
      <c r="K1119" t="s">
        <v>10</v>
      </c>
      <c r="L1119" s="54">
        <v>4320</v>
      </c>
      <c r="M1119" t="s">
        <v>1472</v>
      </c>
      <c r="N1119" t="s">
        <v>11</v>
      </c>
      <c r="O1119" s="54">
        <v>0.18160000000000001</v>
      </c>
      <c r="P1119" s="35">
        <f t="shared" si="106"/>
        <v>784.51</v>
      </c>
      <c r="Q1119" s="10">
        <f t="shared" si="109"/>
        <v>7.3003400000000003</v>
      </c>
      <c r="R1119" s="10">
        <f t="shared" si="110"/>
        <v>2.4899999999999999E-2</v>
      </c>
      <c r="S1119" s="11">
        <f t="shared" si="111"/>
        <v>107.57</v>
      </c>
      <c r="T1119" s="10" t="s">
        <v>349</v>
      </c>
      <c r="U1119" t="s">
        <v>25</v>
      </c>
      <c r="V1119" s="58">
        <v>7.1775000000000002</v>
      </c>
      <c r="W1119" s="38">
        <f t="shared" si="107"/>
        <v>109.30156739811913</v>
      </c>
    </row>
    <row r="1120" spans="1:23">
      <c r="A1120" t="s">
        <v>2449</v>
      </c>
      <c r="B1120" s="20">
        <v>45733</v>
      </c>
      <c r="C1120" s="20">
        <v>45702</v>
      </c>
      <c r="D1120" t="s">
        <v>2247</v>
      </c>
      <c r="E1120" t="s">
        <v>2248</v>
      </c>
      <c r="F1120" s="19"/>
      <c r="G1120" t="s">
        <v>2940</v>
      </c>
      <c r="H1120" t="s">
        <v>3135</v>
      </c>
      <c r="I1120" t="s">
        <v>3345</v>
      </c>
      <c r="J1120" s="8" t="str">
        <f t="shared" si="108"/>
        <v>HDL-</v>
      </c>
      <c r="K1120" t="s">
        <v>10</v>
      </c>
      <c r="L1120" s="54">
        <v>1010</v>
      </c>
      <c r="M1120" t="s">
        <v>1472</v>
      </c>
      <c r="N1120" t="s">
        <v>11</v>
      </c>
      <c r="O1120" s="54">
        <v>4.3320999999999996</v>
      </c>
      <c r="P1120" s="35">
        <f t="shared" si="106"/>
        <v>4375.42</v>
      </c>
      <c r="Q1120" s="10">
        <f t="shared" si="109"/>
        <v>7.3003400000000003</v>
      </c>
      <c r="R1120" s="10">
        <f t="shared" si="110"/>
        <v>0.59340000000000004</v>
      </c>
      <c r="S1120" s="11">
        <f t="shared" si="111"/>
        <v>599.33000000000004</v>
      </c>
      <c r="T1120" s="10" t="s">
        <v>349</v>
      </c>
      <c r="U1120" t="s">
        <v>228</v>
      </c>
      <c r="V1120" s="58">
        <v>7.1775000000000002</v>
      </c>
      <c r="W1120" s="38">
        <f t="shared" si="107"/>
        <v>609.60236851271327</v>
      </c>
    </row>
    <row r="1121" spans="1:23">
      <c r="A1121" t="s">
        <v>2450</v>
      </c>
      <c r="B1121" s="20">
        <v>45733</v>
      </c>
      <c r="C1121" s="20">
        <v>45702</v>
      </c>
      <c r="D1121" t="s">
        <v>2247</v>
      </c>
      <c r="E1121" t="s">
        <v>2248</v>
      </c>
      <c r="F1121" s="19"/>
      <c r="G1121" t="s">
        <v>2940</v>
      </c>
      <c r="H1121" t="s">
        <v>3136</v>
      </c>
      <c r="I1121" t="s">
        <v>3346</v>
      </c>
      <c r="J1121" s="8" t="str">
        <f t="shared" si="108"/>
        <v>HDL-</v>
      </c>
      <c r="K1121" t="s">
        <v>10</v>
      </c>
      <c r="L1121" s="54">
        <v>1000</v>
      </c>
      <c r="M1121" t="s">
        <v>1472</v>
      </c>
      <c r="N1121" t="s">
        <v>11</v>
      </c>
      <c r="O1121" s="54">
        <v>4.7900999999999998</v>
      </c>
      <c r="P1121" s="35">
        <f t="shared" si="106"/>
        <v>4790.1000000000004</v>
      </c>
      <c r="Q1121" s="10">
        <f t="shared" si="109"/>
        <v>7.3003400000000003</v>
      </c>
      <c r="R1121" s="10">
        <f t="shared" si="110"/>
        <v>0.65610000000000002</v>
      </c>
      <c r="S1121" s="11">
        <f t="shared" si="111"/>
        <v>656.1</v>
      </c>
      <c r="T1121" s="10" t="s">
        <v>349</v>
      </c>
      <c r="U1121" t="s">
        <v>228</v>
      </c>
      <c r="V1121" s="58">
        <v>7.1775000000000002</v>
      </c>
      <c r="W1121" s="38">
        <f t="shared" si="107"/>
        <v>667.37722048066871</v>
      </c>
    </row>
    <row r="1122" spans="1:23">
      <c r="A1122" t="s">
        <v>2451</v>
      </c>
      <c r="B1122" s="20">
        <v>45733</v>
      </c>
      <c r="C1122" s="20">
        <v>45702</v>
      </c>
      <c r="D1122" t="s">
        <v>2247</v>
      </c>
      <c r="E1122" t="s">
        <v>2248</v>
      </c>
      <c r="F1122" s="19"/>
      <c r="G1122" t="s">
        <v>2940</v>
      </c>
      <c r="H1122" t="s">
        <v>3137</v>
      </c>
      <c r="I1122" t="s">
        <v>3347</v>
      </c>
      <c r="J1122" s="8" t="str">
        <f t="shared" si="108"/>
        <v>HDL-</v>
      </c>
      <c r="K1122" t="s">
        <v>10</v>
      </c>
      <c r="L1122" s="54">
        <v>1020</v>
      </c>
      <c r="M1122" t="s">
        <v>1472</v>
      </c>
      <c r="N1122" t="s">
        <v>11</v>
      </c>
      <c r="O1122" s="54">
        <v>4.7900999999999998</v>
      </c>
      <c r="P1122" s="35">
        <f t="shared" si="106"/>
        <v>4885.8999999999996</v>
      </c>
      <c r="Q1122" s="10">
        <f t="shared" si="109"/>
        <v>7.3003400000000003</v>
      </c>
      <c r="R1122" s="10">
        <f t="shared" si="110"/>
        <v>0.65610000000000002</v>
      </c>
      <c r="S1122" s="11">
        <f t="shared" si="111"/>
        <v>669.22</v>
      </c>
      <c r="T1122" s="10" t="s">
        <v>349</v>
      </c>
      <c r="U1122" t="s">
        <v>228</v>
      </c>
      <c r="V1122" s="58">
        <v>7.1775000000000002</v>
      </c>
      <c r="W1122" s="38">
        <f t="shared" si="107"/>
        <v>680.72476489028213</v>
      </c>
    </row>
    <row r="1123" spans="1:23">
      <c r="A1123" t="s">
        <v>2470</v>
      </c>
      <c r="B1123" s="20">
        <v>45733</v>
      </c>
      <c r="C1123" s="20">
        <v>45707</v>
      </c>
      <c r="D1123" t="s">
        <v>287</v>
      </c>
      <c r="E1123" t="s">
        <v>288</v>
      </c>
      <c r="F1123" s="19"/>
      <c r="G1123" t="s">
        <v>2946</v>
      </c>
      <c r="H1123" t="s">
        <v>73</v>
      </c>
      <c r="I1123" t="s">
        <v>74</v>
      </c>
      <c r="J1123" s="8" t="str">
        <f t="shared" si="108"/>
        <v>ANYD</v>
      </c>
      <c r="K1123" t="s">
        <v>10</v>
      </c>
      <c r="L1123" s="54">
        <v>1050</v>
      </c>
      <c r="M1123" t="s">
        <v>1472</v>
      </c>
      <c r="N1123" t="s">
        <v>11</v>
      </c>
      <c r="O1123" s="54">
        <v>8.84</v>
      </c>
      <c r="P1123" s="35">
        <f t="shared" si="106"/>
        <v>9282</v>
      </c>
      <c r="Q1123" s="10">
        <f t="shared" si="109"/>
        <v>7.3003400000000003</v>
      </c>
      <c r="R1123" s="10">
        <f t="shared" si="110"/>
        <v>1.2109000000000001</v>
      </c>
      <c r="S1123" s="11">
        <f t="shared" si="111"/>
        <v>1271.45</v>
      </c>
      <c r="T1123" s="10" t="s">
        <v>349</v>
      </c>
      <c r="U1123" t="s">
        <v>36</v>
      </c>
      <c r="V1123" s="58">
        <v>7.1775000000000002</v>
      </c>
      <c r="W1123" s="38">
        <f t="shared" si="107"/>
        <v>1293.2079414838036</v>
      </c>
    </row>
    <row r="1124" spans="1:23">
      <c r="A1124" t="s">
        <v>2471</v>
      </c>
      <c r="B1124" s="20">
        <v>45733</v>
      </c>
      <c r="C1124" s="20">
        <v>45707</v>
      </c>
      <c r="D1124" t="s">
        <v>287</v>
      </c>
      <c r="E1124" t="s">
        <v>288</v>
      </c>
      <c r="F1124" s="19"/>
      <c r="G1124" t="s">
        <v>2946</v>
      </c>
      <c r="H1124" t="s">
        <v>75</v>
      </c>
      <c r="I1124" t="s">
        <v>3280</v>
      </c>
      <c r="J1124" s="8" t="str">
        <f t="shared" si="108"/>
        <v>ANYD</v>
      </c>
      <c r="K1124" t="s">
        <v>10</v>
      </c>
      <c r="L1124" s="54">
        <v>1050</v>
      </c>
      <c r="M1124" t="s">
        <v>1472</v>
      </c>
      <c r="N1124" t="s">
        <v>11</v>
      </c>
      <c r="O1124" s="54">
        <v>9.5</v>
      </c>
      <c r="P1124" s="35">
        <f t="shared" si="106"/>
        <v>9975</v>
      </c>
      <c r="Q1124" s="10">
        <f t="shared" si="109"/>
        <v>7.3003400000000003</v>
      </c>
      <c r="R1124" s="10">
        <f t="shared" si="110"/>
        <v>1.3012999999999999</v>
      </c>
      <c r="S1124" s="11">
        <f t="shared" si="111"/>
        <v>1366.37</v>
      </c>
      <c r="T1124" s="10" t="s">
        <v>349</v>
      </c>
      <c r="U1124" t="s">
        <v>36</v>
      </c>
      <c r="V1124" s="58">
        <v>7.1775000000000002</v>
      </c>
      <c r="W1124" s="38">
        <f t="shared" si="107"/>
        <v>1389.7596656217345</v>
      </c>
    </row>
    <row r="1125" spans="1:23">
      <c r="A1125" t="s">
        <v>2472</v>
      </c>
      <c r="B1125" s="20">
        <v>45733</v>
      </c>
      <c r="C1125" s="20">
        <v>45708</v>
      </c>
      <c r="D1125" t="s">
        <v>2823</v>
      </c>
      <c r="E1125" t="s">
        <v>2824</v>
      </c>
      <c r="F1125" s="19"/>
      <c r="G1125" t="s">
        <v>2947</v>
      </c>
      <c r="H1125" t="s">
        <v>3142</v>
      </c>
      <c r="I1125" t="s">
        <v>3352</v>
      </c>
      <c r="J1125" s="8" t="str">
        <f t="shared" si="108"/>
        <v>MISC</v>
      </c>
      <c r="K1125" t="s">
        <v>10</v>
      </c>
      <c r="L1125" s="54">
        <v>200</v>
      </c>
      <c r="M1125" t="s">
        <v>1472</v>
      </c>
      <c r="N1125" t="s">
        <v>11</v>
      </c>
      <c r="O1125" s="54">
        <v>64</v>
      </c>
      <c r="P1125" s="35">
        <f t="shared" si="106"/>
        <v>12800</v>
      </c>
      <c r="Q1125" s="10">
        <f t="shared" si="109"/>
        <v>7.3003400000000003</v>
      </c>
      <c r="R1125" s="10">
        <f t="shared" si="110"/>
        <v>8.7667000000000002</v>
      </c>
      <c r="S1125" s="11">
        <f t="shared" si="111"/>
        <v>1753.34</v>
      </c>
      <c r="T1125" s="10" t="s">
        <v>349</v>
      </c>
      <c r="U1125" t="s">
        <v>25</v>
      </c>
      <c r="V1125" s="58">
        <v>7.1775000000000002</v>
      </c>
      <c r="W1125" s="38">
        <f t="shared" si="107"/>
        <v>1783.3507488679902</v>
      </c>
    </row>
    <row r="1126" spans="1:23">
      <c r="A1126" t="s">
        <v>2473</v>
      </c>
      <c r="B1126" s="20">
        <v>45733</v>
      </c>
      <c r="C1126" s="20">
        <v>45708</v>
      </c>
      <c r="D1126" t="s">
        <v>2823</v>
      </c>
      <c r="E1126" t="s">
        <v>2824</v>
      </c>
      <c r="F1126" s="19"/>
      <c r="G1126" t="s">
        <v>2947</v>
      </c>
      <c r="H1126" t="s">
        <v>3143</v>
      </c>
      <c r="I1126" t="s">
        <v>3353</v>
      </c>
      <c r="J1126" s="8" t="str">
        <f t="shared" si="108"/>
        <v>MISC</v>
      </c>
      <c r="K1126" t="s">
        <v>10</v>
      </c>
      <c r="L1126" s="54">
        <v>100</v>
      </c>
      <c r="M1126" t="s">
        <v>1472</v>
      </c>
      <c r="N1126" t="s">
        <v>11</v>
      </c>
      <c r="O1126" s="54">
        <v>52</v>
      </c>
      <c r="P1126" s="35">
        <f t="shared" si="106"/>
        <v>5200</v>
      </c>
      <c r="Q1126" s="10">
        <f t="shared" si="109"/>
        <v>7.3003400000000003</v>
      </c>
      <c r="R1126" s="10">
        <f t="shared" si="110"/>
        <v>7.1230000000000002</v>
      </c>
      <c r="S1126" s="11">
        <f t="shared" si="111"/>
        <v>712.3</v>
      </c>
      <c r="T1126" s="10" t="s">
        <v>349</v>
      </c>
      <c r="U1126" t="s">
        <v>25</v>
      </c>
      <c r="V1126" s="58">
        <v>7.1775000000000002</v>
      </c>
      <c r="W1126" s="38">
        <f t="shared" si="107"/>
        <v>724.48624172762106</v>
      </c>
    </row>
    <row r="1127" spans="1:23">
      <c r="A1127" t="s">
        <v>2474</v>
      </c>
      <c r="B1127" s="20">
        <v>45733</v>
      </c>
      <c r="C1127" s="20">
        <v>45708</v>
      </c>
      <c r="D1127" t="s">
        <v>2823</v>
      </c>
      <c r="E1127" t="s">
        <v>2824</v>
      </c>
      <c r="F1127" s="19"/>
      <c r="G1127" t="s">
        <v>2947</v>
      </c>
      <c r="H1127" t="s">
        <v>3144</v>
      </c>
      <c r="I1127" t="s">
        <v>3354</v>
      </c>
      <c r="J1127" s="8" t="str">
        <f t="shared" si="108"/>
        <v>MISC</v>
      </c>
      <c r="K1127" t="s">
        <v>10</v>
      </c>
      <c r="L1127" s="54">
        <v>50</v>
      </c>
      <c r="M1127" t="s">
        <v>1472</v>
      </c>
      <c r="N1127" t="s">
        <v>11</v>
      </c>
      <c r="O1127" s="54">
        <v>276.60000000000002</v>
      </c>
      <c r="P1127" s="35">
        <f t="shared" si="106"/>
        <v>13830</v>
      </c>
      <c r="Q1127" s="10">
        <f t="shared" si="109"/>
        <v>7.3003400000000003</v>
      </c>
      <c r="R1127" s="10">
        <f t="shared" si="110"/>
        <v>37.888599999999997</v>
      </c>
      <c r="S1127" s="11">
        <f t="shared" si="111"/>
        <v>1894.43</v>
      </c>
      <c r="T1127" s="10" t="s">
        <v>349</v>
      </c>
      <c r="U1127" t="s">
        <v>25</v>
      </c>
      <c r="V1127" s="58">
        <v>7.1775000000000002</v>
      </c>
      <c r="W1127" s="38">
        <f t="shared" si="107"/>
        <v>1926.8547544409614</v>
      </c>
    </row>
    <row r="1128" spans="1:23">
      <c r="A1128" t="s">
        <v>2476</v>
      </c>
      <c r="B1128" s="20">
        <v>45733</v>
      </c>
      <c r="C1128" s="20">
        <v>45709</v>
      </c>
      <c r="D1128" t="s">
        <v>287</v>
      </c>
      <c r="E1128" t="s">
        <v>288</v>
      </c>
      <c r="F1128" s="19"/>
      <c r="G1128" t="s">
        <v>2946</v>
      </c>
      <c r="H1128" t="s">
        <v>73</v>
      </c>
      <c r="I1128" t="s">
        <v>74</v>
      </c>
      <c r="J1128" s="8" t="str">
        <f t="shared" si="108"/>
        <v>ANYD</v>
      </c>
      <c r="K1128" t="s">
        <v>10</v>
      </c>
      <c r="L1128" s="54">
        <v>900</v>
      </c>
      <c r="M1128" t="s">
        <v>1472</v>
      </c>
      <c r="N1128" t="s">
        <v>11</v>
      </c>
      <c r="O1128" s="54">
        <v>8.84</v>
      </c>
      <c r="P1128" s="35">
        <f t="shared" si="106"/>
        <v>7956</v>
      </c>
      <c r="Q1128" s="10">
        <f t="shared" si="109"/>
        <v>7.3003400000000003</v>
      </c>
      <c r="R1128" s="10">
        <f t="shared" si="110"/>
        <v>1.2109000000000001</v>
      </c>
      <c r="S1128" s="11">
        <f t="shared" si="111"/>
        <v>1089.81</v>
      </c>
      <c r="T1128" s="10" t="s">
        <v>349</v>
      </c>
      <c r="U1128" t="s">
        <v>36</v>
      </c>
      <c r="V1128" s="58">
        <v>7.1775000000000002</v>
      </c>
      <c r="W1128" s="38">
        <f t="shared" si="107"/>
        <v>1108.4639498432603</v>
      </c>
    </row>
    <row r="1129" spans="1:23">
      <c r="A1129" t="s">
        <v>2477</v>
      </c>
      <c r="B1129" s="20">
        <v>45733</v>
      </c>
      <c r="C1129" s="20">
        <v>45709</v>
      </c>
      <c r="D1129" t="s">
        <v>287</v>
      </c>
      <c r="E1129" t="s">
        <v>288</v>
      </c>
      <c r="F1129" s="19"/>
      <c r="G1129" t="s">
        <v>2946</v>
      </c>
      <c r="H1129" t="s">
        <v>75</v>
      </c>
      <c r="I1129" t="s">
        <v>3280</v>
      </c>
      <c r="J1129" s="8" t="str">
        <f t="shared" si="108"/>
        <v>ANYD</v>
      </c>
      <c r="K1129" t="s">
        <v>10</v>
      </c>
      <c r="L1129" s="54">
        <v>1000</v>
      </c>
      <c r="M1129" t="s">
        <v>1472</v>
      </c>
      <c r="N1129" t="s">
        <v>11</v>
      </c>
      <c r="O1129" s="54">
        <v>9.5</v>
      </c>
      <c r="P1129" s="35">
        <f t="shared" si="106"/>
        <v>9500</v>
      </c>
      <c r="Q1129" s="10">
        <f t="shared" si="109"/>
        <v>7.3003400000000003</v>
      </c>
      <c r="R1129" s="10">
        <f t="shared" si="110"/>
        <v>1.3012999999999999</v>
      </c>
      <c r="S1129" s="11">
        <f t="shared" si="111"/>
        <v>1301.3</v>
      </c>
      <c r="T1129" s="10" t="s">
        <v>349</v>
      </c>
      <c r="U1129" t="s">
        <v>36</v>
      </c>
      <c r="V1129" s="58">
        <v>7.1775000000000002</v>
      </c>
      <c r="W1129" s="38">
        <f t="shared" si="107"/>
        <v>1323.5806339254614</v>
      </c>
    </row>
    <row r="1130" spans="1:23">
      <c r="A1130" t="s">
        <v>2479</v>
      </c>
      <c r="B1130" s="20">
        <v>45733</v>
      </c>
      <c r="C1130" s="20">
        <v>45709</v>
      </c>
      <c r="D1130" t="s">
        <v>169</v>
      </c>
      <c r="E1130" t="s">
        <v>170</v>
      </c>
      <c r="F1130" s="19"/>
      <c r="G1130" t="s">
        <v>2948</v>
      </c>
      <c r="H1130" t="s">
        <v>1104</v>
      </c>
      <c r="I1130" t="s">
        <v>1105</v>
      </c>
      <c r="J1130" s="8" t="str">
        <f t="shared" si="108"/>
        <v>WACD</v>
      </c>
      <c r="K1130" t="s">
        <v>10</v>
      </c>
      <c r="L1130" s="54">
        <v>1000</v>
      </c>
      <c r="M1130" t="s">
        <v>1472</v>
      </c>
      <c r="N1130" t="s">
        <v>11</v>
      </c>
      <c r="O1130" s="54">
        <v>0.26800000000000002</v>
      </c>
      <c r="P1130" s="35">
        <f t="shared" si="106"/>
        <v>268</v>
      </c>
      <c r="Q1130" s="10">
        <f t="shared" si="109"/>
        <v>7.3003400000000003</v>
      </c>
      <c r="R1130" s="10">
        <f t="shared" si="110"/>
        <v>3.6700000000000003E-2</v>
      </c>
      <c r="S1130" s="11">
        <f t="shared" si="111"/>
        <v>36.700000000000003</v>
      </c>
      <c r="T1130" s="10" t="s">
        <v>349</v>
      </c>
      <c r="U1130" t="s">
        <v>635</v>
      </c>
      <c r="V1130" s="58">
        <v>7.1775000000000002</v>
      </c>
      <c r="W1130" s="38">
        <f t="shared" si="107"/>
        <v>37.338906304423546</v>
      </c>
    </row>
    <row r="1131" spans="1:23">
      <c r="A1131" t="s">
        <v>2491</v>
      </c>
      <c r="B1131" s="20">
        <v>45733</v>
      </c>
      <c r="C1131" s="20">
        <v>45713</v>
      </c>
      <c r="D1131" t="s">
        <v>2257</v>
      </c>
      <c r="E1131" t="s">
        <v>2258</v>
      </c>
      <c r="F1131" s="19"/>
      <c r="G1131" t="s">
        <v>2954</v>
      </c>
      <c r="H1131" t="s">
        <v>1798</v>
      </c>
      <c r="I1131" t="s">
        <v>1799</v>
      </c>
      <c r="J1131" s="8" t="str">
        <f t="shared" si="108"/>
        <v>HDL-</v>
      </c>
      <c r="K1131" t="s">
        <v>10</v>
      </c>
      <c r="L1131" s="54">
        <v>4100</v>
      </c>
      <c r="M1131" t="s">
        <v>1472</v>
      </c>
      <c r="N1131" t="s">
        <v>11</v>
      </c>
      <c r="O1131" s="54">
        <v>7.4931000000000001</v>
      </c>
      <c r="P1131" s="35">
        <f t="shared" si="106"/>
        <v>30721.71</v>
      </c>
      <c r="Q1131" s="10">
        <f t="shared" si="109"/>
        <v>7.3003400000000003</v>
      </c>
      <c r="R1131" s="10">
        <f t="shared" si="110"/>
        <v>1.0264</v>
      </c>
      <c r="S1131" s="11">
        <f t="shared" si="111"/>
        <v>4208.24</v>
      </c>
      <c r="T1131" s="10" t="s">
        <v>349</v>
      </c>
      <c r="U1131" t="s">
        <v>228</v>
      </c>
      <c r="V1131" s="58">
        <v>7.1775000000000002</v>
      </c>
      <c r="W1131" s="38">
        <f t="shared" si="107"/>
        <v>4280.280041797283</v>
      </c>
    </row>
    <row r="1132" spans="1:23">
      <c r="A1132" t="s">
        <v>2503</v>
      </c>
      <c r="B1132" s="20">
        <v>45733</v>
      </c>
      <c r="C1132" s="20">
        <v>45713</v>
      </c>
      <c r="D1132" t="s">
        <v>2257</v>
      </c>
      <c r="E1132" t="s">
        <v>2258</v>
      </c>
      <c r="F1132" s="19"/>
      <c r="G1132" t="s">
        <v>2954</v>
      </c>
      <c r="H1132" t="s">
        <v>3151</v>
      </c>
      <c r="I1132" t="s">
        <v>3361</v>
      </c>
      <c r="J1132" s="8" t="str">
        <f t="shared" si="108"/>
        <v>HDL-</v>
      </c>
      <c r="K1132" t="s">
        <v>10</v>
      </c>
      <c r="L1132" s="54">
        <v>4400</v>
      </c>
      <c r="M1132" t="s">
        <v>1472</v>
      </c>
      <c r="N1132" t="s">
        <v>11</v>
      </c>
      <c r="O1132" s="54">
        <v>8.7460000000000004</v>
      </c>
      <c r="P1132" s="35">
        <f t="shared" si="106"/>
        <v>38482.400000000001</v>
      </c>
      <c r="Q1132" s="10">
        <f t="shared" si="109"/>
        <v>7.3003400000000003</v>
      </c>
      <c r="R1132" s="10">
        <f t="shared" si="110"/>
        <v>1.198</v>
      </c>
      <c r="S1132" s="11">
        <f t="shared" si="111"/>
        <v>5271.2</v>
      </c>
      <c r="T1132" s="10" t="s">
        <v>349</v>
      </c>
      <c r="U1132" t="s">
        <v>228</v>
      </c>
      <c r="V1132" s="58">
        <v>7.1775000000000002</v>
      </c>
      <c r="W1132" s="38">
        <f t="shared" si="107"/>
        <v>5361.5325670498078</v>
      </c>
    </row>
    <row r="1133" spans="1:23">
      <c r="A1133" t="s">
        <v>2512</v>
      </c>
      <c r="B1133" s="20">
        <v>45733</v>
      </c>
      <c r="C1133" s="20">
        <v>45713</v>
      </c>
      <c r="D1133" t="s">
        <v>169</v>
      </c>
      <c r="E1133" t="s">
        <v>170</v>
      </c>
      <c r="F1133" s="19"/>
      <c r="G1133" t="s">
        <v>2960</v>
      </c>
      <c r="H1133" t="s">
        <v>3155</v>
      </c>
      <c r="I1133" t="s">
        <v>3365</v>
      </c>
      <c r="J1133" s="8" t="str">
        <f t="shared" si="108"/>
        <v>STKR</v>
      </c>
      <c r="K1133" t="s">
        <v>10</v>
      </c>
      <c r="L1133" s="54">
        <v>1010</v>
      </c>
      <c r="M1133" t="s">
        <v>1472</v>
      </c>
      <c r="N1133" t="s">
        <v>11</v>
      </c>
      <c r="O1133" s="54">
        <v>0.08</v>
      </c>
      <c r="P1133" s="35">
        <f t="shared" si="106"/>
        <v>80.8</v>
      </c>
      <c r="Q1133" s="10">
        <f t="shared" si="109"/>
        <v>7.3003400000000003</v>
      </c>
      <c r="R1133" s="10">
        <f t="shared" si="110"/>
        <v>1.0999999999999999E-2</v>
      </c>
      <c r="S1133" s="11">
        <f t="shared" si="111"/>
        <v>11.11</v>
      </c>
      <c r="T1133" s="10" t="s">
        <v>349</v>
      </c>
      <c r="U1133" t="s">
        <v>18</v>
      </c>
      <c r="V1133" s="58">
        <v>7.1775000000000002</v>
      </c>
      <c r="W1133" s="38">
        <f t="shared" si="107"/>
        <v>11.257401602229189</v>
      </c>
    </row>
    <row r="1134" spans="1:23">
      <c r="A1134" t="s">
        <v>2519</v>
      </c>
      <c r="B1134" s="20">
        <v>45733</v>
      </c>
      <c r="C1134" s="20">
        <v>45713</v>
      </c>
      <c r="D1134" t="s">
        <v>169</v>
      </c>
      <c r="E1134" t="s">
        <v>170</v>
      </c>
      <c r="F1134" s="19"/>
      <c r="G1134" t="s">
        <v>2948</v>
      </c>
      <c r="H1134" t="s">
        <v>174</v>
      </c>
      <c r="I1134" t="s">
        <v>175</v>
      </c>
      <c r="J1134" s="8" t="str">
        <f t="shared" si="108"/>
        <v>U&amp;C-</v>
      </c>
      <c r="K1134" t="s">
        <v>10</v>
      </c>
      <c r="L1134" s="54">
        <v>2000</v>
      </c>
      <c r="M1134" t="s">
        <v>1472</v>
      </c>
      <c r="N1134" t="s">
        <v>11</v>
      </c>
      <c r="O1134" s="54">
        <v>0.28000000000000003</v>
      </c>
      <c r="P1134" s="35">
        <f t="shared" si="106"/>
        <v>560</v>
      </c>
      <c r="Q1134" s="10">
        <f t="shared" si="109"/>
        <v>7.3003400000000003</v>
      </c>
      <c r="R1134" s="10">
        <f t="shared" si="110"/>
        <v>3.8399999999999997E-2</v>
      </c>
      <c r="S1134" s="11">
        <f t="shared" si="111"/>
        <v>76.8</v>
      </c>
      <c r="T1134" s="10" t="s">
        <v>349</v>
      </c>
      <c r="U1134" t="s">
        <v>177</v>
      </c>
      <c r="V1134" s="58">
        <v>7.1775000000000002</v>
      </c>
      <c r="W1134" s="38">
        <f t="shared" si="107"/>
        <v>78.021595262974571</v>
      </c>
    </row>
    <row r="1135" spans="1:23">
      <c r="A1135" t="s">
        <v>2524</v>
      </c>
      <c r="B1135" s="20">
        <v>45733</v>
      </c>
      <c r="C1135" s="20">
        <v>45713</v>
      </c>
      <c r="D1135" t="s">
        <v>101</v>
      </c>
      <c r="E1135" t="s">
        <v>102</v>
      </c>
      <c r="F1135" s="19"/>
      <c r="G1135" t="s">
        <v>2964</v>
      </c>
      <c r="H1135" t="s">
        <v>99</v>
      </c>
      <c r="I1135" t="s">
        <v>100</v>
      </c>
      <c r="J1135" s="8" t="str">
        <f t="shared" si="108"/>
        <v>STKR</v>
      </c>
      <c r="K1135" t="s">
        <v>10</v>
      </c>
      <c r="L1135" s="54">
        <v>1010</v>
      </c>
      <c r="M1135" t="s">
        <v>1472</v>
      </c>
      <c r="N1135" t="s">
        <v>11</v>
      </c>
      <c r="O1135" s="54">
        <v>0.11</v>
      </c>
      <c r="P1135" s="35">
        <f t="shared" si="106"/>
        <v>111.1</v>
      </c>
      <c r="Q1135" s="10">
        <f t="shared" si="109"/>
        <v>7.3003400000000003</v>
      </c>
      <c r="R1135" s="10">
        <f t="shared" si="110"/>
        <v>1.5100000000000001E-2</v>
      </c>
      <c r="S1135" s="11">
        <f t="shared" si="111"/>
        <v>15.25</v>
      </c>
      <c r="T1135" s="10" t="s">
        <v>349</v>
      </c>
      <c r="U1135" t="s">
        <v>18</v>
      </c>
      <c r="V1135" s="58">
        <v>7.1775000000000002</v>
      </c>
      <c r="W1135" s="38">
        <f t="shared" si="107"/>
        <v>15.478927203065133</v>
      </c>
    </row>
    <row r="1136" spans="1:23">
      <c r="A1136" t="s">
        <v>2525</v>
      </c>
      <c r="B1136" s="20">
        <v>45733</v>
      </c>
      <c r="C1136" s="20">
        <v>45713</v>
      </c>
      <c r="D1136" t="s">
        <v>101</v>
      </c>
      <c r="E1136" t="s">
        <v>102</v>
      </c>
      <c r="F1136" s="19"/>
      <c r="G1136" t="s">
        <v>2964</v>
      </c>
      <c r="H1136" t="s">
        <v>99</v>
      </c>
      <c r="I1136" t="s">
        <v>100</v>
      </c>
      <c r="J1136" s="8" t="str">
        <f t="shared" si="108"/>
        <v>STKR</v>
      </c>
      <c r="K1136" t="s">
        <v>10</v>
      </c>
      <c r="L1136" s="54">
        <v>1010</v>
      </c>
      <c r="M1136" t="s">
        <v>1472</v>
      </c>
      <c r="N1136" t="s">
        <v>11</v>
      </c>
      <c r="O1136" s="54">
        <v>0.11</v>
      </c>
      <c r="P1136" s="35">
        <f t="shared" si="106"/>
        <v>111.1</v>
      </c>
      <c r="Q1136" s="10">
        <f t="shared" si="109"/>
        <v>7.3003400000000003</v>
      </c>
      <c r="R1136" s="10">
        <f t="shared" si="110"/>
        <v>1.5100000000000001E-2</v>
      </c>
      <c r="S1136" s="11">
        <f t="shared" si="111"/>
        <v>15.25</v>
      </c>
      <c r="T1136" s="10" t="s">
        <v>349</v>
      </c>
      <c r="U1136" t="s">
        <v>18</v>
      </c>
      <c r="V1136" s="58">
        <v>7.1775000000000002</v>
      </c>
      <c r="W1136" s="38">
        <f t="shared" si="107"/>
        <v>15.478927203065133</v>
      </c>
    </row>
    <row r="1137" spans="1:23">
      <c r="A1137" t="s">
        <v>2526</v>
      </c>
      <c r="B1137" s="20">
        <v>45733</v>
      </c>
      <c r="C1137" s="20">
        <v>45713</v>
      </c>
      <c r="D1137" t="s">
        <v>101</v>
      </c>
      <c r="E1137" t="s">
        <v>102</v>
      </c>
      <c r="F1137" s="19"/>
      <c r="G1137" t="s">
        <v>2964</v>
      </c>
      <c r="H1137" t="s">
        <v>99</v>
      </c>
      <c r="I1137" t="s">
        <v>100</v>
      </c>
      <c r="J1137" s="8" t="str">
        <f t="shared" si="108"/>
        <v>STKR</v>
      </c>
      <c r="K1137" t="s">
        <v>10</v>
      </c>
      <c r="L1137" s="54">
        <v>1010</v>
      </c>
      <c r="M1137" t="s">
        <v>1472</v>
      </c>
      <c r="N1137" t="s">
        <v>11</v>
      </c>
      <c r="O1137" s="54">
        <v>0.11</v>
      </c>
      <c r="P1137" s="35">
        <f t="shared" si="106"/>
        <v>111.1</v>
      </c>
      <c r="Q1137" s="10">
        <f t="shared" si="109"/>
        <v>7.3003400000000003</v>
      </c>
      <c r="R1137" s="10">
        <f t="shared" si="110"/>
        <v>1.5100000000000001E-2</v>
      </c>
      <c r="S1137" s="11">
        <f t="shared" si="111"/>
        <v>15.25</v>
      </c>
      <c r="T1137" s="10" t="s">
        <v>349</v>
      </c>
      <c r="U1137" t="s">
        <v>18</v>
      </c>
      <c r="V1137" s="58">
        <v>7.1775000000000002</v>
      </c>
      <c r="W1137" s="38">
        <f t="shared" si="107"/>
        <v>15.478927203065133</v>
      </c>
    </row>
    <row r="1138" spans="1:23">
      <c r="A1138" t="s">
        <v>2527</v>
      </c>
      <c r="B1138" s="20">
        <v>45733</v>
      </c>
      <c r="C1138" s="20">
        <v>45713</v>
      </c>
      <c r="D1138" t="s">
        <v>101</v>
      </c>
      <c r="E1138" t="s">
        <v>102</v>
      </c>
      <c r="F1138" s="19"/>
      <c r="G1138" t="s">
        <v>2964</v>
      </c>
      <c r="H1138" t="s">
        <v>3162</v>
      </c>
      <c r="I1138" t="s">
        <v>3372</v>
      </c>
      <c r="J1138" s="8" t="str">
        <f t="shared" si="108"/>
        <v>STKR</v>
      </c>
      <c r="K1138" t="s">
        <v>10</v>
      </c>
      <c r="L1138" s="54">
        <v>1010</v>
      </c>
      <c r="M1138" t="s">
        <v>1472</v>
      </c>
      <c r="N1138" t="s">
        <v>11</v>
      </c>
      <c r="O1138" s="54">
        <v>0.05</v>
      </c>
      <c r="P1138" s="35">
        <f t="shared" si="106"/>
        <v>50.5</v>
      </c>
      <c r="Q1138" s="10">
        <f t="shared" si="109"/>
        <v>7.3003400000000003</v>
      </c>
      <c r="R1138" s="10">
        <f t="shared" si="110"/>
        <v>6.7999999999999996E-3</v>
      </c>
      <c r="S1138" s="11">
        <f t="shared" si="111"/>
        <v>6.87</v>
      </c>
      <c r="T1138" s="10" t="s">
        <v>349</v>
      </c>
      <c r="U1138" t="s">
        <v>18</v>
      </c>
      <c r="V1138" s="58">
        <v>7.1775000000000002</v>
      </c>
      <c r="W1138" s="38">
        <f t="shared" si="107"/>
        <v>7.0358760013932429</v>
      </c>
    </row>
    <row r="1139" spans="1:23">
      <c r="A1139" t="s">
        <v>2536</v>
      </c>
      <c r="B1139" s="20">
        <v>45733</v>
      </c>
      <c r="C1139" s="20">
        <v>45714</v>
      </c>
      <c r="D1139" t="s">
        <v>94</v>
      </c>
      <c r="E1139" t="s">
        <v>95</v>
      </c>
      <c r="F1139" s="19"/>
      <c r="G1139" t="s">
        <v>2977</v>
      </c>
      <c r="H1139" t="s">
        <v>3165</v>
      </c>
      <c r="I1139" t="s">
        <v>3375</v>
      </c>
      <c r="J1139" s="8" t="str">
        <f t="shared" si="108"/>
        <v>LID-</v>
      </c>
      <c r="K1139" t="s">
        <v>98</v>
      </c>
      <c r="L1139" s="54">
        <v>1265</v>
      </c>
      <c r="M1139" t="s">
        <v>1472</v>
      </c>
      <c r="N1139" t="s">
        <v>11</v>
      </c>
      <c r="O1139" s="54">
        <v>4.37</v>
      </c>
      <c r="P1139" s="35">
        <f t="shared" si="106"/>
        <v>5528.05</v>
      </c>
      <c r="Q1139" s="10">
        <f t="shared" si="109"/>
        <v>7.3003400000000003</v>
      </c>
      <c r="R1139" s="10">
        <f t="shared" si="110"/>
        <v>0.59860000000000002</v>
      </c>
      <c r="S1139" s="11">
        <f t="shared" si="111"/>
        <v>757.23</v>
      </c>
      <c r="T1139" s="10" t="s">
        <v>349</v>
      </c>
      <c r="U1139" t="s">
        <v>368</v>
      </c>
      <c r="V1139" s="58">
        <v>7.1775000000000002</v>
      </c>
      <c r="W1139" s="38">
        <f t="shared" si="107"/>
        <v>770.19157088122597</v>
      </c>
    </row>
    <row r="1140" spans="1:23">
      <c r="A1140" t="s">
        <v>2538</v>
      </c>
      <c r="B1140" s="20">
        <v>45733</v>
      </c>
      <c r="C1140" s="20">
        <v>45714</v>
      </c>
      <c r="D1140" t="s">
        <v>830</v>
      </c>
      <c r="E1140" t="s">
        <v>831</v>
      </c>
      <c r="F1140" s="19"/>
      <c r="G1140" t="s">
        <v>2980</v>
      </c>
      <c r="H1140" t="s">
        <v>3166</v>
      </c>
      <c r="I1140" t="s">
        <v>3376</v>
      </c>
      <c r="J1140" s="8" t="str">
        <f t="shared" si="108"/>
        <v>LID-</v>
      </c>
      <c r="K1140" t="s">
        <v>98</v>
      </c>
      <c r="L1140" s="54">
        <v>3168</v>
      </c>
      <c r="M1140" t="s">
        <v>1472</v>
      </c>
      <c r="N1140" t="s">
        <v>11</v>
      </c>
      <c r="O1140" s="54">
        <v>4.2</v>
      </c>
      <c r="P1140" s="35">
        <f t="shared" si="106"/>
        <v>13305.6</v>
      </c>
      <c r="Q1140" s="10">
        <f t="shared" si="109"/>
        <v>7.3003400000000003</v>
      </c>
      <c r="R1140" s="10">
        <f t="shared" si="110"/>
        <v>0.57530000000000003</v>
      </c>
      <c r="S1140" s="11">
        <f t="shared" si="111"/>
        <v>1822.55</v>
      </c>
      <c r="T1140" s="10" t="s">
        <v>349</v>
      </c>
      <c r="U1140" t="s">
        <v>368</v>
      </c>
      <c r="V1140" s="58">
        <v>7.1775000000000002</v>
      </c>
      <c r="W1140" s="38">
        <f t="shared" si="107"/>
        <v>1853.7931034482758</v>
      </c>
    </row>
    <row r="1141" spans="1:23">
      <c r="A1141" t="s">
        <v>2542</v>
      </c>
      <c r="B1141" s="20">
        <v>45733</v>
      </c>
      <c r="C1141" s="20">
        <v>45714</v>
      </c>
      <c r="D1141" t="s">
        <v>651</v>
      </c>
      <c r="E1141" t="s">
        <v>652</v>
      </c>
      <c r="F1141" s="19"/>
      <c r="G1141" t="s">
        <v>2931</v>
      </c>
      <c r="H1141" t="s">
        <v>716</v>
      </c>
      <c r="I1141" t="s">
        <v>717</v>
      </c>
      <c r="J1141" s="8" t="str">
        <f t="shared" si="108"/>
        <v>KNOB</v>
      </c>
      <c r="K1141" t="s">
        <v>10</v>
      </c>
      <c r="L1141" s="54">
        <v>1030</v>
      </c>
      <c r="M1141" t="s">
        <v>1472</v>
      </c>
      <c r="N1141" t="s">
        <v>11</v>
      </c>
      <c r="O1141" s="54">
        <v>0.7</v>
      </c>
      <c r="P1141" s="35">
        <f t="shared" si="106"/>
        <v>721</v>
      </c>
      <c r="Q1141" s="10">
        <f t="shared" si="109"/>
        <v>7.3003400000000003</v>
      </c>
      <c r="R1141" s="10">
        <f t="shared" si="110"/>
        <v>9.5899999999999999E-2</v>
      </c>
      <c r="S1141" s="11">
        <f t="shared" si="111"/>
        <v>98.78</v>
      </c>
      <c r="T1141" s="10" t="s">
        <v>349</v>
      </c>
      <c r="U1141" t="s">
        <v>32</v>
      </c>
      <c r="V1141" s="58">
        <v>7.1775000000000002</v>
      </c>
      <c r="W1141" s="38">
        <f t="shared" si="107"/>
        <v>100.45280390107975</v>
      </c>
    </row>
    <row r="1142" spans="1:23">
      <c r="A1142" t="s">
        <v>2545</v>
      </c>
      <c r="B1142" s="20">
        <v>45733</v>
      </c>
      <c r="C1142" s="20">
        <v>45714</v>
      </c>
      <c r="D1142" t="s">
        <v>235</v>
      </c>
      <c r="E1142" t="s">
        <v>236</v>
      </c>
      <c r="F1142" s="19"/>
      <c r="G1142" t="s">
        <v>2990</v>
      </c>
      <c r="H1142" t="s">
        <v>1352</v>
      </c>
      <c r="I1142" t="s">
        <v>1353</v>
      </c>
      <c r="J1142" s="8" t="str">
        <f t="shared" si="108"/>
        <v>RIV-</v>
      </c>
      <c r="K1142" t="s">
        <v>10</v>
      </c>
      <c r="L1142" s="54">
        <v>80000</v>
      </c>
      <c r="M1142" t="s">
        <v>1472</v>
      </c>
      <c r="N1142" t="s">
        <v>11</v>
      </c>
      <c r="O1142" s="54">
        <v>0.13150000000000001</v>
      </c>
      <c r="P1142" s="35">
        <f t="shared" si="106"/>
        <v>10520</v>
      </c>
      <c r="Q1142" s="10">
        <f t="shared" si="109"/>
        <v>7.3003400000000003</v>
      </c>
      <c r="R1142" s="10">
        <f t="shared" si="110"/>
        <v>1.7999999999999999E-2</v>
      </c>
      <c r="S1142" s="11">
        <f t="shared" si="111"/>
        <v>1440</v>
      </c>
      <c r="T1142" s="10" t="s">
        <v>349</v>
      </c>
      <c r="U1142" t="s">
        <v>132</v>
      </c>
      <c r="V1142" s="58">
        <v>7.1775000000000002</v>
      </c>
      <c r="W1142" s="38">
        <f t="shared" si="107"/>
        <v>1465.6913967258795</v>
      </c>
    </row>
    <row r="1143" spans="1:23">
      <c r="A1143" t="s">
        <v>2547</v>
      </c>
      <c r="B1143" s="20">
        <v>45733</v>
      </c>
      <c r="C1143" s="20">
        <v>45716</v>
      </c>
      <c r="D1143" t="s">
        <v>311</v>
      </c>
      <c r="E1143" t="s">
        <v>312</v>
      </c>
      <c r="F1143" s="19"/>
      <c r="G1143" t="s">
        <v>2992</v>
      </c>
      <c r="H1143" t="s">
        <v>341</v>
      </c>
      <c r="I1143" t="s">
        <v>342</v>
      </c>
      <c r="J1143" s="8" t="str">
        <f t="shared" si="108"/>
        <v>INM-</v>
      </c>
      <c r="K1143" t="s">
        <v>10</v>
      </c>
      <c r="L1143" s="54">
        <v>50</v>
      </c>
      <c r="M1143" t="s">
        <v>186</v>
      </c>
      <c r="N1143" t="s">
        <v>11</v>
      </c>
      <c r="O1143" s="54">
        <v>63.008800000000001</v>
      </c>
      <c r="P1143" s="35">
        <f t="shared" si="106"/>
        <v>3150.44</v>
      </c>
      <c r="Q1143" s="10">
        <f t="shared" si="109"/>
        <v>7.3003400000000003</v>
      </c>
      <c r="R1143" s="10">
        <f t="shared" si="110"/>
        <v>8.6309000000000005</v>
      </c>
      <c r="S1143" s="11">
        <f t="shared" si="111"/>
        <v>431.55</v>
      </c>
      <c r="T1143" s="10" t="s">
        <v>349</v>
      </c>
      <c r="U1143" t="s">
        <v>327</v>
      </c>
      <c r="V1143" s="58">
        <v>7.1775000000000002</v>
      </c>
      <c r="W1143" s="38">
        <f t="shared" si="107"/>
        <v>438.93277603622431</v>
      </c>
    </row>
    <row r="1144" spans="1:23">
      <c r="A1144" t="s">
        <v>2548</v>
      </c>
      <c r="B1144" s="20">
        <v>45733</v>
      </c>
      <c r="C1144" s="20">
        <v>45716</v>
      </c>
      <c r="D1144" t="s">
        <v>311</v>
      </c>
      <c r="E1144" t="s">
        <v>312</v>
      </c>
      <c r="F1144" s="19"/>
      <c r="G1144" t="s">
        <v>2992</v>
      </c>
      <c r="H1144" t="s">
        <v>662</v>
      </c>
      <c r="I1144" t="s">
        <v>663</v>
      </c>
      <c r="J1144" s="8" t="str">
        <f t="shared" si="108"/>
        <v>INM-</v>
      </c>
      <c r="K1144" t="s">
        <v>10</v>
      </c>
      <c r="L1144" s="54">
        <v>75</v>
      </c>
      <c r="M1144" t="s">
        <v>186</v>
      </c>
      <c r="N1144" t="s">
        <v>11</v>
      </c>
      <c r="O1144" s="54">
        <v>92.743399999999994</v>
      </c>
      <c r="P1144" s="35">
        <f t="shared" si="106"/>
        <v>6955.76</v>
      </c>
      <c r="Q1144" s="10">
        <f t="shared" si="109"/>
        <v>7.3003400000000003</v>
      </c>
      <c r="R1144" s="10">
        <f t="shared" si="110"/>
        <v>12.704000000000001</v>
      </c>
      <c r="S1144" s="11">
        <f t="shared" si="111"/>
        <v>952.8</v>
      </c>
      <c r="T1144" s="10" t="s">
        <v>349</v>
      </c>
      <c r="U1144" t="s">
        <v>327</v>
      </c>
      <c r="V1144" s="58">
        <v>7.1775000000000002</v>
      </c>
      <c r="W1144" s="38">
        <f t="shared" si="107"/>
        <v>969.10553814002083</v>
      </c>
    </row>
    <row r="1145" spans="1:23">
      <c r="A1145" t="s">
        <v>2582</v>
      </c>
      <c r="B1145" s="20">
        <v>45733</v>
      </c>
      <c r="C1145" s="20">
        <v>45716</v>
      </c>
      <c r="D1145" t="s">
        <v>2827</v>
      </c>
      <c r="E1145" t="s">
        <v>2828</v>
      </c>
      <c r="F1145" s="19"/>
      <c r="G1145" t="s">
        <v>3004</v>
      </c>
      <c r="H1145" t="s">
        <v>3185</v>
      </c>
      <c r="I1145" t="s">
        <v>3392</v>
      </c>
      <c r="J1145" s="8" t="str">
        <f t="shared" si="108"/>
        <v>INM-</v>
      </c>
      <c r="K1145" t="s">
        <v>10</v>
      </c>
      <c r="L1145" s="54">
        <v>150</v>
      </c>
      <c r="M1145" t="s">
        <v>186</v>
      </c>
      <c r="N1145" t="s">
        <v>11</v>
      </c>
      <c r="O1145" s="54">
        <v>120.4248</v>
      </c>
      <c r="P1145" s="35">
        <f t="shared" si="106"/>
        <v>18063.72</v>
      </c>
      <c r="Q1145" s="10">
        <f t="shared" si="109"/>
        <v>7.3003400000000003</v>
      </c>
      <c r="R1145" s="10">
        <f t="shared" si="110"/>
        <v>16.495799999999999</v>
      </c>
      <c r="S1145" s="11">
        <f t="shared" si="111"/>
        <v>2474.37</v>
      </c>
      <c r="T1145" s="10" t="s">
        <v>349</v>
      </c>
      <c r="U1145" t="s">
        <v>327</v>
      </c>
      <c r="V1145" s="58">
        <v>7.1775000000000002</v>
      </c>
      <c r="W1145" s="38">
        <f t="shared" si="107"/>
        <v>2516.7147335423197</v>
      </c>
    </row>
    <row r="1146" spans="1:23">
      <c r="A1146" t="s">
        <v>2582</v>
      </c>
      <c r="B1146" s="20">
        <v>45733</v>
      </c>
      <c r="C1146" s="20">
        <v>45716</v>
      </c>
      <c r="D1146" t="s">
        <v>2827</v>
      </c>
      <c r="E1146" t="s">
        <v>2828</v>
      </c>
      <c r="F1146" s="19"/>
      <c r="G1146" t="s">
        <v>3005</v>
      </c>
      <c r="H1146" t="s">
        <v>3185</v>
      </c>
      <c r="I1146" t="s">
        <v>3392</v>
      </c>
      <c r="J1146" s="8" t="str">
        <f t="shared" si="108"/>
        <v>INM-</v>
      </c>
      <c r="K1146" t="s">
        <v>10</v>
      </c>
      <c r="L1146" s="54">
        <v>-150</v>
      </c>
      <c r="M1146" t="s">
        <v>186</v>
      </c>
      <c r="N1146" t="s">
        <v>11</v>
      </c>
      <c r="O1146" s="54">
        <v>120.4248</v>
      </c>
      <c r="P1146" s="35">
        <f t="shared" si="106"/>
        <v>-18063.72</v>
      </c>
      <c r="Q1146" s="10">
        <f t="shared" si="109"/>
        <v>7.3003400000000003</v>
      </c>
      <c r="R1146" s="10">
        <f t="shared" si="110"/>
        <v>16.495799999999999</v>
      </c>
      <c r="S1146" s="11">
        <f t="shared" si="111"/>
        <v>-2474.37</v>
      </c>
      <c r="T1146" s="10" t="s">
        <v>349</v>
      </c>
      <c r="U1146" t="s">
        <v>327</v>
      </c>
      <c r="V1146" s="58">
        <v>7.1775000000000002</v>
      </c>
      <c r="W1146" s="38">
        <f t="shared" si="107"/>
        <v>-2516.7147335423197</v>
      </c>
    </row>
    <row r="1147" spans="1:23">
      <c r="A1147" t="s">
        <v>2582</v>
      </c>
      <c r="B1147" s="20">
        <v>45733</v>
      </c>
      <c r="C1147" s="20">
        <v>45716</v>
      </c>
      <c r="D1147" t="s">
        <v>2827</v>
      </c>
      <c r="E1147" t="s">
        <v>2828</v>
      </c>
      <c r="F1147" s="19"/>
      <c r="G1147" t="s">
        <v>3004</v>
      </c>
      <c r="H1147" t="s">
        <v>3185</v>
      </c>
      <c r="I1147" t="s">
        <v>3392</v>
      </c>
      <c r="J1147" s="8" t="str">
        <f t="shared" si="108"/>
        <v>INM-</v>
      </c>
      <c r="K1147" t="s">
        <v>10</v>
      </c>
      <c r="L1147" s="54">
        <v>150</v>
      </c>
      <c r="M1147" t="s">
        <v>186</v>
      </c>
      <c r="N1147" t="s">
        <v>11</v>
      </c>
      <c r="O1147" s="54">
        <v>120.4248</v>
      </c>
      <c r="P1147" s="35">
        <f t="shared" si="106"/>
        <v>18063.72</v>
      </c>
      <c r="Q1147" s="10">
        <f t="shared" si="109"/>
        <v>7.3003400000000003</v>
      </c>
      <c r="R1147" s="10">
        <f t="shared" si="110"/>
        <v>16.495799999999999</v>
      </c>
      <c r="S1147" s="11">
        <f t="shared" si="111"/>
        <v>2474.37</v>
      </c>
      <c r="T1147" s="10" t="s">
        <v>349</v>
      </c>
      <c r="U1147" t="s">
        <v>327</v>
      </c>
      <c r="V1147" s="58">
        <v>7.1775000000000002</v>
      </c>
      <c r="W1147" s="38">
        <f t="shared" si="107"/>
        <v>2516.7147335423197</v>
      </c>
    </row>
    <row r="1148" spans="1:23">
      <c r="A1148" t="s">
        <v>2583</v>
      </c>
      <c r="B1148" s="20">
        <v>45733</v>
      </c>
      <c r="C1148" s="20">
        <v>45716</v>
      </c>
      <c r="D1148" t="s">
        <v>2827</v>
      </c>
      <c r="E1148" t="s">
        <v>2828</v>
      </c>
      <c r="F1148" s="19"/>
      <c r="G1148" t="s">
        <v>3004</v>
      </c>
      <c r="H1148" t="s">
        <v>3186</v>
      </c>
      <c r="I1148" t="s">
        <v>3393</v>
      </c>
      <c r="J1148" s="8" t="str">
        <f t="shared" si="108"/>
        <v>INM-</v>
      </c>
      <c r="K1148" t="s">
        <v>10</v>
      </c>
      <c r="L1148" s="54">
        <v>30</v>
      </c>
      <c r="M1148" t="s">
        <v>186</v>
      </c>
      <c r="N1148" t="s">
        <v>11</v>
      </c>
      <c r="O1148" s="54">
        <v>129.82300000000001</v>
      </c>
      <c r="P1148" s="35">
        <f t="shared" si="106"/>
        <v>3894.69</v>
      </c>
      <c r="Q1148" s="10">
        <f t="shared" si="109"/>
        <v>7.3003400000000003</v>
      </c>
      <c r="R1148" s="10">
        <f t="shared" si="110"/>
        <v>17.783100000000001</v>
      </c>
      <c r="S1148" s="11">
        <f t="shared" si="111"/>
        <v>533.49</v>
      </c>
      <c r="T1148" s="10" t="s">
        <v>349</v>
      </c>
      <c r="U1148" t="s">
        <v>327</v>
      </c>
      <c r="V1148" s="58">
        <v>7.1775000000000002</v>
      </c>
      <c r="W1148" s="38">
        <f t="shared" si="107"/>
        <v>542.62486938349014</v>
      </c>
    </row>
    <row r="1149" spans="1:23">
      <c r="A1149" t="s">
        <v>2584</v>
      </c>
      <c r="B1149" s="20">
        <v>45733</v>
      </c>
      <c r="C1149" s="20">
        <v>45716</v>
      </c>
      <c r="D1149" t="s">
        <v>2827</v>
      </c>
      <c r="E1149" t="s">
        <v>2828</v>
      </c>
      <c r="F1149" s="19"/>
      <c r="G1149" t="s">
        <v>3004</v>
      </c>
      <c r="H1149" t="s">
        <v>3187</v>
      </c>
      <c r="I1149" t="s">
        <v>3394</v>
      </c>
      <c r="J1149" s="8" t="str">
        <f t="shared" si="108"/>
        <v>INM-</v>
      </c>
      <c r="K1149" t="s">
        <v>10</v>
      </c>
      <c r="L1149" s="54">
        <v>150</v>
      </c>
      <c r="M1149" t="s">
        <v>186</v>
      </c>
      <c r="N1149" t="s">
        <v>11</v>
      </c>
      <c r="O1149" s="54">
        <v>81</v>
      </c>
      <c r="P1149" s="35">
        <f t="shared" si="106"/>
        <v>12150</v>
      </c>
      <c r="Q1149" s="10">
        <f t="shared" si="109"/>
        <v>7.3003400000000003</v>
      </c>
      <c r="R1149" s="10">
        <f t="shared" si="110"/>
        <v>11.0954</v>
      </c>
      <c r="S1149" s="11">
        <f t="shared" si="111"/>
        <v>1664.31</v>
      </c>
      <c r="T1149" s="10" t="s">
        <v>349</v>
      </c>
      <c r="U1149" t="s">
        <v>327</v>
      </c>
      <c r="V1149" s="58">
        <v>7.1775000000000002</v>
      </c>
      <c r="W1149" s="38">
        <f t="shared" si="107"/>
        <v>1692.7899686520377</v>
      </c>
    </row>
    <row r="1150" spans="1:23">
      <c r="A1150" t="s">
        <v>2611</v>
      </c>
      <c r="B1150" s="20">
        <v>45733</v>
      </c>
      <c r="C1150" s="20">
        <v>45720</v>
      </c>
      <c r="D1150" t="s">
        <v>287</v>
      </c>
      <c r="E1150" t="s">
        <v>288</v>
      </c>
      <c r="F1150" s="19"/>
      <c r="G1150" t="s">
        <v>2946</v>
      </c>
      <c r="H1150" t="s">
        <v>71</v>
      </c>
      <c r="I1150" t="s">
        <v>72</v>
      </c>
      <c r="J1150" s="8" t="str">
        <f t="shared" si="108"/>
        <v>ANYD</v>
      </c>
      <c r="K1150" t="s">
        <v>10</v>
      </c>
      <c r="L1150" s="54">
        <v>1000</v>
      </c>
      <c r="M1150" t="s">
        <v>1472</v>
      </c>
      <c r="N1150" t="s">
        <v>11</v>
      </c>
      <c r="O1150" s="54">
        <v>8.15</v>
      </c>
      <c r="P1150" s="35">
        <f t="shared" si="106"/>
        <v>8150</v>
      </c>
      <c r="Q1150" s="10">
        <f t="shared" si="109"/>
        <v>7.3003400000000003</v>
      </c>
      <c r="R1150" s="10">
        <f t="shared" si="110"/>
        <v>1.1164000000000001</v>
      </c>
      <c r="S1150" s="11">
        <f t="shared" si="111"/>
        <v>1116.4000000000001</v>
      </c>
      <c r="T1150" s="10" t="s">
        <v>349</v>
      </c>
      <c r="U1150" t="s">
        <v>36</v>
      </c>
      <c r="V1150" s="58">
        <v>7.1775000000000002</v>
      </c>
      <c r="W1150" s="38">
        <f t="shared" si="107"/>
        <v>1135.4928596307907</v>
      </c>
    </row>
    <row r="1151" spans="1:23">
      <c r="A1151" t="s">
        <v>2613</v>
      </c>
      <c r="B1151" s="20">
        <v>45733</v>
      </c>
      <c r="C1151" s="20">
        <v>45720</v>
      </c>
      <c r="D1151" t="s">
        <v>28</v>
      </c>
      <c r="E1151" t="s">
        <v>29</v>
      </c>
      <c r="F1151" s="19"/>
      <c r="G1151" t="s">
        <v>2936</v>
      </c>
      <c r="H1151" t="s">
        <v>3201</v>
      </c>
      <c r="I1151" t="s">
        <v>3408</v>
      </c>
      <c r="J1151" s="8" t="str">
        <f t="shared" si="108"/>
        <v>BRKT</v>
      </c>
      <c r="K1151" t="s">
        <v>10</v>
      </c>
      <c r="L1151" s="54">
        <v>1030</v>
      </c>
      <c r="M1151" t="s">
        <v>1472</v>
      </c>
      <c r="N1151" t="s">
        <v>11</v>
      </c>
      <c r="O1151" s="54">
        <v>0.71870000000000001</v>
      </c>
      <c r="P1151" s="35">
        <f t="shared" si="106"/>
        <v>740.26</v>
      </c>
      <c r="Q1151" s="10">
        <f t="shared" si="109"/>
        <v>7.3003400000000003</v>
      </c>
      <c r="R1151" s="10">
        <f t="shared" si="110"/>
        <v>9.8400000000000001E-2</v>
      </c>
      <c r="S1151" s="11">
        <f t="shared" si="111"/>
        <v>101.35</v>
      </c>
      <c r="T1151" s="10" t="s">
        <v>349</v>
      </c>
      <c r="U1151" t="s">
        <v>442</v>
      </c>
      <c r="V1151" s="58">
        <v>7.1775000000000002</v>
      </c>
      <c r="W1151" s="38">
        <f t="shared" si="107"/>
        <v>103.13632880529433</v>
      </c>
    </row>
    <row r="1152" spans="1:23">
      <c r="A1152" t="s">
        <v>2616</v>
      </c>
      <c r="B1152" s="20">
        <v>45733</v>
      </c>
      <c r="C1152" s="20">
        <v>45720</v>
      </c>
      <c r="D1152" t="s">
        <v>235</v>
      </c>
      <c r="E1152" t="s">
        <v>236</v>
      </c>
      <c r="F1152" s="19"/>
      <c r="G1152" t="s">
        <v>2990</v>
      </c>
      <c r="H1152" t="s">
        <v>1348</v>
      </c>
      <c r="I1152" t="s">
        <v>1349</v>
      </c>
      <c r="J1152" s="8" t="str">
        <f t="shared" si="108"/>
        <v>SCR-</v>
      </c>
      <c r="K1152" t="s">
        <v>10</v>
      </c>
      <c r="L1152" s="54">
        <v>2000</v>
      </c>
      <c r="M1152" t="s">
        <v>1472</v>
      </c>
      <c r="N1152" t="s">
        <v>11</v>
      </c>
      <c r="O1152" s="54">
        <v>0.67030000000000001</v>
      </c>
      <c r="P1152" s="35">
        <f t="shared" si="106"/>
        <v>1340.6</v>
      </c>
      <c r="Q1152" s="10">
        <f t="shared" si="109"/>
        <v>7.3003400000000003</v>
      </c>
      <c r="R1152" s="10">
        <f t="shared" si="110"/>
        <v>9.1800000000000007E-2</v>
      </c>
      <c r="S1152" s="11">
        <f t="shared" si="111"/>
        <v>183.6</v>
      </c>
      <c r="T1152" s="10" t="s">
        <v>349</v>
      </c>
      <c r="U1152" t="s">
        <v>166</v>
      </c>
      <c r="V1152" s="58">
        <v>7.1775000000000002</v>
      </c>
      <c r="W1152" s="38">
        <f t="shared" si="107"/>
        <v>186.77812608847091</v>
      </c>
    </row>
    <row r="1153" spans="1:23">
      <c r="A1153" t="s">
        <v>2618</v>
      </c>
      <c r="B1153" s="20">
        <v>45733</v>
      </c>
      <c r="C1153" s="20">
        <v>45721</v>
      </c>
      <c r="D1153" t="s">
        <v>169</v>
      </c>
      <c r="E1153" t="s">
        <v>170</v>
      </c>
      <c r="F1153" s="19"/>
      <c r="G1153" t="s">
        <v>2960</v>
      </c>
      <c r="H1153" t="s">
        <v>1330</v>
      </c>
      <c r="I1153" t="s">
        <v>1331</v>
      </c>
      <c r="J1153" s="8" t="str">
        <f t="shared" si="108"/>
        <v>STKR</v>
      </c>
      <c r="K1153" t="s">
        <v>10</v>
      </c>
      <c r="L1153" s="54">
        <v>1010</v>
      </c>
      <c r="M1153" t="s">
        <v>1472</v>
      </c>
      <c r="N1153" t="s">
        <v>11</v>
      </c>
      <c r="O1153" s="54">
        <v>0.08</v>
      </c>
      <c r="P1153" s="35">
        <f t="shared" si="106"/>
        <v>80.8</v>
      </c>
      <c r="Q1153" s="10">
        <f t="shared" si="109"/>
        <v>7.3003400000000003</v>
      </c>
      <c r="R1153" s="10">
        <f t="shared" si="110"/>
        <v>1.0999999999999999E-2</v>
      </c>
      <c r="S1153" s="11">
        <f t="shared" si="111"/>
        <v>11.11</v>
      </c>
      <c r="T1153" s="10" t="s">
        <v>349</v>
      </c>
      <c r="U1153" t="s">
        <v>18</v>
      </c>
      <c r="V1153" s="58">
        <v>7.1775000000000002</v>
      </c>
      <c r="W1153" s="38">
        <f t="shared" si="107"/>
        <v>11.257401602229189</v>
      </c>
    </row>
    <row r="1154" spans="1:23">
      <c r="A1154" t="s">
        <v>2626</v>
      </c>
      <c r="B1154" s="20">
        <v>45733</v>
      </c>
      <c r="C1154" s="20">
        <v>45721</v>
      </c>
      <c r="D1154" t="s">
        <v>169</v>
      </c>
      <c r="E1154" t="s">
        <v>170</v>
      </c>
      <c r="F1154" s="19"/>
      <c r="G1154" t="s">
        <v>3018</v>
      </c>
      <c r="H1154" t="s">
        <v>3208</v>
      </c>
      <c r="I1154" t="s">
        <v>3415</v>
      </c>
      <c r="J1154" s="8" t="str">
        <f t="shared" si="108"/>
        <v>PAP-</v>
      </c>
      <c r="K1154" t="s">
        <v>10</v>
      </c>
      <c r="L1154" s="54">
        <v>3000</v>
      </c>
      <c r="M1154" t="s">
        <v>1472</v>
      </c>
      <c r="N1154" t="s">
        <v>11</v>
      </c>
      <c r="O1154" s="54">
        <v>0.36</v>
      </c>
      <c r="P1154" s="35">
        <f t="shared" ref="P1154:P1217" si="112">ROUND(O1154*L1154,2)</f>
        <v>1080</v>
      </c>
      <c r="Q1154" s="10">
        <f t="shared" si="109"/>
        <v>7.3003400000000003</v>
      </c>
      <c r="R1154" s="10">
        <f t="shared" si="110"/>
        <v>4.9299999999999997E-2</v>
      </c>
      <c r="S1154" s="11">
        <f t="shared" si="111"/>
        <v>147.9</v>
      </c>
      <c r="T1154" s="10" t="s">
        <v>349</v>
      </c>
      <c r="U1154" t="s">
        <v>1094</v>
      </c>
      <c r="V1154" s="58">
        <v>7.1775000000000002</v>
      </c>
      <c r="W1154" s="38">
        <f t="shared" ref="W1154:W1217" si="113">IF(N1154="CNY",O1154/V1154*L1154,1)</f>
        <v>150.47021943573668</v>
      </c>
    </row>
    <row r="1155" spans="1:23">
      <c r="A1155" t="s">
        <v>2627</v>
      </c>
      <c r="B1155" s="20">
        <v>45733</v>
      </c>
      <c r="C1155" s="20">
        <v>45721</v>
      </c>
      <c r="D1155" t="s">
        <v>169</v>
      </c>
      <c r="E1155" t="s">
        <v>170</v>
      </c>
      <c r="F1155" s="19"/>
      <c r="G1155" t="s">
        <v>3018</v>
      </c>
      <c r="H1155" t="s">
        <v>3209</v>
      </c>
      <c r="I1155" t="s">
        <v>3416</v>
      </c>
      <c r="J1155" s="8" t="str">
        <f t="shared" si="108"/>
        <v>PAP-</v>
      </c>
      <c r="K1155" t="s">
        <v>10</v>
      </c>
      <c r="L1155" s="54">
        <v>7000</v>
      </c>
      <c r="M1155" t="s">
        <v>1472</v>
      </c>
      <c r="N1155" t="s">
        <v>11</v>
      </c>
      <c r="O1155" s="54">
        <v>0.42</v>
      </c>
      <c r="P1155" s="35">
        <f t="shared" si="112"/>
        <v>2940</v>
      </c>
      <c r="Q1155" s="10">
        <f t="shared" si="109"/>
        <v>7.3003400000000003</v>
      </c>
      <c r="R1155" s="10">
        <f t="shared" si="110"/>
        <v>5.7500000000000002E-2</v>
      </c>
      <c r="S1155" s="11">
        <f t="shared" si="111"/>
        <v>402.5</v>
      </c>
      <c r="T1155" s="10" t="s">
        <v>349</v>
      </c>
      <c r="U1155" t="s">
        <v>1094</v>
      </c>
      <c r="V1155" s="58">
        <v>7.1775000000000002</v>
      </c>
      <c r="W1155" s="38">
        <f t="shared" si="113"/>
        <v>409.61337513061648</v>
      </c>
    </row>
    <row r="1156" spans="1:23">
      <c r="A1156" t="s">
        <v>2637</v>
      </c>
      <c r="B1156" s="20">
        <v>45733</v>
      </c>
      <c r="C1156" s="20">
        <v>45721</v>
      </c>
      <c r="D1156" t="s">
        <v>128</v>
      </c>
      <c r="E1156" t="s">
        <v>129</v>
      </c>
      <c r="F1156" s="19"/>
      <c r="G1156" t="s">
        <v>2910</v>
      </c>
      <c r="H1156" t="s">
        <v>3090</v>
      </c>
      <c r="I1156" t="s">
        <v>3306</v>
      </c>
      <c r="J1156" s="8" t="str">
        <f t="shared" si="108"/>
        <v>RIV-</v>
      </c>
      <c r="K1156" t="s">
        <v>10</v>
      </c>
      <c r="L1156" s="54">
        <v>16500</v>
      </c>
      <c r="M1156" t="s">
        <v>1472</v>
      </c>
      <c r="N1156" t="s">
        <v>11</v>
      </c>
      <c r="O1156" s="54">
        <v>6.2199999999999998E-2</v>
      </c>
      <c r="P1156" s="35">
        <f t="shared" si="112"/>
        <v>1026.3</v>
      </c>
      <c r="Q1156" s="10">
        <f t="shared" si="109"/>
        <v>7.3003400000000003</v>
      </c>
      <c r="R1156" s="10">
        <f t="shared" si="110"/>
        <v>8.5000000000000006E-3</v>
      </c>
      <c r="S1156" s="11">
        <f t="shared" si="111"/>
        <v>140.25</v>
      </c>
      <c r="T1156" s="10" t="s">
        <v>349</v>
      </c>
      <c r="U1156" t="s">
        <v>132</v>
      </c>
      <c r="V1156" s="58">
        <v>7.1775000000000002</v>
      </c>
      <c r="W1156" s="38">
        <f t="shared" si="113"/>
        <v>142.98850574712642</v>
      </c>
    </row>
    <row r="1157" spans="1:23">
      <c r="A1157" t="s">
        <v>2657</v>
      </c>
      <c r="B1157" s="20">
        <v>45733</v>
      </c>
      <c r="C1157" s="20">
        <v>45723</v>
      </c>
      <c r="D1157" t="s">
        <v>806</v>
      </c>
      <c r="E1157" t="s">
        <v>807</v>
      </c>
      <c r="F1157" s="19"/>
      <c r="G1157" t="s">
        <v>3025</v>
      </c>
      <c r="H1157" t="s">
        <v>1585</v>
      </c>
      <c r="I1157" t="s">
        <v>1586</v>
      </c>
      <c r="J1157" s="8" t="str">
        <f t="shared" si="108"/>
        <v>BAG-</v>
      </c>
      <c r="K1157" t="s">
        <v>10</v>
      </c>
      <c r="L1157" s="54">
        <v>4700</v>
      </c>
      <c r="M1157" t="s">
        <v>1472</v>
      </c>
      <c r="N1157" t="s">
        <v>11</v>
      </c>
      <c r="O1157" s="54">
        <v>0.09</v>
      </c>
      <c r="P1157" s="35">
        <f t="shared" si="112"/>
        <v>423</v>
      </c>
      <c r="Q1157" s="10">
        <f t="shared" si="109"/>
        <v>7.3003400000000003</v>
      </c>
      <c r="R1157" s="10">
        <f t="shared" si="110"/>
        <v>1.23E-2</v>
      </c>
      <c r="S1157" s="11">
        <f t="shared" si="111"/>
        <v>57.81</v>
      </c>
      <c r="T1157" s="10" t="s">
        <v>349</v>
      </c>
      <c r="U1157" t="s">
        <v>810</v>
      </c>
      <c r="V1157" s="58">
        <v>7.1775000000000002</v>
      </c>
      <c r="W1157" s="38">
        <f t="shared" si="113"/>
        <v>58.934169278996862</v>
      </c>
    </row>
    <row r="1158" spans="1:23">
      <c r="A1158" t="s">
        <v>2658</v>
      </c>
      <c r="B1158" s="20">
        <v>45733</v>
      </c>
      <c r="C1158" s="20">
        <v>45723</v>
      </c>
      <c r="D1158" t="s">
        <v>806</v>
      </c>
      <c r="E1158" t="s">
        <v>807</v>
      </c>
      <c r="F1158" s="19"/>
      <c r="G1158" t="s">
        <v>3025</v>
      </c>
      <c r="H1158" t="s">
        <v>1599</v>
      </c>
      <c r="I1158" t="s">
        <v>1600</v>
      </c>
      <c r="J1158" s="8" t="str">
        <f t="shared" si="108"/>
        <v>BAG-</v>
      </c>
      <c r="K1158" t="s">
        <v>10</v>
      </c>
      <c r="L1158" s="54">
        <v>5000</v>
      </c>
      <c r="M1158" t="s">
        <v>1472</v>
      </c>
      <c r="N1158" t="s">
        <v>11</v>
      </c>
      <c r="O1158" s="54">
        <v>0.12</v>
      </c>
      <c r="P1158" s="35">
        <f t="shared" si="112"/>
        <v>600</v>
      </c>
      <c r="Q1158" s="10">
        <f t="shared" si="109"/>
        <v>7.3003400000000003</v>
      </c>
      <c r="R1158" s="10">
        <f t="shared" si="110"/>
        <v>1.6400000000000001E-2</v>
      </c>
      <c r="S1158" s="11">
        <f t="shared" si="111"/>
        <v>82</v>
      </c>
      <c r="T1158" s="10" t="s">
        <v>349</v>
      </c>
      <c r="U1158" t="s">
        <v>810</v>
      </c>
      <c r="V1158" s="58">
        <v>7.1775000000000002</v>
      </c>
      <c r="W1158" s="38">
        <f t="shared" si="113"/>
        <v>83.594566353187034</v>
      </c>
    </row>
    <row r="1159" spans="1:23">
      <c r="A1159" t="s">
        <v>2659</v>
      </c>
      <c r="B1159" s="20">
        <v>45733</v>
      </c>
      <c r="C1159" s="20">
        <v>45723</v>
      </c>
      <c r="D1159" t="s">
        <v>806</v>
      </c>
      <c r="E1159" t="s">
        <v>807</v>
      </c>
      <c r="F1159" s="19"/>
      <c r="G1159" t="s">
        <v>3025</v>
      </c>
      <c r="H1159" t="s">
        <v>1601</v>
      </c>
      <c r="I1159" t="s">
        <v>1602</v>
      </c>
      <c r="J1159" s="8" t="str">
        <f t="shared" si="108"/>
        <v>BAG-</v>
      </c>
      <c r="K1159" t="s">
        <v>10</v>
      </c>
      <c r="L1159" s="54">
        <v>5000</v>
      </c>
      <c r="M1159" t="s">
        <v>1472</v>
      </c>
      <c r="N1159" t="s">
        <v>11</v>
      </c>
      <c r="O1159" s="54">
        <v>0.128</v>
      </c>
      <c r="P1159" s="35">
        <f t="shared" si="112"/>
        <v>640</v>
      </c>
      <c r="Q1159" s="10">
        <f t="shared" si="109"/>
        <v>7.3003400000000003</v>
      </c>
      <c r="R1159" s="10">
        <f t="shared" si="110"/>
        <v>1.7500000000000002E-2</v>
      </c>
      <c r="S1159" s="11">
        <f t="shared" si="111"/>
        <v>87.5</v>
      </c>
      <c r="T1159" s="10" t="s">
        <v>349</v>
      </c>
      <c r="U1159" t="s">
        <v>810</v>
      </c>
      <c r="V1159" s="58">
        <v>7.1775000000000002</v>
      </c>
      <c r="W1159" s="38">
        <f t="shared" si="113"/>
        <v>89.167537443399524</v>
      </c>
    </row>
    <row r="1160" spans="1:23">
      <c r="A1160" t="s">
        <v>2660</v>
      </c>
      <c r="B1160" s="20">
        <v>45733</v>
      </c>
      <c r="C1160" s="20">
        <v>45723</v>
      </c>
      <c r="D1160" t="s">
        <v>806</v>
      </c>
      <c r="E1160" t="s">
        <v>807</v>
      </c>
      <c r="F1160" s="19"/>
      <c r="G1160" t="s">
        <v>3025</v>
      </c>
      <c r="H1160" t="s">
        <v>1605</v>
      </c>
      <c r="I1160" t="s">
        <v>1606</v>
      </c>
      <c r="J1160" s="8" t="str">
        <f t="shared" si="108"/>
        <v>BAG-</v>
      </c>
      <c r="K1160" t="s">
        <v>10</v>
      </c>
      <c r="L1160" s="54">
        <v>5000</v>
      </c>
      <c r="M1160" t="s">
        <v>1472</v>
      </c>
      <c r="N1160" t="s">
        <v>11</v>
      </c>
      <c r="O1160" s="54">
        <v>0.17</v>
      </c>
      <c r="P1160" s="35">
        <f t="shared" si="112"/>
        <v>850</v>
      </c>
      <c r="Q1160" s="10">
        <f t="shared" si="109"/>
        <v>7.3003400000000003</v>
      </c>
      <c r="R1160" s="10">
        <f t="shared" si="110"/>
        <v>2.3300000000000001E-2</v>
      </c>
      <c r="S1160" s="11">
        <f t="shared" si="111"/>
        <v>116.5</v>
      </c>
      <c r="T1160" s="10" t="s">
        <v>349</v>
      </c>
      <c r="U1160" t="s">
        <v>810</v>
      </c>
      <c r="V1160" s="58">
        <v>7.1775000000000002</v>
      </c>
      <c r="W1160" s="38">
        <f t="shared" si="113"/>
        <v>118.42563566701499</v>
      </c>
    </row>
    <row r="1161" spans="1:23">
      <c r="A1161" t="s">
        <v>2662</v>
      </c>
      <c r="B1161" s="20">
        <v>45733</v>
      </c>
      <c r="C1161" s="20">
        <v>45723</v>
      </c>
      <c r="D1161" t="s">
        <v>28</v>
      </c>
      <c r="E1161" t="s">
        <v>29</v>
      </c>
      <c r="F1161" s="19"/>
      <c r="G1161" t="s">
        <v>2936</v>
      </c>
      <c r="H1161" t="s">
        <v>3201</v>
      </c>
      <c r="I1161" t="s">
        <v>3408</v>
      </c>
      <c r="J1161" s="8" t="str">
        <f t="shared" si="108"/>
        <v>BRKT</v>
      </c>
      <c r="K1161" t="s">
        <v>10</v>
      </c>
      <c r="L1161" s="54">
        <v>610</v>
      </c>
      <c r="M1161" t="s">
        <v>1472</v>
      </c>
      <c r="N1161" t="s">
        <v>11</v>
      </c>
      <c r="O1161" s="54">
        <v>0.71870000000000001</v>
      </c>
      <c r="P1161" s="35">
        <f t="shared" si="112"/>
        <v>438.41</v>
      </c>
      <c r="Q1161" s="10">
        <f t="shared" si="109"/>
        <v>7.3003400000000003</v>
      </c>
      <c r="R1161" s="10">
        <f t="shared" si="110"/>
        <v>9.8400000000000001E-2</v>
      </c>
      <c r="S1161" s="11">
        <f t="shared" si="111"/>
        <v>60.02</v>
      </c>
      <c r="T1161" s="10" t="s">
        <v>349</v>
      </c>
      <c r="U1161" t="s">
        <v>442</v>
      </c>
      <c r="V1161" s="58">
        <v>7.1775000000000002</v>
      </c>
      <c r="W1161" s="38">
        <f t="shared" si="113"/>
        <v>61.080738418669455</v>
      </c>
    </row>
    <row r="1162" spans="1:23">
      <c r="A1162" t="s">
        <v>2680</v>
      </c>
      <c r="B1162" s="20">
        <v>45733</v>
      </c>
      <c r="C1162" s="20">
        <v>45726</v>
      </c>
      <c r="D1162" t="s">
        <v>2832</v>
      </c>
      <c r="E1162" t="s">
        <v>2833</v>
      </c>
      <c r="F1162" s="19"/>
      <c r="G1162" t="s">
        <v>3029</v>
      </c>
      <c r="H1162" t="s">
        <v>3222</v>
      </c>
      <c r="I1162" t="s">
        <v>3429</v>
      </c>
      <c r="J1162" s="8" t="str">
        <f t="shared" si="108"/>
        <v>EXM-</v>
      </c>
      <c r="K1162" t="s">
        <v>10</v>
      </c>
      <c r="L1162" s="54">
        <v>20</v>
      </c>
      <c r="M1162" t="s">
        <v>186</v>
      </c>
      <c r="N1162" t="s">
        <v>11</v>
      </c>
      <c r="O1162" s="54">
        <v>123.8938</v>
      </c>
      <c r="P1162" s="35">
        <f t="shared" si="112"/>
        <v>2477.88</v>
      </c>
      <c r="Q1162" s="10">
        <f t="shared" si="109"/>
        <v>7.3003400000000003</v>
      </c>
      <c r="R1162" s="10">
        <f t="shared" si="110"/>
        <v>16.971</v>
      </c>
      <c r="S1162" s="11">
        <f t="shared" si="111"/>
        <v>339.42</v>
      </c>
      <c r="T1162" s="10" t="s">
        <v>349</v>
      </c>
      <c r="U1162" t="s">
        <v>315</v>
      </c>
      <c r="V1162" s="58">
        <v>7.1775000000000002</v>
      </c>
      <c r="W1162" s="38">
        <f t="shared" si="113"/>
        <v>345.22828282828277</v>
      </c>
    </row>
    <row r="1163" spans="1:23">
      <c r="A1163" t="s">
        <v>2688</v>
      </c>
      <c r="B1163" s="20">
        <v>45733</v>
      </c>
      <c r="C1163" s="20">
        <v>45727</v>
      </c>
      <c r="D1163" t="s">
        <v>5</v>
      </c>
      <c r="E1163" t="s">
        <v>6</v>
      </c>
      <c r="F1163" s="19"/>
      <c r="G1163" t="s">
        <v>3031</v>
      </c>
      <c r="H1163" t="s">
        <v>403</v>
      </c>
      <c r="I1163" t="s">
        <v>404</v>
      </c>
      <c r="J1163" s="8" t="str">
        <f t="shared" si="108"/>
        <v>BOX-</v>
      </c>
      <c r="K1163" t="s">
        <v>10</v>
      </c>
      <c r="L1163" s="54">
        <v>1010</v>
      </c>
      <c r="M1163" t="s">
        <v>1472</v>
      </c>
      <c r="N1163" t="s">
        <v>11</v>
      </c>
      <c r="O1163" s="54">
        <v>3.23</v>
      </c>
      <c r="P1163" s="35">
        <f t="shared" si="112"/>
        <v>3262.3</v>
      </c>
      <c r="Q1163" s="10">
        <f t="shared" si="109"/>
        <v>7.3003400000000003</v>
      </c>
      <c r="R1163" s="10">
        <f t="shared" si="110"/>
        <v>0.44240000000000002</v>
      </c>
      <c r="S1163" s="11">
        <f t="shared" si="111"/>
        <v>446.82</v>
      </c>
      <c r="T1163" s="10" t="s">
        <v>349</v>
      </c>
      <c r="U1163" t="s">
        <v>1</v>
      </c>
      <c r="V1163" s="58">
        <v>7.1775000000000002</v>
      </c>
      <c r="W1163" s="38">
        <f t="shared" si="113"/>
        <v>454.51758969000349</v>
      </c>
    </row>
    <row r="1164" spans="1:23">
      <c r="A1164" t="s">
        <v>2689</v>
      </c>
      <c r="B1164" s="20">
        <v>45733</v>
      </c>
      <c r="C1164" s="20">
        <v>45727</v>
      </c>
      <c r="D1164" t="s">
        <v>5</v>
      </c>
      <c r="E1164" t="s">
        <v>6</v>
      </c>
      <c r="F1164" s="19"/>
      <c r="G1164" t="s">
        <v>3031</v>
      </c>
      <c r="H1164" t="s">
        <v>394</v>
      </c>
      <c r="I1164" t="s">
        <v>395</v>
      </c>
      <c r="J1164" s="8" t="str">
        <f t="shared" si="108"/>
        <v>BOX-</v>
      </c>
      <c r="K1164" t="s">
        <v>10</v>
      </c>
      <c r="L1164" s="54">
        <v>1010</v>
      </c>
      <c r="M1164" t="s">
        <v>1472</v>
      </c>
      <c r="N1164" t="s">
        <v>11</v>
      </c>
      <c r="O1164" s="54">
        <v>5.64</v>
      </c>
      <c r="P1164" s="35">
        <f t="shared" si="112"/>
        <v>5696.4</v>
      </c>
      <c r="Q1164" s="10">
        <f t="shared" si="109"/>
        <v>7.3003400000000003</v>
      </c>
      <c r="R1164" s="10">
        <f t="shared" si="110"/>
        <v>0.77259999999999995</v>
      </c>
      <c r="S1164" s="11">
        <f t="shared" si="111"/>
        <v>780.33</v>
      </c>
      <c r="T1164" s="10" t="s">
        <v>349</v>
      </c>
      <c r="U1164" t="s">
        <v>1</v>
      </c>
      <c r="V1164" s="58">
        <v>7.1775000000000002</v>
      </c>
      <c r="W1164" s="38">
        <f t="shared" si="113"/>
        <v>793.64681295715775</v>
      </c>
    </row>
    <row r="1165" spans="1:23">
      <c r="A1165" t="s">
        <v>2731</v>
      </c>
      <c r="B1165" s="20">
        <v>45733</v>
      </c>
      <c r="C1165" s="20">
        <v>45729</v>
      </c>
      <c r="D1165" t="s">
        <v>169</v>
      </c>
      <c r="E1165" t="s">
        <v>170</v>
      </c>
      <c r="F1165" s="19"/>
      <c r="G1165" t="s">
        <v>3041</v>
      </c>
      <c r="H1165" t="s">
        <v>3155</v>
      </c>
      <c r="I1165" t="s">
        <v>3365</v>
      </c>
      <c r="J1165" s="8" t="str">
        <f t="shared" si="108"/>
        <v>STKR</v>
      </c>
      <c r="K1165" t="s">
        <v>10</v>
      </c>
      <c r="L1165" s="54">
        <v>30</v>
      </c>
      <c r="M1165" t="s">
        <v>1472</v>
      </c>
      <c r="N1165" t="s">
        <v>11</v>
      </c>
      <c r="O1165" s="54">
        <v>0.08</v>
      </c>
      <c r="P1165" s="35">
        <f t="shared" si="112"/>
        <v>2.4</v>
      </c>
      <c r="Q1165" s="10">
        <f t="shared" si="109"/>
        <v>7.3003400000000003</v>
      </c>
      <c r="R1165" s="10">
        <f t="shared" si="110"/>
        <v>1.0999999999999999E-2</v>
      </c>
      <c r="S1165" s="11">
        <f t="shared" si="111"/>
        <v>0.33</v>
      </c>
      <c r="T1165" s="10" t="s">
        <v>349</v>
      </c>
      <c r="U1165" t="s">
        <v>18</v>
      </c>
      <c r="V1165" s="58">
        <v>7.1775000000000002</v>
      </c>
      <c r="W1165" s="38">
        <f t="shared" si="113"/>
        <v>0.33437826541274818</v>
      </c>
    </row>
    <row r="1166" spans="1:23">
      <c r="A1166" t="s">
        <v>2732</v>
      </c>
      <c r="B1166" s="20">
        <v>45733</v>
      </c>
      <c r="C1166" s="20">
        <v>45729</v>
      </c>
      <c r="D1166" t="s">
        <v>5</v>
      </c>
      <c r="E1166" t="s">
        <v>6</v>
      </c>
      <c r="F1166" s="19"/>
      <c r="G1166" t="s">
        <v>3042</v>
      </c>
      <c r="H1166" t="s">
        <v>3241</v>
      </c>
      <c r="I1166" t="s">
        <v>3448</v>
      </c>
      <c r="J1166" s="8" t="str">
        <f t="shared" si="108"/>
        <v>SHTS</v>
      </c>
      <c r="K1166" t="s">
        <v>10</v>
      </c>
      <c r="L1166" s="54">
        <v>1010</v>
      </c>
      <c r="M1166" t="s">
        <v>1472</v>
      </c>
      <c r="N1166" t="s">
        <v>11</v>
      </c>
      <c r="O1166" s="54">
        <v>3.22</v>
      </c>
      <c r="P1166" s="35">
        <f t="shared" si="112"/>
        <v>3252.2</v>
      </c>
      <c r="Q1166" s="10">
        <f t="shared" si="109"/>
        <v>7.3003400000000003</v>
      </c>
      <c r="R1166" s="10">
        <f t="shared" si="110"/>
        <v>0.44109999999999999</v>
      </c>
      <c r="S1166" s="11">
        <f t="shared" si="111"/>
        <v>445.51</v>
      </c>
      <c r="T1166" s="10" t="s">
        <v>349</v>
      </c>
      <c r="U1166" t="s">
        <v>9</v>
      </c>
      <c r="V1166" s="58">
        <v>7.1775000000000002</v>
      </c>
      <c r="W1166" s="38">
        <f t="shared" si="113"/>
        <v>453.11041448972486</v>
      </c>
    </row>
    <row r="1167" spans="1:23">
      <c r="A1167" t="s">
        <v>2733</v>
      </c>
      <c r="B1167" s="20">
        <v>45733</v>
      </c>
      <c r="C1167" s="20">
        <v>45729</v>
      </c>
      <c r="D1167" t="s">
        <v>5</v>
      </c>
      <c r="E1167" t="s">
        <v>6</v>
      </c>
      <c r="F1167" s="19"/>
      <c r="G1167" t="s">
        <v>3042</v>
      </c>
      <c r="H1167" t="s">
        <v>496</v>
      </c>
      <c r="I1167" t="s">
        <v>497</v>
      </c>
      <c r="J1167" s="8" t="str">
        <f t="shared" si="108"/>
        <v>SHTS</v>
      </c>
      <c r="K1167" t="s">
        <v>10</v>
      </c>
      <c r="L1167" s="54">
        <v>1015</v>
      </c>
      <c r="M1167" t="s">
        <v>1472</v>
      </c>
      <c r="N1167" t="s">
        <v>11</v>
      </c>
      <c r="O1167" s="54">
        <v>2.15</v>
      </c>
      <c r="P1167" s="35">
        <f t="shared" si="112"/>
        <v>2182.25</v>
      </c>
      <c r="Q1167" s="10">
        <f t="shared" si="109"/>
        <v>7.3003400000000003</v>
      </c>
      <c r="R1167" s="10">
        <f t="shared" si="110"/>
        <v>0.29449999999999998</v>
      </c>
      <c r="S1167" s="11">
        <f t="shared" si="111"/>
        <v>298.92</v>
      </c>
      <c r="T1167" s="10" t="s">
        <v>349</v>
      </c>
      <c r="U1167" t="s">
        <v>9</v>
      </c>
      <c r="V1167" s="58">
        <v>7.1775000000000002</v>
      </c>
      <c r="W1167" s="38">
        <f t="shared" si="113"/>
        <v>304.04040404040404</v>
      </c>
    </row>
    <row r="1168" spans="1:23">
      <c r="A1168" t="s">
        <v>2734</v>
      </c>
      <c r="B1168" s="20">
        <v>45733</v>
      </c>
      <c r="C1168" s="20">
        <v>45729</v>
      </c>
      <c r="D1168" t="s">
        <v>5</v>
      </c>
      <c r="E1168" t="s">
        <v>6</v>
      </c>
      <c r="F1168" s="19"/>
      <c r="G1168" t="s">
        <v>3042</v>
      </c>
      <c r="H1168" t="s">
        <v>489</v>
      </c>
      <c r="I1168" t="s">
        <v>490</v>
      </c>
      <c r="J1168" s="8" t="str">
        <f t="shared" si="108"/>
        <v>SHTS</v>
      </c>
      <c r="K1168" t="s">
        <v>10</v>
      </c>
      <c r="L1168" s="54">
        <v>4020</v>
      </c>
      <c r="M1168" t="s">
        <v>1472</v>
      </c>
      <c r="N1168" t="s">
        <v>11</v>
      </c>
      <c r="O1168" s="54">
        <v>1.6</v>
      </c>
      <c r="P1168" s="35">
        <f t="shared" si="112"/>
        <v>6432</v>
      </c>
      <c r="Q1168" s="10">
        <f t="shared" si="109"/>
        <v>7.3003400000000003</v>
      </c>
      <c r="R1168" s="10">
        <f t="shared" si="110"/>
        <v>0.21920000000000001</v>
      </c>
      <c r="S1168" s="11">
        <f t="shared" si="111"/>
        <v>881.18</v>
      </c>
      <c r="T1168" s="10" t="s">
        <v>349</v>
      </c>
      <c r="U1168" t="s">
        <v>9</v>
      </c>
      <c r="V1168" s="58">
        <v>7.1775000000000002</v>
      </c>
      <c r="W1168" s="38">
        <f t="shared" si="113"/>
        <v>896.1337513061651</v>
      </c>
    </row>
    <row r="1169" spans="1:23">
      <c r="A1169" t="s">
        <v>2735</v>
      </c>
      <c r="B1169" s="20">
        <v>45733</v>
      </c>
      <c r="C1169" s="20">
        <v>45729</v>
      </c>
      <c r="D1169" t="s">
        <v>5</v>
      </c>
      <c r="E1169" t="s">
        <v>6</v>
      </c>
      <c r="F1169" s="19"/>
      <c r="G1169" t="s">
        <v>3042</v>
      </c>
      <c r="H1169" t="s">
        <v>489</v>
      </c>
      <c r="I1169" t="s">
        <v>490</v>
      </c>
      <c r="J1169" s="8" t="str">
        <f t="shared" si="108"/>
        <v>SHTS</v>
      </c>
      <c r="K1169" t="s">
        <v>10</v>
      </c>
      <c r="L1169" s="54">
        <v>2010</v>
      </c>
      <c r="M1169" t="s">
        <v>1472</v>
      </c>
      <c r="N1169" t="s">
        <v>11</v>
      </c>
      <c r="O1169" s="54">
        <v>1.6</v>
      </c>
      <c r="P1169" s="35">
        <f t="shared" si="112"/>
        <v>3216</v>
      </c>
      <c r="Q1169" s="10">
        <f t="shared" si="109"/>
        <v>7.3003400000000003</v>
      </c>
      <c r="R1169" s="10">
        <f t="shared" si="110"/>
        <v>0.21920000000000001</v>
      </c>
      <c r="S1169" s="11">
        <f t="shared" si="111"/>
        <v>440.59</v>
      </c>
      <c r="T1169" s="10" t="s">
        <v>349</v>
      </c>
      <c r="U1169" t="s">
        <v>9</v>
      </c>
      <c r="V1169" s="58">
        <v>7.1775000000000002</v>
      </c>
      <c r="W1169" s="38">
        <f t="shared" si="113"/>
        <v>448.06687565308255</v>
      </c>
    </row>
    <row r="1170" spans="1:23">
      <c r="A1170" t="s">
        <v>2736</v>
      </c>
      <c r="B1170" s="20">
        <v>45733</v>
      </c>
      <c r="C1170" s="20">
        <v>45729</v>
      </c>
      <c r="D1170" t="s">
        <v>5</v>
      </c>
      <c r="E1170" t="s">
        <v>6</v>
      </c>
      <c r="F1170" s="19"/>
      <c r="G1170" t="s">
        <v>3043</v>
      </c>
      <c r="H1170" t="s">
        <v>1804</v>
      </c>
      <c r="I1170" t="s">
        <v>1805</v>
      </c>
      <c r="J1170" s="8" t="str">
        <f t="shared" si="108"/>
        <v>BOX-</v>
      </c>
      <c r="K1170" t="s">
        <v>10</v>
      </c>
      <c r="L1170" s="54">
        <v>1010</v>
      </c>
      <c r="M1170" t="s">
        <v>1472</v>
      </c>
      <c r="N1170" t="s">
        <v>11</v>
      </c>
      <c r="O1170" s="54">
        <v>10.4</v>
      </c>
      <c r="P1170" s="35">
        <f t="shared" si="112"/>
        <v>10504</v>
      </c>
      <c r="Q1170" s="10">
        <f t="shared" si="109"/>
        <v>7.3003400000000003</v>
      </c>
      <c r="R1170" s="10">
        <f t="shared" si="110"/>
        <v>1.4246000000000001</v>
      </c>
      <c r="S1170" s="11">
        <f t="shared" si="111"/>
        <v>1438.85</v>
      </c>
      <c r="T1170" s="10" t="s">
        <v>349</v>
      </c>
      <c r="U1170" t="s">
        <v>1</v>
      </c>
      <c r="V1170" s="58">
        <v>7.1775000000000002</v>
      </c>
      <c r="W1170" s="38">
        <f t="shared" si="113"/>
        <v>1463.4622082897945</v>
      </c>
    </row>
    <row r="1171" spans="1:23">
      <c r="A1171" t="s">
        <v>2737</v>
      </c>
      <c r="B1171" s="20">
        <v>45733</v>
      </c>
      <c r="C1171" s="20">
        <v>45729</v>
      </c>
      <c r="D1171" t="s">
        <v>5</v>
      </c>
      <c r="E1171" t="s">
        <v>6</v>
      </c>
      <c r="F1171" s="19"/>
      <c r="G1171" t="s">
        <v>3043</v>
      </c>
      <c r="H1171" t="s">
        <v>1804</v>
      </c>
      <c r="I1171" t="s">
        <v>1805</v>
      </c>
      <c r="J1171" s="8" t="str">
        <f t="shared" si="108"/>
        <v>BOX-</v>
      </c>
      <c r="K1171" t="s">
        <v>10</v>
      </c>
      <c r="L1171" s="54">
        <v>1010</v>
      </c>
      <c r="M1171" t="s">
        <v>1472</v>
      </c>
      <c r="N1171" t="s">
        <v>11</v>
      </c>
      <c r="O1171" s="54">
        <v>10.4</v>
      </c>
      <c r="P1171" s="35">
        <f t="shared" si="112"/>
        <v>10504</v>
      </c>
      <c r="Q1171" s="10">
        <f t="shared" si="109"/>
        <v>7.3003400000000003</v>
      </c>
      <c r="R1171" s="10">
        <f t="shared" si="110"/>
        <v>1.4246000000000001</v>
      </c>
      <c r="S1171" s="11">
        <f t="shared" si="111"/>
        <v>1438.85</v>
      </c>
      <c r="T1171" s="10" t="s">
        <v>349</v>
      </c>
      <c r="U1171" t="s">
        <v>1</v>
      </c>
      <c r="V1171" s="58">
        <v>7.1775000000000002</v>
      </c>
      <c r="W1171" s="38">
        <f t="shared" si="113"/>
        <v>1463.4622082897945</v>
      </c>
    </row>
    <row r="1172" spans="1:23">
      <c r="A1172" t="s">
        <v>2738</v>
      </c>
      <c r="B1172" s="20">
        <v>45733</v>
      </c>
      <c r="C1172" s="20">
        <v>45729</v>
      </c>
      <c r="D1172" t="s">
        <v>5</v>
      </c>
      <c r="E1172" t="s">
        <v>6</v>
      </c>
      <c r="F1172" s="19"/>
      <c r="G1172" t="s">
        <v>3043</v>
      </c>
      <c r="H1172" t="s">
        <v>3242</v>
      </c>
      <c r="I1172" t="s">
        <v>3449</v>
      </c>
      <c r="J1172" s="8" t="str">
        <f t="shared" si="108"/>
        <v>BOX-</v>
      </c>
      <c r="K1172" t="s">
        <v>10</v>
      </c>
      <c r="L1172" s="54">
        <v>605</v>
      </c>
      <c r="M1172" t="s">
        <v>1472</v>
      </c>
      <c r="N1172" t="s">
        <v>11</v>
      </c>
      <c r="O1172" s="54">
        <v>10.32</v>
      </c>
      <c r="P1172" s="35">
        <f t="shared" si="112"/>
        <v>6243.6</v>
      </c>
      <c r="Q1172" s="10">
        <f t="shared" si="109"/>
        <v>7.3003400000000003</v>
      </c>
      <c r="R1172" s="10">
        <f t="shared" si="110"/>
        <v>1.4136</v>
      </c>
      <c r="S1172" s="11">
        <f t="shared" si="111"/>
        <v>855.23</v>
      </c>
      <c r="T1172" s="10" t="s">
        <v>349</v>
      </c>
      <c r="U1172" t="s">
        <v>1</v>
      </c>
      <c r="V1172" s="58">
        <v>7.1775000000000002</v>
      </c>
      <c r="W1172" s="38">
        <f t="shared" si="113"/>
        <v>869.88505747126442</v>
      </c>
    </row>
    <row r="1173" spans="1:23">
      <c r="A1173" t="s">
        <v>2739</v>
      </c>
      <c r="B1173" s="20">
        <v>45733</v>
      </c>
      <c r="C1173" s="20">
        <v>45729</v>
      </c>
      <c r="D1173" t="s">
        <v>5</v>
      </c>
      <c r="E1173" t="s">
        <v>6</v>
      </c>
      <c r="F1173" s="19"/>
      <c r="G1173" t="s">
        <v>3043</v>
      </c>
      <c r="H1173" t="s">
        <v>3243</v>
      </c>
      <c r="I1173" t="s">
        <v>3450</v>
      </c>
      <c r="J1173" s="8" t="str">
        <f t="shared" ref="J1173:J1236" si="114">+LEFT(U1173,4)</f>
        <v>BOX-</v>
      </c>
      <c r="K1173" t="s">
        <v>10</v>
      </c>
      <c r="L1173" s="54">
        <v>505</v>
      </c>
      <c r="M1173" t="s">
        <v>1472</v>
      </c>
      <c r="N1173" t="s">
        <v>11</v>
      </c>
      <c r="O1173" s="54">
        <v>8.39</v>
      </c>
      <c r="P1173" s="35">
        <f t="shared" si="112"/>
        <v>4236.95</v>
      </c>
      <c r="Q1173" s="10">
        <f t="shared" ref="Q1173:Q1236" si="115">IF(N1173="HKD",7.8,IF(N1173="CNY",7.30034,1))</f>
        <v>7.3003400000000003</v>
      </c>
      <c r="R1173" s="10">
        <f t="shared" ref="R1173:R1236" si="116">+ROUND(O1173/Q1173,4)</f>
        <v>1.1493</v>
      </c>
      <c r="S1173" s="11">
        <f t="shared" ref="S1173:S1236" si="117">ROUND(R1173*L1173,2)</f>
        <v>580.4</v>
      </c>
      <c r="T1173" s="10" t="s">
        <v>349</v>
      </c>
      <c r="U1173" t="s">
        <v>1</v>
      </c>
      <c r="V1173" s="58">
        <v>7.1775000000000002</v>
      </c>
      <c r="W1173" s="38">
        <f t="shared" si="113"/>
        <v>590.30999651689319</v>
      </c>
    </row>
    <row r="1174" spans="1:23">
      <c r="A1174" t="s">
        <v>2740</v>
      </c>
      <c r="B1174" s="20">
        <v>45733</v>
      </c>
      <c r="C1174" s="20">
        <v>45729</v>
      </c>
      <c r="D1174" t="s">
        <v>5</v>
      </c>
      <c r="E1174" t="s">
        <v>6</v>
      </c>
      <c r="F1174" s="19"/>
      <c r="G1174" t="s">
        <v>3043</v>
      </c>
      <c r="H1174" t="s">
        <v>3244</v>
      </c>
      <c r="I1174" t="s">
        <v>3451</v>
      </c>
      <c r="J1174" s="8" t="str">
        <f t="shared" si="114"/>
        <v>BOX-</v>
      </c>
      <c r="K1174" t="s">
        <v>10</v>
      </c>
      <c r="L1174" s="54">
        <v>505</v>
      </c>
      <c r="M1174" t="s">
        <v>1472</v>
      </c>
      <c r="N1174" t="s">
        <v>11</v>
      </c>
      <c r="O1174" s="54">
        <v>10.73</v>
      </c>
      <c r="P1174" s="35">
        <f t="shared" si="112"/>
        <v>5418.65</v>
      </c>
      <c r="Q1174" s="10">
        <f t="shared" si="115"/>
        <v>7.3003400000000003</v>
      </c>
      <c r="R1174" s="10">
        <f t="shared" si="116"/>
        <v>1.4698</v>
      </c>
      <c r="S1174" s="11">
        <f t="shared" si="117"/>
        <v>742.25</v>
      </c>
      <c r="T1174" s="10" t="s">
        <v>349</v>
      </c>
      <c r="U1174" t="s">
        <v>1</v>
      </c>
      <c r="V1174" s="58">
        <v>7.1775000000000002</v>
      </c>
      <c r="W1174" s="38">
        <f t="shared" si="113"/>
        <v>754.94949494949503</v>
      </c>
    </row>
    <row r="1175" spans="1:23">
      <c r="A1175" t="s">
        <v>2741</v>
      </c>
      <c r="B1175" s="20">
        <v>45733</v>
      </c>
      <c r="C1175" s="20">
        <v>45729</v>
      </c>
      <c r="D1175" t="s">
        <v>5</v>
      </c>
      <c r="E1175" t="s">
        <v>6</v>
      </c>
      <c r="F1175" s="19"/>
      <c r="G1175" t="s">
        <v>3042</v>
      </c>
      <c r="H1175" t="s">
        <v>3245</v>
      </c>
      <c r="I1175" t="s">
        <v>3452</v>
      </c>
      <c r="J1175" s="8" t="str">
        <f t="shared" si="114"/>
        <v>BOX-</v>
      </c>
      <c r="K1175" t="s">
        <v>10</v>
      </c>
      <c r="L1175" s="54">
        <v>505</v>
      </c>
      <c r="M1175" t="s">
        <v>1472</v>
      </c>
      <c r="N1175" t="s">
        <v>11</v>
      </c>
      <c r="O1175" s="54">
        <v>4.75</v>
      </c>
      <c r="P1175" s="35">
        <f t="shared" si="112"/>
        <v>2398.75</v>
      </c>
      <c r="Q1175" s="10">
        <f t="shared" si="115"/>
        <v>7.3003400000000003</v>
      </c>
      <c r="R1175" s="10">
        <f t="shared" si="116"/>
        <v>0.65069999999999995</v>
      </c>
      <c r="S1175" s="11">
        <f t="shared" si="117"/>
        <v>328.6</v>
      </c>
      <c r="T1175" s="10" t="s">
        <v>349</v>
      </c>
      <c r="U1175" t="s">
        <v>1</v>
      </c>
      <c r="V1175" s="58">
        <v>7.1775000000000002</v>
      </c>
      <c r="W1175" s="38">
        <f t="shared" si="113"/>
        <v>334.204110066179</v>
      </c>
    </row>
    <row r="1176" spans="1:23">
      <c r="A1176" t="s">
        <v>2742</v>
      </c>
      <c r="B1176" s="20">
        <v>45733</v>
      </c>
      <c r="C1176" s="20">
        <v>45729</v>
      </c>
      <c r="D1176" t="s">
        <v>5</v>
      </c>
      <c r="E1176" t="s">
        <v>6</v>
      </c>
      <c r="F1176" s="19"/>
      <c r="G1176" t="s">
        <v>3042</v>
      </c>
      <c r="H1176" t="s">
        <v>3246</v>
      </c>
      <c r="I1176" t="s">
        <v>3453</v>
      </c>
      <c r="J1176" s="8" t="str">
        <f t="shared" si="114"/>
        <v>SHTS</v>
      </c>
      <c r="K1176" t="s">
        <v>10</v>
      </c>
      <c r="L1176" s="54">
        <v>505</v>
      </c>
      <c r="M1176" t="s">
        <v>1472</v>
      </c>
      <c r="N1176" t="s">
        <v>11</v>
      </c>
      <c r="O1176" s="54">
        <v>4.95</v>
      </c>
      <c r="P1176" s="35">
        <f t="shared" si="112"/>
        <v>2499.75</v>
      </c>
      <c r="Q1176" s="10">
        <f t="shared" si="115"/>
        <v>7.3003400000000003</v>
      </c>
      <c r="R1176" s="10">
        <f t="shared" si="116"/>
        <v>0.67810000000000004</v>
      </c>
      <c r="S1176" s="11">
        <f t="shared" si="117"/>
        <v>342.44</v>
      </c>
      <c r="T1176" s="10" t="s">
        <v>349</v>
      </c>
      <c r="U1176" t="s">
        <v>9</v>
      </c>
      <c r="V1176" s="58">
        <v>7.1775000000000002</v>
      </c>
      <c r="W1176" s="38">
        <f t="shared" si="113"/>
        <v>348.27586206896552</v>
      </c>
    </row>
    <row r="1177" spans="1:23">
      <c r="A1177" t="s">
        <v>2743</v>
      </c>
      <c r="B1177" s="20">
        <v>45733</v>
      </c>
      <c r="C1177" s="20">
        <v>45729</v>
      </c>
      <c r="D1177" t="s">
        <v>5</v>
      </c>
      <c r="E1177" t="s">
        <v>6</v>
      </c>
      <c r="F1177" s="19"/>
      <c r="G1177" t="s">
        <v>3044</v>
      </c>
      <c r="H1177" t="s">
        <v>3247</v>
      </c>
      <c r="I1177" t="s">
        <v>3454</v>
      </c>
      <c r="J1177" s="8" t="str">
        <f t="shared" si="114"/>
        <v>BOX-</v>
      </c>
      <c r="K1177" t="s">
        <v>10</v>
      </c>
      <c r="L1177" s="54">
        <v>505</v>
      </c>
      <c r="M1177" t="s">
        <v>1472</v>
      </c>
      <c r="N1177" t="s">
        <v>11</v>
      </c>
      <c r="O1177" s="54">
        <v>5.75</v>
      </c>
      <c r="P1177" s="35">
        <f t="shared" si="112"/>
        <v>2903.75</v>
      </c>
      <c r="Q1177" s="10">
        <f t="shared" si="115"/>
        <v>7.3003400000000003</v>
      </c>
      <c r="R1177" s="10">
        <f t="shared" si="116"/>
        <v>0.78759999999999997</v>
      </c>
      <c r="S1177" s="11">
        <f t="shared" si="117"/>
        <v>397.74</v>
      </c>
      <c r="T1177" s="10" t="s">
        <v>349</v>
      </c>
      <c r="U1177" t="s">
        <v>1</v>
      </c>
      <c r="V1177" s="58">
        <v>7.1775000000000002</v>
      </c>
      <c r="W1177" s="38">
        <f t="shared" si="113"/>
        <v>404.56287008011145</v>
      </c>
    </row>
    <row r="1178" spans="1:23">
      <c r="A1178" t="s">
        <v>2744</v>
      </c>
      <c r="B1178" s="20">
        <v>45733</v>
      </c>
      <c r="C1178" s="20">
        <v>45729</v>
      </c>
      <c r="D1178" t="s">
        <v>5</v>
      </c>
      <c r="E1178" t="s">
        <v>6</v>
      </c>
      <c r="F1178" s="19"/>
      <c r="G1178" t="s">
        <v>3044</v>
      </c>
      <c r="H1178" t="s">
        <v>380</v>
      </c>
      <c r="I1178" t="s">
        <v>381</v>
      </c>
      <c r="J1178" s="8" t="str">
        <f t="shared" si="114"/>
        <v>BOX-</v>
      </c>
      <c r="K1178" t="s">
        <v>10</v>
      </c>
      <c r="L1178" s="54">
        <v>1210</v>
      </c>
      <c r="M1178" t="s">
        <v>1472</v>
      </c>
      <c r="N1178" t="s">
        <v>11</v>
      </c>
      <c r="O1178" s="54">
        <v>2.52</v>
      </c>
      <c r="P1178" s="35">
        <f t="shared" si="112"/>
        <v>3049.2</v>
      </c>
      <c r="Q1178" s="10">
        <f t="shared" si="115"/>
        <v>7.3003400000000003</v>
      </c>
      <c r="R1178" s="10">
        <f t="shared" si="116"/>
        <v>0.34520000000000001</v>
      </c>
      <c r="S1178" s="11">
        <f t="shared" si="117"/>
        <v>417.69</v>
      </c>
      <c r="T1178" s="10" t="s">
        <v>349</v>
      </c>
      <c r="U1178" t="s">
        <v>1</v>
      </c>
      <c r="V1178" s="58">
        <v>7.1775000000000002</v>
      </c>
      <c r="W1178" s="38">
        <f t="shared" si="113"/>
        <v>424.82758620689657</v>
      </c>
    </row>
    <row r="1179" spans="1:23">
      <c r="A1179" t="s">
        <v>2745</v>
      </c>
      <c r="B1179" s="20">
        <v>45733</v>
      </c>
      <c r="C1179" s="20">
        <v>45729</v>
      </c>
      <c r="D1179" t="s">
        <v>5</v>
      </c>
      <c r="E1179" t="s">
        <v>6</v>
      </c>
      <c r="F1179" s="19"/>
      <c r="G1179" t="s">
        <v>3044</v>
      </c>
      <c r="H1179" t="s">
        <v>380</v>
      </c>
      <c r="I1179" t="s">
        <v>381</v>
      </c>
      <c r="J1179" s="8" t="str">
        <f t="shared" si="114"/>
        <v>BOX-</v>
      </c>
      <c r="K1179" t="s">
        <v>10</v>
      </c>
      <c r="L1179" s="54">
        <v>100</v>
      </c>
      <c r="M1179" t="s">
        <v>1472</v>
      </c>
      <c r="N1179" t="s">
        <v>11</v>
      </c>
      <c r="O1179" s="54">
        <v>2.52</v>
      </c>
      <c r="P1179" s="35">
        <f t="shared" si="112"/>
        <v>252</v>
      </c>
      <c r="Q1179" s="10">
        <f t="shared" si="115"/>
        <v>7.3003400000000003</v>
      </c>
      <c r="R1179" s="10">
        <f t="shared" si="116"/>
        <v>0.34520000000000001</v>
      </c>
      <c r="S1179" s="11">
        <f t="shared" si="117"/>
        <v>34.520000000000003</v>
      </c>
      <c r="T1179" s="10" t="s">
        <v>349</v>
      </c>
      <c r="U1179" t="s">
        <v>1</v>
      </c>
      <c r="V1179" s="58">
        <v>7.1775000000000002</v>
      </c>
      <c r="W1179" s="38">
        <f t="shared" si="113"/>
        <v>35.109717868338556</v>
      </c>
    </row>
    <row r="1180" spans="1:23">
      <c r="A1180" t="s">
        <v>2434</v>
      </c>
      <c r="B1180" s="20">
        <v>45734</v>
      </c>
      <c r="C1180" s="20">
        <v>45702</v>
      </c>
      <c r="D1180" t="s">
        <v>121</v>
      </c>
      <c r="E1180" t="s">
        <v>122</v>
      </c>
      <c r="F1180" s="19"/>
      <c r="G1180" t="s">
        <v>2935</v>
      </c>
      <c r="H1180" t="s">
        <v>3123</v>
      </c>
      <c r="I1180" t="s">
        <v>3333</v>
      </c>
      <c r="J1180" s="8" t="str">
        <f t="shared" si="114"/>
        <v>LHDL</v>
      </c>
      <c r="K1180" t="s">
        <v>10</v>
      </c>
      <c r="L1180" s="54">
        <v>900</v>
      </c>
      <c r="M1180" t="s">
        <v>1472</v>
      </c>
      <c r="N1180" t="s">
        <v>11</v>
      </c>
      <c r="O1180" s="54">
        <v>2.9552</v>
      </c>
      <c r="P1180" s="35">
        <f t="shared" si="112"/>
        <v>2659.68</v>
      </c>
      <c r="Q1180" s="10">
        <f t="shared" si="115"/>
        <v>7.3003400000000003</v>
      </c>
      <c r="R1180" s="10">
        <f t="shared" si="116"/>
        <v>0.40479999999999999</v>
      </c>
      <c r="S1180" s="11">
        <f t="shared" si="117"/>
        <v>364.32</v>
      </c>
      <c r="T1180" s="10" t="s">
        <v>349</v>
      </c>
      <c r="U1180" t="s">
        <v>125</v>
      </c>
      <c r="V1180" s="58">
        <v>7.1775000000000002</v>
      </c>
      <c r="W1180" s="38">
        <f t="shared" si="113"/>
        <v>370.55799373040747</v>
      </c>
    </row>
    <row r="1181" spans="1:23">
      <c r="A1181" t="s">
        <v>2435</v>
      </c>
      <c r="B1181" s="20">
        <v>45734</v>
      </c>
      <c r="C1181" s="20">
        <v>45702</v>
      </c>
      <c r="D1181" t="s">
        <v>121</v>
      </c>
      <c r="E1181" t="s">
        <v>122</v>
      </c>
      <c r="F1181" s="19"/>
      <c r="G1181" t="s">
        <v>2935</v>
      </c>
      <c r="H1181" t="s">
        <v>3124</v>
      </c>
      <c r="I1181" t="s">
        <v>3334</v>
      </c>
      <c r="J1181" s="8" t="str">
        <f t="shared" si="114"/>
        <v>LHDL</v>
      </c>
      <c r="K1181" t="s">
        <v>10</v>
      </c>
      <c r="L1181" s="54">
        <v>950</v>
      </c>
      <c r="M1181" t="s">
        <v>1472</v>
      </c>
      <c r="N1181" t="s">
        <v>11</v>
      </c>
      <c r="O1181" s="54">
        <v>2.9552</v>
      </c>
      <c r="P1181" s="35">
        <f t="shared" si="112"/>
        <v>2807.44</v>
      </c>
      <c r="Q1181" s="10">
        <f t="shared" si="115"/>
        <v>7.3003400000000003</v>
      </c>
      <c r="R1181" s="10">
        <f t="shared" si="116"/>
        <v>0.40479999999999999</v>
      </c>
      <c r="S1181" s="11">
        <f t="shared" si="117"/>
        <v>384.56</v>
      </c>
      <c r="T1181" s="10" t="s">
        <v>349</v>
      </c>
      <c r="U1181" t="s">
        <v>125</v>
      </c>
      <c r="V1181" s="58">
        <v>7.1775000000000002</v>
      </c>
      <c r="W1181" s="38">
        <f t="shared" si="113"/>
        <v>391.14454893765236</v>
      </c>
    </row>
    <row r="1182" spans="1:23">
      <c r="A1182" t="s">
        <v>2436</v>
      </c>
      <c r="B1182" s="20">
        <v>45734</v>
      </c>
      <c r="C1182" s="20">
        <v>45702</v>
      </c>
      <c r="D1182" t="s">
        <v>121</v>
      </c>
      <c r="E1182" t="s">
        <v>122</v>
      </c>
      <c r="F1182" s="19"/>
      <c r="G1182" t="s">
        <v>2935</v>
      </c>
      <c r="H1182" t="s">
        <v>3125</v>
      </c>
      <c r="I1182" t="s">
        <v>3335</v>
      </c>
      <c r="J1182" s="8" t="str">
        <f t="shared" si="114"/>
        <v>LHDL</v>
      </c>
      <c r="K1182" t="s">
        <v>10</v>
      </c>
      <c r="L1182" s="54">
        <v>1950</v>
      </c>
      <c r="M1182" t="s">
        <v>1472</v>
      </c>
      <c r="N1182" t="s">
        <v>11</v>
      </c>
      <c r="O1182" s="54">
        <v>2.9552</v>
      </c>
      <c r="P1182" s="35">
        <f t="shared" si="112"/>
        <v>5762.64</v>
      </c>
      <c r="Q1182" s="10">
        <f t="shared" si="115"/>
        <v>7.3003400000000003</v>
      </c>
      <c r="R1182" s="10">
        <f t="shared" si="116"/>
        <v>0.40479999999999999</v>
      </c>
      <c r="S1182" s="11">
        <f t="shared" si="117"/>
        <v>789.36</v>
      </c>
      <c r="T1182" s="10" t="s">
        <v>349</v>
      </c>
      <c r="U1182" t="s">
        <v>125</v>
      </c>
      <c r="V1182" s="58">
        <v>7.1775000000000002</v>
      </c>
      <c r="W1182" s="38">
        <f t="shared" si="113"/>
        <v>802.87565308254955</v>
      </c>
    </row>
    <row r="1183" spans="1:23">
      <c r="A1183" t="s">
        <v>2457</v>
      </c>
      <c r="B1183" s="20">
        <v>45734</v>
      </c>
      <c r="C1183" s="20">
        <v>45706</v>
      </c>
      <c r="D1183" t="s">
        <v>545</v>
      </c>
      <c r="E1183" t="s">
        <v>546</v>
      </c>
      <c r="F1183" s="19"/>
      <c r="G1183" t="s">
        <v>2944</v>
      </c>
      <c r="H1183" t="s">
        <v>549</v>
      </c>
      <c r="I1183" t="s">
        <v>550</v>
      </c>
      <c r="J1183" s="8" t="str">
        <f t="shared" si="114"/>
        <v>MISC</v>
      </c>
      <c r="K1183" t="s">
        <v>10</v>
      </c>
      <c r="L1183" s="54">
        <v>5000</v>
      </c>
      <c r="M1183" t="s">
        <v>1472</v>
      </c>
      <c r="N1183" t="s">
        <v>11</v>
      </c>
      <c r="O1183" s="54">
        <v>0.115</v>
      </c>
      <c r="P1183" s="35">
        <f t="shared" si="112"/>
        <v>575</v>
      </c>
      <c r="Q1183" s="10">
        <f t="shared" si="115"/>
        <v>7.3003400000000003</v>
      </c>
      <c r="R1183" s="10">
        <f t="shared" si="116"/>
        <v>1.5800000000000002E-2</v>
      </c>
      <c r="S1183" s="11">
        <f t="shared" si="117"/>
        <v>79</v>
      </c>
      <c r="T1183" s="10" t="s">
        <v>349</v>
      </c>
      <c r="U1183" t="s">
        <v>25</v>
      </c>
      <c r="V1183" s="58">
        <v>7.1775000000000002</v>
      </c>
      <c r="W1183" s="38">
        <f t="shared" si="113"/>
        <v>80.111459421804241</v>
      </c>
    </row>
    <row r="1184" spans="1:23">
      <c r="A1184" t="s">
        <v>2458</v>
      </c>
      <c r="B1184" s="20">
        <v>45734</v>
      </c>
      <c r="C1184" s="20">
        <v>45706</v>
      </c>
      <c r="D1184" t="s">
        <v>545</v>
      </c>
      <c r="E1184" t="s">
        <v>546</v>
      </c>
      <c r="F1184" s="19"/>
      <c r="G1184" t="s">
        <v>2944</v>
      </c>
      <c r="H1184" t="s">
        <v>563</v>
      </c>
      <c r="I1184" t="s">
        <v>564</v>
      </c>
      <c r="J1184" s="8" t="str">
        <f t="shared" si="114"/>
        <v>WHR-</v>
      </c>
      <c r="K1184" t="s">
        <v>10</v>
      </c>
      <c r="L1184" s="54">
        <v>5000</v>
      </c>
      <c r="M1184" t="s">
        <v>1472</v>
      </c>
      <c r="N1184" t="s">
        <v>11</v>
      </c>
      <c r="O1184" s="54">
        <v>4.1000000000000002E-2</v>
      </c>
      <c r="P1184" s="35">
        <f t="shared" si="112"/>
        <v>205</v>
      </c>
      <c r="Q1184" s="10">
        <f t="shared" si="115"/>
        <v>7.3003400000000003</v>
      </c>
      <c r="R1184" s="10">
        <f t="shared" si="116"/>
        <v>5.5999999999999999E-3</v>
      </c>
      <c r="S1184" s="11">
        <f t="shared" si="117"/>
        <v>28</v>
      </c>
      <c r="T1184" s="10" t="s">
        <v>349</v>
      </c>
      <c r="U1184" t="s">
        <v>248</v>
      </c>
      <c r="V1184" s="58">
        <v>7.1775000000000002</v>
      </c>
      <c r="W1184" s="38">
        <f t="shared" si="113"/>
        <v>28.561476837338905</v>
      </c>
    </row>
    <row r="1185" spans="1:23">
      <c r="A1185" t="s">
        <v>2459</v>
      </c>
      <c r="B1185" s="20">
        <v>45734</v>
      </c>
      <c r="C1185" s="20">
        <v>45706</v>
      </c>
      <c r="D1185" t="s">
        <v>545</v>
      </c>
      <c r="E1185" t="s">
        <v>546</v>
      </c>
      <c r="F1185" s="19"/>
      <c r="G1185" t="s">
        <v>2944</v>
      </c>
      <c r="H1185" t="s">
        <v>549</v>
      </c>
      <c r="I1185" t="s">
        <v>550</v>
      </c>
      <c r="J1185" s="8" t="str">
        <f t="shared" si="114"/>
        <v>MISC</v>
      </c>
      <c r="K1185" t="s">
        <v>10</v>
      </c>
      <c r="L1185" s="54">
        <v>6500</v>
      </c>
      <c r="M1185" t="s">
        <v>1472</v>
      </c>
      <c r="N1185" t="s">
        <v>11</v>
      </c>
      <c r="O1185" s="54">
        <v>0.115</v>
      </c>
      <c r="P1185" s="35">
        <f t="shared" si="112"/>
        <v>747.5</v>
      </c>
      <c r="Q1185" s="10">
        <f t="shared" si="115"/>
        <v>7.3003400000000003</v>
      </c>
      <c r="R1185" s="10">
        <f t="shared" si="116"/>
        <v>1.5800000000000002E-2</v>
      </c>
      <c r="S1185" s="11">
        <f t="shared" si="117"/>
        <v>102.7</v>
      </c>
      <c r="T1185" s="10" t="s">
        <v>349</v>
      </c>
      <c r="U1185" t="s">
        <v>25</v>
      </c>
      <c r="V1185" s="58">
        <v>7.1775000000000002</v>
      </c>
      <c r="W1185" s="38">
        <f t="shared" si="113"/>
        <v>104.14489724834552</v>
      </c>
    </row>
    <row r="1186" spans="1:23">
      <c r="A1186" t="s">
        <v>2460</v>
      </c>
      <c r="B1186" s="20">
        <v>45734</v>
      </c>
      <c r="C1186" s="20">
        <v>45706</v>
      </c>
      <c r="D1186" t="s">
        <v>545</v>
      </c>
      <c r="E1186" t="s">
        <v>546</v>
      </c>
      <c r="F1186" s="19"/>
      <c r="G1186" t="s">
        <v>2944</v>
      </c>
      <c r="H1186" t="s">
        <v>563</v>
      </c>
      <c r="I1186" t="s">
        <v>564</v>
      </c>
      <c r="J1186" s="8" t="str">
        <f t="shared" si="114"/>
        <v>WHR-</v>
      </c>
      <c r="K1186" t="s">
        <v>10</v>
      </c>
      <c r="L1186" s="54">
        <v>6500</v>
      </c>
      <c r="M1186" t="s">
        <v>1472</v>
      </c>
      <c r="N1186" t="s">
        <v>11</v>
      </c>
      <c r="O1186" s="54">
        <v>4.1000000000000002E-2</v>
      </c>
      <c r="P1186" s="35">
        <f t="shared" si="112"/>
        <v>266.5</v>
      </c>
      <c r="Q1186" s="10">
        <f t="shared" si="115"/>
        <v>7.3003400000000003</v>
      </c>
      <c r="R1186" s="10">
        <f t="shared" si="116"/>
        <v>5.5999999999999999E-3</v>
      </c>
      <c r="S1186" s="11">
        <f t="shared" si="117"/>
        <v>36.4</v>
      </c>
      <c r="T1186" s="10" t="s">
        <v>349</v>
      </c>
      <c r="U1186" t="s">
        <v>248</v>
      </c>
      <c r="V1186" s="58">
        <v>7.1775000000000002</v>
      </c>
      <c r="W1186" s="38">
        <f t="shared" si="113"/>
        <v>37.129919888540577</v>
      </c>
    </row>
    <row r="1187" spans="1:23">
      <c r="A1187" t="s">
        <v>2536</v>
      </c>
      <c r="B1187" s="20">
        <v>45734</v>
      </c>
      <c r="C1187" s="20">
        <v>45714</v>
      </c>
      <c r="D1187" t="s">
        <v>94</v>
      </c>
      <c r="E1187" t="s">
        <v>95</v>
      </c>
      <c r="F1187" s="19"/>
      <c r="G1187" t="s">
        <v>2976</v>
      </c>
      <c r="H1187" t="s">
        <v>3165</v>
      </c>
      <c r="I1187" t="s">
        <v>3375</v>
      </c>
      <c r="J1187" s="8" t="str">
        <f t="shared" si="114"/>
        <v>LID-</v>
      </c>
      <c r="K1187" t="s">
        <v>98</v>
      </c>
      <c r="L1187" s="54">
        <v>740</v>
      </c>
      <c r="M1187" t="s">
        <v>1472</v>
      </c>
      <c r="N1187" t="s">
        <v>11</v>
      </c>
      <c r="O1187" s="54">
        <v>4.37</v>
      </c>
      <c r="P1187" s="35">
        <f t="shared" si="112"/>
        <v>3233.8</v>
      </c>
      <c r="Q1187" s="10">
        <f t="shared" si="115"/>
        <v>7.3003400000000003</v>
      </c>
      <c r="R1187" s="10">
        <f t="shared" si="116"/>
        <v>0.59860000000000002</v>
      </c>
      <c r="S1187" s="11">
        <f t="shared" si="117"/>
        <v>442.96</v>
      </c>
      <c r="T1187" s="10" t="s">
        <v>349</v>
      </c>
      <c r="U1187" t="s">
        <v>368</v>
      </c>
      <c r="V1187" s="58">
        <v>7.1775000000000002</v>
      </c>
      <c r="W1187" s="38">
        <f t="shared" si="113"/>
        <v>450.54684778822707</v>
      </c>
    </row>
    <row r="1188" spans="1:23">
      <c r="A1188" t="s">
        <v>2564</v>
      </c>
      <c r="B1188" s="20">
        <v>45734</v>
      </c>
      <c r="C1188" s="20">
        <v>45716</v>
      </c>
      <c r="D1188" t="s">
        <v>545</v>
      </c>
      <c r="E1188" t="s">
        <v>546</v>
      </c>
      <c r="F1188" s="19"/>
      <c r="G1188" t="s">
        <v>2944</v>
      </c>
      <c r="H1188" t="s">
        <v>557</v>
      </c>
      <c r="I1188" t="s">
        <v>558</v>
      </c>
      <c r="J1188" s="8" t="str">
        <f t="shared" si="114"/>
        <v>WHR-</v>
      </c>
      <c r="K1188" t="s">
        <v>10</v>
      </c>
      <c r="L1188" s="54">
        <v>1000</v>
      </c>
      <c r="M1188" t="s">
        <v>1472</v>
      </c>
      <c r="N1188" t="s">
        <v>11</v>
      </c>
      <c r="O1188" s="54">
        <v>3.9800000000000002E-2</v>
      </c>
      <c r="P1188" s="35">
        <f t="shared" si="112"/>
        <v>39.799999999999997</v>
      </c>
      <c r="Q1188" s="10">
        <f t="shared" si="115"/>
        <v>7.3003400000000003</v>
      </c>
      <c r="R1188" s="10">
        <f t="shared" si="116"/>
        <v>5.4999999999999997E-3</v>
      </c>
      <c r="S1188" s="11">
        <f t="shared" si="117"/>
        <v>5.5</v>
      </c>
      <c r="T1188" s="10" t="s">
        <v>349</v>
      </c>
      <c r="U1188" t="s">
        <v>248</v>
      </c>
      <c r="V1188" s="58">
        <v>7.1775000000000002</v>
      </c>
      <c r="W1188" s="38">
        <f t="shared" si="113"/>
        <v>5.5451062347614073</v>
      </c>
    </row>
    <row r="1189" spans="1:23">
      <c r="A1189" t="s">
        <v>2610</v>
      </c>
      <c r="B1189" s="20">
        <v>45734</v>
      </c>
      <c r="C1189" s="20">
        <v>45720</v>
      </c>
      <c r="D1189" t="s">
        <v>311</v>
      </c>
      <c r="E1189" t="s">
        <v>312</v>
      </c>
      <c r="F1189" s="19"/>
      <c r="G1189" t="s">
        <v>3013</v>
      </c>
      <c r="H1189" t="s">
        <v>3199</v>
      </c>
      <c r="I1189" t="s">
        <v>3406</v>
      </c>
      <c r="J1189" s="8" t="str">
        <f t="shared" si="114"/>
        <v>EXM-</v>
      </c>
      <c r="K1189" t="s">
        <v>10</v>
      </c>
      <c r="L1189" s="54">
        <v>25</v>
      </c>
      <c r="M1189" t="s">
        <v>186</v>
      </c>
      <c r="N1189" t="s">
        <v>11</v>
      </c>
      <c r="O1189" s="54">
        <v>88.495599999999996</v>
      </c>
      <c r="P1189" s="35">
        <f t="shared" si="112"/>
        <v>2212.39</v>
      </c>
      <c r="Q1189" s="10">
        <f t="shared" si="115"/>
        <v>7.3003400000000003</v>
      </c>
      <c r="R1189" s="10">
        <f t="shared" si="116"/>
        <v>12.1221</v>
      </c>
      <c r="S1189" s="11">
        <f t="shared" si="117"/>
        <v>303.05</v>
      </c>
      <c r="T1189" s="10" t="s">
        <v>349</v>
      </c>
      <c r="U1189" t="s">
        <v>315</v>
      </c>
      <c r="V1189" s="58">
        <v>7.1775000000000002</v>
      </c>
      <c r="W1189" s="38">
        <f t="shared" si="113"/>
        <v>308.23963775687912</v>
      </c>
    </row>
    <row r="1190" spans="1:23">
      <c r="A1190" t="s">
        <v>2661</v>
      </c>
      <c r="B1190" s="20">
        <v>45734</v>
      </c>
      <c r="C1190" s="20">
        <v>45723</v>
      </c>
      <c r="D1190" t="s">
        <v>121</v>
      </c>
      <c r="E1190" t="s">
        <v>122</v>
      </c>
      <c r="F1190" s="19"/>
      <c r="G1190" t="s">
        <v>2935</v>
      </c>
      <c r="H1190" t="s">
        <v>3213</v>
      </c>
      <c r="I1190" t="s">
        <v>3420</v>
      </c>
      <c r="J1190" s="8" t="str">
        <f t="shared" si="114"/>
        <v>HDL-</v>
      </c>
      <c r="K1190" t="s">
        <v>10</v>
      </c>
      <c r="L1190" s="54">
        <v>1520</v>
      </c>
      <c r="M1190" t="s">
        <v>1472</v>
      </c>
      <c r="N1190" t="s">
        <v>11</v>
      </c>
      <c r="O1190" s="54">
        <v>2.9203999999999999</v>
      </c>
      <c r="P1190" s="35">
        <f t="shared" si="112"/>
        <v>4439.01</v>
      </c>
      <c r="Q1190" s="10">
        <f t="shared" si="115"/>
        <v>7.3003400000000003</v>
      </c>
      <c r="R1190" s="10">
        <f t="shared" si="116"/>
        <v>0.4</v>
      </c>
      <c r="S1190" s="11">
        <f t="shared" si="117"/>
        <v>608</v>
      </c>
      <c r="T1190" s="10" t="s">
        <v>349</v>
      </c>
      <c r="U1190" t="s">
        <v>228</v>
      </c>
      <c r="V1190" s="58">
        <v>7.1775000000000002</v>
      </c>
      <c r="W1190" s="38">
        <f t="shared" si="113"/>
        <v>618.46158133054689</v>
      </c>
    </row>
    <row r="1191" spans="1:23">
      <c r="A1191" t="s">
        <v>2695</v>
      </c>
      <c r="B1191" s="20">
        <v>45734</v>
      </c>
      <c r="C1191" s="20">
        <v>45728</v>
      </c>
      <c r="D1191" t="s">
        <v>2259</v>
      </c>
      <c r="E1191" t="s">
        <v>2260</v>
      </c>
      <c r="F1191" s="19"/>
      <c r="G1191" t="s">
        <v>3034</v>
      </c>
      <c r="H1191" t="s">
        <v>1810</v>
      </c>
      <c r="I1191" t="s">
        <v>1811</v>
      </c>
      <c r="J1191" s="8" t="str">
        <f t="shared" si="114"/>
        <v>SSM-</v>
      </c>
      <c r="K1191" t="s">
        <v>10</v>
      </c>
      <c r="L1191" s="54">
        <v>33398</v>
      </c>
      <c r="M1191" t="s">
        <v>186</v>
      </c>
      <c r="N1191" t="s">
        <v>11</v>
      </c>
      <c r="O1191" s="54">
        <v>12.3009</v>
      </c>
      <c r="P1191" s="35">
        <f t="shared" si="112"/>
        <v>410825.46</v>
      </c>
      <c r="Q1191" s="10">
        <f t="shared" si="115"/>
        <v>7.3003400000000003</v>
      </c>
      <c r="R1191" s="10">
        <f t="shared" si="116"/>
        <v>1.6850000000000001</v>
      </c>
      <c r="S1191" s="11">
        <f t="shared" si="117"/>
        <v>56275.63</v>
      </c>
      <c r="T1191" s="10" t="s">
        <v>349</v>
      </c>
      <c r="U1191" t="s">
        <v>33</v>
      </c>
      <c r="V1191" s="58">
        <v>7.1775000000000002</v>
      </c>
      <c r="W1191" s="38">
        <f t="shared" si="113"/>
        <v>57237.960041797283</v>
      </c>
    </row>
    <row r="1192" spans="1:23">
      <c r="A1192" t="s">
        <v>2746</v>
      </c>
      <c r="B1192" s="20">
        <v>45734</v>
      </c>
      <c r="C1192" s="20">
        <v>45729</v>
      </c>
      <c r="D1192" t="s">
        <v>545</v>
      </c>
      <c r="E1192" t="s">
        <v>546</v>
      </c>
      <c r="F1192" s="19"/>
      <c r="G1192" t="s">
        <v>2944</v>
      </c>
      <c r="H1192" t="s">
        <v>563</v>
      </c>
      <c r="I1192" t="s">
        <v>564</v>
      </c>
      <c r="J1192" s="8" t="str">
        <f t="shared" si="114"/>
        <v>WHR-</v>
      </c>
      <c r="K1192" t="s">
        <v>10</v>
      </c>
      <c r="L1192" s="54">
        <v>1150</v>
      </c>
      <c r="M1192" t="s">
        <v>1472</v>
      </c>
      <c r="N1192" t="s">
        <v>11</v>
      </c>
      <c r="O1192" s="54">
        <v>4.1000000000000002E-2</v>
      </c>
      <c r="P1192" s="35">
        <f t="shared" si="112"/>
        <v>47.15</v>
      </c>
      <c r="Q1192" s="10">
        <f t="shared" si="115"/>
        <v>7.3003400000000003</v>
      </c>
      <c r="R1192" s="10">
        <f t="shared" si="116"/>
        <v>5.5999999999999999E-3</v>
      </c>
      <c r="S1192" s="11">
        <f t="shared" si="117"/>
        <v>6.44</v>
      </c>
      <c r="T1192" s="10" t="s">
        <v>349</v>
      </c>
      <c r="U1192" t="s">
        <v>248</v>
      </c>
      <c r="V1192" s="58">
        <v>7.1775000000000002</v>
      </c>
      <c r="W1192" s="38">
        <f t="shared" si="113"/>
        <v>6.5691396725879478</v>
      </c>
    </row>
    <row r="1193" spans="1:23">
      <c r="A1193" t="s">
        <v>2747</v>
      </c>
      <c r="B1193" s="20">
        <v>45734</v>
      </c>
      <c r="C1193" s="20">
        <v>45729</v>
      </c>
      <c r="D1193" t="s">
        <v>545</v>
      </c>
      <c r="E1193" t="s">
        <v>546</v>
      </c>
      <c r="F1193" s="19"/>
      <c r="G1193" t="s">
        <v>2944</v>
      </c>
      <c r="H1193" t="s">
        <v>549</v>
      </c>
      <c r="I1193" t="s">
        <v>550</v>
      </c>
      <c r="J1193" s="8" t="str">
        <f t="shared" si="114"/>
        <v>MISC</v>
      </c>
      <c r="K1193" t="s">
        <v>10</v>
      </c>
      <c r="L1193" s="54">
        <v>1150</v>
      </c>
      <c r="M1193" t="s">
        <v>1472</v>
      </c>
      <c r="N1193" t="s">
        <v>11</v>
      </c>
      <c r="O1193" s="54">
        <v>0.115</v>
      </c>
      <c r="P1193" s="35">
        <f t="shared" si="112"/>
        <v>132.25</v>
      </c>
      <c r="Q1193" s="10">
        <f t="shared" si="115"/>
        <v>7.3003400000000003</v>
      </c>
      <c r="R1193" s="10">
        <f t="shared" si="116"/>
        <v>1.5800000000000002E-2</v>
      </c>
      <c r="S1193" s="11">
        <f t="shared" si="117"/>
        <v>18.170000000000002</v>
      </c>
      <c r="T1193" s="10" t="s">
        <v>349</v>
      </c>
      <c r="U1193" t="s">
        <v>25</v>
      </c>
      <c r="V1193" s="58">
        <v>7.1775000000000002</v>
      </c>
      <c r="W1193" s="38">
        <f t="shared" si="113"/>
        <v>18.425635667014976</v>
      </c>
    </row>
    <row r="1194" spans="1:23">
      <c r="A1194" t="s">
        <v>2788</v>
      </c>
      <c r="B1194" s="20">
        <v>45734</v>
      </c>
      <c r="C1194" s="20">
        <v>45734</v>
      </c>
      <c r="D1194" t="s">
        <v>545</v>
      </c>
      <c r="E1194" t="s">
        <v>546</v>
      </c>
      <c r="F1194" s="19"/>
      <c r="G1194" t="s">
        <v>2944</v>
      </c>
      <c r="H1194" t="s">
        <v>553</v>
      </c>
      <c r="I1194" t="s">
        <v>554</v>
      </c>
      <c r="J1194" s="8" t="str">
        <f t="shared" si="114"/>
        <v>WHR-</v>
      </c>
      <c r="K1194" t="s">
        <v>10</v>
      </c>
      <c r="L1194" s="54">
        <v>4000</v>
      </c>
      <c r="M1194" t="s">
        <v>1472</v>
      </c>
      <c r="N1194" t="s">
        <v>11</v>
      </c>
      <c r="O1194" s="54">
        <v>8.5000000000000006E-2</v>
      </c>
      <c r="P1194" s="35">
        <f t="shared" si="112"/>
        <v>340</v>
      </c>
      <c r="Q1194" s="10">
        <f t="shared" si="115"/>
        <v>7.3003400000000003</v>
      </c>
      <c r="R1194" s="10">
        <f t="shared" si="116"/>
        <v>1.1599999999999999E-2</v>
      </c>
      <c r="S1194" s="11">
        <f t="shared" si="117"/>
        <v>46.4</v>
      </c>
      <c r="T1194" s="10" t="s">
        <v>349</v>
      </c>
      <c r="U1194" t="s">
        <v>248</v>
      </c>
      <c r="V1194" s="58">
        <v>7.1775000000000002</v>
      </c>
      <c r="W1194" s="38">
        <f t="shared" si="113"/>
        <v>47.370254266805993</v>
      </c>
    </row>
    <row r="1195" spans="1:23">
      <c r="A1195" t="s">
        <v>2351</v>
      </c>
      <c r="B1195" s="20">
        <v>45735</v>
      </c>
      <c r="C1195" s="20">
        <v>45680</v>
      </c>
      <c r="D1195" t="s">
        <v>696</v>
      </c>
      <c r="E1195" t="s">
        <v>697</v>
      </c>
      <c r="F1195" s="19"/>
      <c r="G1195" t="s">
        <v>2901</v>
      </c>
      <c r="H1195" t="s">
        <v>1537</v>
      </c>
      <c r="I1195" t="s">
        <v>1538</v>
      </c>
      <c r="J1195" s="8" t="str">
        <f t="shared" si="114"/>
        <v>ANYD</v>
      </c>
      <c r="K1195" t="s">
        <v>10</v>
      </c>
      <c r="L1195" s="54">
        <v>1050</v>
      </c>
      <c r="M1195" t="s">
        <v>1472</v>
      </c>
      <c r="N1195" t="s">
        <v>11</v>
      </c>
      <c r="O1195" s="54">
        <v>3.85</v>
      </c>
      <c r="P1195" s="35">
        <f t="shared" si="112"/>
        <v>4042.5</v>
      </c>
      <c r="Q1195" s="10">
        <f t="shared" si="115"/>
        <v>7.3003400000000003</v>
      </c>
      <c r="R1195" s="10">
        <f t="shared" si="116"/>
        <v>0.52739999999999998</v>
      </c>
      <c r="S1195" s="11">
        <f t="shared" si="117"/>
        <v>553.77</v>
      </c>
      <c r="T1195" s="10" t="s">
        <v>349</v>
      </c>
      <c r="U1195" t="s">
        <v>36</v>
      </c>
      <c r="V1195" s="58">
        <v>7.1775000000000002</v>
      </c>
      <c r="W1195" s="38">
        <f t="shared" si="113"/>
        <v>563.21839080459768</v>
      </c>
    </row>
    <row r="1196" spans="1:23">
      <c r="A1196" t="s">
        <v>2352</v>
      </c>
      <c r="B1196" s="20">
        <v>45735</v>
      </c>
      <c r="C1196" s="20">
        <v>45680</v>
      </c>
      <c r="D1196" t="s">
        <v>696</v>
      </c>
      <c r="E1196" t="s">
        <v>697</v>
      </c>
      <c r="F1196" s="19"/>
      <c r="G1196" t="s">
        <v>2901</v>
      </c>
      <c r="H1196" t="s">
        <v>1541</v>
      </c>
      <c r="I1196" t="s">
        <v>1542</v>
      </c>
      <c r="J1196" s="8" t="str">
        <f t="shared" si="114"/>
        <v>ANYD</v>
      </c>
      <c r="K1196" t="s">
        <v>10</v>
      </c>
      <c r="L1196" s="54">
        <v>1000</v>
      </c>
      <c r="M1196" t="s">
        <v>1472</v>
      </c>
      <c r="N1196" t="s">
        <v>11</v>
      </c>
      <c r="O1196" s="54">
        <v>4.29</v>
      </c>
      <c r="P1196" s="35">
        <f t="shared" si="112"/>
        <v>4290</v>
      </c>
      <c r="Q1196" s="10">
        <f t="shared" si="115"/>
        <v>7.3003400000000003</v>
      </c>
      <c r="R1196" s="10">
        <f t="shared" si="116"/>
        <v>0.58760000000000001</v>
      </c>
      <c r="S1196" s="11">
        <f t="shared" si="117"/>
        <v>587.6</v>
      </c>
      <c r="T1196" s="10" t="s">
        <v>349</v>
      </c>
      <c r="U1196" t="s">
        <v>36</v>
      </c>
      <c r="V1196" s="58">
        <v>7.1775000000000002</v>
      </c>
      <c r="W1196" s="38">
        <f t="shared" si="113"/>
        <v>597.70114942528733</v>
      </c>
    </row>
    <row r="1197" spans="1:23">
      <c r="A1197" t="s">
        <v>2353</v>
      </c>
      <c r="B1197" s="20">
        <v>45735</v>
      </c>
      <c r="C1197" s="20">
        <v>45680</v>
      </c>
      <c r="D1197" t="s">
        <v>696</v>
      </c>
      <c r="E1197" t="s">
        <v>697</v>
      </c>
      <c r="F1197" s="19"/>
      <c r="G1197" t="s">
        <v>2901</v>
      </c>
      <c r="H1197" t="s">
        <v>1543</v>
      </c>
      <c r="I1197" t="s">
        <v>1544</v>
      </c>
      <c r="J1197" s="8" t="str">
        <f t="shared" si="114"/>
        <v>ANYD</v>
      </c>
      <c r="K1197" t="s">
        <v>10</v>
      </c>
      <c r="L1197" s="54">
        <v>1000</v>
      </c>
      <c r="M1197" t="s">
        <v>1472</v>
      </c>
      <c r="N1197" t="s">
        <v>11</v>
      </c>
      <c r="O1197" s="54">
        <v>4.53</v>
      </c>
      <c r="P1197" s="35">
        <f t="shared" si="112"/>
        <v>4530</v>
      </c>
      <c r="Q1197" s="10">
        <f t="shared" si="115"/>
        <v>7.3003400000000003</v>
      </c>
      <c r="R1197" s="10">
        <f t="shared" si="116"/>
        <v>0.62050000000000005</v>
      </c>
      <c r="S1197" s="11">
        <f t="shared" si="117"/>
        <v>620.5</v>
      </c>
      <c r="T1197" s="10" t="s">
        <v>349</v>
      </c>
      <c r="U1197" t="s">
        <v>36</v>
      </c>
      <c r="V1197" s="58">
        <v>7.1775000000000002</v>
      </c>
      <c r="W1197" s="38">
        <f t="shared" si="113"/>
        <v>631.13897596656216</v>
      </c>
    </row>
    <row r="1198" spans="1:23">
      <c r="A1198" t="s">
        <v>2354</v>
      </c>
      <c r="B1198" s="20">
        <v>45735</v>
      </c>
      <c r="C1198" s="20">
        <v>45680</v>
      </c>
      <c r="D1198" t="s">
        <v>696</v>
      </c>
      <c r="E1198" t="s">
        <v>697</v>
      </c>
      <c r="F1198" s="19"/>
      <c r="G1198" t="s">
        <v>2902</v>
      </c>
      <c r="H1198" t="s">
        <v>694</v>
      </c>
      <c r="I1198" t="s">
        <v>695</v>
      </c>
      <c r="J1198" s="8" t="str">
        <f t="shared" si="114"/>
        <v>ANYD</v>
      </c>
      <c r="K1198" t="s">
        <v>10</v>
      </c>
      <c r="L1198" s="54">
        <v>1600</v>
      </c>
      <c r="M1198" t="s">
        <v>1472</v>
      </c>
      <c r="N1198" t="s">
        <v>11</v>
      </c>
      <c r="O1198" s="54">
        <v>5.49</v>
      </c>
      <c r="P1198" s="35">
        <f t="shared" si="112"/>
        <v>8784</v>
      </c>
      <c r="Q1198" s="10">
        <f t="shared" si="115"/>
        <v>7.3003400000000003</v>
      </c>
      <c r="R1198" s="10">
        <f t="shared" si="116"/>
        <v>0.752</v>
      </c>
      <c r="S1198" s="11">
        <f t="shared" si="117"/>
        <v>1203.2</v>
      </c>
      <c r="T1198" s="10" t="s">
        <v>349</v>
      </c>
      <c r="U1198" t="s">
        <v>36</v>
      </c>
      <c r="V1198" s="58">
        <v>7.1775000000000002</v>
      </c>
      <c r="W1198" s="38">
        <f t="shared" si="113"/>
        <v>1223.8244514106582</v>
      </c>
    </row>
    <row r="1199" spans="1:23">
      <c r="A1199" t="s">
        <v>2355</v>
      </c>
      <c r="B1199" s="20">
        <v>45735</v>
      </c>
      <c r="C1199" s="20">
        <v>45680</v>
      </c>
      <c r="D1199" t="s">
        <v>696</v>
      </c>
      <c r="E1199" t="s">
        <v>697</v>
      </c>
      <c r="F1199" s="19"/>
      <c r="G1199" t="s">
        <v>2902</v>
      </c>
      <c r="H1199" t="s">
        <v>700</v>
      </c>
      <c r="I1199" t="s">
        <v>701</v>
      </c>
      <c r="J1199" s="8" t="str">
        <f t="shared" si="114"/>
        <v>ANYD</v>
      </c>
      <c r="K1199" t="s">
        <v>10</v>
      </c>
      <c r="L1199" s="54">
        <v>1900</v>
      </c>
      <c r="M1199" t="s">
        <v>1472</v>
      </c>
      <c r="N1199" t="s">
        <v>11</v>
      </c>
      <c r="O1199" s="54">
        <v>6.01</v>
      </c>
      <c r="P1199" s="35">
        <f t="shared" si="112"/>
        <v>11419</v>
      </c>
      <c r="Q1199" s="10">
        <f t="shared" si="115"/>
        <v>7.3003400000000003</v>
      </c>
      <c r="R1199" s="10">
        <f t="shared" si="116"/>
        <v>0.82320000000000004</v>
      </c>
      <c r="S1199" s="11">
        <f t="shared" si="117"/>
        <v>1564.08</v>
      </c>
      <c r="T1199" s="10" t="s">
        <v>349</v>
      </c>
      <c r="U1199" t="s">
        <v>36</v>
      </c>
      <c r="V1199" s="58">
        <v>7.1775000000000002</v>
      </c>
      <c r="W1199" s="38">
        <f t="shared" si="113"/>
        <v>1590.9439219784047</v>
      </c>
    </row>
    <row r="1200" spans="1:23">
      <c r="A1200" t="s">
        <v>2378</v>
      </c>
      <c r="B1200" s="20">
        <v>45735</v>
      </c>
      <c r="C1200" s="20">
        <v>45695</v>
      </c>
      <c r="D1200" t="s">
        <v>696</v>
      </c>
      <c r="E1200" t="s">
        <v>697</v>
      </c>
      <c r="F1200" s="19"/>
      <c r="G1200" t="s">
        <v>2902</v>
      </c>
      <c r="H1200" t="s">
        <v>700</v>
      </c>
      <c r="I1200" t="s">
        <v>701</v>
      </c>
      <c r="J1200" s="8" t="str">
        <f t="shared" si="114"/>
        <v>ANYD</v>
      </c>
      <c r="K1200" t="s">
        <v>10</v>
      </c>
      <c r="L1200" s="54">
        <v>2100</v>
      </c>
      <c r="M1200" t="s">
        <v>1472</v>
      </c>
      <c r="N1200" t="s">
        <v>11</v>
      </c>
      <c r="O1200" s="54">
        <v>6.01</v>
      </c>
      <c r="P1200" s="35">
        <f t="shared" si="112"/>
        <v>12621</v>
      </c>
      <c r="Q1200" s="10">
        <f t="shared" si="115"/>
        <v>7.3003400000000003</v>
      </c>
      <c r="R1200" s="10">
        <f t="shared" si="116"/>
        <v>0.82320000000000004</v>
      </c>
      <c r="S1200" s="11">
        <f t="shared" si="117"/>
        <v>1728.72</v>
      </c>
      <c r="T1200" s="10" t="s">
        <v>349</v>
      </c>
      <c r="U1200" t="s">
        <v>36</v>
      </c>
      <c r="V1200" s="58">
        <v>7.1775000000000002</v>
      </c>
      <c r="W1200" s="38">
        <f t="shared" si="113"/>
        <v>1758.4117032392894</v>
      </c>
    </row>
    <row r="1201" spans="1:23">
      <c r="A1201" t="s">
        <v>2379</v>
      </c>
      <c r="B1201" s="20">
        <v>45735</v>
      </c>
      <c r="C1201" s="20">
        <v>45695</v>
      </c>
      <c r="D1201" t="s">
        <v>696</v>
      </c>
      <c r="E1201" t="s">
        <v>697</v>
      </c>
      <c r="F1201" s="19"/>
      <c r="G1201" t="s">
        <v>2901</v>
      </c>
      <c r="H1201" t="s">
        <v>1537</v>
      </c>
      <c r="I1201" t="s">
        <v>1538</v>
      </c>
      <c r="J1201" s="8" t="str">
        <f t="shared" si="114"/>
        <v>ANYD</v>
      </c>
      <c r="K1201" t="s">
        <v>10</v>
      </c>
      <c r="L1201" s="54">
        <v>1900</v>
      </c>
      <c r="M1201" t="s">
        <v>1472</v>
      </c>
      <c r="N1201" t="s">
        <v>11</v>
      </c>
      <c r="O1201" s="54">
        <v>3.85</v>
      </c>
      <c r="P1201" s="35">
        <f t="shared" si="112"/>
        <v>7315</v>
      </c>
      <c r="Q1201" s="10">
        <f t="shared" si="115"/>
        <v>7.3003400000000003</v>
      </c>
      <c r="R1201" s="10">
        <f t="shared" si="116"/>
        <v>0.52739999999999998</v>
      </c>
      <c r="S1201" s="11">
        <f t="shared" si="117"/>
        <v>1002.06</v>
      </c>
      <c r="T1201" s="10" t="s">
        <v>349</v>
      </c>
      <c r="U1201" t="s">
        <v>36</v>
      </c>
      <c r="V1201" s="58">
        <v>7.1775000000000002</v>
      </c>
      <c r="W1201" s="38">
        <f t="shared" si="113"/>
        <v>1019.1570881226053</v>
      </c>
    </row>
    <row r="1202" spans="1:23">
      <c r="A1202" t="s">
        <v>2394</v>
      </c>
      <c r="B1202" s="20">
        <v>45735</v>
      </c>
      <c r="C1202" s="20">
        <v>45695</v>
      </c>
      <c r="D1202" t="s">
        <v>169</v>
      </c>
      <c r="E1202" t="s">
        <v>170</v>
      </c>
      <c r="F1202" s="19"/>
      <c r="G1202" t="s">
        <v>2920</v>
      </c>
      <c r="H1202" t="s">
        <v>3095</v>
      </c>
      <c r="I1202" t="s">
        <v>3310</v>
      </c>
      <c r="J1202" s="8" t="str">
        <f t="shared" si="114"/>
        <v>U&amp;C-</v>
      </c>
      <c r="K1202" t="s">
        <v>10</v>
      </c>
      <c r="L1202" s="54">
        <v>1010</v>
      </c>
      <c r="M1202" t="s">
        <v>1472</v>
      </c>
      <c r="N1202" t="s">
        <v>11</v>
      </c>
      <c r="O1202" s="54">
        <v>1.1200000000000001</v>
      </c>
      <c r="P1202" s="35">
        <f t="shared" si="112"/>
        <v>1131.2</v>
      </c>
      <c r="Q1202" s="10">
        <f t="shared" si="115"/>
        <v>7.3003400000000003</v>
      </c>
      <c r="R1202" s="10">
        <f t="shared" si="116"/>
        <v>0.15340000000000001</v>
      </c>
      <c r="S1202" s="11">
        <f t="shared" si="117"/>
        <v>154.93</v>
      </c>
      <c r="T1202" s="10" t="s">
        <v>349</v>
      </c>
      <c r="U1202" t="s">
        <v>177</v>
      </c>
      <c r="V1202" s="58">
        <v>7.1775000000000002</v>
      </c>
      <c r="W1202" s="38">
        <f t="shared" si="113"/>
        <v>157.60362243120863</v>
      </c>
    </row>
    <row r="1203" spans="1:23">
      <c r="A1203" t="s">
        <v>2442</v>
      </c>
      <c r="B1203" s="20">
        <v>45735</v>
      </c>
      <c r="C1203" s="20">
        <v>45702</v>
      </c>
      <c r="D1203" t="s">
        <v>2819</v>
      </c>
      <c r="E1203" t="s">
        <v>2820</v>
      </c>
      <c r="F1203" s="19"/>
      <c r="G1203" t="s">
        <v>2939</v>
      </c>
      <c r="H1203" t="s">
        <v>3128</v>
      </c>
      <c r="I1203" t="s">
        <v>3338</v>
      </c>
      <c r="J1203" s="8" t="str">
        <f t="shared" si="114"/>
        <v>HDL-</v>
      </c>
      <c r="K1203" t="s">
        <v>10</v>
      </c>
      <c r="L1203" s="54">
        <v>1000</v>
      </c>
      <c r="M1203" t="s">
        <v>1472</v>
      </c>
      <c r="N1203" t="s">
        <v>11</v>
      </c>
      <c r="O1203" s="54">
        <v>7.4500999999999999</v>
      </c>
      <c r="P1203" s="35">
        <f t="shared" si="112"/>
        <v>7450.1</v>
      </c>
      <c r="Q1203" s="10">
        <f t="shared" si="115"/>
        <v>7.3003400000000003</v>
      </c>
      <c r="R1203" s="10">
        <f t="shared" si="116"/>
        <v>1.0205</v>
      </c>
      <c r="S1203" s="11">
        <f t="shared" si="117"/>
        <v>1020.5</v>
      </c>
      <c r="T1203" s="10" t="s">
        <v>349</v>
      </c>
      <c r="U1203" t="s">
        <v>228</v>
      </c>
      <c r="V1203" s="58">
        <v>7.1775000000000002</v>
      </c>
      <c r="W1203" s="38">
        <f t="shared" si="113"/>
        <v>1037.9797979797979</v>
      </c>
    </row>
    <row r="1204" spans="1:23">
      <c r="A1204" t="s">
        <v>2443</v>
      </c>
      <c r="B1204" s="20">
        <v>45735</v>
      </c>
      <c r="C1204" s="20">
        <v>45702</v>
      </c>
      <c r="D1204" t="s">
        <v>2819</v>
      </c>
      <c r="E1204" t="s">
        <v>2820</v>
      </c>
      <c r="F1204" s="19"/>
      <c r="G1204" t="s">
        <v>2939</v>
      </c>
      <c r="H1204" t="s">
        <v>3129</v>
      </c>
      <c r="I1204" t="s">
        <v>3339</v>
      </c>
      <c r="J1204" s="8" t="str">
        <f t="shared" si="114"/>
        <v>HDL-</v>
      </c>
      <c r="K1204" t="s">
        <v>10</v>
      </c>
      <c r="L1204" s="54">
        <v>1000</v>
      </c>
      <c r="M1204" t="s">
        <v>1472</v>
      </c>
      <c r="N1204" t="s">
        <v>11</v>
      </c>
      <c r="O1204" s="54">
        <v>7.4500999999999999</v>
      </c>
      <c r="P1204" s="35">
        <f t="shared" si="112"/>
        <v>7450.1</v>
      </c>
      <c r="Q1204" s="10">
        <f t="shared" si="115"/>
        <v>7.3003400000000003</v>
      </c>
      <c r="R1204" s="10">
        <f t="shared" si="116"/>
        <v>1.0205</v>
      </c>
      <c r="S1204" s="11">
        <f t="shared" si="117"/>
        <v>1020.5</v>
      </c>
      <c r="T1204" s="10" t="s">
        <v>349</v>
      </c>
      <c r="U1204" t="s">
        <v>228</v>
      </c>
      <c r="V1204" s="58">
        <v>7.1775000000000002</v>
      </c>
      <c r="W1204" s="38">
        <f t="shared" si="113"/>
        <v>1037.9797979797979</v>
      </c>
    </row>
    <row r="1205" spans="1:23">
      <c r="A1205" t="s">
        <v>2444</v>
      </c>
      <c r="B1205" s="20">
        <v>45735</v>
      </c>
      <c r="C1205" s="20">
        <v>45702</v>
      </c>
      <c r="D1205" t="s">
        <v>2819</v>
      </c>
      <c r="E1205" t="s">
        <v>2820</v>
      </c>
      <c r="F1205" s="19"/>
      <c r="G1205" t="s">
        <v>2939</v>
      </c>
      <c r="H1205" t="s">
        <v>3130</v>
      </c>
      <c r="I1205" t="s">
        <v>3340</v>
      </c>
      <c r="J1205" s="8" t="str">
        <f t="shared" si="114"/>
        <v>HDL-</v>
      </c>
      <c r="K1205" t="s">
        <v>10</v>
      </c>
      <c r="L1205" s="54">
        <v>950</v>
      </c>
      <c r="M1205" t="s">
        <v>1472</v>
      </c>
      <c r="N1205" t="s">
        <v>11</v>
      </c>
      <c r="O1205" s="54">
        <v>8.5591000000000008</v>
      </c>
      <c r="P1205" s="35">
        <f t="shared" si="112"/>
        <v>8131.15</v>
      </c>
      <c r="Q1205" s="10">
        <f t="shared" si="115"/>
        <v>7.3003400000000003</v>
      </c>
      <c r="R1205" s="10">
        <f t="shared" si="116"/>
        <v>1.1724000000000001</v>
      </c>
      <c r="S1205" s="11">
        <f t="shared" si="117"/>
        <v>1113.78</v>
      </c>
      <c r="T1205" s="10" t="s">
        <v>349</v>
      </c>
      <c r="U1205" t="s">
        <v>228</v>
      </c>
      <c r="V1205" s="58">
        <v>7.1775000000000002</v>
      </c>
      <c r="W1205" s="38">
        <f t="shared" si="113"/>
        <v>1132.8659003831419</v>
      </c>
    </row>
    <row r="1206" spans="1:23">
      <c r="A1206" t="s">
        <v>2445</v>
      </c>
      <c r="B1206" s="20">
        <v>45735</v>
      </c>
      <c r="C1206" s="20">
        <v>45702</v>
      </c>
      <c r="D1206" t="s">
        <v>2819</v>
      </c>
      <c r="E1206" t="s">
        <v>2820</v>
      </c>
      <c r="F1206" s="19"/>
      <c r="G1206" t="s">
        <v>2939</v>
      </c>
      <c r="H1206" t="s">
        <v>3131</v>
      </c>
      <c r="I1206" t="s">
        <v>3341</v>
      </c>
      <c r="J1206" s="8" t="str">
        <f t="shared" si="114"/>
        <v>HDL-</v>
      </c>
      <c r="K1206" t="s">
        <v>10</v>
      </c>
      <c r="L1206" s="54">
        <v>950</v>
      </c>
      <c r="M1206" t="s">
        <v>1472</v>
      </c>
      <c r="N1206" t="s">
        <v>11</v>
      </c>
      <c r="O1206" s="54">
        <v>8.0311000000000003</v>
      </c>
      <c r="P1206" s="35">
        <f t="shared" si="112"/>
        <v>7629.55</v>
      </c>
      <c r="Q1206" s="10">
        <f t="shared" si="115"/>
        <v>7.3003400000000003</v>
      </c>
      <c r="R1206" s="10">
        <f t="shared" si="116"/>
        <v>1.1001000000000001</v>
      </c>
      <c r="S1206" s="11">
        <f t="shared" si="117"/>
        <v>1045.0999999999999</v>
      </c>
      <c r="T1206" s="10" t="s">
        <v>349</v>
      </c>
      <c r="U1206" t="s">
        <v>228</v>
      </c>
      <c r="V1206" s="58">
        <v>7.1775000000000002</v>
      </c>
      <c r="W1206" s="38">
        <f t="shared" si="113"/>
        <v>1062.9808429118773</v>
      </c>
    </row>
    <row r="1207" spans="1:23">
      <c r="A1207" t="s">
        <v>2446</v>
      </c>
      <c r="B1207" s="20">
        <v>45735</v>
      </c>
      <c r="C1207" s="20">
        <v>45702</v>
      </c>
      <c r="D1207" t="s">
        <v>2819</v>
      </c>
      <c r="E1207" t="s">
        <v>2820</v>
      </c>
      <c r="F1207" s="19"/>
      <c r="G1207" t="s">
        <v>2939</v>
      </c>
      <c r="H1207" t="s">
        <v>3132</v>
      </c>
      <c r="I1207" t="s">
        <v>3342</v>
      </c>
      <c r="J1207" s="8" t="str">
        <f t="shared" si="114"/>
        <v>HDL-</v>
      </c>
      <c r="K1207" t="s">
        <v>10</v>
      </c>
      <c r="L1207" s="54">
        <v>950</v>
      </c>
      <c r="M1207" t="s">
        <v>1472</v>
      </c>
      <c r="N1207" t="s">
        <v>11</v>
      </c>
      <c r="O1207" s="54">
        <v>8.5591000000000008</v>
      </c>
      <c r="P1207" s="35">
        <f t="shared" si="112"/>
        <v>8131.15</v>
      </c>
      <c r="Q1207" s="10">
        <f t="shared" si="115"/>
        <v>7.3003400000000003</v>
      </c>
      <c r="R1207" s="10">
        <f t="shared" si="116"/>
        <v>1.1724000000000001</v>
      </c>
      <c r="S1207" s="11">
        <f t="shared" si="117"/>
        <v>1113.78</v>
      </c>
      <c r="T1207" s="10" t="s">
        <v>349</v>
      </c>
      <c r="U1207" t="s">
        <v>228</v>
      </c>
      <c r="V1207" s="58">
        <v>7.1775000000000002</v>
      </c>
      <c r="W1207" s="38">
        <f t="shared" si="113"/>
        <v>1132.8659003831419</v>
      </c>
    </row>
    <row r="1208" spans="1:23">
      <c r="A1208" t="s">
        <v>2447</v>
      </c>
      <c r="B1208" s="20">
        <v>45735</v>
      </c>
      <c r="C1208" s="20">
        <v>45702</v>
      </c>
      <c r="D1208" t="s">
        <v>2819</v>
      </c>
      <c r="E1208" t="s">
        <v>2820</v>
      </c>
      <c r="F1208" s="19"/>
      <c r="G1208" t="s">
        <v>2939</v>
      </c>
      <c r="H1208" t="s">
        <v>3133</v>
      </c>
      <c r="I1208" t="s">
        <v>3343</v>
      </c>
      <c r="J1208" s="8" t="str">
        <f t="shared" si="114"/>
        <v>HDL-</v>
      </c>
      <c r="K1208" t="s">
        <v>10</v>
      </c>
      <c r="L1208" s="54">
        <v>1030</v>
      </c>
      <c r="M1208" t="s">
        <v>1472</v>
      </c>
      <c r="N1208" t="s">
        <v>11</v>
      </c>
      <c r="O1208" s="54">
        <v>7.4577999999999998</v>
      </c>
      <c r="P1208" s="35">
        <f t="shared" si="112"/>
        <v>7681.53</v>
      </c>
      <c r="Q1208" s="10">
        <f t="shared" si="115"/>
        <v>7.3003400000000003</v>
      </c>
      <c r="R1208" s="10">
        <f t="shared" si="116"/>
        <v>1.0216000000000001</v>
      </c>
      <c r="S1208" s="11">
        <f t="shared" si="117"/>
        <v>1052.25</v>
      </c>
      <c r="T1208" s="10" t="s">
        <v>349</v>
      </c>
      <c r="U1208" t="s">
        <v>228</v>
      </c>
      <c r="V1208" s="58">
        <v>7.1775000000000002</v>
      </c>
      <c r="W1208" s="38">
        <f t="shared" si="113"/>
        <v>1070.2241727621038</v>
      </c>
    </row>
    <row r="1209" spans="1:23">
      <c r="A1209" t="s">
        <v>2448</v>
      </c>
      <c r="B1209" s="20">
        <v>45735</v>
      </c>
      <c r="C1209" s="20">
        <v>45702</v>
      </c>
      <c r="D1209" t="s">
        <v>2819</v>
      </c>
      <c r="E1209" t="s">
        <v>2820</v>
      </c>
      <c r="F1209" s="19"/>
      <c r="G1209" t="s">
        <v>2939</v>
      </c>
      <c r="H1209" t="s">
        <v>3134</v>
      </c>
      <c r="I1209" t="s">
        <v>3344</v>
      </c>
      <c r="J1209" s="8" t="str">
        <f t="shared" si="114"/>
        <v>HDL-</v>
      </c>
      <c r="K1209" t="s">
        <v>10</v>
      </c>
      <c r="L1209" s="54">
        <v>1040</v>
      </c>
      <c r="M1209" t="s">
        <v>1472</v>
      </c>
      <c r="N1209" t="s">
        <v>11</v>
      </c>
      <c r="O1209" s="54">
        <v>8.0116999999999994</v>
      </c>
      <c r="P1209" s="35">
        <f t="shared" si="112"/>
        <v>8332.17</v>
      </c>
      <c r="Q1209" s="10">
        <f t="shared" si="115"/>
        <v>7.3003400000000003</v>
      </c>
      <c r="R1209" s="10">
        <f t="shared" si="116"/>
        <v>1.0973999999999999</v>
      </c>
      <c r="S1209" s="11">
        <f t="shared" si="117"/>
        <v>1141.3</v>
      </c>
      <c r="T1209" s="10" t="s">
        <v>349</v>
      </c>
      <c r="U1209" t="s">
        <v>228</v>
      </c>
      <c r="V1209" s="58">
        <v>7.1775000000000002</v>
      </c>
      <c r="W1209" s="38">
        <f t="shared" si="113"/>
        <v>1160.8732845698362</v>
      </c>
    </row>
    <row r="1210" spans="1:23">
      <c r="A1210" t="s">
        <v>2528</v>
      </c>
      <c r="B1210" s="20">
        <v>45735</v>
      </c>
      <c r="C1210" s="20">
        <v>45713</v>
      </c>
      <c r="D1210" t="s">
        <v>696</v>
      </c>
      <c r="E1210" t="s">
        <v>697</v>
      </c>
      <c r="F1210" s="19"/>
      <c r="G1210" t="s">
        <v>2901</v>
      </c>
      <c r="H1210" t="s">
        <v>1541</v>
      </c>
      <c r="I1210" t="s">
        <v>1542</v>
      </c>
      <c r="J1210" s="8" t="str">
        <f t="shared" si="114"/>
        <v>ANYD</v>
      </c>
      <c r="K1210" t="s">
        <v>10</v>
      </c>
      <c r="L1210" s="54">
        <v>1000</v>
      </c>
      <c r="M1210" t="s">
        <v>1472</v>
      </c>
      <c r="N1210" t="s">
        <v>11</v>
      </c>
      <c r="O1210" s="54">
        <v>4.29</v>
      </c>
      <c r="P1210" s="35">
        <f t="shared" si="112"/>
        <v>4290</v>
      </c>
      <c r="Q1210" s="10">
        <f t="shared" si="115"/>
        <v>7.3003400000000003</v>
      </c>
      <c r="R1210" s="10">
        <f t="shared" si="116"/>
        <v>0.58760000000000001</v>
      </c>
      <c r="S1210" s="11">
        <f t="shared" si="117"/>
        <v>587.6</v>
      </c>
      <c r="T1210" s="10" t="s">
        <v>349</v>
      </c>
      <c r="U1210" t="s">
        <v>36</v>
      </c>
      <c r="V1210" s="58">
        <v>7.1775000000000002</v>
      </c>
      <c r="W1210" s="38">
        <f t="shared" si="113"/>
        <v>597.70114942528733</v>
      </c>
    </row>
    <row r="1211" spans="1:23">
      <c r="A1211" t="s">
        <v>2529</v>
      </c>
      <c r="B1211" s="20">
        <v>45735</v>
      </c>
      <c r="C1211" s="20">
        <v>45713</v>
      </c>
      <c r="D1211" t="s">
        <v>696</v>
      </c>
      <c r="E1211" t="s">
        <v>697</v>
      </c>
      <c r="F1211" s="19"/>
      <c r="G1211" t="s">
        <v>2901</v>
      </c>
      <c r="H1211" t="s">
        <v>1543</v>
      </c>
      <c r="I1211" t="s">
        <v>1544</v>
      </c>
      <c r="J1211" s="8" t="str">
        <f t="shared" si="114"/>
        <v>ANYD</v>
      </c>
      <c r="K1211" t="s">
        <v>10</v>
      </c>
      <c r="L1211" s="54">
        <v>1000</v>
      </c>
      <c r="M1211" t="s">
        <v>1472</v>
      </c>
      <c r="N1211" t="s">
        <v>11</v>
      </c>
      <c r="O1211" s="54">
        <v>4.53</v>
      </c>
      <c r="P1211" s="35">
        <f t="shared" si="112"/>
        <v>4530</v>
      </c>
      <c r="Q1211" s="10">
        <f t="shared" si="115"/>
        <v>7.3003400000000003</v>
      </c>
      <c r="R1211" s="10">
        <f t="shared" si="116"/>
        <v>0.62050000000000005</v>
      </c>
      <c r="S1211" s="11">
        <f t="shared" si="117"/>
        <v>620.5</v>
      </c>
      <c r="T1211" s="10" t="s">
        <v>349</v>
      </c>
      <c r="U1211" t="s">
        <v>36</v>
      </c>
      <c r="V1211" s="58">
        <v>7.1775000000000002</v>
      </c>
      <c r="W1211" s="38">
        <f t="shared" si="113"/>
        <v>631.13897596656216</v>
      </c>
    </row>
    <row r="1212" spans="1:23">
      <c r="A1212" t="s">
        <v>2536</v>
      </c>
      <c r="B1212" s="20">
        <v>45735</v>
      </c>
      <c r="C1212" s="20">
        <v>45714</v>
      </c>
      <c r="D1212" t="s">
        <v>94</v>
      </c>
      <c r="E1212" t="s">
        <v>95</v>
      </c>
      <c r="F1212" s="19"/>
      <c r="G1212" t="s">
        <v>2975</v>
      </c>
      <c r="H1212" t="s">
        <v>3165</v>
      </c>
      <c r="I1212" t="s">
        <v>3375</v>
      </c>
      <c r="J1212" s="8" t="str">
        <f t="shared" si="114"/>
        <v>LID-</v>
      </c>
      <c r="K1212" t="s">
        <v>98</v>
      </c>
      <c r="L1212" s="54">
        <v>693</v>
      </c>
      <c r="M1212" t="s">
        <v>1472</v>
      </c>
      <c r="N1212" t="s">
        <v>11</v>
      </c>
      <c r="O1212" s="54">
        <v>4.37</v>
      </c>
      <c r="P1212" s="35">
        <f t="shared" si="112"/>
        <v>3028.41</v>
      </c>
      <c r="Q1212" s="10">
        <f t="shared" si="115"/>
        <v>7.3003400000000003</v>
      </c>
      <c r="R1212" s="10">
        <f t="shared" si="116"/>
        <v>0.59860000000000002</v>
      </c>
      <c r="S1212" s="11">
        <f t="shared" si="117"/>
        <v>414.83</v>
      </c>
      <c r="T1212" s="10" t="s">
        <v>349</v>
      </c>
      <c r="U1212" t="s">
        <v>368</v>
      </c>
      <c r="V1212" s="58">
        <v>7.1775000000000002</v>
      </c>
      <c r="W1212" s="38">
        <f t="shared" si="113"/>
        <v>421.93103448275861</v>
      </c>
    </row>
    <row r="1213" spans="1:23">
      <c r="A1213" t="s">
        <v>2560</v>
      </c>
      <c r="B1213" s="20">
        <v>45735</v>
      </c>
      <c r="C1213" s="20">
        <v>45716</v>
      </c>
      <c r="D1213" t="s">
        <v>696</v>
      </c>
      <c r="E1213" t="s">
        <v>697</v>
      </c>
      <c r="F1213" s="19"/>
      <c r="G1213" t="s">
        <v>2996</v>
      </c>
      <c r="H1213" t="s">
        <v>3175</v>
      </c>
      <c r="I1213" t="s">
        <v>3382</v>
      </c>
      <c r="J1213" s="8" t="str">
        <f t="shared" si="114"/>
        <v>GLID</v>
      </c>
      <c r="K1213" t="s">
        <v>10</v>
      </c>
      <c r="L1213" s="54">
        <v>1010</v>
      </c>
      <c r="M1213" t="s">
        <v>1472</v>
      </c>
      <c r="N1213" t="s">
        <v>11</v>
      </c>
      <c r="O1213" s="54">
        <v>7.12</v>
      </c>
      <c r="P1213" s="35">
        <f t="shared" si="112"/>
        <v>7191.2</v>
      </c>
      <c r="Q1213" s="10">
        <f t="shared" si="115"/>
        <v>7.3003400000000003</v>
      </c>
      <c r="R1213" s="10">
        <f t="shared" si="116"/>
        <v>0.97529999999999994</v>
      </c>
      <c r="S1213" s="11">
        <f t="shared" si="117"/>
        <v>985.05</v>
      </c>
      <c r="T1213" s="10" t="s">
        <v>349</v>
      </c>
      <c r="U1213" t="s">
        <v>78</v>
      </c>
      <c r="V1213" s="58">
        <v>7.1775000000000002</v>
      </c>
      <c r="W1213" s="38">
        <f t="shared" si="113"/>
        <v>1001.9087425983978</v>
      </c>
    </row>
    <row r="1214" spans="1:23">
      <c r="A1214" t="s">
        <v>2561</v>
      </c>
      <c r="B1214" s="20">
        <v>45735</v>
      </c>
      <c r="C1214" s="20">
        <v>45716</v>
      </c>
      <c r="D1214" t="s">
        <v>696</v>
      </c>
      <c r="E1214" t="s">
        <v>697</v>
      </c>
      <c r="F1214" s="19"/>
      <c r="G1214" t="s">
        <v>2996</v>
      </c>
      <c r="H1214" t="s">
        <v>3176</v>
      </c>
      <c r="I1214" t="s">
        <v>3383</v>
      </c>
      <c r="J1214" s="8" t="str">
        <f t="shared" si="114"/>
        <v>GLID</v>
      </c>
      <c r="K1214" t="s">
        <v>10</v>
      </c>
      <c r="L1214" s="54">
        <v>1010</v>
      </c>
      <c r="M1214" t="s">
        <v>1472</v>
      </c>
      <c r="N1214" t="s">
        <v>11</v>
      </c>
      <c r="O1214" s="54">
        <v>8.6300000000000008</v>
      </c>
      <c r="P1214" s="35">
        <f t="shared" si="112"/>
        <v>8716.2999999999993</v>
      </c>
      <c r="Q1214" s="10">
        <f t="shared" si="115"/>
        <v>7.3003400000000003</v>
      </c>
      <c r="R1214" s="10">
        <f t="shared" si="116"/>
        <v>1.1820999999999999</v>
      </c>
      <c r="S1214" s="11">
        <f t="shared" si="117"/>
        <v>1193.92</v>
      </c>
      <c r="T1214" s="10" t="s">
        <v>349</v>
      </c>
      <c r="U1214" t="s">
        <v>78</v>
      </c>
      <c r="V1214" s="58">
        <v>7.1775000000000002</v>
      </c>
      <c r="W1214" s="38">
        <f t="shared" si="113"/>
        <v>1214.3921978404737</v>
      </c>
    </row>
    <row r="1215" spans="1:23">
      <c r="A1215" t="s">
        <v>2778</v>
      </c>
      <c r="B1215" s="20">
        <v>45735</v>
      </c>
      <c r="C1215" s="20">
        <v>45730</v>
      </c>
      <c r="D1215" t="s">
        <v>696</v>
      </c>
      <c r="E1215" t="s">
        <v>697</v>
      </c>
      <c r="F1215" s="19"/>
      <c r="G1215" t="s">
        <v>2901</v>
      </c>
      <c r="H1215" t="s">
        <v>1537</v>
      </c>
      <c r="I1215" t="s">
        <v>1538</v>
      </c>
      <c r="J1215" s="8" t="str">
        <f t="shared" si="114"/>
        <v>ANYD</v>
      </c>
      <c r="K1215" t="s">
        <v>10</v>
      </c>
      <c r="L1215" s="54">
        <v>1000</v>
      </c>
      <c r="M1215" t="s">
        <v>1472</v>
      </c>
      <c r="N1215" t="s">
        <v>11</v>
      </c>
      <c r="O1215" s="54">
        <v>3.85</v>
      </c>
      <c r="P1215" s="35">
        <f t="shared" si="112"/>
        <v>3850</v>
      </c>
      <c r="Q1215" s="10">
        <f t="shared" si="115"/>
        <v>7.3003400000000003</v>
      </c>
      <c r="R1215" s="10">
        <f t="shared" si="116"/>
        <v>0.52739999999999998</v>
      </c>
      <c r="S1215" s="11">
        <f t="shared" si="117"/>
        <v>527.4</v>
      </c>
      <c r="T1215" s="10" t="s">
        <v>349</v>
      </c>
      <c r="U1215" t="s">
        <v>36</v>
      </c>
      <c r="V1215" s="58">
        <v>7.1775000000000002</v>
      </c>
      <c r="W1215" s="38">
        <f t="shared" si="113"/>
        <v>536.39846743295016</v>
      </c>
    </row>
    <row r="1216" spans="1:23">
      <c r="A1216" t="s">
        <v>2347</v>
      </c>
      <c r="B1216" s="20">
        <v>45736</v>
      </c>
      <c r="C1216" s="20">
        <v>45677</v>
      </c>
      <c r="D1216" t="s">
        <v>5</v>
      </c>
      <c r="E1216" t="s">
        <v>6</v>
      </c>
      <c r="F1216" s="19"/>
      <c r="G1216" t="s">
        <v>2900</v>
      </c>
      <c r="H1216" t="s">
        <v>1804</v>
      </c>
      <c r="I1216" t="s">
        <v>1805</v>
      </c>
      <c r="J1216" s="8" t="str">
        <f t="shared" si="114"/>
        <v>BOX-</v>
      </c>
      <c r="K1216" t="s">
        <v>10</v>
      </c>
      <c r="L1216" s="54">
        <v>1010</v>
      </c>
      <c r="M1216" t="s">
        <v>1472</v>
      </c>
      <c r="N1216" t="s">
        <v>11</v>
      </c>
      <c r="O1216" s="54">
        <v>8.2200000000000006</v>
      </c>
      <c r="P1216" s="35">
        <f t="shared" si="112"/>
        <v>8302.2000000000007</v>
      </c>
      <c r="Q1216" s="10">
        <f t="shared" si="115"/>
        <v>7.3003400000000003</v>
      </c>
      <c r="R1216" s="10">
        <f t="shared" si="116"/>
        <v>1.1259999999999999</v>
      </c>
      <c r="S1216" s="11">
        <f t="shared" si="117"/>
        <v>1137.26</v>
      </c>
      <c r="T1216" s="10" t="s">
        <v>349</v>
      </c>
      <c r="U1216" t="s">
        <v>1</v>
      </c>
      <c r="V1216" s="58">
        <v>7.1775000000000002</v>
      </c>
      <c r="W1216" s="38">
        <f t="shared" si="113"/>
        <v>1156.6980146290491</v>
      </c>
    </row>
    <row r="1217" spans="1:23">
      <c r="A1217" t="s">
        <v>2433</v>
      </c>
      <c r="B1217" s="20">
        <v>45736</v>
      </c>
      <c r="C1217" s="20">
        <v>45702</v>
      </c>
      <c r="D1217" t="s">
        <v>295</v>
      </c>
      <c r="E1217" t="s">
        <v>296</v>
      </c>
      <c r="F1217" s="19"/>
      <c r="G1217" t="s">
        <v>2934</v>
      </c>
      <c r="H1217" t="s">
        <v>3122</v>
      </c>
      <c r="I1217" t="s">
        <v>3332</v>
      </c>
      <c r="J1217" s="8" t="str">
        <f t="shared" si="114"/>
        <v>SHDL</v>
      </c>
      <c r="K1217" t="s">
        <v>10</v>
      </c>
      <c r="L1217" s="54">
        <v>8200</v>
      </c>
      <c r="M1217" t="s">
        <v>1472</v>
      </c>
      <c r="N1217" t="s">
        <v>11</v>
      </c>
      <c r="O1217" s="54">
        <v>1.7226999999999999</v>
      </c>
      <c r="P1217" s="35">
        <f t="shared" si="112"/>
        <v>14126.14</v>
      </c>
      <c r="Q1217" s="10">
        <f t="shared" si="115"/>
        <v>7.3003400000000003</v>
      </c>
      <c r="R1217" s="10">
        <f t="shared" si="116"/>
        <v>0.23599999999999999</v>
      </c>
      <c r="S1217" s="11">
        <f t="shared" si="117"/>
        <v>1935.2</v>
      </c>
      <c r="T1217" s="10" t="s">
        <v>349</v>
      </c>
      <c r="U1217" t="s">
        <v>722</v>
      </c>
      <c r="V1217" s="58">
        <v>7.1775000000000002</v>
      </c>
      <c r="W1217" s="38">
        <f t="shared" si="113"/>
        <v>1968.1142459073492</v>
      </c>
    </row>
    <row r="1218" spans="1:23">
      <c r="A1218" t="s">
        <v>2536</v>
      </c>
      <c r="B1218" s="20">
        <v>45736</v>
      </c>
      <c r="C1218" s="20">
        <v>45714</v>
      </c>
      <c r="D1218" t="s">
        <v>94</v>
      </c>
      <c r="E1218" t="s">
        <v>95</v>
      </c>
      <c r="F1218" s="19"/>
      <c r="G1218" t="s">
        <v>2974</v>
      </c>
      <c r="H1218" t="s">
        <v>3165</v>
      </c>
      <c r="I1218" t="s">
        <v>3375</v>
      </c>
      <c r="J1218" s="8" t="str">
        <f t="shared" si="114"/>
        <v>LID-</v>
      </c>
      <c r="K1218" t="s">
        <v>98</v>
      </c>
      <c r="L1218" s="54">
        <v>1272</v>
      </c>
      <c r="M1218" t="s">
        <v>1472</v>
      </c>
      <c r="N1218" t="s">
        <v>11</v>
      </c>
      <c r="O1218" s="54">
        <v>4.37</v>
      </c>
      <c r="P1218" s="35">
        <f t="shared" ref="P1218:P1281" si="118">ROUND(O1218*L1218,2)</f>
        <v>5558.64</v>
      </c>
      <c r="Q1218" s="10">
        <f t="shared" si="115"/>
        <v>7.3003400000000003</v>
      </c>
      <c r="R1218" s="10">
        <f t="shared" si="116"/>
        <v>0.59860000000000002</v>
      </c>
      <c r="S1218" s="11">
        <f t="shared" si="117"/>
        <v>761.42</v>
      </c>
      <c r="T1218" s="10" t="s">
        <v>349</v>
      </c>
      <c r="U1218" t="s">
        <v>368</v>
      </c>
      <c r="V1218" s="58">
        <v>7.1775000000000002</v>
      </c>
      <c r="W1218" s="38">
        <f t="shared" ref="W1218:W1281" si="119">IF(N1218="CNY",O1218/V1218*L1218,1)</f>
        <v>774.45350052246602</v>
      </c>
    </row>
    <row r="1219" spans="1:23">
      <c r="A1219" t="s">
        <v>2537</v>
      </c>
      <c r="B1219" s="20">
        <v>45736</v>
      </c>
      <c r="C1219" s="20">
        <v>45714</v>
      </c>
      <c r="D1219" t="s">
        <v>94</v>
      </c>
      <c r="E1219" t="s">
        <v>95</v>
      </c>
      <c r="F1219" s="19"/>
      <c r="G1219" t="s">
        <v>2974</v>
      </c>
      <c r="H1219" t="s">
        <v>3165</v>
      </c>
      <c r="I1219" t="s">
        <v>3375</v>
      </c>
      <c r="J1219" s="8" t="str">
        <f t="shared" si="114"/>
        <v>LID-</v>
      </c>
      <c r="K1219" t="s">
        <v>98</v>
      </c>
      <c r="L1219" s="54">
        <v>111</v>
      </c>
      <c r="M1219" t="s">
        <v>1472</v>
      </c>
      <c r="N1219" t="s">
        <v>11</v>
      </c>
      <c r="O1219" s="54">
        <v>4.37</v>
      </c>
      <c r="P1219" s="35">
        <f t="shared" si="118"/>
        <v>485.07</v>
      </c>
      <c r="Q1219" s="10">
        <f t="shared" si="115"/>
        <v>7.3003400000000003</v>
      </c>
      <c r="R1219" s="10">
        <f t="shared" si="116"/>
        <v>0.59860000000000002</v>
      </c>
      <c r="S1219" s="11">
        <f t="shared" si="117"/>
        <v>66.44</v>
      </c>
      <c r="T1219" s="10" t="s">
        <v>349</v>
      </c>
      <c r="U1219" t="s">
        <v>368</v>
      </c>
      <c r="V1219" s="58">
        <v>7.1775000000000002</v>
      </c>
      <c r="W1219" s="38">
        <f t="shared" si="119"/>
        <v>67.582027168234063</v>
      </c>
    </row>
    <row r="1220" spans="1:23">
      <c r="A1220" t="s">
        <v>2539</v>
      </c>
      <c r="B1220" s="20">
        <v>45736</v>
      </c>
      <c r="C1220" s="20">
        <v>45714</v>
      </c>
      <c r="D1220" t="s">
        <v>830</v>
      </c>
      <c r="E1220" t="s">
        <v>831</v>
      </c>
      <c r="F1220" s="19"/>
      <c r="G1220" t="s">
        <v>2985</v>
      </c>
      <c r="H1220" t="s">
        <v>3166</v>
      </c>
      <c r="I1220" t="s">
        <v>3376</v>
      </c>
      <c r="J1220" s="8" t="str">
        <f t="shared" si="114"/>
        <v>LID-</v>
      </c>
      <c r="K1220" t="s">
        <v>98</v>
      </c>
      <c r="L1220" s="54">
        <v>1920</v>
      </c>
      <c r="M1220" t="s">
        <v>1472</v>
      </c>
      <c r="N1220" t="s">
        <v>11</v>
      </c>
      <c r="O1220" s="54">
        <v>4.2</v>
      </c>
      <c r="P1220" s="35">
        <f t="shared" si="118"/>
        <v>8064</v>
      </c>
      <c r="Q1220" s="10">
        <f t="shared" si="115"/>
        <v>7.3003400000000003</v>
      </c>
      <c r="R1220" s="10">
        <f t="shared" si="116"/>
        <v>0.57530000000000003</v>
      </c>
      <c r="S1220" s="11">
        <f t="shared" si="117"/>
        <v>1104.58</v>
      </c>
      <c r="T1220" s="10" t="s">
        <v>349</v>
      </c>
      <c r="U1220" t="s">
        <v>368</v>
      </c>
      <c r="V1220" s="58">
        <v>7.1775000000000002</v>
      </c>
      <c r="W1220" s="38">
        <f t="shared" si="119"/>
        <v>1123.5109717868338</v>
      </c>
    </row>
    <row r="1221" spans="1:23">
      <c r="A1221" t="s">
        <v>2550</v>
      </c>
      <c r="B1221" s="20">
        <v>45736</v>
      </c>
      <c r="C1221" s="20">
        <v>45716</v>
      </c>
      <c r="D1221" t="s">
        <v>149</v>
      </c>
      <c r="E1221" t="s">
        <v>150</v>
      </c>
      <c r="F1221" s="19"/>
      <c r="G1221" t="s">
        <v>2994</v>
      </c>
      <c r="H1221" t="s">
        <v>1688</v>
      </c>
      <c r="I1221" t="s">
        <v>1188</v>
      </c>
      <c r="J1221" s="8" t="str">
        <f t="shared" si="114"/>
        <v>GLID</v>
      </c>
      <c r="K1221" t="s">
        <v>10</v>
      </c>
      <c r="L1221" s="54">
        <v>1020</v>
      </c>
      <c r="M1221" t="s">
        <v>1472</v>
      </c>
      <c r="N1221" t="s">
        <v>11</v>
      </c>
      <c r="O1221" s="54">
        <v>2.5366</v>
      </c>
      <c r="P1221" s="35">
        <f t="shared" si="118"/>
        <v>2587.33</v>
      </c>
      <c r="Q1221" s="10">
        <f t="shared" si="115"/>
        <v>7.3003400000000003</v>
      </c>
      <c r="R1221" s="10">
        <f t="shared" si="116"/>
        <v>0.34749999999999998</v>
      </c>
      <c r="S1221" s="11">
        <f t="shared" si="117"/>
        <v>354.45</v>
      </c>
      <c r="T1221" s="10" t="s">
        <v>349</v>
      </c>
      <c r="U1221" t="s">
        <v>78</v>
      </c>
      <c r="V1221" s="58">
        <v>7.1775000000000002</v>
      </c>
      <c r="W1221" s="38">
        <f t="shared" si="119"/>
        <v>360.47816091954019</v>
      </c>
    </row>
    <row r="1222" spans="1:23">
      <c r="A1222" t="s">
        <v>2553</v>
      </c>
      <c r="B1222" s="20">
        <v>45736</v>
      </c>
      <c r="C1222" s="20">
        <v>45716</v>
      </c>
      <c r="D1222" t="s">
        <v>149</v>
      </c>
      <c r="E1222" t="s">
        <v>150</v>
      </c>
      <c r="F1222" s="19"/>
      <c r="G1222" t="s">
        <v>2994</v>
      </c>
      <c r="H1222" t="s">
        <v>3171</v>
      </c>
      <c r="I1222" t="s">
        <v>1180</v>
      </c>
      <c r="J1222" s="8" t="str">
        <f t="shared" si="114"/>
        <v>GLID</v>
      </c>
      <c r="K1222" t="s">
        <v>10</v>
      </c>
      <c r="L1222" s="54">
        <v>1030</v>
      </c>
      <c r="M1222" t="s">
        <v>1472</v>
      </c>
      <c r="N1222" t="s">
        <v>11</v>
      </c>
      <c r="O1222" s="54">
        <v>3.7364999999999999</v>
      </c>
      <c r="P1222" s="35">
        <f t="shared" si="118"/>
        <v>3848.6</v>
      </c>
      <c r="Q1222" s="10">
        <f t="shared" si="115"/>
        <v>7.3003400000000003</v>
      </c>
      <c r="R1222" s="10">
        <f t="shared" si="116"/>
        <v>0.51180000000000003</v>
      </c>
      <c r="S1222" s="11">
        <f t="shared" si="117"/>
        <v>527.15</v>
      </c>
      <c r="T1222" s="10" t="s">
        <v>349</v>
      </c>
      <c r="U1222" t="s">
        <v>78</v>
      </c>
      <c r="V1222" s="58">
        <v>7.1775000000000002</v>
      </c>
      <c r="W1222" s="38">
        <f t="shared" si="119"/>
        <v>536.20271682340638</v>
      </c>
    </row>
    <row r="1223" spans="1:23">
      <c r="A1223" t="s">
        <v>2557</v>
      </c>
      <c r="B1223" s="20">
        <v>45736</v>
      </c>
      <c r="C1223" s="20">
        <v>45716</v>
      </c>
      <c r="D1223" t="s">
        <v>149</v>
      </c>
      <c r="E1223" t="s">
        <v>150</v>
      </c>
      <c r="F1223" s="19"/>
      <c r="G1223" t="s">
        <v>2994</v>
      </c>
      <c r="H1223" t="s">
        <v>3174</v>
      </c>
      <c r="I1223" t="s">
        <v>3381</v>
      </c>
      <c r="J1223" s="8" t="str">
        <f t="shared" si="114"/>
        <v>GLID</v>
      </c>
      <c r="K1223" t="s">
        <v>10</v>
      </c>
      <c r="L1223" s="54">
        <v>1030</v>
      </c>
      <c r="M1223" t="s">
        <v>1472</v>
      </c>
      <c r="N1223" t="s">
        <v>11</v>
      </c>
      <c r="O1223" s="54">
        <v>2.2637999999999998</v>
      </c>
      <c r="P1223" s="35">
        <f t="shared" si="118"/>
        <v>2331.71</v>
      </c>
      <c r="Q1223" s="10">
        <f t="shared" si="115"/>
        <v>7.3003400000000003</v>
      </c>
      <c r="R1223" s="10">
        <f t="shared" si="116"/>
        <v>0.31009999999999999</v>
      </c>
      <c r="S1223" s="11">
        <f t="shared" si="117"/>
        <v>319.39999999999998</v>
      </c>
      <c r="T1223" s="10" t="s">
        <v>349</v>
      </c>
      <c r="U1223" t="s">
        <v>78</v>
      </c>
      <c r="V1223" s="58">
        <v>7.1775000000000002</v>
      </c>
      <c r="W1223" s="38">
        <f t="shared" si="119"/>
        <v>324.86436781609194</v>
      </c>
    </row>
    <row r="1224" spans="1:23">
      <c r="A1224" t="s">
        <v>2558</v>
      </c>
      <c r="B1224" s="20">
        <v>45736</v>
      </c>
      <c r="C1224" s="20">
        <v>45716</v>
      </c>
      <c r="D1224" t="s">
        <v>149</v>
      </c>
      <c r="E1224" t="s">
        <v>150</v>
      </c>
      <c r="F1224" s="19"/>
      <c r="G1224" t="s">
        <v>2994</v>
      </c>
      <c r="H1224" t="s">
        <v>1187</v>
      </c>
      <c r="I1224" t="s">
        <v>1188</v>
      </c>
      <c r="J1224" s="8" t="str">
        <f t="shared" si="114"/>
        <v>GLID</v>
      </c>
      <c r="K1224" t="s">
        <v>10</v>
      </c>
      <c r="L1224" s="54">
        <v>1000</v>
      </c>
      <c r="M1224" t="s">
        <v>1472</v>
      </c>
      <c r="N1224" t="s">
        <v>11</v>
      </c>
      <c r="O1224" s="54">
        <v>2.5366</v>
      </c>
      <c r="P1224" s="35">
        <f t="shared" si="118"/>
        <v>2536.6</v>
      </c>
      <c r="Q1224" s="10">
        <f t="shared" si="115"/>
        <v>7.3003400000000003</v>
      </c>
      <c r="R1224" s="10">
        <f t="shared" si="116"/>
        <v>0.34749999999999998</v>
      </c>
      <c r="S1224" s="11">
        <f t="shared" si="117"/>
        <v>347.5</v>
      </c>
      <c r="T1224" s="10" t="s">
        <v>349</v>
      </c>
      <c r="U1224" t="s">
        <v>78</v>
      </c>
      <c r="V1224" s="58">
        <v>7.1775000000000002</v>
      </c>
      <c r="W1224" s="38">
        <f t="shared" si="119"/>
        <v>353.4099616858237</v>
      </c>
    </row>
    <row r="1225" spans="1:23">
      <c r="A1225" t="s">
        <v>2559</v>
      </c>
      <c r="B1225" s="20">
        <v>45736</v>
      </c>
      <c r="C1225" s="20">
        <v>45716</v>
      </c>
      <c r="D1225" t="s">
        <v>149</v>
      </c>
      <c r="E1225" t="s">
        <v>150</v>
      </c>
      <c r="F1225" s="19"/>
      <c r="G1225" t="s">
        <v>2994</v>
      </c>
      <c r="H1225" t="s">
        <v>1179</v>
      </c>
      <c r="I1225" t="s">
        <v>1180</v>
      </c>
      <c r="J1225" s="8" t="str">
        <f t="shared" si="114"/>
        <v>GLID</v>
      </c>
      <c r="K1225" t="s">
        <v>10</v>
      </c>
      <c r="L1225" s="54">
        <v>2020</v>
      </c>
      <c r="M1225" t="s">
        <v>1472</v>
      </c>
      <c r="N1225" t="s">
        <v>11</v>
      </c>
      <c r="O1225" s="54">
        <v>3.6753999999999998</v>
      </c>
      <c r="P1225" s="35">
        <f t="shared" si="118"/>
        <v>7424.31</v>
      </c>
      <c r="Q1225" s="10">
        <f t="shared" si="115"/>
        <v>7.3003400000000003</v>
      </c>
      <c r="R1225" s="10">
        <f t="shared" si="116"/>
        <v>0.50349999999999995</v>
      </c>
      <c r="S1225" s="11">
        <f t="shared" si="117"/>
        <v>1017.07</v>
      </c>
      <c r="T1225" s="10" t="s">
        <v>349</v>
      </c>
      <c r="U1225" t="s">
        <v>78</v>
      </c>
      <c r="V1225" s="58">
        <v>7.1775000000000002</v>
      </c>
      <c r="W1225" s="38">
        <f t="shared" si="119"/>
        <v>1034.3863462208287</v>
      </c>
    </row>
    <row r="1226" spans="1:23">
      <c r="A1226" t="s">
        <v>2605</v>
      </c>
      <c r="B1226" s="20">
        <v>45736</v>
      </c>
      <c r="C1226" s="20">
        <v>45720</v>
      </c>
      <c r="D1226" t="s">
        <v>1006</v>
      </c>
      <c r="E1226" t="s">
        <v>1007</v>
      </c>
      <c r="F1226" s="19"/>
      <c r="G1226" t="s">
        <v>3012</v>
      </c>
      <c r="H1226" t="s">
        <v>3195</v>
      </c>
      <c r="I1226" t="s">
        <v>3402</v>
      </c>
      <c r="J1226" s="8" t="str">
        <f t="shared" si="114"/>
        <v>ALM-</v>
      </c>
      <c r="K1226" t="s">
        <v>98</v>
      </c>
      <c r="L1226" s="54">
        <v>534</v>
      </c>
      <c r="M1226" t="s">
        <v>186</v>
      </c>
      <c r="N1226" t="s">
        <v>11</v>
      </c>
      <c r="O1226" s="54">
        <v>2.9203999999999999</v>
      </c>
      <c r="P1226" s="35">
        <f t="shared" si="118"/>
        <v>1559.49</v>
      </c>
      <c r="Q1226" s="10">
        <f t="shared" si="115"/>
        <v>7.3003400000000003</v>
      </c>
      <c r="R1226" s="10">
        <f t="shared" si="116"/>
        <v>0.4</v>
      </c>
      <c r="S1226" s="11">
        <f t="shared" si="117"/>
        <v>213.6</v>
      </c>
      <c r="T1226" s="10" t="s">
        <v>349</v>
      </c>
      <c r="U1226" t="s">
        <v>191</v>
      </c>
      <c r="V1226" s="58">
        <v>7.1775000000000002</v>
      </c>
      <c r="W1226" s="38">
        <f t="shared" si="119"/>
        <v>217.27531870428422</v>
      </c>
    </row>
    <row r="1227" spans="1:23">
      <c r="A1227" t="s">
        <v>2606</v>
      </c>
      <c r="B1227" s="20">
        <v>45736</v>
      </c>
      <c r="C1227" s="20">
        <v>45720</v>
      </c>
      <c r="D1227" t="s">
        <v>1006</v>
      </c>
      <c r="E1227" t="s">
        <v>1007</v>
      </c>
      <c r="F1227" s="19"/>
      <c r="G1227" t="s">
        <v>3012</v>
      </c>
      <c r="H1227" t="s">
        <v>3196</v>
      </c>
      <c r="I1227" t="s">
        <v>3403</v>
      </c>
      <c r="J1227" s="8" t="str">
        <f t="shared" si="114"/>
        <v>ALM-</v>
      </c>
      <c r="K1227" t="s">
        <v>98</v>
      </c>
      <c r="L1227" s="54">
        <v>1072</v>
      </c>
      <c r="M1227" t="s">
        <v>186</v>
      </c>
      <c r="N1227" t="s">
        <v>11</v>
      </c>
      <c r="O1227" s="54">
        <v>2.9203999999999999</v>
      </c>
      <c r="P1227" s="35">
        <f t="shared" si="118"/>
        <v>3130.67</v>
      </c>
      <c r="Q1227" s="10">
        <f t="shared" si="115"/>
        <v>7.3003400000000003</v>
      </c>
      <c r="R1227" s="10">
        <f t="shared" si="116"/>
        <v>0.4</v>
      </c>
      <c r="S1227" s="11">
        <f t="shared" si="117"/>
        <v>428.8</v>
      </c>
      <c r="T1227" s="10" t="s">
        <v>349</v>
      </c>
      <c r="U1227" t="s">
        <v>191</v>
      </c>
      <c r="V1227" s="58">
        <v>7.1775000000000002</v>
      </c>
      <c r="W1227" s="38">
        <f t="shared" si="119"/>
        <v>436.17816788575408</v>
      </c>
    </row>
    <row r="1228" spans="1:23">
      <c r="A1228" t="s">
        <v>2607</v>
      </c>
      <c r="B1228" s="20">
        <v>45736</v>
      </c>
      <c r="C1228" s="20">
        <v>45720</v>
      </c>
      <c r="D1228" t="s">
        <v>1006</v>
      </c>
      <c r="E1228" t="s">
        <v>1007</v>
      </c>
      <c r="F1228" s="19"/>
      <c r="G1228" t="s">
        <v>3012</v>
      </c>
      <c r="H1228" t="s">
        <v>1004</v>
      </c>
      <c r="I1228" t="s">
        <v>1005</v>
      </c>
      <c r="J1228" s="8" t="str">
        <f t="shared" si="114"/>
        <v>ALM-</v>
      </c>
      <c r="K1228" t="s">
        <v>98</v>
      </c>
      <c r="L1228" s="54">
        <v>572</v>
      </c>
      <c r="M1228" t="s">
        <v>186</v>
      </c>
      <c r="N1228" t="s">
        <v>11</v>
      </c>
      <c r="O1228" s="54">
        <v>2.9203999999999999</v>
      </c>
      <c r="P1228" s="35">
        <f t="shared" si="118"/>
        <v>1670.47</v>
      </c>
      <c r="Q1228" s="10">
        <f t="shared" si="115"/>
        <v>7.3003400000000003</v>
      </c>
      <c r="R1228" s="10">
        <f t="shared" si="116"/>
        <v>0.4</v>
      </c>
      <c r="S1228" s="11">
        <f t="shared" si="117"/>
        <v>228.8</v>
      </c>
      <c r="T1228" s="10" t="s">
        <v>349</v>
      </c>
      <c r="U1228" t="s">
        <v>191</v>
      </c>
      <c r="V1228" s="58">
        <v>7.1775000000000002</v>
      </c>
      <c r="W1228" s="38">
        <f t="shared" si="119"/>
        <v>232.73685823754789</v>
      </c>
    </row>
    <row r="1229" spans="1:23">
      <c r="A1229" t="s">
        <v>2608</v>
      </c>
      <c r="B1229" s="20">
        <v>45736</v>
      </c>
      <c r="C1229" s="20">
        <v>45720</v>
      </c>
      <c r="D1229" t="s">
        <v>1006</v>
      </c>
      <c r="E1229" t="s">
        <v>1007</v>
      </c>
      <c r="F1229" s="19"/>
      <c r="G1229" t="s">
        <v>3012</v>
      </c>
      <c r="H1229" t="s">
        <v>3197</v>
      </c>
      <c r="I1229" t="s">
        <v>3404</v>
      </c>
      <c r="J1229" s="8" t="str">
        <f t="shared" si="114"/>
        <v>ALM-</v>
      </c>
      <c r="K1229" t="s">
        <v>98</v>
      </c>
      <c r="L1229" s="54">
        <v>1206</v>
      </c>
      <c r="M1229" t="s">
        <v>186</v>
      </c>
      <c r="N1229" t="s">
        <v>11</v>
      </c>
      <c r="O1229" s="54">
        <v>2.9203999999999999</v>
      </c>
      <c r="P1229" s="35">
        <f t="shared" si="118"/>
        <v>3522</v>
      </c>
      <c r="Q1229" s="10">
        <f t="shared" si="115"/>
        <v>7.3003400000000003</v>
      </c>
      <c r="R1229" s="10">
        <f t="shared" si="116"/>
        <v>0.4</v>
      </c>
      <c r="S1229" s="11">
        <f t="shared" si="117"/>
        <v>482.4</v>
      </c>
      <c r="T1229" s="10" t="s">
        <v>349</v>
      </c>
      <c r="U1229" t="s">
        <v>191</v>
      </c>
      <c r="V1229" s="58">
        <v>7.1775000000000002</v>
      </c>
      <c r="W1229" s="38">
        <f t="shared" si="119"/>
        <v>490.70043887147335</v>
      </c>
    </row>
    <row r="1230" spans="1:23">
      <c r="A1230" t="s">
        <v>2609</v>
      </c>
      <c r="B1230" s="20">
        <v>45736</v>
      </c>
      <c r="C1230" s="20">
        <v>45720</v>
      </c>
      <c r="D1230" t="s">
        <v>1006</v>
      </c>
      <c r="E1230" t="s">
        <v>1007</v>
      </c>
      <c r="F1230" s="19"/>
      <c r="G1230" t="s">
        <v>3012</v>
      </c>
      <c r="H1230" t="s">
        <v>3198</v>
      </c>
      <c r="I1230" t="s">
        <v>3405</v>
      </c>
      <c r="J1230" s="8" t="str">
        <f t="shared" si="114"/>
        <v>ALM-</v>
      </c>
      <c r="K1230" t="s">
        <v>98</v>
      </c>
      <c r="L1230" s="54">
        <v>828</v>
      </c>
      <c r="M1230" t="s">
        <v>186</v>
      </c>
      <c r="N1230" t="s">
        <v>11</v>
      </c>
      <c r="O1230" s="54">
        <v>2.9203999999999999</v>
      </c>
      <c r="P1230" s="35">
        <f t="shared" si="118"/>
        <v>2418.09</v>
      </c>
      <c r="Q1230" s="10">
        <f t="shared" si="115"/>
        <v>7.3003400000000003</v>
      </c>
      <c r="R1230" s="10">
        <f t="shared" si="116"/>
        <v>0.4</v>
      </c>
      <c r="S1230" s="11">
        <f t="shared" si="117"/>
        <v>331.2</v>
      </c>
      <c r="T1230" s="10" t="s">
        <v>349</v>
      </c>
      <c r="U1230" t="s">
        <v>191</v>
      </c>
      <c r="V1230" s="58">
        <v>7.1775000000000002</v>
      </c>
      <c r="W1230" s="38">
        <f t="shared" si="119"/>
        <v>336.89880877742945</v>
      </c>
    </row>
    <row r="1231" spans="1:23">
      <c r="A1231" t="s">
        <v>2645</v>
      </c>
      <c r="B1231" s="20">
        <v>45736</v>
      </c>
      <c r="C1231" s="20">
        <v>45721</v>
      </c>
      <c r="D1231" t="s">
        <v>149</v>
      </c>
      <c r="E1231" t="s">
        <v>150</v>
      </c>
      <c r="F1231" s="19"/>
      <c r="G1231" t="s">
        <v>2994</v>
      </c>
      <c r="H1231" t="s">
        <v>3211</v>
      </c>
      <c r="I1231" t="s">
        <v>3418</v>
      </c>
      <c r="J1231" s="8" t="str">
        <f t="shared" si="114"/>
        <v>GLID</v>
      </c>
      <c r="K1231" t="s">
        <v>10</v>
      </c>
      <c r="L1231" s="54">
        <v>1010</v>
      </c>
      <c r="M1231" t="s">
        <v>1472</v>
      </c>
      <c r="N1231" t="s">
        <v>11</v>
      </c>
      <c r="O1231" s="54">
        <v>5.1798000000000002</v>
      </c>
      <c r="P1231" s="35">
        <f t="shared" si="118"/>
        <v>5231.6000000000004</v>
      </c>
      <c r="Q1231" s="10">
        <f t="shared" si="115"/>
        <v>7.3003400000000003</v>
      </c>
      <c r="R1231" s="10">
        <f t="shared" si="116"/>
        <v>0.70950000000000002</v>
      </c>
      <c r="S1231" s="11">
        <f t="shared" si="117"/>
        <v>716.6</v>
      </c>
      <c r="T1231" s="10" t="s">
        <v>349</v>
      </c>
      <c r="U1231" t="s">
        <v>78</v>
      </c>
      <c r="V1231" s="58">
        <v>7.1775000000000002</v>
      </c>
      <c r="W1231" s="38">
        <f t="shared" si="119"/>
        <v>728.8886102403344</v>
      </c>
    </row>
    <row r="1232" spans="1:23">
      <c r="A1232" t="s">
        <v>2646</v>
      </c>
      <c r="B1232" s="20">
        <v>45736</v>
      </c>
      <c r="C1232" s="20">
        <v>45721</v>
      </c>
      <c r="D1232" t="s">
        <v>1006</v>
      </c>
      <c r="E1232" t="s">
        <v>1007</v>
      </c>
      <c r="F1232" s="19"/>
      <c r="G1232" t="s">
        <v>3012</v>
      </c>
      <c r="H1232" t="s">
        <v>1013</v>
      </c>
      <c r="I1232" t="s">
        <v>1014</v>
      </c>
      <c r="J1232" s="8" t="str">
        <f t="shared" si="114"/>
        <v>ALM-</v>
      </c>
      <c r="K1232" t="s">
        <v>98</v>
      </c>
      <c r="L1232" s="54">
        <v>485</v>
      </c>
      <c r="M1232" t="s">
        <v>186</v>
      </c>
      <c r="N1232" t="s">
        <v>11</v>
      </c>
      <c r="O1232" s="54">
        <v>3.0973000000000002</v>
      </c>
      <c r="P1232" s="35">
        <f t="shared" si="118"/>
        <v>1502.19</v>
      </c>
      <c r="Q1232" s="10">
        <f t="shared" si="115"/>
        <v>7.3003400000000003</v>
      </c>
      <c r="R1232" s="10">
        <f t="shared" si="116"/>
        <v>0.42430000000000001</v>
      </c>
      <c r="S1232" s="11">
        <f t="shared" si="117"/>
        <v>205.79</v>
      </c>
      <c r="T1232" s="10" t="s">
        <v>349</v>
      </c>
      <c r="U1232" t="s">
        <v>191</v>
      </c>
      <c r="V1232" s="58">
        <v>7.1775000000000002</v>
      </c>
      <c r="W1232" s="38">
        <f t="shared" si="119"/>
        <v>209.29160571229536</v>
      </c>
    </row>
    <row r="1233" spans="1:23">
      <c r="A1233" t="s">
        <v>2652</v>
      </c>
      <c r="B1233" s="20">
        <v>45736</v>
      </c>
      <c r="C1233" s="20">
        <v>45722</v>
      </c>
      <c r="D1233" t="s">
        <v>2831</v>
      </c>
      <c r="E1233" t="s">
        <v>1007</v>
      </c>
      <c r="F1233" s="19"/>
      <c r="G1233" t="s">
        <v>3012</v>
      </c>
      <c r="H1233" t="s">
        <v>3198</v>
      </c>
      <c r="I1233" t="s">
        <v>3405</v>
      </c>
      <c r="J1233" s="8" t="str">
        <f t="shared" si="114"/>
        <v>ALM-</v>
      </c>
      <c r="K1233" t="s">
        <v>98</v>
      </c>
      <c r="L1233" s="54">
        <v>576</v>
      </c>
      <c r="M1233" t="s">
        <v>186</v>
      </c>
      <c r="N1233" t="s">
        <v>11</v>
      </c>
      <c r="O1233" s="54">
        <v>2.9203999999999999</v>
      </c>
      <c r="P1233" s="35">
        <f t="shared" si="118"/>
        <v>1682.15</v>
      </c>
      <c r="Q1233" s="10">
        <f t="shared" si="115"/>
        <v>7.3003400000000003</v>
      </c>
      <c r="R1233" s="10">
        <f t="shared" si="116"/>
        <v>0.4</v>
      </c>
      <c r="S1233" s="11">
        <f t="shared" si="117"/>
        <v>230.4</v>
      </c>
      <c r="T1233" s="10" t="s">
        <v>349</v>
      </c>
      <c r="U1233" t="s">
        <v>191</v>
      </c>
      <c r="V1233" s="58">
        <v>7.1775000000000002</v>
      </c>
      <c r="W1233" s="38">
        <f t="shared" si="119"/>
        <v>234.36438871473354</v>
      </c>
    </row>
    <row r="1234" spans="1:23">
      <c r="A1234" t="s">
        <v>2675</v>
      </c>
      <c r="B1234" s="20">
        <v>45736</v>
      </c>
      <c r="C1234" s="20">
        <v>45726</v>
      </c>
      <c r="D1234" t="s">
        <v>1006</v>
      </c>
      <c r="E1234" t="s">
        <v>1007</v>
      </c>
      <c r="F1234" s="19"/>
      <c r="G1234" t="s">
        <v>3012</v>
      </c>
      <c r="H1234" t="s">
        <v>3219</v>
      </c>
      <c r="I1234" t="s">
        <v>3426</v>
      </c>
      <c r="J1234" s="8" t="str">
        <f t="shared" si="114"/>
        <v>ALM-</v>
      </c>
      <c r="K1234" t="s">
        <v>98</v>
      </c>
      <c r="L1234" s="54">
        <v>556</v>
      </c>
      <c r="M1234" t="s">
        <v>186</v>
      </c>
      <c r="N1234" t="s">
        <v>11</v>
      </c>
      <c r="O1234" s="54">
        <v>2.9203999999999999</v>
      </c>
      <c r="P1234" s="35">
        <f t="shared" si="118"/>
        <v>1623.74</v>
      </c>
      <c r="Q1234" s="10">
        <f t="shared" si="115"/>
        <v>7.3003400000000003</v>
      </c>
      <c r="R1234" s="10">
        <f t="shared" si="116"/>
        <v>0.4</v>
      </c>
      <c r="S1234" s="11">
        <f t="shared" si="117"/>
        <v>222.4</v>
      </c>
      <c r="T1234" s="10" t="s">
        <v>349</v>
      </c>
      <c r="U1234" t="s">
        <v>191</v>
      </c>
      <c r="V1234" s="58">
        <v>7.1775000000000002</v>
      </c>
      <c r="W1234" s="38">
        <f t="shared" si="119"/>
        <v>226.22673632880529</v>
      </c>
    </row>
    <row r="1235" spans="1:23">
      <c r="A1235" t="s">
        <v>2677</v>
      </c>
      <c r="B1235" s="20">
        <v>45736</v>
      </c>
      <c r="C1235" s="20">
        <v>45726</v>
      </c>
      <c r="D1235" t="s">
        <v>1006</v>
      </c>
      <c r="E1235" t="s">
        <v>1007</v>
      </c>
      <c r="F1235" s="19"/>
      <c r="G1235" t="s">
        <v>3012</v>
      </c>
      <c r="H1235" t="s">
        <v>1016</v>
      </c>
      <c r="I1235" t="s">
        <v>1017</v>
      </c>
      <c r="J1235" s="8" t="str">
        <f t="shared" si="114"/>
        <v>ALM-</v>
      </c>
      <c r="K1235" t="s">
        <v>98</v>
      </c>
      <c r="L1235" s="54">
        <v>786</v>
      </c>
      <c r="M1235" t="s">
        <v>186</v>
      </c>
      <c r="N1235" t="s">
        <v>11</v>
      </c>
      <c r="O1235" s="54">
        <v>3.0973000000000002</v>
      </c>
      <c r="P1235" s="35">
        <f t="shared" si="118"/>
        <v>2434.48</v>
      </c>
      <c r="Q1235" s="10">
        <f t="shared" si="115"/>
        <v>7.3003400000000003</v>
      </c>
      <c r="R1235" s="10">
        <f t="shared" si="116"/>
        <v>0.42430000000000001</v>
      </c>
      <c r="S1235" s="11">
        <f t="shared" si="117"/>
        <v>333.5</v>
      </c>
      <c r="T1235" s="10" t="s">
        <v>349</v>
      </c>
      <c r="U1235" t="s">
        <v>191</v>
      </c>
      <c r="V1235" s="58">
        <v>7.1775000000000002</v>
      </c>
      <c r="W1235" s="38">
        <f t="shared" si="119"/>
        <v>339.18185997910138</v>
      </c>
    </row>
    <row r="1236" spans="1:23">
      <c r="A1236" t="s">
        <v>2678</v>
      </c>
      <c r="B1236" s="20">
        <v>45736</v>
      </c>
      <c r="C1236" s="20">
        <v>45726</v>
      </c>
      <c r="D1236" t="s">
        <v>1006</v>
      </c>
      <c r="E1236" t="s">
        <v>1007</v>
      </c>
      <c r="F1236" s="19"/>
      <c r="G1236" t="s">
        <v>3012</v>
      </c>
      <c r="H1236" t="s">
        <v>1019</v>
      </c>
      <c r="I1236" t="s">
        <v>1020</v>
      </c>
      <c r="J1236" s="8" t="str">
        <f t="shared" si="114"/>
        <v>ALM-</v>
      </c>
      <c r="K1236" t="s">
        <v>98</v>
      </c>
      <c r="L1236" s="54">
        <v>2040</v>
      </c>
      <c r="M1236" t="s">
        <v>186</v>
      </c>
      <c r="N1236" t="s">
        <v>11</v>
      </c>
      <c r="O1236" s="54">
        <v>2.9203999999999999</v>
      </c>
      <c r="P1236" s="35">
        <f t="shared" si="118"/>
        <v>5957.62</v>
      </c>
      <c r="Q1236" s="10">
        <f t="shared" si="115"/>
        <v>7.3003400000000003</v>
      </c>
      <c r="R1236" s="10">
        <f t="shared" si="116"/>
        <v>0.4</v>
      </c>
      <c r="S1236" s="11">
        <f t="shared" si="117"/>
        <v>816</v>
      </c>
      <c r="T1236" s="10" t="s">
        <v>349</v>
      </c>
      <c r="U1236" t="s">
        <v>191</v>
      </c>
      <c r="V1236" s="58">
        <v>7.1775000000000002</v>
      </c>
      <c r="W1236" s="38">
        <f t="shared" si="119"/>
        <v>830.0405433646813</v>
      </c>
    </row>
    <row r="1237" spans="1:23">
      <c r="A1237" t="s">
        <v>2790</v>
      </c>
      <c r="B1237" s="20">
        <v>45736</v>
      </c>
      <c r="C1237" s="20">
        <v>45735</v>
      </c>
      <c r="D1237" t="s">
        <v>5</v>
      </c>
      <c r="E1237" t="s">
        <v>6</v>
      </c>
      <c r="F1237" s="19"/>
      <c r="G1237" t="s">
        <v>2900</v>
      </c>
      <c r="H1237" t="s">
        <v>3262</v>
      </c>
      <c r="I1237" t="s">
        <v>3469</v>
      </c>
      <c r="J1237" s="8" t="str">
        <f t="shared" ref="J1237:J1300" si="120">+LEFT(U1237,4)</f>
        <v>BOX-</v>
      </c>
      <c r="K1237" t="s">
        <v>10</v>
      </c>
      <c r="L1237" s="54">
        <v>1010</v>
      </c>
      <c r="M1237" t="s">
        <v>1472</v>
      </c>
      <c r="N1237" t="s">
        <v>11</v>
      </c>
      <c r="O1237" s="54">
        <v>4.43</v>
      </c>
      <c r="P1237" s="35">
        <f t="shared" si="118"/>
        <v>4474.3</v>
      </c>
      <c r="Q1237" s="10">
        <f t="shared" ref="Q1237:Q1300" si="121">IF(N1237="HKD",7.8,IF(N1237="CNY",7.30034,1))</f>
        <v>7.3003400000000003</v>
      </c>
      <c r="R1237" s="10">
        <f t="shared" ref="R1237:R1300" si="122">+ROUND(O1237/Q1237,4)</f>
        <v>0.60680000000000001</v>
      </c>
      <c r="S1237" s="11">
        <f t="shared" ref="S1237:S1300" si="123">ROUND(R1237*L1237,2)</f>
        <v>612.87</v>
      </c>
      <c r="T1237" s="10" t="s">
        <v>349</v>
      </c>
      <c r="U1237" t="s">
        <v>1</v>
      </c>
      <c r="V1237" s="58">
        <v>7.1775000000000002</v>
      </c>
      <c r="W1237" s="38">
        <f t="shared" si="119"/>
        <v>623.37861372344128</v>
      </c>
    </row>
    <row r="1238" spans="1:23">
      <c r="A1238" t="s">
        <v>2791</v>
      </c>
      <c r="B1238" s="20">
        <v>45736</v>
      </c>
      <c r="C1238" s="20">
        <v>45735</v>
      </c>
      <c r="D1238" t="s">
        <v>5</v>
      </c>
      <c r="E1238" t="s">
        <v>6</v>
      </c>
      <c r="F1238" s="19"/>
      <c r="G1238" t="s">
        <v>3051</v>
      </c>
      <c r="H1238" t="s">
        <v>3263</v>
      </c>
      <c r="I1238" t="s">
        <v>3470</v>
      </c>
      <c r="J1238" s="8" t="str">
        <f t="shared" si="120"/>
        <v>BOX-</v>
      </c>
      <c r="K1238" t="s">
        <v>10</v>
      </c>
      <c r="L1238" s="54">
        <v>505</v>
      </c>
      <c r="M1238" t="s">
        <v>1472</v>
      </c>
      <c r="N1238" t="s">
        <v>11</v>
      </c>
      <c r="O1238" s="54">
        <v>2.4500000000000002</v>
      </c>
      <c r="P1238" s="35">
        <f t="shared" si="118"/>
        <v>1237.25</v>
      </c>
      <c r="Q1238" s="10">
        <f t="shared" si="121"/>
        <v>7.3003400000000003</v>
      </c>
      <c r="R1238" s="10">
        <f t="shared" si="122"/>
        <v>0.33560000000000001</v>
      </c>
      <c r="S1238" s="11">
        <f t="shared" si="123"/>
        <v>169.48</v>
      </c>
      <c r="T1238" s="10" t="s">
        <v>349</v>
      </c>
      <c r="U1238" t="s">
        <v>1</v>
      </c>
      <c r="V1238" s="58">
        <v>7.1775000000000002</v>
      </c>
      <c r="W1238" s="38">
        <f t="shared" si="119"/>
        <v>172.37896203413445</v>
      </c>
    </row>
    <row r="1239" spans="1:23">
      <c r="A1239" t="s">
        <v>2792</v>
      </c>
      <c r="B1239" s="20">
        <v>45736</v>
      </c>
      <c r="C1239" s="20">
        <v>45735</v>
      </c>
      <c r="D1239" t="s">
        <v>5</v>
      </c>
      <c r="E1239" t="s">
        <v>6</v>
      </c>
      <c r="F1239" s="19"/>
      <c r="G1239" t="s">
        <v>3052</v>
      </c>
      <c r="H1239" t="s">
        <v>512</v>
      </c>
      <c r="I1239" t="s">
        <v>513</v>
      </c>
      <c r="J1239" s="8" t="str">
        <f t="shared" si="120"/>
        <v>SHTS</v>
      </c>
      <c r="K1239" t="s">
        <v>10</v>
      </c>
      <c r="L1239" s="54">
        <v>1010</v>
      </c>
      <c r="M1239" t="s">
        <v>1472</v>
      </c>
      <c r="N1239" t="s">
        <v>11</v>
      </c>
      <c r="O1239" s="54">
        <v>2.56</v>
      </c>
      <c r="P1239" s="35">
        <f t="shared" si="118"/>
        <v>2585.6</v>
      </c>
      <c r="Q1239" s="10">
        <f t="shared" si="121"/>
        <v>7.3003400000000003</v>
      </c>
      <c r="R1239" s="10">
        <f t="shared" si="122"/>
        <v>0.35070000000000001</v>
      </c>
      <c r="S1239" s="11">
        <f t="shared" si="123"/>
        <v>354.21</v>
      </c>
      <c r="T1239" s="10" t="s">
        <v>349</v>
      </c>
      <c r="U1239" t="s">
        <v>9</v>
      </c>
      <c r="V1239" s="58">
        <v>7.1775000000000002</v>
      </c>
      <c r="W1239" s="38">
        <f t="shared" si="119"/>
        <v>360.23685127133405</v>
      </c>
    </row>
    <row r="1240" spans="1:23">
      <c r="A1240" t="s">
        <v>2793</v>
      </c>
      <c r="B1240" s="20">
        <v>45736</v>
      </c>
      <c r="C1240" s="20">
        <v>45735</v>
      </c>
      <c r="D1240" t="s">
        <v>5</v>
      </c>
      <c r="E1240" t="s">
        <v>6</v>
      </c>
      <c r="F1240" s="19"/>
      <c r="G1240" t="s">
        <v>3052</v>
      </c>
      <c r="H1240" t="s">
        <v>509</v>
      </c>
      <c r="I1240" t="s">
        <v>510</v>
      </c>
      <c r="J1240" s="8" t="str">
        <f t="shared" si="120"/>
        <v>SHTS</v>
      </c>
      <c r="K1240" t="s">
        <v>10</v>
      </c>
      <c r="L1240" s="54">
        <v>1010</v>
      </c>
      <c r="M1240" t="s">
        <v>1472</v>
      </c>
      <c r="N1240" t="s">
        <v>11</v>
      </c>
      <c r="O1240" s="54">
        <v>2.46</v>
      </c>
      <c r="P1240" s="35">
        <f t="shared" si="118"/>
        <v>2484.6</v>
      </c>
      <c r="Q1240" s="10">
        <f t="shared" si="121"/>
        <v>7.3003400000000003</v>
      </c>
      <c r="R1240" s="10">
        <f t="shared" si="122"/>
        <v>0.33700000000000002</v>
      </c>
      <c r="S1240" s="11">
        <f t="shared" si="123"/>
        <v>340.37</v>
      </c>
      <c r="T1240" s="10" t="s">
        <v>349</v>
      </c>
      <c r="U1240" t="s">
        <v>9</v>
      </c>
      <c r="V1240" s="58">
        <v>7.1775000000000002</v>
      </c>
      <c r="W1240" s="38">
        <f t="shared" si="119"/>
        <v>346.16509926854752</v>
      </c>
    </row>
    <row r="1241" spans="1:23">
      <c r="A1241" t="s">
        <v>2794</v>
      </c>
      <c r="B1241" s="20">
        <v>45736</v>
      </c>
      <c r="C1241" s="20">
        <v>45735</v>
      </c>
      <c r="D1241" t="s">
        <v>5</v>
      </c>
      <c r="E1241" t="s">
        <v>6</v>
      </c>
      <c r="F1241" s="19"/>
      <c r="G1241" t="s">
        <v>3052</v>
      </c>
      <c r="H1241" t="s">
        <v>506</v>
      </c>
      <c r="I1241" t="s">
        <v>507</v>
      </c>
      <c r="J1241" s="8" t="str">
        <f t="shared" si="120"/>
        <v>SHTS</v>
      </c>
      <c r="K1241" t="s">
        <v>10</v>
      </c>
      <c r="L1241" s="54">
        <v>1010</v>
      </c>
      <c r="M1241" t="s">
        <v>1472</v>
      </c>
      <c r="N1241" t="s">
        <v>11</v>
      </c>
      <c r="O1241" s="54">
        <v>2.86</v>
      </c>
      <c r="P1241" s="35">
        <f t="shared" si="118"/>
        <v>2888.6</v>
      </c>
      <c r="Q1241" s="10">
        <f t="shared" si="121"/>
        <v>7.3003400000000003</v>
      </c>
      <c r="R1241" s="10">
        <f t="shared" si="122"/>
        <v>0.39179999999999998</v>
      </c>
      <c r="S1241" s="11">
        <f t="shared" si="123"/>
        <v>395.72</v>
      </c>
      <c r="T1241" s="10" t="s">
        <v>349</v>
      </c>
      <c r="U1241" t="s">
        <v>9</v>
      </c>
      <c r="V1241" s="58">
        <v>7.1775000000000002</v>
      </c>
      <c r="W1241" s="38">
        <f t="shared" si="119"/>
        <v>402.45210727969345</v>
      </c>
    </row>
    <row r="1242" spans="1:23">
      <c r="A1242" t="s">
        <v>2795</v>
      </c>
      <c r="B1242" s="20">
        <v>45736</v>
      </c>
      <c r="C1242" s="20">
        <v>45735</v>
      </c>
      <c r="D1242" t="s">
        <v>5</v>
      </c>
      <c r="E1242" t="s">
        <v>6</v>
      </c>
      <c r="F1242" s="19"/>
      <c r="G1242" t="s">
        <v>3052</v>
      </c>
      <c r="H1242" t="s">
        <v>503</v>
      </c>
      <c r="I1242" t="s">
        <v>504</v>
      </c>
      <c r="J1242" s="8" t="str">
        <f t="shared" si="120"/>
        <v>SHTS</v>
      </c>
      <c r="K1242" t="s">
        <v>10</v>
      </c>
      <c r="L1242" s="54">
        <v>1010</v>
      </c>
      <c r="M1242" t="s">
        <v>1472</v>
      </c>
      <c r="N1242" t="s">
        <v>11</v>
      </c>
      <c r="O1242" s="54">
        <v>2.84</v>
      </c>
      <c r="P1242" s="35">
        <f t="shared" si="118"/>
        <v>2868.4</v>
      </c>
      <c r="Q1242" s="10">
        <f t="shared" si="121"/>
        <v>7.3003400000000003</v>
      </c>
      <c r="R1242" s="10">
        <f t="shared" si="122"/>
        <v>0.38900000000000001</v>
      </c>
      <c r="S1242" s="11">
        <f t="shared" si="123"/>
        <v>392.89</v>
      </c>
      <c r="T1242" s="10" t="s">
        <v>349</v>
      </c>
      <c r="U1242" t="s">
        <v>9</v>
      </c>
      <c r="V1242" s="58">
        <v>7.1775000000000002</v>
      </c>
      <c r="W1242" s="38">
        <f t="shared" si="119"/>
        <v>399.63775687913613</v>
      </c>
    </row>
    <row r="1243" spans="1:23">
      <c r="A1243" t="s">
        <v>2796</v>
      </c>
      <c r="B1243" s="20">
        <v>45736</v>
      </c>
      <c r="C1243" s="20">
        <v>45735</v>
      </c>
      <c r="D1243" t="s">
        <v>5</v>
      </c>
      <c r="E1243" t="s">
        <v>6</v>
      </c>
      <c r="F1243" s="19"/>
      <c r="G1243" t="s">
        <v>3052</v>
      </c>
      <c r="H1243" t="s">
        <v>1660</v>
      </c>
      <c r="I1243" t="s">
        <v>1661</v>
      </c>
      <c r="J1243" s="8" t="str">
        <f t="shared" si="120"/>
        <v>SHTS</v>
      </c>
      <c r="K1243" t="s">
        <v>10</v>
      </c>
      <c r="L1243" s="54">
        <v>2010</v>
      </c>
      <c r="M1243" t="s">
        <v>1472</v>
      </c>
      <c r="N1243" t="s">
        <v>11</v>
      </c>
      <c r="O1243" s="54">
        <v>2.0099999999999998</v>
      </c>
      <c r="P1243" s="35">
        <f t="shared" si="118"/>
        <v>4040.1</v>
      </c>
      <c r="Q1243" s="10">
        <f t="shared" si="121"/>
        <v>7.3003400000000003</v>
      </c>
      <c r="R1243" s="10">
        <f t="shared" si="122"/>
        <v>0.27529999999999999</v>
      </c>
      <c r="S1243" s="11">
        <f t="shared" si="123"/>
        <v>553.35</v>
      </c>
      <c r="T1243" s="10" t="s">
        <v>349</v>
      </c>
      <c r="U1243" t="s">
        <v>9</v>
      </c>
      <c r="V1243" s="58">
        <v>7.1775000000000002</v>
      </c>
      <c r="W1243" s="38">
        <f t="shared" si="119"/>
        <v>562.88401253918494</v>
      </c>
    </row>
    <row r="1244" spans="1:23">
      <c r="A1244" t="s">
        <v>2797</v>
      </c>
      <c r="B1244" s="20">
        <v>45736</v>
      </c>
      <c r="C1244" s="20">
        <v>45735</v>
      </c>
      <c r="D1244" t="s">
        <v>5</v>
      </c>
      <c r="E1244" t="s">
        <v>6</v>
      </c>
      <c r="F1244" s="19"/>
      <c r="G1244" t="s">
        <v>2900</v>
      </c>
      <c r="H1244" t="s">
        <v>3264</v>
      </c>
      <c r="I1244" t="s">
        <v>3471</v>
      </c>
      <c r="J1244" s="8" t="str">
        <f t="shared" si="120"/>
        <v>BOX-</v>
      </c>
      <c r="K1244" t="s">
        <v>10</v>
      </c>
      <c r="L1244" s="54">
        <v>1010</v>
      </c>
      <c r="M1244" t="s">
        <v>1472</v>
      </c>
      <c r="N1244" t="s">
        <v>11</v>
      </c>
      <c r="O1244" s="54">
        <v>8.08</v>
      </c>
      <c r="P1244" s="35">
        <f t="shared" si="118"/>
        <v>8160.8</v>
      </c>
      <c r="Q1244" s="10">
        <f t="shared" si="121"/>
        <v>7.3003400000000003</v>
      </c>
      <c r="R1244" s="10">
        <f t="shared" si="122"/>
        <v>1.1068</v>
      </c>
      <c r="S1244" s="11">
        <f t="shared" si="123"/>
        <v>1117.8699999999999</v>
      </c>
      <c r="T1244" s="10" t="s">
        <v>349</v>
      </c>
      <c r="U1244" t="s">
        <v>1</v>
      </c>
      <c r="V1244" s="58">
        <v>7.1775000000000002</v>
      </c>
      <c r="W1244" s="38">
        <f t="shared" si="119"/>
        <v>1136.9975618251481</v>
      </c>
    </row>
    <row r="1245" spans="1:23">
      <c r="A1245" t="s">
        <v>2798</v>
      </c>
      <c r="B1245" s="20">
        <v>45736</v>
      </c>
      <c r="C1245" s="20">
        <v>45735</v>
      </c>
      <c r="D1245" t="s">
        <v>5</v>
      </c>
      <c r="E1245" t="s">
        <v>6</v>
      </c>
      <c r="F1245" s="19"/>
      <c r="G1245" t="s">
        <v>3052</v>
      </c>
      <c r="H1245" t="s">
        <v>3265</v>
      </c>
      <c r="I1245" t="s">
        <v>3472</v>
      </c>
      <c r="J1245" s="8" t="str">
        <f t="shared" si="120"/>
        <v>SHTS</v>
      </c>
      <c r="K1245" t="s">
        <v>10</v>
      </c>
      <c r="L1245" s="54">
        <v>1010</v>
      </c>
      <c r="M1245" t="s">
        <v>1472</v>
      </c>
      <c r="N1245" t="s">
        <v>11</v>
      </c>
      <c r="O1245" s="54">
        <v>3.02</v>
      </c>
      <c r="P1245" s="35">
        <f t="shared" si="118"/>
        <v>3050.2</v>
      </c>
      <c r="Q1245" s="10">
        <f t="shared" si="121"/>
        <v>7.3003400000000003</v>
      </c>
      <c r="R1245" s="10">
        <f t="shared" si="122"/>
        <v>0.41370000000000001</v>
      </c>
      <c r="S1245" s="11">
        <f t="shared" si="123"/>
        <v>417.84</v>
      </c>
      <c r="T1245" s="10" t="s">
        <v>349</v>
      </c>
      <c r="U1245" t="s">
        <v>9</v>
      </c>
      <c r="V1245" s="58">
        <v>7.1775000000000002</v>
      </c>
      <c r="W1245" s="38">
        <f t="shared" si="119"/>
        <v>424.96691048415187</v>
      </c>
    </row>
    <row r="1246" spans="1:23">
      <c r="A1246" t="s">
        <v>2799</v>
      </c>
      <c r="B1246" s="20">
        <v>45736</v>
      </c>
      <c r="C1246" s="20">
        <v>45735</v>
      </c>
      <c r="D1246" t="s">
        <v>5</v>
      </c>
      <c r="E1246" t="s">
        <v>6</v>
      </c>
      <c r="F1246" s="19"/>
      <c r="G1246" t="s">
        <v>2900</v>
      </c>
      <c r="H1246" t="s">
        <v>3266</v>
      </c>
      <c r="I1246" t="s">
        <v>3473</v>
      </c>
      <c r="J1246" s="8" t="str">
        <f t="shared" si="120"/>
        <v>BOX-</v>
      </c>
      <c r="K1246" t="s">
        <v>10</v>
      </c>
      <c r="L1246" s="54">
        <v>1010</v>
      </c>
      <c r="M1246" t="s">
        <v>1472</v>
      </c>
      <c r="N1246" t="s">
        <v>11</v>
      </c>
      <c r="O1246" s="54">
        <v>6.35</v>
      </c>
      <c r="P1246" s="35">
        <f t="shared" si="118"/>
        <v>6413.5</v>
      </c>
      <c r="Q1246" s="10">
        <f t="shared" si="121"/>
        <v>7.3003400000000003</v>
      </c>
      <c r="R1246" s="10">
        <f t="shared" si="122"/>
        <v>0.86980000000000002</v>
      </c>
      <c r="S1246" s="11">
        <f t="shared" si="123"/>
        <v>878.5</v>
      </c>
      <c r="T1246" s="10" t="s">
        <v>349</v>
      </c>
      <c r="U1246" t="s">
        <v>1</v>
      </c>
      <c r="V1246" s="58">
        <v>7.1775000000000002</v>
      </c>
      <c r="W1246" s="38">
        <f t="shared" si="119"/>
        <v>893.55625217694183</v>
      </c>
    </row>
    <row r="1247" spans="1:23">
      <c r="A1247" t="s">
        <v>2805</v>
      </c>
      <c r="B1247" s="20">
        <v>45736</v>
      </c>
      <c r="C1247" s="20">
        <v>45735</v>
      </c>
      <c r="D1247" t="s">
        <v>149</v>
      </c>
      <c r="E1247" t="s">
        <v>150</v>
      </c>
      <c r="F1247" s="19"/>
      <c r="G1247" t="s">
        <v>2994</v>
      </c>
      <c r="H1247" t="s">
        <v>157</v>
      </c>
      <c r="I1247" t="s">
        <v>158</v>
      </c>
      <c r="J1247" s="8" t="str">
        <f t="shared" si="120"/>
        <v>GLID</v>
      </c>
      <c r="K1247" t="s">
        <v>10</v>
      </c>
      <c r="L1247" s="54">
        <v>220</v>
      </c>
      <c r="M1247" t="s">
        <v>1472</v>
      </c>
      <c r="N1247" t="s">
        <v>11</v>
      </c>
      <c r="O1247" s="54">
        <v>3.3437000000000001</v>
      </c>
      <c r="P1247" s="35">
        <f t="shared" si="118"/>
        <v>735.61</v>
      </c>
      <c r="Q1247" s="10">
        <f t="shared" si="121"/>
        <v>7.3003400000000003</v>
      </c>
      <c r="R1247" s="10">
        <f t="shared" si="122"/>
        <v>0.45800000000000002</v>
      </c>
      <c r="S1247" s="11">
        <f t="shared" si="123"/>
        <v>100.76</v>
      </c>
      <c r="T1247" s="10" t="s">
        <v>349</v>
      </c>
      <c r="U1247" t="s">
        <v>78</v>
      </c>
      <c r="V1247" s="58">
        <v>7.1775000000000002</v>
      </c>
      <c r="W1247" s="38">
        <f t="shared" si="119"/>
        <v>102.48888888888889</v>
      </c>
    </row>
    <row r="1248" spans="1:23">
      <c r="A1248" t="s">
        <v>2303</v>
      </c>
      <c r="B1248" s="20">
        <v>45737</v>
      </c>
      <c r="C1248" s="20">
        <v>45660</v>
      </c>
      <c r="D1248" t="s">
        <v>569</v>
      </c>
      <c r="E1248" t="s">
        <v>570</v>
      </c>
      <c r="F1248" s="19"/>
      <c r="G1248" t="s">
        <v>2871</v>
      </c>
      <c r="H1248" t="s">
        <v>1555</v>
      </c>
      <c r="I1248" t="s">
        <v>3284</v>
      </c>
      <c r="J1248" s="8" t="str">
        <f t="shared" si="120"/>
        <v>ANYD</v>
      </c>
      <c r="K1248" t="s">
        <v>10</v>
      </c>
      <c r="L1248" s="54">
        <v>1000</v>
      </c>
      <c r="M1248" t="s">
        <v>1472</v>
      </c>
      <c r="N1248" t="s">
        <v>11</v>
      </c>
      <c r="O1248" s="54">
        <v>4.2</v>
      </c>
      <c r="P1248" s="35">
        <f t="shared" si="118"/>
        <v>4200</v>
      </c>
      <c r="Q1248" s="10">
        <f t="shared" si="121"/>
        <v>7.3003400000000003</v>
      </c>
      <c r="R1248" s="10">
        <f t="shared" si="122"/>
        <v>0.57530000000000003</v>
      </c>
      <c r="S1248" s="11">
        <f t="shared" si="123"/>
        <v>575.29999999999995</v>
      </c>
      <c r="T1248" s="10" t="s">
        <v>349</v>
      </c>
      <c r="U1248" t="s">
        <v>36</v>
      </c>
      <c r="V1248" s="58">
        <v>7.1775000000000002</v>
      </c>
      <c r="W1248" s="38">
        <f t="shared" si="119"/>
        <v>585.16196447230925</v>
      </c>
    </row>
    <row r="1249" spans="1:23">
      <c r="A1249" t="s">
        <v>2374</v>
      </c>
      <c r="B1249" s="20">
        <v>45737</v>
      </c>
      <c r="C1249" s="20">
        <v>45695</v>
      </c>
      <c r="D1249" t="s">
        <v>128</v>
      </c>
      <c r="E1249" t="s">
        <v>129</v>
      </c>
      <c r="F1249" s="19"/>
      <c r="G1249" t="s">
        <v>2909</v>
      </c>
      <c r="H1249" t="s">
        <v>443</v>
      </c>
      <c r="I1249" t="s">
        <v>444</v>
      </c>
      <c r="J1249" s="8" t="str">
        <f t="shared" si="120"/>
        <v>FG--</v>
      </c>
      <c r="K1249" t="s">
        <v>10</v>
      </c>
      <c r="L1249" s="54">
        <v>1000</v>
      </c>
      <c r="M1249" t="s">
        <v>1472</v>
      </c>
      <c r="N1249" t="s">
        <v>11</v>
      </c>
      <c r="O1249" s="54">
        <v>1.0021</v>
      </c>
      <c r="P1249" s="35">
        <f t="shared" si="118"/>
        <v>1002.1</v>
      </c>
      <c r="Q1249" s="10">
        <f t="shared" si="121"/>
        <v>7.3003400000000003</v>
      </c>
      <c r="R1249" s="10">
        <f t="shared" si="122"/>
        <v>0.13730000000000001</v>
      </c>
      <c r="S1249" s="11">
        <f t="shared" si="123"/>
        <v>137.30000000000001</v>
      </c>
      <c r="T1249" s="10" t="s">
        <v>349</v>
      </c>
      <c r="U1249" t="s">
        <v>64</v>
      </c>
      <c r="V1249" s="58">
        <v>7.1775000000000002</v>
      </c>
      <c r="W1249" s="38">
        <f t="shared" si="119"/>
        <v>139.61685823754789</v>
      </c>
    </row>
    <row r="1250" spans="1:23">
      <c r="A1250" t="s">
        <v>2384</v>
      </c>
      <c r="B1250" s="20">
        <v>45737</v>
      </c>
      <c r="C1250" s="20">
        <v>45695</v>
      </c>
      <c r="D1250" t="s">
        <v>569</v>
      </c>
      <c r="E1250" t="s">
        <v>570</v>
      </c>
      <c r="F1250" s="19"/>
      <c r="G1250" t="s">
        <v>2871</v>
      </c>
      <c r="H1250" t="s">
        <v>1764</v>
      </c>
      <c r="I1250" t="s">
        <v>1765</v>
      </c>
      <c r="J1250" s="8" t="str">
        <f t="shared" si="120"/>
        <v>MISC</v>
      </c>
      <c r="K1250" t="s">
        <v>10</v>
      </c>
      <c r="L1250" s="54">
        <v>1700</v>
      </c>
      <c r="M1250" t="s">
        <v>1472</v>
      </c>
      <c r="N1250" t="s">
        <v>11</v>
      </c>
      <c r="O1250" s="54">
        <v>4.6900000000000004</v>
      </c>
      <c r="P1250" s="35">
        <f t="shared" si="118"/>
        <v>7973</v>
      </c>
      <c r="Q1250" s="10">
        <f t="shared" si="121"/>
        <v>7.3003400000000003</v>
      </c>
      <c r="R1250" s="10">
        <f t="shared" si="122"/>
        <v>0.64239999999999997</v>
      </c>
      <c r="S1250" s="11">
        <f t="shared" si="123"/>
        <v>1092.08</v>
      </c>
      <c r="T1250" s="10" t="s">
        <v>349</v>
      </c>
      <c r="U1250" t="s">
        <v>25</v>
      </c>
      <c r="V1250" s="58">
        <v>7.1775000000000002</v>
      </c>
      <c r="W1250" s="38">
        <f t="shared" si="119"/>
        <v>1110.8324625566004</v>
      </c>
    </row>
    <row r="1251" spans="1:23">
      <c r="A1251" t="s">
        <v>2385</v>
      </c>
      <c r="B1251" s="20">
        <v>45737</v>
      </c>
      <c r="C1251" s="20">
        <v>45695</v>
      </c>
      <c r="D1251" t="s">
        <v>569</v>
      </c>
      <c r="E1251" t="s">
        <v>570</v>
      </c>
      <c r="F1251" s="19"/>
      <c r="G1251" t="s">
        <v>2871</v>
      </c>
      <c r="H1251" t="s">
        <v>1780</v>
      </c>
      <c r="I1251" t="s">
        <v>1781</v>
      </c>
      <c r="J1251" s="8" t="str">
        <f t="shared" si="120"/>
        <v>MISC</v>
      </c>
      <c r="K1251" t="s">
        <v>10</v>
      </c>
      <c r="L1251" s="54">
        <v>1100</v>
      </c>
      <c r="M1251" t="s">
        <v>1472</v>
      </c>
      <c r="N1251" t="s">
        <v>11</v>
      </c>
      <c r="O1251" s="54">
        <v>6.02</v>
      </c>
      <c r="P1251" s="35">
        <f t="shared" si="118"/>
        <v>6622</v>
      </c>
      <c r="Q1251" s="10">
        <f t="shared" si="121"/>
        <v>7.3003400000000003</v>
      </c>
      <c r="R1251" s="10">
        <f t="shared" si="122"/>
        <v>0.8246</v>
      </c>
      <c r="S1251" s="11">
        <f t="shared" si="123"/>
        <v>907.06</v>
      </c>
      <c r="T1251" s="10" t="s">
        <v>349</v>
      </c>
      <c r="U1251" t="s">
        <v>25</v>
      </c>
      <c r="V1251" s="58">
        <v>7.1775000000000002</v>
      </c>
      <c r="W1251" s="38">
        <f t="shared" si="119"/>
        <v>922.60536398467423</v>
      </c>
    </row>
    <row r="1252" spans="1:23">
      <c r="A1252" t="s">
        <v>2402</v>
      </c>
      <c r="B1252" s="20">
        <v>45737</v>
      </c>
      <c r="C1252" s="20">
        <v>45698</v>
      </c>
      <c r="D1252" t="s">
        <v>925</v>
      </c>
      <c r="E1252" t="s">
        <v>926</v>
      </c>
      <c r="F1252" s="19"/>
      <c r="G1252" t="s">
        <v>2925</v>
      </c>
      <c r="H1252" t="s">
        <v>3100</v>
      </c>
      <c r="I1252" t="s">
        <v>3315</v>
      </c>
      <c r="J1252" s="8" t="str">
        <f t="shared" si="120"/>
        <v>KNOB</v>
      </c>
      <c r="K1252" t="s">
        <v>10</v>
      </c>
      <c r="L1252" s="54">
        <v>200</v>
      </c>
      <c r="M1252" t="s">
        <v>1472</v>
      </c>
      <c r="N1252" t="s">
        <v>11</v>
      </c>
      <c r="O1252" s="54">
        <v>5.7881999999999998</v>
      </c>
      <c r="P1252" s="35">
        <f t="shared" si="118"/>
        <v>1157.6400000000001</v>
      </c>
      <c r="Q1252" s="10">
        <f t="shared" si="121"/>
        <v>7.3003400000000003</v>
      </c>
      <c r="R1252" s="10">
        <f t="shared" si="122"/>
        <v>0.79290000000000005</v>
      </c>
      <c r="S1252" s="11">
        <f t="shared" si="123"/>
        <v>158.58000000000001</v>
      </c>
      <c r="T1252" s="10" t="s">
        <v>349</v>
      </c>
      <c r="U1252" t="s">
        <v>32</v>
      </c>
      <c r="V1252" s="58">
        <v>7.1775000000000002</v>
      </c>
      <c r="W1252" s="38">
        <f t="shared" si="119"/>
        <v>161.28735632183907</v>
      </c>
    </row>
    <row r="1253" spans="1:23">
      <c r="A1253" t="s">
        <v>2412</v>
      </c>
      <c r="B1253" s="20">
        <v>45737</v>
      </c>
      <c r="C1253" s="20">
        <v>45702</v>
      </c>
      <c r="D1253" t="s">
        <v>372</v>
      </c>
      <c r="E1253" t="s">
        <v>373</v>
      </c>
      <c r="F1253" s="19"/>
      <c r="G1253" t="s">
        <v>2927</v>
      </c>
      <c r="H1253" t="s">
        <v>3103</v>
      </c>
      <c r="I1253" t="s">
        <v>3318</v>
      </c>
      <c r="J1253" s="8" t="str">
        <f t="shared" si="120"/>
        <v>SHDL</v>
      </c>
      <c r="K1253" t="s">
        <v>98</v>
      </c>
      <c r="L1253" s="54">
        <v>1940</v>
      </c>
      <c r="M1253" t="s">
        <v>1472</v>
      </c>
      <c r="N1253" t="s">
        <v>11</v>
      </c>
      <c r="O1253" s="54">
        <v>0.92230000000000001</v>
      </c>
      <c r="P1253" s="35">
        <f t="shared" si="118"/>
        <v>1789.26</v>
      </c>
      <c r="Q1253" s="10">
        <f t="shared" si="121"/>
        <v>7.3003400000000003</v>
      </c>
      <c r="R1253" s="10">
        <f t="shared" si="122"/>
        <v>0.1263</v>
      </c>
      <c r="S1253" s="11">
        <f t="shared" si="123"/>
        <v>245.02</v>
      </c>
      <c r="T1253" s="10" t="s">
        <v>349</v>
      </c>
      <c r="U1253" t="s">
        <v>722</v>
      </c>
      <c r="V1253" s="58">
        <v>7.1775000000000002</v>
      </c>
      <c r="W1253" s="38">
        <f t="shared" si="119"/>
        <v>249.28763497039361</v>
      </c>
    </row>
    <row r="1254" spans="1:23">
      <c r="A1254" t="s">
        <v>2530</v>
      </c>
      <c r="B1254" s="20">
        <v>45737</v>
      </c>
      <c r="C1254" s="20">
        <v>45713</v>
      </c>
      <c r="D1254" t="s">
        <v>569</v>
      </c>
      <c r="E1254" t="s">
        <v>570</v>
      </c>
      <c r="F1254" s="19"/>
      <c r="G1254" t="s">
        <v>2871</v>
      </c>
      <c r="H1254" t="s">
        <v>1513</v>
      </c>
      <c r="I1254" t="s">
        <v>1514</v>
      </c>
      <c r="J1254" s="8" t="str">
        <f t="shared" si="120"/>
        <v>ANYD</v>
      </c>
      <c r="K1254" t="s">
        <v>10</v>
      </c>
      <c r="L1254" s="54">
        <v>1000</v>
      </c>
      <c r="M1254" t="s">
        <v>1472</v>
      </c>
      <c r="N1254" t="s">
        <v>11</v>
      </c>
      <c r="O1254" s="54">
        <v>3.5</v>
      </c>
      <c r="P1254" s="35">
        <f t="shared" si="118"/>
        <v>3500</v>
      </c>
      <c r="Q1254" s="10">
        <f t="shared" si="121"/>
        <v>7.3003400000000003</v>
      </c>
      <c r="R1254" s="10">
        <f t="shared" si="122"/>
        <v>0.47939999999999999</v>
      </c>
      <c r="S1254" s="11">
        <f t="shared" si="123"/>
        <v>479.4</v>
      </c>
      <c r="T1254" s="10" t="s">
        <v>349</v>
      </c>
      <c r="U1254" t="s">
        <v>36</v>
      </c>
      <c r="V1254" s="58">
        <v>7.1775000000000002</v>
      </c>
      <c r="W1254" s="38">
        <f t="shared" si="119"/>
        <v>487.63497039359106</v>
      </c>
    </row>
    <row r="1255" spans="1:23">
      <c r="A1255" t="s">
        <v>2532</v>
      </c>
      <c r="B1255" s="20">
        <v>45737</v>
      </c>
      <c r="C1255" s="20">
        <v>45714</v>
      </c>
      <c r="D1255" t="s">
        <v>94</v>
      </c>
      <c r="E1255" t="s">
        <v>95</v>
      </c>
      <c r="F1255" s="19"/>
      <c r="G1255" t="s">
        <v>2966</v>
      </c>
      <c r="H1255" t="s">
        <v>3163</v>
      </c>
      <c r="I1255" t="s">
        <v>3373</v>
      </c>
      <c r="J1255" s="8" t="str">
        <f t="shared" si="120"/>
        <v>LID-</v>
      </c>
      <c r="K1255" t="s">
        <v>98</v>
      </c>
      <c r="L1255" s="54">
        <v>856</v>
      </c>
      <c r="M1255" t="s">
        <v>1472</v>
      </c>
      <c r="N1255" t="s">
        <v>11</v>
      </c>
      <c r="O1255" s="54">
        <v>3.95</v>
      </c>
      <c r="P1255" s="35">
        <f t="shared" si="118"/>
        <v>3381.2</v>
      </c>
      <c r="Q1255" s="10">
        <f t="shared" si="121"/>
        <v>7.3003400000000003</v>
      </c>
      <c r="R1255" s="10">
        <f t="shared" si="122"/>
        <v>0.54110000000000003</v>
      </c>
      <c r="S1255" s="11">
        <f t="shared" si="123"/>
        <v>463.18</v>
      </c>
      <c r="T1255" s="10" t="s">
        <v>349</v>
      </c>
      <c r="U1255" t="s">
        <v>368</v>
      </c>
      <c r="V1255" s="58">
        <v>7.1775000000000002</v>
      </c>
      <c r="W1255" s="38">
        <f t="shared" si="119"/>
        <v>471.08324625566001</v>
      </c>
    </row>
    <row r="1256" spans="1:23">
      <c r="A1256" t="s">
        <v>2532</v>
      </c>
      <c r="B1256" s="20">
        <v>45737</v>
      </c>
      <c r="C1256" s="20">
        <v>45714</v>
      </c>
      <c r="D1256" t="s">
        <v>94</v>
      </c>
      <c r="E1256" t="s">
        <v>95</v>
      </c>
      <c r="F1256" s="19"/>
      <c r="G1256" t="s">
        <v>2967</v>
      </c>
      <c r="H1256" t="s">
        <v>3163</v>
      </c>
      <c r="I1256" t="s">
        <v>3373</v>
      </c>
      <c r="J1256" s="8" t="str">
        <f t="shared" si="120"/>
        <v>LID-</v>
      </c>
      <c r="K1256" t="s">
        <v>98</v>
      </c>
      <c r="L1256" s="54">
        <v>900</v>
      </c>
      <c r="M1256" t="s">
        <v>1472</v>
      </c>
      <c r="N1256" t="s">
        <v>11</v>
      </c>
      <c r="O1256" s="54">
        <v>3.95</v>
      </c>
      <c r="P1256" s="35">
        <f t="shared" si="118"/>
        <v>3555</v>
      </c>
      <c r="Q1256" s="10">
        <f t="shared" si="121"/>
        <v>7.3003400000000003</v>
      </c>
      <c r="R1256" s="10">
        <f t="shared" si="122"/>
        <v>0.54110000000000003</v>
      </c>
      <c r="S1256" s="11">
        <f t="shared" si="123"/>
        <v>486.99</v>
      </c>
      <c r="T1256" s="10" t="s">
        <v>349</v>
      </c>
      <c r="U1256" t="s">
        <v>368</v>
      </c>
      <c r="V1256" s="58">
        <v>7.1775000000000002</v>
      </c>
      <c r="W1256" s="38">
        <f t="shared" si="119"/>
        <v>495.29780564263319</v>
      </c>
    </row>
    <row r="1257" spans="1:23">
      <c r="A1257" t="s">
        <v>2576</v>
      </c>
      <c r="B1257" s="20">
        <v>45737</v>
      </c>
      <c r="C1257" s="20">
        <v>45716</v>
      </c>
      <c r="D1257" t="s">
        <v>128</v>
      </c>
      <c r="E1257" t="s">
        <v>129</v>
      </c>
      <c r="F1257" s="19"/>
      <c r="G1257" t="s">
        <v>2909</v>
      </c>
      <c r="H1257" t="s">
        <v>3182</v>
      </c>
      <c r="I1257" t="s">
        <v>3389</v>
      </c>
      <c r="J1257" s="8" t="str">
        <f t="shared" si="120"/>
        <v>RIV-</v>
      </c>
      <c r="K1257" t="s">
        <v>10</v>
      </c>
      <c r="L1257" s="54">
        <v>1000</v>
      </c>
      <c r="M1257" t="s">
        <v>1472</v>
      </c>
      <c r="N1257" t="s">
        <v>11</v>
      </c>
      <c r="O1257" s="54">
        <v>9.1499999999999998E-2</v>
      </c>
      <c r="P1257" s="35">
        <f t="shared" si="118"/>
        <v>91.5</v>
      </c>
      <c r="Q1257" s="10">
        <f t="shared" si="121"/>
        <v>7.3003400000000003</v>
      </c>
      <c r="R1257" s="10">
        <f t="shared" si="122"/>
        <v>1.2500000000000001E-2</v>
      </c>
      <c r="S1257" s="11">
        <f t="shared" si="123"/>
        <v>12.5</v>
      </c>
      <c r="T1257" s="10" t="s">
        <v>349</v>
      </c>
      <c r="U1257" t="s">
        <v>132</v>
      </c>
      <c r="V1257" s="58">
        <v>7.1775000000000002</v>
      </c>
      <c r="W1257" s="38">
        <f t="shared" si="119"/>
        <v>12.748171368861025</v>
      </c>
    </row>
    <row r="1258" spans="1:23">
      <c r="A1258" t="s">
        <v>2577</v>
      </c>
      <c r="B1258" s="20">
        <v>45737</v>
      </c>
      <c r="C1258" s="20">
        <v>45716</v>
      </c>
      <c r="D1258" t="s">
        <v>128</v>
      </c>
      <c r="E1258" t="s">
        <v>129</v>
      </c>
      <c r="F1258" s="19"/>
      <c r="G1258" t="s">
        <v>2909</v>
      </c>
      <c r="H1258" t="s">
        <v>950</v>
      </c>
      <c r="I1258" t="s">
        <v>951</v>
      </c>
      <c r="J1258" s="8" t="str">
        <f t="shared" si="120"/>
        <v>RIV-</v>
      </c>
      <c r="K1258" t="s">
        <v>10</v>
      </c>
      <c r="L1258" s="54">
        <v>9000</v>
      </c>
      <c r="M1258" t="s">
        <v>1472</v>
      </c>
      <c r="N1258" t="s">
        <v>11</v>
      </c>
      <c r="O1258" s="54">
        <v>0.1016</v>
      </c>
      <c r="P1258" s="35">
        <f t="shared" si="118"/>
        <v>914.4</v>
      </c>
      <c r="Q1258" s="10">
        <f t="shared" si="121"/>
        <v>7.3003400000000003</v>
      </c>
      <c r="R1258" s="10">
        <f t="shared" si="122"/>
        <v>1.3899999999999999E-2</v>
      </c>
      <c r="S1258" s="11">
        <f t="shared" si="123"/>
        <v>125.1</v>
      </c>
      <c r="T1258" s="10" t="s">
        <v>349</v>
      </c>
      <c r="U1258" t="s">
        <v>132</v>
      </c>
      <c r="V1258" s="58">
        <v>7.1775000000000002</v>
      </c>
      <c r="W1258" s="38">
        <f t="shared" si="119"/>
        <v>127.39811912225704</v>
      </c>
    </row>
    <row r="1259" spans="1:23">
      <c r="A1259" t="s">
        <v>2665</v>
      </c>
      <c r="B1259" s="20">
        <v>45737</v>
      </c>
      <c r="C1259" s="20">
        <v>45723</v>
      </c>
      <c r="D1259" t="s">
        <v>569</v>
      </c>
      <c r="E1259" t="s">
        <v>570</v>
      </c>
      <c r="F1259" s="19"/>
      <c r="G1259" t="s">
        <v>2871</v>
      </c>
      <c r="H1259" t="s">
        <v>1521</v>
      </c>
      <c r="I1259" t="s">
        <v>1522</v>
      </c>
      <c r="J1259" s="8" t="str">
        <f t="shared" si="120"/>
        <v>ANYD</v>
      </c>
      <c r="K1259" t="s">
        <v>10</v>
      </c>
      <c r="L1259" s="54">
        <v>2050</v>
      </c>
      <c r="M1259" t="s">
        <v>1472</v>
      </c>
      <c r="N1259" t="s">
        <v>11</v>
      </c>
      <c r="O1259" s="54">
        <v>3.0379999999999998</v>
      </c>
      <c r="P1259" s="35">
        <f t="shared" si="118"/>
        <v>6227.9</v>
      </c>
      <c r="Q1259" s="10">
        <f t="shared" si="121"/>
        <v>7.3003400000000003</v>
      </c>
      <c r="R1259" s="10">
        <f t="shared" si="122"/>
        <v>0.41610000000000003</v>
      </c>
      <c r="S1259" s="11">
        <f t="shared" si="123"/>
        <v>853.01</v>
      </c>
      <c r="T1259" s="10" t="s">
        <v>349</v>
      </c>
      <c r="U1259" t="s">
        <v>36</v>
      </c>
      <c r="V1259" s="58">
        <v>7.1775000000000002</v>
      </c>
      <c r="W1259" s="38">
        <f t="shared" si="119"/>
        <v>867.69766631835591</v>
      </c>
    </row>
    <row r="1260" spans="1:23">
      <c r="A1260" t="s">
        <v>2729</v>
      </c>
      <c r="B1260" s="20">
        <v>45737</v>
      </c>
      <c r="C1260" s="20">
        <v>45728</v>
      </c>
      <c r="D1260" t="s">
        <v>569</v>
      </c>
      <c r="E1260" t="s">
        <v>570</v>
      </c>
      <c r="F1260" s="19"/>
      <c r="G1260" t="s">
        <v>2871</v>
      </c>
      <c r="H1260" t="s">
        <v>1412</v>
      </c>
      <c r="I1260" t="s">
        <v>1413</v>
      </c>
      <c r="J1260" s="8" t="str">
        <f t="shared" si="120"/>
        <v>WHR-</v>
      </c>
      <c r="K1260" t="s">
        <v>10</v>
      </c>
      <c r="L1260" s="54">
        <v>4000</v>
      </c>
      <c r="M1260" t="s">
        <v>1472</v>
      </c>
      <c r="N1260" t="s">
        <v>11</v>
      </c>
      <c r="O1260" s="54">
        <v>0.1176</v>
      </c>
      <c r="P1260" s="35">
        <f t="shared" si="118"/>
        <v>470.4</v>
      </c>
      <c r="Q1260" s="10">
        <f t="shared" si="121"/>
        <v>7.3003400000000003</v>
      </c>
      <c r="R1260" s="10">
        <f t="shared" si="122"/>
        <v>1.61E-2</v>
      </c>
      <c r="S1260" s="11">
        <f t="shared" si="123"/>
        <v>64.400000000000006</v>
      </c>
      <c r="T1260" s="10" t="s">
        <v>349</v>
      </c>
      <c r="U1260" t="s">
        <v>248</v>
      </c>
      <c r="V1260" s="58">
        <v>7.1775000000000002</v>
      </c>
      <c r="W1260" s="38">
        <f t="shared" si="119"/>
        <v>65.538140020898638</v>
      </c>
    </row>
    <row r="1261" spans="1:23">
      <c r="A1261" t="s">
        <v>2760</v>
      </c>
      <c r="B1261" s="20">
        <v>45737</v>
      </c>
      <c r="C1261" s="20">
        <v>45730</v>
      </c>
      <c r="D1261" t="s">
        <v>268</v>
      </c>
      <c r="E1261" t="s">
        <v>269</v>
      </c>
      <c r="F1261" s="19"/>
      <c r="G1261" t="s">
        <v>3047</v>
      </c>
      <c r="H1261" t="s">
        <v>3249</v>
      </c>
      <c r="I1261" t="s">
        <v>3456</v>
      </c>
      <c r="J1261" s="8" t="str">
        <f t="shared" si="120"/>
        <v>MISC</v>
      </c>
      <c r="K1261" t="s">
        <v>10</v>
      </c>
      <c r="L1261" s="54">
        <v>180</v>
      </c>
      <c r="M1261" t="s">
        <v>136</v>
      </c>
      <c r="N1261" t="s">
        <v>11</v>
      </c>
      <c r="O1261" s="54">
        <v>2.15</v>
      </c>
      <c r="P1261" s="35">
        <f t="shared" si="118"/>
        <v>387</v>
      </c>
      <c r="Q1261" s="10">
        <f t="shared" si="121"/>
        <v>7.3003400000000003</v>
      </c>
      <c r="R1261" s="10">
        <f t="shared" si="122"/>
        <v>0.29449999999999998</v>
      </c>
      <c r="S1261" s="11">
        <f t="shared" si="123"/>
        <v>53.01</v>
      </c>
      <c r="T1261" s="10" t="s">
        <v>349</v>
      </c>
      <c r="U1261" t="s">
        <v>25</v>
      </c>
      <c r="V1261" s="58">
        <v>7.1775000000000002</v>
      </c>
      <c r="W1261" s="38">
        <f t="shared" si="119"/>
        <v>53.918495297805642</v>
      </c>
    </row>
    <row r="1262" spans="1:23">
      <c r="A1262" t="s">
        <v>2806</v>
      </c>
      <c r="B1262" s="20">
        <v>45737</v>
      </c>
      <c r="C1262" s="20">
        <v>45736</v>
      </c>
      <c r="D1262" t="s">
        <v>149</v>
      </c>
      <c r="E1262" t="s">
        <v>150</v>
      </c>
      <c r="F1262" s="19"/>
      <c r="G1262" t="s">
        <v>3053</v>
      </c>
      <c r="H1262" t="s">
        <v>157</v>
      </c>
      <c r="I1262" t="s">
        <v>158</v>
      </c>
      <c r="J1262" s="8" t="str">
        <f t="shared" si="120"/>
        <v>GLID</v>
      </c>
      <c r="K1262" t="s">
        <v>10</v>
      </c>
      <c r="L1262" s="54">
        <v>1300</v>
      </c>
      <c r="M1262" t="s">
        <v>1472</v>
      </c>
      <c r="N1262" t="s">
        <v>11</v>
      </c>
      <c r="O1262" s="54">
        <v>3.3437000000000001</v>
      </c>
      <c r="P1262" s="35">
        <f t="shared" si="118"/>
        <v>4346.8100000000004</v>
      </c>
      <c r="Q1262" s="10">
        <f t="shared" si="121"/>
        <v>7.3003400000000003</v>
      </c>
      <c r="R1262" s="10">
        <f t="shared" si="122"/>
        <v>0.45800000000000002</v>
      </c>
      <c r="S1262" s="11">
        <f t="shared" si="123"/>
        <v>595.4</v>
      </c>
      <c r="T1262" s="10" t="s">
        <v>349</v>
      </c>
      <c r="U1262" t="s">
        <v>78</v>
      </c>
      <c r="V1262" s="58">
        <v>7.1775000000000002</v>
      </c>
      <c r="W1262" s="38">
        <f t="shared" si="119"/>
        <v>605.61616161616166</v>
      </c>
    </row>
    <row r="1263" spans="1:23">
      <c r="A1263" t="s">
        <v>2807</v>
      </c>
      <c r="B1263" s="20">
        <v>45737</v>
      </c>
      <c r="C1263" s="20">
        <v>45737</v>
      </c>
      <c r="D1263" t="s">
        <v>128</v>
      </c>
      <c r="E1263" t="s">
        <v>129</v>
      </c>
      <c r="F1263" s="19"/>
      <c r="G1263" t="s">
        <v>2909</v>
      </c>
      <c r="H1263" t="s">
        <v>1762</v>
      </c>
      <c r="I1263" t="s">
        <v>1763</v>
      </c>
      <c r="J1263" s="8" t="str">
        <f t="shared" si="120"/>
        <v>HDL-</v>
      </c>
      <c r="K1263" t="s">
        <v>10</v>
      </c>
      <c r="L1263" s="54">
        <v>200</v>
      </c>
      <c r="M1263" t="s">
        <v>1472</v>
      </c>
      <c r="N1263" t="s">
        <v>11</v>
      </c>
      <c r="O1263" s="54">
        <v>4.5491999999999999</v>
      </c>
      <c r="P1263" s="35">
        <f t="shared" si="118"/>
        <v>909.84</v>
      </c>
      <c r="Q1263" s="10">
        <f t="shared" si="121"/>
        <v>7.3003400000000003</v>
      </c>
      <c r="R1263" s="10">
        <f t="shared" si="122"/>
        <v>0.62309999999999999</v>
      </c>
      <c r="S1263" s="11">
        <f t="shared" si="123"/>
        <v>124.62</v>
      </c>
      <c r="T1263" s="10" t="s">
        <v>349</v>
      </c>
      <c r="U1263" t="s">
        <v>228</v>
      </c>
      <c r="V1263" s="58">
        <v>7.1775000000000002</v>
      </c>
      <c r="W1263" s="38">
        <f t="shared" si="119"/>
        <v>126.76280041797283</v>
      </c>
    </row>
    <row r="1264" spans="1:23">
      <c r="A1264" t="s">
        <v>2282</v>
      </c>
      <c r="B1264" s="20">
        <v>45740</v>
      </c>
      <c r="C1264" s="20">
        <v>45576</v>
      </c>
      <c r="D1264" t="s">
        <v>94</v>
      </c>
      <c r="E1264" t="s">
        <v>95</v>
      </c>
      <c r="F1264" s="19"/>
      <c r="G1264" t="s">
        <v>2849</v>
      </c>
      <c r="H1264" t="s">
        <v>3063</v>
      </c>
      <c r="I1264" t="s">
        <v>3279</v>
      </c>
      <c r="J1264" s="8" t="str">
        <f t="shared" si="120"/>
        <v>LID-</v>
      </c>
      <c r="K1264" t="s">
        <v>98</v>
      </c>
      <c r="L1264" s="54">
        <v>1010</v>
      </c>
      <c r="M1264" t="s">
        <v>1472</v>
      </c>
      <c r="N1264" t="s">
        <v>11</v>
      </c>
      <c r="O1264" s="54">
        <v>3.7</v>
      </c>
      <c r="P1264" s="35">
        <f t="shared" si="118"/>
        <v>3737</v>
      </c>
      <c r="Q1264" s="10">
        <f t="shared" si="121"/>
        <v>7.3003400000000003</v>
      </c>
      <c r="R1264" s="10">
        <f t="shared" si="122"/>
        <v>0.50680000000000003</v>
      </c>
      <c r="S1264" s="11">
        <f t="shared" si="123"/>
        <v>511.87</v>
      </c>
      <c r="T1264" s="10" t="s">
        <v>349</v>
      </c>
      <c r="U1264" t="s">
        <v>368</v>
      </c>
      <c r="V1264" s="58">
        <v>7.1775000000000002</v>
      </c>
      <c r="W1264" s="38">
        <f t="shared" si="119"/>
        <v>520.65482410310005</v>
      </c>
    </row>
    <row r="1265" spans="1:23">
      <c r="A1265" t="s">
        <v>2286</v>
      </c>
      <c r="B1265" s="20">
        <v>45740</v>
      </c>
      <c r="C1265" s="20">
        <v>45611</v>
      </c>
      <c r="D1265" t="s">
        <v>94</v>
      </c>
      <c r="E1265" t="s">
        <v>95</v>
      </c>
      <c r="F1265" s="19"/>
      <c r="G1265" t="s">
        <v>2849</v>
      </c>
      <c r="H1265" t="s">
        <v>3063</v>
      </c>
      <c r="I1265" t="s">
        <v>3279</v>
      </c>
      <c r="J1265" s="8" t="str">
        <f t="shared" si="120"/>
        <v>LID-</v>
      </c>
      <c r="K1265" t="s">
        <v>98</v>
      </c>
      <c r="L1265" s="54">
        <v>510</v>
      </c>
      <c r="M1265" t="s">
        <v>1472</v>
      </c>
      <c r="N1265" t="s">
        <v>11</v>
      </c>
      <c r="O1265" s="54">
        <v>3.7</v>
      </c>
      <c r="P1265" s="35">
        <f t="shared" si="118"/>
        <v>1887</v>
      </c>
      <c r="Q1265" s="10">
        <f t="shared" si="121"/>
        <v>7.3003400000000003</v>
      </c>
      <c r="R1265" s="10">
        <f t="shared" si="122"/>
        <v>0.50680000000000003</v>
      </c>
      <c r="S1265" s="11">
        <f t="shared" si="123"/>
        <v>258.47000000000003</v>
      </c>
      <c r="T1265" s="10" t="s">
        <v>349</v>
      </c>
      <c r="U1265" t="s">
        <v>368</v>
      </c>
      <c r="V1265" s="58">
        <v>7.1775000000000002</v>
      </c>
      <c r="W1265" s="38">
        <f t="shared" si="119"/>
        <v>262.9049111807733</v>
      </c>
    </row>
    <row r="1266" spans="1:23">
      <c r="A1266" t="s">
        <v>2369</v>
      </c>
      <c r="B1266" s="20">
        <v>45740</v>
      </c>
      <c r="C1266" s="20">
        <v>45695</v>
      </c>
      <c r="D1266" t="s">
        <v>162</v>
      </c>
      <c r="E1266" t="s">
        <v>163</v>
      </c>
      <c r="F1266" s="19"/>
      <c r="G1266" t="s">
        <v>2907</v>
      </c>
      <c r="H1266" t="s">
        <v>592</v>
      </c>
      <c r="I1266" t="s">
        <v>593</v>
      </c>
      <c r="J1266" s="8" t="str">
        <f t="shared" si="120"/>
        <v>SCR-</v>
      </c>
      <c r="K1266" t="s">
        <v>10</v>
      </c>
      <c r="L1266" s="54">
        <v>3000</v>
      </c>
      <c r="M1266" t="s">
        <v>1472</v>
      </c>
      <c r="N1266" t="s">
        <v>11</v>
      </c>
      <c r="O1266" s="54">
        <v>7.0000000000000007E-2</v>
      </c>
      <c r="P1266" s="35">
        <f t="shared" si="118"/>
        <v>210</v>
      </c>
      <c r="Q1266" s="10">
        <f t="shared" si="121"/>
        <v>7.3003400000000003</v>
      </c>
      <c r="R1266" s="10">
        <f t="shared" si="122"/>
        <v>9.5999999999999992E-3</v>
      </c>
      <c r="S1266" s="11">
        <f t="shared" si="123"/>
        <v>28.8</v>
      </c>
      <c r="T1266" s="10" t="s">
        <v>349</v>
      </c>
      <c r="U1266" t="s">
        <v>166</v>
      </c>
      <c r="V1266" s="58">
        <v>7.1775000000000002</v>
      </c>
      <c r="W1266" s="38">
        <f t="shared" si="119"/>
        <v>29.258098223615466</v>
      </c>
    </row>
    <row r="1267" spans="1:23">
      <c r="A1267" t="s">
        <v>2376</v>
      </c>
      <c r="B1267" s="20">
        <v>45740</v>
      </c>
      <c r="C1267" s="20">
        <v>45695</v>
      </c>
      <c r="D1267" t="s">
        <v>143</v>
      </c>
      <c r="E1267" t="s">
        <v>144</v>
      </c>
      <c r="F1267" s="19"/>
      <c r="G1267" t="s">
        <v>2912</v>
      </c>
      <c r="H1267" t="s">
        <v>3091</v>
      </c>
      <c r="I1267" t="s">
        <v>3307</v>
      </c>
      <c r="J1267" s="8" t="str">
        <f t="shared" si="120"/>
        <v>LHDL</v>
      </c>
      <c r="K1267" t="s">
        <v>10</v>
      </c>
      <c r="L1267" s="54">
        <v>1000</v>
      </c>
      <c r="M1267" t="s">
        <v>1472</v>
      </c>
      <c r="N1267" t="s">
        <v>11</v>
      </c>
      <c r="O1267" s="54">
        <v>5.5971000000000002</v>
      </c>
      <c r="P1267" s="35">
        <f t="shared" si="118"/>
        <v>5597.1</v>
      </c>
      <c r="Q1267" s="10">
        <f t="shared" si="121"/>
        <v>7.3003400000000003</v>
      </c>
      <c r="R1267" s="10">
        <f t="shared" si="122"/>
        <v>0.76670000000000005</v>
      </c>
      <c r="S1267" s="11">
        <f t="shared" si="123"/>
        <v>766.7</v>
      </c>
      <c r="T1267" s="10" t="s">
        <v>349</v>
      </c>
      <c r="U1267" t="s">
        <v>125</v>
      </c>
      <c r="V1267" s="58">
        <v>7.1775000000000002</v>
      </c>
      <c r="W1267" s="38">
        <f t="shared" si="119"/>
        <v>779.81191222570533</v>
      </c>
    </row>
    <row r="1268" spans="1:23">
      <c r="A1268" t="s">
        <v>2466</v>
      </c>
      <c r="B1268" s="20">
        <v>45740</v>
      </c>
      <c r="C1268" s="20">
        <v>45706</v>
      </c>
      <c r="D1268" t="s">
        <v>162</v>
      </c>
      <c r="E1268" t="s">
        <v>163</v>
      </c>
      <c r="F1268" s="19"/>
      <c r="G1268" t="s">
        <v>2907</v>
      </c>
      <c r="H1268" t="s">
        <v>587</v>
      </c>
      <c r="I1268" t="s">
        <v>588</v>
      </c>
      <c r="J1268" s="8" t="str">
        <f t="shared" si="120"/>
        <v>SCR-</v>
      </c>
      <c r="K1268" t="s">
        <v>10</v>
      </c>
      <c r="L1268" s="54">
        <v>5000</v>
      </c>
      <c r="M1268" t="s">
        <v>1472</v>
      </c>
      <c r="N1268" t="s">
        <v>11</v>
      </c>
      <c r="O1268" s="54">
        <v>0.153</v>
      </c>
      <c r="P1268" s="35">
        <f t="shared" si="118"/>
        <v>765</v>
      </c>
      <c r="Q1268" s="10">
        <f t="shared" si="121"/>
        <v>7.3003400000000003</v>
      </c>
      <c r="R1268" s="10">
        <f t="shared" si="122"/>
        <v>2.1000000000000001E-2</v>
      </c>
      <c r="S1268" s="11">
        <f t="shared" si="123"/>
        <v>105</v>
      </c>
      <c r="T1268" s="10" t="s">
        <v>349</v>
      </c>
      <c r="U1268" t="s">
        <v>166</v>
      </c>
      <c r="V1268" s="58">
        <v>7.1775000000000002</v>
      </c>
      <c r="W1268" s="38">
        <f t="shared" si="119"/>
        <v>106.58307210031347</v>
      </c>
    </row>
    <row r="1269" spans="1:23">
      <c r="A1269" t="s">
        <v>2492</v>
      </c>
      <c r="B1269" s="20">
        <v>45740</v>
      </c>
      <c r="C1269" s="20">
        <v>45713</v>
      </c>
      <c r="D1269" t="s">
        <v>2257</v>
      </c>
      <c r="E1269" t="s">
        <v>2258</v>
      </c>
      <c r="F1269" s="19"/>
      <c r="G1269" t="s">
        <v>2955</v>
      </c>
      <c r="H1269" t="s">
        <v>1798</v>
      </c>
      <c r="I1269" t="s">
        <v>1799</v>
      </c>
      <c r="J1269" s="8" t="str">
        <f t="shared" si="120"/>
        <v>HDL-</v>
      </c>
      <c r="K1269" t="s">
        <v>10</v>
      </c>
      <c r="L1269" s="54">
        <v>3500</v>
      </c>
      <c r="M1269" t="s">
        <v>1472</v>
      </c>
      <c r="N1269" t="s">
        <v>11</v>
      </c>
      <c r="O1269" s="54">
        <v>7.4931000000000001</v>
      </c>
      <c r="P1269" s="35">
        <f t="shared" si="118"/>
        <v>26225.85</v>
      </c>
      <c r="Q1269" s="10">
        <f t="shared" si="121"/>
        <v>7.3003400000000003</v>
      </c>
      <c r="R1269" s="10">
        <f t="shared" si="122"/>
        <v>1.0264</v>
      </c>
      <c r="S1269" s="11">
        <f t="shared" si="123"/>
        <v>3592.4</v>
      </c>
      <c r="T1269" s="10" t="s">
        <v>349</v>
      </c>
      <c r="U1269" t="s">
        <v>228</v>
      </c>
      <c r="V1269" s="58">
        <v>7.1775000000000002</v>
      </c>
      <c r="W1269" s="38">
        <f t="shared" si="119"/>
        <v>3653.897596656217</v>
      </c>
    </row>
    <row r="1270" spans="1:23">
      <c r="A1270" t="s">
        <v>2497</v>
      </c>
      <c r="B1270" s="20">
        <v>45740</v>
      </c>
      <c r="C1270" s="20">
        <v>45713</v>
      </c>
      <c r="D1270" t="s">
        <v>2257</v>
      </c>
      <c r="E1270" t="s">
        <v>2258</v>
      </c>
      <c r="F1270" s="19"/>
      <c r="G1270" t="s">
        <v>2955</v>
      </c>
      <c r="H1270" t="s">
        <v>1800</v>
      </c>
      <c r="I1270" t="s">
        <v>1801</v>
      </c>
      <c r="J1270" s="8" t="str">
        <f t="shared" si="120"/>
        <v>HDL-</v>
      </c>
      <c r="K1270" t="s">
        <v>10</v>
      </c>
      <c r="L1270" s="54">
        <v>2600</v>
      </c>
      <c r="M1270" t="s">
        <v>1472</v>
      </c>
      <c r="N1270" t="s">
        <v>11</v>
      </c>
      <c r="O1270" s="54">
        <v>7.4931000000000001</v>
      </c>
      <c r="P1270" s="35">
        <f t="shared" si="118"/>
        <v>19482.060000000001</v>
      </c>
      <c r="Q1270" s="10">
        <f t="shared" si="121"/>
        <v>7.3003400000000003</v>
      </c>
      <c r="R1270" s="10">
        <f t="shared" si="122"/>
        <v>1.0264</v>
      </c>
      <c r="S1270" s="11">
        <f t="shared" si="123"/>
        <v>2668.64</v>
      </c>
      <c r="T1270" s="10" t="s">
        <v>349</v>
      </c>
      <c r="U1270" t="s">
        <v>228</v>
      </c>
      <c r="V1270" s="58">
        <v>7.1775000000000002</v>
      </c>
      <c r="W1270" s="38">
        <f t="shared" si="119"/>
        <v>2714.3239289446183</v>
      </c>
    </row>
    <row r="1271" spans="1:23">
      <c r="A1271" t="s">
        <v>2498</v>
      </c>
      <c r="B1271" s="20">
        <v>45740</v>
      </c>
      <c r="C1271" s="20">
        <v>45713</v>
      </c>
      <c r="D1271" t="s">
        <v>2257</v>
      </c>
      <c r="E1271" t="s">
        <v>2258</v>
      </c>
      <c r="F1271" s="19"/>
      <c r="G1271" t="s">
        <v>2955</v>
      </c>
      <c r="H1271" t="s">
        <v>1800</v>
      </c>
      <c r="I1271" t="s">
        <v>1801</v>
      </c>
      <c r="J1271" s="8" t="str">
        <f t="shared" si="120"/>
        <v>HDL-</v>
      </c>
      <c r="K1271" t="s">
        <v>10</v>
      </c>
      <c r="L1271" s="54">
        <v>3020</v>
      </c>
      <c r="M1271" t="s">
        <v>1472</v>
      </c>
      <c r="N1271" t="s">
        <v>11</v>
      </c>
      <c r="O1271" s="54">
        <v>7.4931000000000001</v>
      </c>
      <c r="P1271" s="35">
        <f t="shared" si="118"/>
        <v>22629.16</v>
      </c>
      <c r="Q1271" s="10">
        <f t="shared" si="121"/>
        <v>7.3003400000000003</v>
      </c>
      <c r="R1271" s="10">
        <f t="shared" si="122"/>
        <v>1.0264</v>
      </c>
      <c r="S1271" s="11">
        <f t="shared" si="123"/>
        <v>3099.73</v>
      </c>
      <c r="T1271" s="10" t="s">
        <v>349</v>
      </c>
      <c r="U1271" t="s">
        <v>228</v>
      </c>
      <c r="V1271" s="58">
        <v>7.1775000000000002</v>
      </c>
      <c r="W1271" s="38">
        <f t="shared" si="119"/>
        <v>3152.7916405433643</v>
      </c>
    </row>
    <row r="1272" spans="1:23">
      <c r="A1272" t="s">
        <v>2504</v>
      </c>
      <c r="B1272" s="20">
        <v>45740</v>
      </c>
      <c r="C1272" s="20">
        <v>45713</v>
      </c>
      <c r="D1272" t="s">
        <v>2257</v>
      </c>
      <c r="E1272" t="s">
        <v>2258</v>
      </c>
      <c r="F1272" s="19"/>
      <c r="G1272" t="s">
        <v>2955</v>
      </c>
      <c r="H1272" t="s">
        <v>3152</v>
      </c>
      <c r="I1272" t="s">
        <v>3362</v>
      </c>
      <c r="J1272" s="8" t="str">
        <f t="shared" si="120"/>
        <v>HDL-</v>
      </c>
      <c r="K1272" t="s">
        <v>10</v>
      </c>
      <c r="L1272" s="54">
        <v>3100</v>
      </c>
      <c r="M1272" t="s">
        <v>1472</v>
      </c>
      <c r="N1272" t="s">
        <v>11</v>
      </c>
      <c r="O1272" s="54">
        <v>7.4931000000000001</v>
      </c>
      <c r="P1272" s="35">
        <f t="shared" si="118"/>
        <v>23228.61</v>
      </c>
      <c r="Q1272" s="10">
        <f t="shared" si="121"/>
        <v>7.3003400000000003</v>
      </c>
      <c r="R1272" s="10">
        <f t="shared" si="122"/>
        <v>1.0264</v>
      </c>
      <c r="S1272" s="11">
        <f t="shared" si="123"/>
        <v>3181.84</v>
      </c>
      <c r="T1272" s="10" t="s">
        <v>349</v>
      </c>
      <c r="U1272" t="s">
        <v>228</v>
      </c>
      <c r="V1272" s="58">
        <v>7.1775000000000002</v>
      </c>
      <c r="W1272" s="38">
        <f t="shared" si="119"/>
        <v>3236.3092998955067</v>
      </c>
    </row>
    <row r="1273" spans="1:23">
      <c r="A1273" t="s">
        <v>2532</v>
      </c>
      <c r="B1273" s="20">
        <v>45740</v>
      </c>
      <c r="C1273" s="20">
        <v>45714</v>
      </c>
      <c r="D1273" t="s">
        <v>94</v>
      </c>
      <c r="E1273" t="s">
        <v>95</v>
      </c>
      <c r="F1273" s="19"/>
      <c r="G1273" t="s">
        <v>2965</v>
      </c>
      <c r="H1273" t="s">
        <v>3163</v>
      </c>
      <c r="I1273" t="s">
        <v>3373</v>
      </c>
      <c r="J1273" s="8" t="str">
        <f t="shared" si="120"/>
        <v>LID-</v>
      </c>
      <c r="K1273" t="s">
        <v>98</v>
      </c>
      <c r="L1273" s="54">
        <v>1764</v>
      </c>
      <c r="M1273" t="s">
        <v>1472</v>
      </c>
      <c r="N1273" t="s">
        <v>11</v>
      </c>
      <c r="O1273" s="54">
        <v>3.95</v>
      </c>
      <c r="P1273" s="35">
        <f t="shared" si="118"/>
        <v>6967.8</v>
      </c>
      <c r="Q1273" s="10">
        <f t="shared" si="121"/>
        <v>7.3003400000000003</v>
      </c>
      <c r="R1273" s="10">
        <f t="shared" si="122"/>
        <v>0.54110000000000003</v>
      </c>
      <c r="S1273" s="11">
        <f t="shared" si="123"/>
        <v>954.5</v>
      </c>
      <c r="T1273" s="10" t="s">
        <v>349</v>
      </c>
      <c r="U1273" t="s">
        <v>368</v>
      </c>
      <c r="V1273" s="58">
        <v>7.1775000000000002</v>
      </c>
      <c r="W1273" s="38">
        <f t="shared" si="119"/>
        <v>970.78369905956106</v>
      </c>
    </row>
    <row r="1274" spans="1:23">
      <c r="A1274" t="s">
        <v>2539</v>
      </c>
      <c r="B1274" s="20">
        <v>45740</v>
      </c>
      <c r="C1274" s="20">
        <v>45714</v>
      </c>
      <c r="D1274" t="s">
        <v>830</v>
      </c>
      <c r="E1274" t="s">
        <v>831</v>
      </c>
      <c r="F1274" s="19"/>
      <c r="G1274" t="s">
        <v>2984</v>
      </c>
      <c r="H1274" t="s">
        <v>3166</v>
      </c>
      <c r="I1274" t="s">
        <v>3376</v>
      </c>
      <c r="J1274" s="8" t="str">
        <f t="shared" si="120"/>
        <v>LID-</v>
      </c>
      <c r="K1274" t="s">
        <v>98</v>
      </c>
      <c r="L1274" s="54">
        <v>400</v>
      </c>
      <c r="M1274" t="s">
        <v>1472</v>
      </c>
      <c r="N1274" t="s">
        <v>11</v>
      </c>
      <c r="O1274" s="54">
        <v>4.2</v>
      </c>
      <c r="P1274" s="35">
        <f t="shared" si="118"/>
        <v>1680</v>
      </c>
      <c r="Q1274" s="10">
        <f t="shared" si="121"/>
        <v>7.3003400000000003</v>
      </c>
      <c r="R1274" s="10">
        <f t="shared" si="122"/>
        <v>0.57530000000000003</v>
      </c>
      <c r="S1274" s="11">
        <f t="shared" si="123"/>
        <v>230.12</v>
      </c>
      <c r="T1274" s="10" t="s">
        <v>349</v>
      </c>
      <c r="U1274" t="s">
        <v>368</v>
      </c>
      <c r="V1274" s="58">
        <v>7.1775000000000002</v>
      </c>
      <c r="W1274" s="38">
        <f t="shared" si="119"/>
        <v>234.0647857889237</v>
      </c>
    </row>
    <row r="1275" spans="1:23">
      <c r="A1275" t="s">
        <v>2539</v>
      </c>
      <c r="B1275" s="20">
        <v>45740</v>
      </c>
      <c r="C1275" s="20">
        <v>45714</v>
      </c>
      <c r="D1275" t="s">
        <v>830</v>
      </c>
      <c r="E1275" t="s">
        <v>831</v>
      </c>
      <c r="F1275" s="19"/>
      <c r="G1275" t="s">
        <v>2984</v>
      </c>
      <c r="H1275" t="s">
        <v>3166</v>
      </c>
      <c r="I1275" t="s">
        <v>3376</v>
      </c>
      <c r="J1275" s="8" t="str">
        <f t="shared" si="120"/>
        <v>LID-</v>
      </c>
      <c r="K1275" t="s">
        <v>98</v>
      </c>
      <c r="L1275" s="54">
        <v>2880</v>
      </c>
      <c r="M1275" t="s">
        <v>1472</v>
      </c>
      <c r="N1275" t="s">
        <v>11</v>
      </c>
      <c r="O1275" s="54">
        <v>4.2</v>
      </c>
      <c r="P1275" s="35">
        <f t="shared" si="118"/>
        <v>12096</v>
      </c>
      <c r="Q1275" s="10">
        <f t="shared" si="121"/>
        <v>7.3003400000000003</v>
      </c>
      <c r="R1275" s="10">
        <f t="shared" si="122"/>
        <v>0.57530000000000003</v>
      </c>
      <c r="S1275" s="11">
        <f t="shared" si="123"/>
        <v>1656.86</v>
      </c>
      <c r="T1275" s="10" t="s">
        <v>349</v>
      </c>
      <c r="U1275" t="s">
        <v>368</v>
      </c>
      <c r="V1275" s="58">
        <v>7.1775000000000002</v>
      </c>
      <c r="W1275" s="38">
        <f t="shared" si="119"/>
        <v>1685.2664576802508</v>
      </c>
    </row>
    <row r="1276" spans="1:23">
      <c r="A1276" t="s">
        <v>2569</v>
      </c>
      <c r="B1276" s="20">
        <v>45740</v>
      </c>
      <c r="C1276" s="20">
        <v>45716</v>
      </c>
      <c r="D1276" t="s">
        <v>162</v>
      </c>
      <c r="E1276" t="s">
        <v>163</v>
      </c>
      <c r="F1276" s="19"/>
      <c r="G1276" t="s">
        <v>3000</v>
      </c>
      <c r="H1276" t="s">
        <v>573</v>
      </c>
      <c r="I1276" t="s">
        <v>574</v>
      </c>
      <c r="J1276" s="8" t="str">
        <f t="shared" si="120"/>
        <v>SCR-</v>
      </c>
      <c r="K1276" t="s">
        <v>10</v>
      </c>
      <c r="L1276" s="54">
        <v>5000</v>
      </c>
      <c r="M1276" t="s">
        <v>1472</v>
      </c>
      <c r="N1276" t="s">
        <v>11</v>
      </c>
      <c r="O1276" s="54">
        <v>0.11700000000000001</v>
      </c>
      <c r="P1276" s="35">
        <f t="shared" si="118"/>
        <v>585</v>
      </c>
      <c r="Q1276" s="10">
        <f t="shared" si="121"/>
        <v>7.3003400000000003</v>
      </c>
      <c r="R1276" s="10">
        <f t="shared" si="122"/>
        <v>1.6E-2</v>
      </c>
      <c r="S1276" s="11">
        <f t="shared" si="123"/>
        <v>80</v>
      </c>
      <c r="T1276" s="10" t="s">
        <v>349</v>
      </c>
      <c r="U1276" t="s">
        <v>166</v>
      </c>
      <c r="V1276" s="58">
        <v>7.1775000000000002</v>
      </c>
      <c r="W1276" s="38">
        <f t="shared" si="119"/>
        <v>81.504702194357364</v>
      </c>
    </row>
    <row r="1277" spans="1:23">
      <c r="A1277" t="s">
        <v>2570</v>
      </c>
      <c r="B1277" s="20">
        <v>45740</v>
      </c>
      <c r="C1277" s="20">
        <v>45716</v>
      </c>
      <c r="D1277" t="s">
        <v>162</v>
      </c>
      <c r="E1277" t="s">
        <v>163</v>
      </c>
      <c r="F1277" s="19"/>
      <c r="G1277" t="s">
        <v>2907</v>
      </c>
      <c r="H1277" t="s">
        <v>606</v>
      </c>
      <c r="I1277" t="s">
        <v>607</v>
      </c>
      <c r="J1277" s="8" t="str">
        <f t="shared" si="120"/>
        <v>SCR-</v>
      </c>
      <c r="K1277" t="s">
        <v>10</v>
      </c>
      <c r="L1277" s="54">
        <v>3000</v>
      </c>
      <c r="M1277" t="s">
        <v>1472</v>
      </c>
      <c r="N1277" t="s">
        <v>11</v>
      </c>
      <c r="O1277" s="54">
        <v>6.9000000000000006E-2</v>
      </c>
      <c r="P1277" s="35">
        <f t="shared" si="118"/>
        <v>207</v>
      </c>
      <c r="Q1277" s="10">
        <f t="shared" si="121"/>
        <v>7.3003400000000003</v>
      </c>
      <c r="R1277" s="10">
        <f t="shared" si="122"/>
        <v>9.4999999999999998E-3</v>
      </c>
      <c r="S1277" s="11">
        <f t="shared" si="123"/>
        <v>28.5</v>
      </c>
      <c r="T1277" s="10" t="s">
        <v>349</v>
      </c>
      <c r="U1277" t="s">
        <v>166</v>
      </c>
      <c r="V1277" s="58">
        <v>7.1775000000000002</v>
      </c>
      <c r="W1277" s="38">
        <f t="shared" si="119"/>
        <v>28.840125391849533</v>
      </c>
    </row>
    <row r="1278" spans="1:23">
      <c r="A1278" t="s">
        <v>2571</v>
      </c>
      <c r="B1278" s="20">
        <v>45740</v>
      </c>
      <c r="C1278" s="20">
        <v>45716</v>
      </c>
      <c r="D1278" t="s">
        <v>162</v>
      </c>
      <c r="E1278" t="s">
        <v>163</v>
      </c>
      <c r="F1278" s="19"/>
      <c r="G1278" t="s">
        <v>2907</v>
      </c>
      <c r="H1278" t="s">
        <v>160</v>
      </c>
      <c r="I1278" t="s">
        <v>161</v>
      </c>
      <c r="J1278" s="8" t="str">
        <f t="shared" si="120"/>
        <v>SCR-</v>
      </c>
      <c r="K1278" t="s">
        <v>10</v>
      </c>
      <c r="L1278" s="54">
        <v>15000</v>
      </c>
      <c r="M1278" t="s">
        <v>1472</v>
      </c>
      <c r="N1278" t="s">
        <v>11</v>
      </c>
      <c r="O1278" s="54">
        <v>0.14199999999999999</v>
      </c>
      <c r="P1278" s="35">
        <f t="shared" si="118"/>
        <v>2130</v>
      </c>
      <c r="Q1278" s="10">
        <f t="shared" si="121"/>
        <v>7.3003400000000003</v>
      </c>
      <c r="R1278" s="10">
        <f t="shared" si="122"/>
        <v>1.95E-2</v>
      </c>
      <c r="S1278" s="11">
        <f t="shared" si="123"/>
        <v>292.5</v>
      </c>
      <c r="T1278" s="10" t="s">
        <v>349</v>
      </c>
      <c r="U1278" t="s">
        <v>166</v>
      </c>
      <c r="V1278" s="58">
        <v>7.1775000000000002</v>
      </c>
      <c r="W1278" s="38">
        <f t="shared" si="119"/>
        <v>296.76071055381396</v>
      </c>
    </row>
    <row r="1279" spans="1:23">
      <c r="A1279" t="s">
        <v>2572</v>
      </c>
      <c r="B1279" s="20">
        <v>45740</v>
      </c>
      <c r="C1279" s="20">
        <v>45716</v>
      </c>
      <c r="D1279" t="s">
        <v>162</v>
      </c>
      <c r="E1279" t="s">
        <v>163</v>
      </c>
      <c r="F1279" s="19"/>
      <c r="G1279" t="s">
        <v>2907</v>
      </c>
      <c r="H1279" t="s">
        <v>599</v>
      </c>
      <c r="I1279" t="s">
        <v>600</v>
      </c>
      <c r="J1279" s="8" t="str">
        <f t="shared" si="120"/>
        <v>SCR-</v>
      </c>
      <c r="K1279" t="s">
        <v>10</v>
      </c>
      <c r="L1279" s="54">
        <v>11000</v>
      </c>
      <c r="M1279" t="s">
        <v>1472</v>
      </c>
      <c r="N1279" t="s">
        <v>11</v>
      </c>
      <c r="O1279" s="54">
        <v>4.2000000000000003E-2</v>
      </c>
      <c r="P1279" s="35">
        <f t="shared" si="118"/>
        <v>462</v>
      </c>
      <c r="Q1279" s="10">
        <f t="shared" si="121"/>
        <v>7.3003400000000003</v>
      </c>
      <c r="R1279" s="10">
        <f t="shared" si="122"/>
        <v>5.7999999999999996E-3</v>
      </c>
      <c r="S1279" s="11">
        <f t="shared" si="123"/>
        <v>63.8</v>
      </c>
      <c r="T1279" s="10" t="s">
        <v>349</v>
      </c>
      <c r="U1279" t="s">
        <v>166</v>
      </c>
      <c r="V1279" s="58">
        <v>7.1775000000000002</v>
      </c>
      <c r="W1279" s="38">
        <f t="shared" si="119"/>
        <v>64.367816091954026</v>
      </c>
    </row>
    <row r="1280" spans="1:23">
      <c r="A1280" t="s">
        <v>2573</v>
      </c>
      <c r="B1280" s="20">
        <v>45740</v>
      </c>
      <c r="C1280" s="20">
        <v>45716</v>
      </c>
      <c r="D1280" t="s">
        <v>162</v>
      </c>
      <c r="E1280" t="s">
        <v>163</v>
      </c>
      <c r="F1280" s="19"/>
      <c r="G1280" t="s">
        <v>2907</v>
      </c>
      <c r="H1280" t="s">
        <v>578</v>
      </c>
      <c r="I1280" t="s">
        <v>579</v>
      </c>
      <c r="J1280" s="8" t="str">
        <f t="shared" si="120"/>
        <v>SCR-</v>
      </c>
      <c r="K1280" t="s">
        <v>10</v>
      </c>
      <c r="L1280" s="54">
        <v>4000</v>
      </c>
      <c r="M1280" t="s">
        <v>1472</v>
      </c>
      <c r="N1280" t="s">
        <v>11</v>
      </c>
      <c r="O1280" s="54">
        <v>9.8000000000000004E-2</v>
      </c>
      <c r="P1280" s="35">
        <f t="shared" si="118"/>
        <v>392</v>
      </c>
      <c r="Q1280" s="10">
        <f t="shared" si="121"/>
        <v>7.3003400000000003</v>
      </c>
      <c r="R1280" s="10">
        <f t="shared" si="122"/>
        <v>1.34E-2</v>
      </c>
      <c r="S1280" s="11">
        <f t="shared" si="123"/>
        <v>53.6</v>
      </c>
      <c r="T1280" s="10" t="s">
        <v>349</v>
      </c>
      <c r="U1280" t="s">
        <v>166</v>
      </c>
      <c r="V1280" s="58">
        <v>7.1775000000000002</v>
      </c>
      <c r="W1280" s="38">
        <f t="shared" si="119"/>
        <v>54.615116684082196</v>
      </c>
    </row>
    <row r="1281" spans="1:23">
      <c r="A1281" t="s">
        <v>2585</v>
      </c>
      <c r="B1281" s="20">
        <v>45740</v>
      </c>
      <c r="C1281" s="20">
        <v>45716</v>
      </c>
      <c r="D1281" t="s">
        <v>187</v>
      </c>
      <c r="E1281" t="s">
        <v>188</v>
      </c>
      <c r="F1281" s="19"/>
      <c r="G1281" t="s">
        <v>3006</v>
      </c>
      <c r="H1281" t="s">
        <v>3188</v>
      </c>
      <c r="I1281" t="s">
        <v>3395</v>
      </c>
      <c r="J1281" s="8" t="str">
        <f t="shared" si="120"/>
        <v>ALM-</v>
      </c>
      <c r="K1281" t="s">
        <v>98</v>
      </c>
      <c r="L1281" s="54">
        <v>200</v>
      </c>
      <c r="M1281" t="s">
        <v>186</v>
      </c>
      <c r="N1281" t="s">
        <v>11</v>
      </c>
      <c r="O1281" s="54">
        <v>3.1415999999999999</v>
      </c>
      <c r="P1281" s="35">
        <f t="shared" si="118"/>
        <v>628.32000000000005</v>
      </c>
      <c r="Q1281" s="10">
        <f t="shared" si="121"/>
        <v>7.3003400000000003</v>
      </c>
      <c r="R1281" s="10">
        <f t="shared" si="122"/>
        <v>0.43030000000000002</v>
      </c>
      <c r="S1281" s="11">
        <f t="shared" si="123"/>
        <v>86.06</v>
      </c>
      <c r="T1281" s="10" t="s">
        <v>349</v>
      </c>
      <c r="U1281" t="s">
        <v>191</v>
      </c>
      <c r="V1281" s="58">
        <v>7.1775000000000002</v>
      </c>
      <c r="W1281" s="38">
        <f t="shared" si="119"/>
        <v>87.540229885057457</v>
      </c>
    </row>
    <row r="1282" spans="1:23">
      <c r="A1282" t="s">
        <v>2586</v>
      </c>
      <c r="B1282" s="20">
        <v>45740</v>
      </c>
      <c r="C1282" s="20">
        <v>45716</v>
      </c>
      <c r="D1282" t="s">
        <v>187</v>
      </c>
      <c r="E1282" t="s">
        <v>188</v>
      </c>
      <c r="F1282" s="19"/>
      <c r="G1282" t="s">
        <v>3006</v>
      </c>
      <c r="H1282" t="s">
        <v>3189</v>
      </c>
      <c r="I1282" t="s">
        <v>3396</v>
      </c>
      <c r="J1282" s="8" t="str">
        <f t="shared" si="120"/>
        <v>ALM-</v>
      </c>
      <c r="K1282" t="s">
        <v>98</v>
      </c>
      <c r="L1282" s="54">
        <v>50</v>
      </c>
      <c r="M1282" t="s">
        <v>186</v>
      </c>
      <c r="N1282" t="s">
        <v>11</v>
      </c>
      <c r="O1282" s="54">
        <v>3.1415999999999999</v>
      </c>
      <c r="P1282" s="35">
        <f t="shared" ref="P1282:P1345" si="124">ROUND(O1282*L1282,2)</f>
        <v>157.08000000000001</v>
      </c>
      <c r="Q1282" s="10">
        <f t="shared" si="121"/>
        <v>7.3003400000000003</v>
      </c>
      <c r="R1282" s="10">
        <f t="shared" si="122"/>
        <v>0.43030000000000002</v>
      </c>
      <c r="S1282" s="11">
        <f t="shared" si="123"/>
        <v>21.52</v>
      </c>
      <c r="T1282" s="10" t="s">
        <v>349</v>
      </c>
      <c r="U1282" t="s">
        <v>191</v>
      </c>
      <c r="V1282" s="58">
        <v>7.1775000000000002</v>
      </c>
      <c r="W1282" s="38">
        <f t="shared" ref="W1282:W1345" si="125">IF(N1282="CNY",O1282/V1282*L1282,1)</f>
        <v>21.885057471264364</v>
      </c>
    </row>
    <row r="1283" spans="1:23">
      <c r="A1283" t="s">
        <v>2587</v>
      </c>
      <c r="B1283" s="20">
        <v>45740</v>
      </c>
      <c r="C1283" s="20">
        <v>45716</v>
      </c>
      <c r="D1283" t="s">
        <v>187</v>
      </c>
      <c r="E1283" t="s">
        <v>188</v>
      </c>
      <c r="F1283" s="19"/>
      <c r="G1283" t="s">
        <v>3006</v>
      </c>
      <c r="H1283" t="s">
        <v>1217</v>
      </c>
      <c r="I1283" t="s">
        <v>1218</v>
      </c>
      <c r="J1283" s="8" t="str">
        <f t="shared" si="120"/>
        <v>ALM-</v>
      </c>
      <c r="K1283" t="s">
        <v>98</v>
      </c>
      <c r="L1283" s="54">
        <v>225</v>
      </c>
      <c r="M1283" t="s">
        <v>186</v>
      </c>
      <c r="N1283" t="s">
        <v>11</v>
      </c>
      <c r="O1283" s="54">
        <v>3.1415999999999999</v>
      </c>
      <c r="P1283" s="35">
        <f t="shared" si="124"/>
        <v>706.86</v>
      </c>
      <c r="Q1283" s="10">
        <f t="shared" si="121"/>
        <v>7.3003400000000003</v>
      </c>
      <c r="R1283" s="10">
        <f t="shared" si="122"/>
        <v>0.43030000000000002</v>
      </c>
      <c r="S1283" s="11">
        <f t="shared" si="123"/>
        <v>96.82</v>
      </c>
      <c r="T1283" s="10" t="s">
        <v>349</v>
      </c>
      <c r="U1283" t="s">
        <v>191</v>
      </c>
      <c r="V1283" s="58">
        <v>7.1775000000000002</v>
      </c>
      <c r="W1283" s="38">
        <f t="shared" si="125"/>
        <v>98.482758620689651</v>
      </c>
    </row>
    <row r="1284" spans="1:23">
      <c r="A1284" t="s">
        <v>2588</v>
      </c>
      <c r="B1284" s="20">
        <v>45740</v>
      </c>
      <c r="C1284" s="20">
        <v>45716</v>
      </c>
      <c r="D1284" t="s">
        <v>187</v>
      </c>
      <c r="E1284" t="s">
        <v>188</v>
      </c>
      <c r="F1284" s="19"/>
      <c r="G1284" t="s">
        <v>3006</v>
      </c>
      <c r="H1284" t="s">
        <v>3190</v>
      </c>
      <c r="I1284" t="s">
        <v>3397</v>
      </c>
      <c r="J1284" s="8" t="str">
        <f t="shared" si="120"/>
        <v>ALM-</v>
      </c>
      <c r="K1284" t="s">
        <v>98</v>
      </c>
      <c r="L1284" s="54">
        <v>140</v>
      </c>
      <c r="M1284" t="s">
        <v>186</v>
      </c>
      <c r="N1284" t="s">
        <v>11</v>
      </c>
      <c r="O1284" s="54">
        <v>3.6282999999999999</v>
      </c>
      <c r="P1284" s="35">
        <f t="shared" si="124"/>
        <v>507.96</v>
      </c>
      <c r="Q1284" s="10">
        <f t="shared" si="121"/>
        <v>7.3003400000000003</v>
      </c>
      <c r="R1284" s="10">
        <f t="shared" si="122"/>
        <v>0.497</v>
      </c>
      <c r="S1284" s="11">
        <f t="shared" si="123"/>
        <v>69.58</v>
      </c>
      <c r="T1284" s="10" t="s">
        <v>349</v>
      </c>
      <c r="U1284" t="s">
        <v>191</v>
      </c>
      <c r="V1284" s="58">
        <v>7.1775000000000002</v>
      </c>
      <c r="W1284" s="38">
        <f t="shared" si="125"/>
        <v>70.771438523162658</v>
      </c>
    </row>
    <row r="1285" spans="1:23">
      <c r="A1285" t="s">
        <v>2589</v>
      </c>
      <c r="B1285" s="20">
        <v>45740</v>
      </c>
      <c r="C1285" s="20">
        <v>45716</v>
      </c>
      <c r="D1285" t="s">
        <v>187</v>
      </c>
      <c r="E1285" t="s">
        <v>188</v>
      </c>
      <c r="F1285" s="19"/>
      <c r="G1285" t="s">
        <v>3006</v>
      </c>
      <c r="H1285" t="s">
        <v>211</v>
      </c>
      <c r="I1285" t="s">
        <v>212</v>
      </c>
      <c r="J1285" s="8" t="str">
        <f t="shared" si="120"/>
        <v>ALM-</v>
      </c>
      <c r="K1285" t="s">
        <v>98</v>
      </c>
      <c r="L1285" s="54">
        <v>50</v>
      </c>
      <c r="M1285" t="s">
        <v>186</v>
      </c>
      <c r="N1285" t="s">
        <v>11</v>
      </c>
      <c r="O1285" s="54">
        <v>3.1415999999999999</v>
      </c>
      <c r="P1285" s="35">
        <f t="shared" si="124"/>
        <v>157.08000000000001</v>
      </c>
      <c r="Q1285" s="10">
        <f t="shared" si="121"/>
        <v>7.3003400000000003</v>
      </c>
      <c r="R1285" s="10">
        <f t="shared" si="122"/>
        <v>0.43030000000000002</v>
      </c>
      <c r="S1285" s="11">
        <f t="shared" si="123"/>
        <v>21.52</v>
      </c>
      <c r="T1285" s="10" t="s">
        <v>349</v>
      </c>
      <c r="U1285" t="s">
        <v>191</v>
      </c>
      <c r="V1285" s="58">
        <v>7.1775000000000002</v>
      </c>
      <c r="W1285" s="38">
        <f t="shared" si="125"/>
        <v>21.885057471264364</v>
      </c>
    </row>
    <row r="1286" spans="1:23">
      <c r="A1286" t="s">
        <v>2590</v>
      </c>
      <c r="B1286" s="20">
        <v>45740</v>
      </c>
      <c r="C1286" s="20">
        <v>45716</v>
      </c>
      <c r="D1286" t="s">
        <v>187</v>
      </c>
      <c r="E1286" t="s">
        <v>188</v>
      </c>
      <c r="F1286" s="19"/>
      <c r="G1286" t="s">
        <v>3006</v>
      </c>
      <c r="H1286" t="s">
        <v>205</v>
      </c>
      <c r="I1286" t="s">
        <v>206</v>
      </c>
      <c r="J1286" s="8" t="str">
        <f t="shared" si="120"/>
        <v>ALM-</v>
      </c>
      <c r="K1286" t="s">
        <v>98</v>
      </c>
      <c r="L1286" s="54">
        <v>200</v>
      </c>
      <c r="M1286" t="s">
        <v>186</v>
      </c>
      <c r="N1286" t="s">
        <v>11</v>
      </c>
      <c r="O1286" s="54">
        <v>3.1415999999999999</v>
      </c>
      <c r="P1286" s="35">
        <f t="shared" si="124"/>
        <v>628.32000000000005</v>
      </c>
      <c r="Q1286" s="10">
        <f t="shared" si="121"/>
        <v>7.3003400000000003</v>
      </c>
      <c r="R1286" s="10">
        <f t="shared" si="122"/>
        <v>0.43030000000000002</v>
      </c>
      <c r="S1286" s="11">
        <f t="shared" si="123"/>
        <v>86.06</v>
      </c>
      <c r="T1286" s="10" t="s">
        <v>349</v>
      </c>
      <c r="U1286" t="s">
        <v>191</v>
      </c>
      <c r="V1286" s="58">
        <v>7.1775000000000002</v>
      </c>
      <c r="W1286" s="38">
        <f t="shared" si="125"/>
        <v>87.540229885057457</v>
      </c>
    </row>
    <row r="1287" spans="1:23">
      <c r="A1287" t="s">
        <v>2591</v>
      </c>
      <c r="B1287" s="20">
        <v>45740</v>
      </c>
      <c r="C1287" s="20">
        <v>45716</v>
      </c>
      <c r="D1287" t="s">
        <v>187</v>
      </c>
      <c r="E1287" t="s">
        <v>188</v>
      </c>
      <c r="F1287" s="19"/>
      <c r="G1287" t="s">
        <v>3006</v>
      </c>
      <c r="H1287" t="s">
        <v>3191</v>
      </c>
      <c r="I1287" t="s">
        <v>3398</v>
      </c>
      <c r="J1287" s="8" t="str">
        <f t="shared" si="120"/>
        <v>ALM-</v>
      </c>
      <c r="K1287" t="s">
        <v>98</v>
      </c>
      <c r="L1287" s="54">
        <v>410</v>
      </c>
      <c r="M1287" t="s">
        <v>186</v>
      </c>
      <c r="N1287" t="s">
        <v>11</v>
      </c>
      <c r="O1287" s="54">
        <v>3.1415999999999999</v>
      </c>
      <c r="P1287" s="35">
        <f t="shared" si="124"/>
        <v>1288.06</v>
      </c>
      <c r="Q1287" s="10">
        <f t="shared" si="121"/>
        <v>7.3003400000000003</v>
      </c>
      <c r="R1287" s="10">
        <f t="shared" si="122"/>
        <v>0.43030000000000002</v>
      </c>
      <c r="S1287" s="11">
        <f t="shared" si="123"/>
        <v>176.42</v>
      </c>
      <c r="T1287" s="10" t="s">
        <v>349</v>
      </c>
      <c r="U1287" t="s">
        <v>191</v>
      </c>
      <c r="V1287" s="58">
        <v>7.1775000000000002</v>
      </c>
      <c r="W1287" s="38">
        <f t="shared" si="125"/>
        <v>179.4574712643678</v>
      </c>
    </row>
    <row r="1288" spans="1:23">
      <c r="A1288" t="s">
        <v>2592</v>
      </c>
      <c r="B1288" s="20">
        <v>45740</v>
      </c>
      <c r="C1288" s="20">
        <v>45716</v>
      </c>
      <c r="D1288" t="s">
        <v>187</v>
      </c>
      <c r="E1288" t="s">
        <v>188</v>
      </c>
      <c r="F1288" s="19"/>
      <c r="G1288" t="s">
        <v>3006</v>
      </c>
      <c r="H1288" t="s">
        <v>1226</v>
      </c>
      <c r="I1288" t="s">
        <v>1227</v>
      </c>
      <c r="J1288" s="8" t="str">
        <f t="shared" si="120"/>
        <v>ALM-</v>
      </c>
      <c r="K1288" t="s">
        <v>98</v>
      </c>
      <c r="L1288" s="54">
        <v>120</v>
      </c>
      <c r="M1288" t="s">
        <v>186</v>
      </c>
      <c r="N1288" t="s">
        <v>11</v>
      </c>
      <c r="O1288" s="54">
        <v>3.6282999999999999</v>
      </c>
      <c r="P1288" s="35">
        <f t="shared" si="124"/>
        <v>435.4</v>
      </c>
      <c r="Q1288" s="10">
        <f t="shared" si="121"/>
        <v>7.3003400000000003</v>
      </c>
      <c r="R1288" s="10">
        <f t="shared" si="122"/>
        <v>0.497</v>
      </c>
      <c r="S1288" s="11">
        <f t="shared" si="123"/>
        <v>59.64</v>
      </c>
      <c r="T1288" s="10" t="s">
        <v>349</v>
      </c>
      <c r="U1288" t="s">
        <v>191</v>
      </c>
      <c r="V1288" s="58">
        <v>7.1775000000000002</v>
      </c>
      <c r="W1288" s="38">
        <f t="shared" si="125"/>
        <v>60.661233019853704</v>
      </c>
    </row>
    <row r="1289" spans="1:23">
      <c r="A1289" t="s">
        <v>2623</v>
      </c>
      <c r="B1289" s="20">
        <v>45740</v>
      </c>
      <c r="C1289" s="20">
        <v>45721</v>
      </c>
      <c r="D1289" t="s">
        <v>169</v>
      </c>
      <c r="E1289" t="s">
        <v>170</v>
      </c>
      <c r="F1289" s="19"/>
      <c r="G1289" t="s">
        <v>3016</v>
      </c>
      <c r="H1289" t="s">
        <v>3206</v>
      </c>
      <c r="I1289" t="s">
        <v>3413</v>
      </c>
      <c r="J1289" s="8" t="str">
        <f t="shared" si="120"/>
        <v>STKR</v>
      </c>
      <c r="K1289" t="s">
        <v>10</v>
      </c>
      <c r="L1289" s="54">
        <v>1010</v>
      </c>
      <c r="M1289" t="s">
        <v>1472</v>
      </c>
      <c r="N1289" t="s">
        <v>11</v>
      </c>
      <c r="O1289" s="54">
        <v>7.0000000000000007E-2</v>
      </c>
      <c r="P1289" s="35">
        <f t="shared" si="124"/>
        <v>70.7</v>
      </c>
      <c r="Q1289" s="10">
        <f t="shared" si="121"/>
        <v>7.3003400000000003</v>
      </c>
      <c r="R1289" s="10">
        <f t="shared" si="122"/>
        <v>9.5999999999999992E-3</v>
      </c>
      <c r="S1289" s="11">
        <f t="shared" si="123"/>
        <v>9.6999999999999993</v>
      </c>
      <c r="T1289" s="10" t="s">
        <v>349</v>
      </c>
      <c r="U1289" t="s">
        <v>18</v>
      </c>
      <c r="V1289" s="58">
        <v>7.1775000000000002</v>
      </c>
      <c r="W1289" s="38">
        <f t="shared" si="125"/>
        <v>9.8502264019505397</v>
      </c>
    </row>
    <row r="1290" spans="1:23">
      <c r="A1290" t="s">
        <v>2624</v>
      </c>
      <c r="B1290" s="20">
        <v>45740</v>
      </c>
      <c r="C1290" s="20">
        <v>45721</v>
      </c>
      <c r="D1290" t="s">
        <v>169</v>
      </c>
      <c r="E1290" t="s">
        <v>170</v>
      </c>
      <c r="F1290" s="19"/>
      <c r="G1290" t="s">
        <v>3016</v>
      </c>
      <c r="H1290" t="s">
        <v>3207</v>
      </c>
      <c r="I1290" t="s">
        <v>3414</v>
      </c>
      <c r="J1290" s="8" t="str">
        <f t="shared" si="120"/>
        <v>STKR</v>
      </c>
      <c r="K1290" t="s">
        <v>10</v>
      </c>
      <c r="L1290" s="54">
        <v>1010</v>
      </c>
      <c r="M1290" t="s">
        <v>1472</v>
      </c>
      <c r="N1290" t="s">
        <v>11</v>
      </c>
      <c r="O1290" s="54">
        <v>7.0000000000000007E-2</v>
      </c>
      <c r="P1290" s="35">
        <f t="shared" si="124"/>
        <v>70.7</v>
      </c>
      <c r="Q1290" s="10">
        <f t="shared" si="121"/>
        <v>7.3003400000000003</v>
      </c>
      <c r="R1290" s="10">
        <f t="shared" si="122"/>
        <v>9.5999999999999992E-3</v>
      </c>
      <c r="S1290" s="11">
        <f t="shared" si="123"/>
        <v>9.6999999999999993</v>
      </c>
      <c r="T1290" s="10" t="s">
        <v>349</v>
      </c>
      <c r="U1290" t="s">
        <v>18</v>
      </c>
      <c r="V1290" s="58">
        <v>7.1775000000000002</v>
      </c>
      <c r="W1290" s="38">
        <f t="shared" si="125"/>
        <v>9.8502264019505397</v>
      </c>
    </row>
    <row r="1291" spans="1:23">
      <c r="A1291" t="s">
        <v>2625</v>
      </c>
      <c r="B1291" s="20">
        <v>45740</v>
      </c>
      <c r="C1291" s="20">
        <v>45721</v>
      </c>
      <c r="D1291" t="s">
        <v>169</v>
      </c>
      <c r="E1291" t="s">
        <v>170</v>
      </c>
      <c r="F1291" s="19"/>
      <c r="G1291" t="s">
        <v>3017</v>
      </c>
      <c r="H1291" t="s">
        <v>1101</v>
      </c>
      <c r="I1291" t="s">
        <v>1102</v>
      </c>
      <c r="J1291" s="8" t="str">
        <f t="shared" si="120"/>
        <v>PAP-</v>
      </c>
      <c r="K1291" t="s">
        <v>10</v>
      </c>
      <c r="L1291" s="54">
        <v>8500</v>
      </c>
      <c r="M1291" t="s">
        <v>1472</v>
      </c>
      <c r="N1291" t="s">
        <v>11</v>
      </c>
      <c r="O1291" s="54">
        <v>0.1</v>
      </c>
      <c r="P1291" s="35">
        <f t="shared" si="124"/>
        <v>850</v>
      </c>
      <c r="Q1291" s="10">
        <f t="shared" si="121"/>
        <v>7.3003400000000003</v>
      </c>
      <c r="R1291" s="10">
        <f t="shared" si="122"/>
        <v>1.37E-2</v>
      </c>
      <c r="S1291" s="11">
        <f t="shared" si="123"/>
        <v>116.45</v>
      </c>
      <c r="T1291" s="10" t="s">
        <v>349</v>
      </c>
      <c r="U1291" t="s">
        <v>1094</v>
      </c>
      <c r="V1291" s="58">
        <v>7.1775000000000002</v>
      </c>
      <c r="W1291" s="38">
        <f t="shared" si="125"/>
        <v>118.42563566701497</v>
      </c>
    </row>
    <row r="1292" spans="1:23">
      <c r="A1292" t="s">
        <v>2634</v>
      </c>
      <c r="B1292" s="20">
        <v>45740</v>
      </c>
      <c r="C1292" s="20">
        <v>45721</v>
      </c>
      <c r="D1292" t="s">
        <v>162</v>
      </c>
      <c r="E1292" t="s">
        <v>163</v>
      </c>
      <c r="F1292" s="19"/>
      <c r="G1292" t="s">
        <v>2907</v>
      </c>
      <c r="H1292" t="s">
        <v>3210</v>
      </c>
      <c r="I1292" t="s">
        <v>3417</v>
      </c>
      <c r="J1292" s="8" t="str">
        <f t="shared" si="120"/>
        <v>SCR-</v>
      </c>
      <c r="K1292" t="s">
        <v>10</v>
      </c>
      <c r="L1292" s="54">
        <v>1030</v>
      </c>
      <c r="M1292" t="s">
        <v>1472</v>
      </c>
      <c r="N1292" t="s">
        <v>11</v>
      </c>
      <c r="O1292" s="54">
        <v>0.16500000000000001</v>
      </c>
      <c r="P1292" s="35">
        <f t="shared" si="124"/>
        <v>169.95</v>
      </c>
      <c r="Q1292" s="10">
        <f t="shared" si="121"/>
        <v>7.3003400000000003</v>
      </c>
      <c r="R1292" s="10">
        <f t="shared" si="122"/>
        <v>2.2599999999999999E-2</v>
      </c>
      <c r="S1292" s="11">
        <f t="shared" si="123"/>
        <v>23.28</v>
      </c>
      <c r="T1292" s="10" t="s">
        <v>349</v>
      </c>
      <c r="U1292" t="s">
        <v>166</v>
      </c>
      <c r="V1292" s="58">
        <v>7.1775000000000002</v>
      </c>
      <c r="W1292" s="38">
        <f t="shared" si="125"/>
        <v>23.678160919540229</v>
      </c>
    </row>
    <row r="1293" spans="1:23">
      <c r="A1293" t="s">
        <v>2653</v>
      </c>
      <c r="B1293" s="20">
        <v>45740</v>
      </c>
      <c r="C1293" s="20">
        <v>45722</v>
      </c>
      <c r="D1293" t="s">
        <v>187</v>
      </c>
      <c r="E1293" t="s">
        <v>188</v>
      </c>
      <c r="F1293" s="19"/>
      <c r="G1293" t="s">
        <v>3006</v>
      </c>
      <c r="H1293" t="s">
        <v>1223</v>
      </c>
      <c r="I1293" t="s">
        <v>1224</v>
      </c>
      <c r="J1293" s="8" t="str">
        <f t="shared" si="120"/>
        <v>ALM-</v>
      </c>
      <c r="K1293" t="s">
        <v>98</v>
      </c>
      <c r="L1293" s="54">
        <v>50</v>
      </c>
      <c r="M1293" t="s">
        <v>186</v>
      </c>
      <c r="N1293" t="s">
        <v>11</v>
      </c>
      <c r="O1293" s="54">
        <v>3.6282999999999999</v>
      </c>
      <c r="P1293" s="35">
        <f t="shared" si="124"/>
        <v>181.42</v>
      </c>
      <c r="Q1293" s="10">
        <f t="shared" si="121"/>
        <v>7.3003400000000003</v>
      </c>
      <c r="R1293" s="10">
        <f t="shared" si="122"/>
        <v>0.497</v>
      </c>
      <c r="S1293" s="11">
        <f t="shared" si="123"/>
        <v>24.85</v>
      </c>
      <c r="T1293" s="10" t="s">
        <v>349</v>
      </c>
      <c r="U1293" t="s">
        <v>191</v>
      </c>
      <c r="V1293" s="58">
        <v>7.1775000000000002</v>
      </c>
      <c r="W1293" s="38">
        <f t="shared" si="125"/>
        <v>25.275513758272378</v>
      </c>
    </row>
    <row r="1294" spans="1:23">
      <c r="A1294" t="s">
        <v>2654</v>
      </c>
      <c r="B1294" s="20">
        <v>45740</v>
      </c>
      <c r="C1294" s="20">
        <v>45722</v>
      </c>
      <c r="D1294" t="s">
        <v>187</v>
      </c>
      <c r="E1294" t="s">
        <v>188</v>
      </c>
      <c r="F1294" s="19"/>
      <c r="G1294" t="s">
        <v>3006</v>
      </c>
      <c r="H1294" t="s">
        <v>211</v>
      </c>
      <c r="I1294" t="s">
        <v>212</v>
      </c>
      <c r="J1294" s="8" t="str">
        <f t="shared" si="120"/>
        <v>ALM-</v>
      </c>
      <c r="K1294" t="s">
        <v>98</v>
      </c>
      <c r="L1294" s="54">
        <v>100</v>
      </c>
      <c r="M1294" t="s">
        <v>186</v>
      </c>
      <c r="N1294" t="s">
        <v>11</v>
      </c>
      <c r="O1294" s="54">
        <v>3.1415999999999999</v>
      </c>
      <c r="P1294" s="35">
        <f t="shared" si="124"/>
        <v>314.16000000000003</v>
      </c>
      <c r="Q1294" s="10">
        <f t="shared" si="121"/>
        <v>7.3003400000000003</v>
      </c>
      <c r="R1294" s="10">
        <f t="shared" si="122"/>
        <v>0.43030000000000002</v>
      </c>
      <c r="S1294" s="11">
        <f t="shared" si="123"/>
        <v>43.03</v>
      </c>
      <c r="T1294" s="10" t="s">
        <v>349</v>
      </c>
      <c r="U1294" t="s">
        <v>191</v>
      </c>
      <c r="V1294" s="58">
        <v>7.1775000000000002</v>
      </c>
      <c r="W1294" s="38">
        <f t="shared" si="125"/>
        <v>43.770114942528728</v>
      </c>
    </row>
    <row r="1295" spans="1:23">
      <c r="A1295" t="s">
        <v>2655</v>
      </c>
      <c r="B1295" s="20">
        <v>45740</v>
      </c>
      <c r="C1295" s="20">
        <v>45722</v>
      </c>
      <c r="D1295" t="s">
        <v>187</v>
      </c>
      <c r="E1295" t="s">
        <v>188</v>
      </c>
      <c r="F1295" s="19"/>
      <c r="G1295" t="s">
        <v>3006</v>
      </c>
      <c r="H1295" t="s">
        <v>202</v>
      </c>
      <c r="I1295" t="s">
        <v>203</v>
      </c>
      <c r="J1295" s="8" t="str">
        <f t="shared" si="120"/>
        <v>ALM-</v>
      </c>
      <c r="K1295" t="s">
        <v>98</v>
      </c>
      <c r="L1295" s="54">
        <v>50</v>
      </c>
      <c r="M1295" t="s">
        <v>186</v>
      </c>
      <c r="N1295" t="s">
        <v>11</v>
      </c>
      <c r="O1295" s="54">
        <v>3.1415999999999999</v>
      </c>
      <c r="P1295" s="35">
        <f t="shared" si="124"/>
        <v>157.08000000000001</v>
      </c>
      <c r="Q1295" s="10">
        <f t="shared" si="121"/>
        <v>7.3003400000000003</v>
      </c>
      <c r="R1295" s="10">
        <f t="shared" si="122"/>
        <v>0.43030000000000002</v>
      </c>
      <c r="S1295" s="11">
        <f t="shared" si="123"/>
        <v>21.52</v>
      </c>
      <c r="T1295" s="10" t="s">
        <v>349</v>
      </c>
      <c r="U1295" t="s">
        <v>191</v>
      </c>
      <c r="V1295" s="58">
        <v>7.1775000000000002</v>
      </c>
      <c r="W1295" s="38">
        <f t="shared" si="125"/>
        <v>21.885057471264364</v>
      </c>
    </row>
    <row r="1296" spans="1:23">
      <c r="A1296" t="s">
        <v>2656</v>
      </c>
      <c r="B1296" s="20">
        <v>45740</v>
      </c>
      <c r="C1296" s="20">
        <v>45723</v>
      </c>
      <c r="D1296" t="s">
        <v>806</v>
      </c>
      <c r="E1296" t="s">
        <v>807</v>
      </c>
      <c r="F1296" s="19"/>
      <c r="G1296" t="s">
        <v>3024</v>
      </c>
      <c r="H1296" t="s">
        <v>3212</v>
      </c>
      <c r="I1296" t="s">
        <v>3419</v>
      </c>
      <c r="J1296" s="8" t="str">
        <f t="shared" si="120"/>
        <v>SWF-</v>
      </c>
      <c r="K1296" t="s">
        <v>10</v>
      </c>
      <c r="L1296" s="54">
        <v>98.7</v>
      </c>
      <c r="M1296" t="s">
        <v>186</v>
      </c>
      <c r="N1296" t="s">
        <v>11</v>
      </c>
      <c r="O1296" s="54">
        <v>16</v>
      </c>
      <c r="P1296" s="35">
        <f t="shared" si="124"/>
        <v>1579.2</v>
      </c>
      <c r="Q1296" s="10">
        <f t="shared" si="121"/>
        <v>7.3003400000000003</v>
      </c>
      <c r="R1296" s="10">
        <f t="shared" si="122"/>
        <v>2.1917</v>
      </c>
      <c r="S1296" s="11">
        <f t="shared" si="123"/>
        <v>216.32</v>
      </c>
      <c r="T1296" s="10" t="s">
        <v>349</v>
      </c>
      <c r="U1296" t="s">
        <v>3483</v>
      </c>
      <c r="V1296" s="58">
        <v>7.1775000000000002</v>
      </c>
      <c r="W1296" s="38">
        <f t="shared" si="125"/>
        <v>220.0208986415883</v>
      </c>
    </row>
    <row r="1297" spans="1:23">
      <c r="A1297" t="s">
        <v>2681</v>
      </c>
      <c r="B1297" s="20">
        <v>45740</v>
      </c>
      <c r="C1297" s="20">
        <v>45726</v>
      </c>
      <c r="D1297" t="s">
        <v>187</v>
      </c>
      <c r="E1297" t="s">
        <v>188</v>
      </c>
      <c r="F1297" s="19"/>
      <c r="G1297" t="s">
        <v>3006</v>
      </c>
      <c r="H1297" t="s">
        <v>3223</v>
      </c>
      <c r="I1297" t="s">
        <v>3430</v>
      </c>
      <c r="J1297" s="8" t="str">
        <f t="shared" si="120"/>
        <v>ALM-</v>
      </c>
      <c r="K1297" t="s">
        <v>98</v>
      </c>
      <c r="L1297" s="54">
        <v>100</v>
      </c>
      <c r="M1297" t="s">
        <v>186</v>
      </c>
      <c r="N1297" t="s">
        <v>11</v>
      </c>
      <c r="O1297" s="54">
        <v>3.6282999999999999</v>
      </c>
      <c r="P1297" s="35">
        <f t="shared" si="124"/>
        <v>362.83</v>
      </c>
      <c r="Q1297" s="10">
        <f t="shared" si="121"/>
        <v>7.3003400000000003</v>
      </c>
      <c r="R1297" s="10">
        <f t="shared" si="122"/>
        <v>0.497</v>
      </c>
      <c r="S1297" s="11">
        <f t="shared" si="123"/>
        <v>49.7</v>
      </c>
      <c r="T1297" s="10" t="s">
        <v>349</v>
      </c>
      <c r="U1297" t="s">
        <v>191</v>
      </c>
      <c r="V1297" s="58">
        <v>7.1775000000000002</v>
      </c>
      <c r="W1297" s="38">
        <f t="shared" si="125"/>
        <v>50.551027516544757</v>
      </c>
    </row>
    <row r="1298" spans="1:23">
      <c r="A1298" t="s">
        <v>2682</v>
      </c>
      <c r="B1298" s="20">
        <v>45740</v>
      </c>
      <c r="C1298" s="20">
        <v>45726</v>
      </c>
      <c r="D1298" t="s">
        <v>187</v>
      </c>
      <c r="E1298" t="s">
        <v>188</v>
      </c>
      <c r="F1298" s="19"/>
      <c r="G1298" t="s">
        <v>3006</v>
      </c>
      <c r="H1298" t="s">
        <v>1210</v>
      </c>
      <c r="I1298" t="s">
        <v>1211</v>
      </c>
      <c r="J1298" s="8" t="str">
        <f t="shared" si="120"/>
        <v>ALM-</v>
      </c>
      <c r="K1298" t="s">
        <v>98</v>
      </c>
      <c r="L1298" s="54">
        <v>450</v>
      </c>
      <c r="M1298" t="s">
        <v>186</v>
      </c>
      <c r="N1298" t="s">
        <v>11</v>
      </c>
      <c r="O1298" s="54">
        <v>3.1415999999999999</v>
      </c>
      <c r="P1298" s="35">
        <f t="shared" si="124"/>
        <v>1413.72</v>
      </c>
      <c r="Q1298" s="10">
        <f t="shared" si="121"/>
        <v>7.3003400000000003</v>
      </c>
      <c r="R1298" s="10">
        <f t="shared" si="122"/>
        <v>0.43030000000000002</v>
      </c>
      <c r="S1298" s="11">
        <f t="shared" si="123"/>
        <v>193.64</v>
      </c>
      <c r="T1298" s="10" t="s">
        <v>349</v>
      </c>
      <c r="U1298" t="s">
        <v>191</v>
      </c>
      <c r="V1298" s="58">
        <v>7.1775000000000002</v>
      </c>
      <c r="W1298" s="38">
        <f t="shared" si="125"/>
        <v>196.9655172413793</v>
      </c>
    </row>
    <row r="1299" spans="1:23">
      <c r="A1299" t="s">
        <v>2683</v>
      </c>
      <c r="B1299" s="20">
        <v>45740</v>
      </c>
      <c r="C1299" s="20">
        <v>45726</v>
      </c>
      <c r="D1299" t="s">
        <v>187</v>
      </c>
      <c r="E1299" t="s">
        <v>188</v>
      </c>
      <c r="F1299" s="19"/>
      <c r="G1299" t="s">
        <v>3006</v>
      </c>
      <c r="H1299" t="s">
        <v>1217</v>
      </c>
      <c r="I1299" t="s">
        <v>1218</v>
      </c>
      <c r="J1299" s="8" t="str">
        <f t="shared" si="120"/>
        <v>ALM-</v>
      </c>
      <c r="K1299" t="s">
        <v>98</v>
      </c>
      <c r="L1299" s="54">
        <v>100</v>
      </c>
      <c r="M1299" t="s">
        <v>186</v>
      </c>
      <c r="N1299" t="s">
        <v>11</v>
      </c>
      <c r="O1299" s="54">
        <v>3.1415999999999999</v>
      </c>
      <c r="P1299" s="35">
        <f t="shared" si="124"/>
        <v>314.16000000000003</v>
      </c>
      <c r="Q1299" s="10">
        <f t="shared" si="121"/>
        <v>7.3003400000000003</v>
      </c>
      <c r="R1299" s="10">
        <f t="shared" si="122"/>
        <v>0.43030000000000002</v>
      </c>
      <c r="S1299" s="11">
        <f t="shared" si="123"/>
        <v>43.03</v>
      </c>
      <c r="T1299" s="10" t="s">
        <v>349</v>
      </c>
      <c r="U1299" t="s">
        <v>191</v>
      </c>
      <c r="V1299" s="58">
        <v>7.1775000000000002</v>
      </c>
      <c r="W1299" s="38">
        <f t="shared" si="125"/>
        <v>43.770114942528728</v>
      </c>
    </row>
    <row r="1300" spans="1:23">
      <c r="A1300" t="s">
        <v>2684</v>
      </c>
      <c r="B1300" s="20">
        <v>45740</v>
      </c>
      <c r="C1300" s="20">
        <v>45726</v>
      </c>
      <c r="D1300" t="s">
        <v>187</v>
      </c>
      <c r="E1300" t="s">
        <v>188</v>
      </c>
      <c r="F1300" s="19"/>
      <c r="G1300" t="s">
        <v>3006</v>
      </c>
      <c r="H1300" t="s">
        <v>196</v>
      </c>
      <c r="I1300" t="s">
        <v>197</v>
      </c>
      <c r="J1300" s="8" t="str">
        <f t="shared" si="120"/>
        <v>ALM-</v>
      </c>
      <c r="K1300" t="s">
        <v>98</v>
      </c>
      <c r="L1300" s="54">
        <v>50</v>
      </c>
      <c r="M1300" t="s">
        <v>186</v>
      </c>
      <c r="N1300" t="s">
        <v>11</v>
      </c>
      <c r="O1300" s="54">
        <v>3.1415999999999999</v>
      </c>
      <c r="P1300" s="35">
        <f t="shared" si="124"/>
        <v>157.08000000000001</v>
      </c>
      <c r="Q1300" s="10">
        <f t="shared" si="121"/>
        <v>7.3003400000000003</v>
      </c>
      <c r="R1300" s="10">
        <f t="shared" si="122"/>
        <v>0.43030000000000002</v>
      </c>
      <c r="S1300" s="11">
        <f t="shared" si="123"/>
        <v>21.52</v>
      </c>
      <c r="T1300" s="10" t="s">
        <v>349</v>
      </c>
      <c r="U1300" t="s">
        <v>191</v>
      </c>
      <c r="V1300" s="58">
        <v>7.1775000000000002</v>
      </c>
      <c r="W1300" s="38">
        <f t="shared" si="125"/>
        <v>21.885057471264364</v>
      </c>
    </row>
    <row r="1301" spans="1:23">
      <c r="A1301" t="s">
        <v>2690</v>
      </c>
      <c r="B1301" s="20">
        <v>45740</v>
      </c>
      <c r="C1301" s="20">
        <v>45727</v>
      </c>
      <c r="D1301" t="s">
        <v>187</v>
      </c>
      <c r="E1301" t="s">
        <v>188</v>
      </c>
      <c r="F1301" s="19"/>
      <c r="G1301" t="s">
        <v>3006</v>
      </c>
      <c r="H1301" t="s">
        <v>3226</v>
      </c>
      <c r="I1301" t="s">
        <v>3433</v>
      </c>
      <c r="J1301" s="8" t="str">
        <f t="shared" ref="J1301:J1364" si="126">+LEFT(U1301,4)</f>
        <v>ALM-</v>
      </c>
      <c r="K1301" t="s">
        <v>98</v>
      </c>
      <c r="L1301" s="54">
        <v>50</v>
      </c>
      <c r="M1301" t="s">
        <v>186</v>
      </c>
      <c r="N1301" t="s">
        <v>11</v>
      </c>
      <c r="O1301" s="54">
        <v>3.1415999999999999</v>
      </c>
      <c r="P1301" s="35">
        <f t="shared" si="124"/>
        <v>157.08000000000001</v>
      </c>
      <c r="Q1301" s="10">
        <f t="shared" ref="Q1301:Q1364" si="127">IF(N1301="HKD",7.8,IF(N1301="CNY",7.30034,1))</f>
        <v>7.3003400000000003</v>
      </c>
      <c r="R1301" s="10">
        <f t="shared" ref="R1301:R1364" si="128">+ROUND(O1301/Q1301,4)</f>
        <v>0.43030000000000002</v>
      </c>
      <c r="S1301" s="11">
        <f t="shared" ref="S1301:S1364" si="129">ROUND(R1301*L1301,2)</f>
        <v>21.52</v>
      </c>
      <c r="T1301" s="10" t="s">
        <v>349</v>
      </c>
      <c r="U1301" t="s">
        <v>191</v>
      </c>
      <c r="V1301" s="58">
        <v>7.1775000000000002</v>
      </c>
      <c r="W1301" s="38">
        <f t="shared" si="125"/>
        <v>21.885057471264364</v>
      </c>
    </row>
    <row r="1302" spans="1:23">
      <c r="A1302" t="s">
        <v>2699</v>
      </c>
      <c r="B1302" s="20">
        <v>45740</v>
      </c>
      <c r="C1302" s="20">
        <v>45728</v>
      </c>
      <c r="D1302" t="s">
        <v>169</v>
      </c>
      <c r="E1302" t="s">
        <v>170</v>
      </c>
      <c r="F1302" s="19"/>
      <c r="G1302" t="s">
        <v>3016</v>
      </c>
      <c r="H1302" t="s">
        <v>619</v>
      </c>
      <c r="I1302" t="s">
        <v>620</v>
      </c>
      <c r="J1302" s="8" t="str">
        <f t="shared" si="126"/>
        <v>STKR</v>
      </c>
      <c r="K1302" t="s">
        <v>10</v>
      </c>
      <c r="L1302" s="54">
        <v>3020</v>
      </c>
      <c r="M1302" t="s">
        <v>1472</v>
      </c>
      <c r="N1302" t="s">
        <v>11</v>
      </c>
      <c r="O1302" s="54">
        <v>0.03</v>
      </c>
      <c r="P1302" s="35">
        <f t="shared" si="124"/>
        <v>90.6</v>
      </c>
      <c r="Q1302" s="10">
        <f t="shared" si="127"/>
        <v>7.3003400000000003</v>
      </c>
      <c r="R1302" s="10">
        <f t="shared" si="128"/>
        <v>4.1000000000000003E-3</v>
      </c>
      <c r="S1302" s="11">
        <f t="shared" si="129"/>
        <v>12.38</v>
      </c>
      <c r="T1302" s="10" t="s">
        <v>349</v>
      </c>
      <c r="U1302" t="s">
        <v>18</v>
      </c>
      <c r="V1302" s="58">
        <v>7.1775000000000002</v>
      </c>
      <c r="W1302" s="38">
        <f t="shared" si="125"/>
        <v>12.622779519331242</v>
      </c>
    </row>
    <row r="1303" spans="1:23">
      <c r="A1303" t="s">
        <v>2700</v>
      </c>
      <c r="B1303" s="20">
        <v>45740</v>
      </c>
      <c r="C1303" s="20">
        <v>45728</v>
      </c>
      <c r="D1303" t="s">
        <v>169</v>
      </c>
      <c r="E1303" t="s">
        <v>170</v>
      </c>
      <c r="F1303" s="19"/>
      <c r="G1303" t="s">
        <v>3016</v>
      </c>
      <c r="H1303" t="s">
        <v>615</v>
      </c>
      <c r="I1303" t="s">
        <v>616</v>
      </c>
      <c r="J1303" s="8" t="str">
        <f t="shared" si="126"/>
        <v>STKR</v>
      </c>
      <c r="K1303" t="s">
        <v>10</v>
      </c>
      <c r="L1303" s="54">
        <v>3020</v>
      </c>
      <c r="M1303" t="s">
        <v>1472</v>
      </c>
      <c r="N1303" t="s">
        <v>11</v>
      </c>
      <c r="O1303" s="54">
        <v>0.03</v>
      </c>
      <c r="P1303" s="35">
        <f t="shared" si="124"/>
        <v>90.6</v>
      </c>
      <c r="Q1303" s="10">
        <f t="shared" si="127"/>
        <v>7.3003400000000003</v>
      </c>
      <c r="R1303" s="10">
        <f t="shared" si="128"/>
        <v>4.1000000000000003E-3</v>
      </c>
      <c r="S1303" s="11">
        <f t="shared" si="129"/>
        <v>12.38</v>
      </c>
      <c r="T1303" s="10" t="s">
        <v>349</v>
      </c>
      <c r="U1303" t="s">
        <v>18</v>
      </c>
      <c r="V1303" s="58">
        <v>7.1775000000000002</v>
      </c>
      <c r="W1303" s="38">
        <f t="shared" si="125"/>
        <v>12.622779519331242</v>
      </c>
    </row>
    <row r="1304" spans="1:23">
      <c r="A1304" t="s">
        <v>2701</v>
      </c>
      <c r="B1304" s="20">
        <v>45740</v>
      </c>
      <c r="C1304" s="20">
        <v>45728</v>
      </c>
      <c r="D1304" t="s">
        <v>169</v>
      </c>
      <c r="E1304" t="s">
        <v>170</v>
      </c>
      <c r="F1304" s="19"/>
      <c r="G1304" t="s">
        <v>3035</v>
      </c>
      <c r="H1304" t="s">
        <v>3228</v>
      </c>
      <c r="I1304" t="s">
        <v>3435</v>
      </c>
      <c r="J1304" s="8" t="str">
        <f t="shared" si="126"/>
        <v>U&amp;C-</v>
      </c>
      <c r="K1304" t="s">
        <v>10</v>
      </c>
      <c r="L1304" s="54">
        <v>2020</v>
      </c>
      <c r="M1304" t="s">
        <v>1472</v>
      </c>
      <c r="N1304" t="s">
        <v>11</v>
      </c>
      <c r="O1304" s="54">
        <v>1.45</v>
      </c>
      <c r="P1304" s="35">
        <f t="shared" si="124"/>
        <v>2929</v>
      </c>
      <c r="Q1304" s="10">
        <f t="shared" si="127"/>
        <v>7.3003400000000003</v>
      </c>
      <c r="R1304" s="10">
        <f t="shared" si="128"/>
        <v>0.1986</v>
      </c>
      <c r="S1304" s="11">
        <f t="shared" si="129"/>
        <v>401.17</v>
      </c>
      <c r="T1304" s="10" t="s">
        <v>349</v>
      </c>
      <c r="U1304" t="s">
        <v>177</v>
      </c>
      <c r="V1304" s="58">
        <v>7.1775000000000002</v>
      </c>
      <c r="W1304" s="38">
        <f t="shared" si="125"/>
        <v>408.08080808080808</v>
      </c>
    </row>
    <row r="1305" spans="1:23">
      <c r="A1305" t="s">
        <v>2702</v>
      </c>
      <c r="B1305" s="20">
        <v>45740</v>
      </c>
      <c r="C1305" s="20">
        <v>45728</v>
      </c>
      <c r="D1305" t="s">
        <v>169</v>
      </c>
      <c r="E1305" t="s">
        <v>170</v>
      </c>
      <c r="F1305" s="19"/>
      <c r="G1305" t="s">
        <v>3035</v>
      </c>
      <c r="H1305" t="s">
        <v>3229</v>
      </c>
      <c r="I1305" t="s">
        <v>3436</v>
      </c>
      <c r="J1305" s="8" t="str">
        <f t="shared" si="126"/>
        <v>U&amp;C-</v>
      </c>
      <c r="K1305" t="s">
        <v>10</v>
      </c>
      <c r="L1305" s="54">
        <v>2020</v>
      </c>
      <c r="M1305" t="s">
        <v>1472</v>
      </c>
      <c r="N1305" t="s">
        <v>11</v>
      </c>
      <c r="O1305" s="54">
        <v>1.81</v>
      </c>
      <c r="P1305" s="35">
        <f t="shared" si="124"/>
        <v>3656.2</v>
      </c>
      <c r="Q1305" s="10">
        <f t="shared" si="127"/>
        <v>7.3003400000000003</v>
      </c>
      <c r="R1305" s="10">
        <f t="shared" si="128"/>
        <v>0.24790000000000001</v>
      </c>
      <c r="S1305" s="11">
        <f t="shared" si="129"/>
        <v>500.76</v>
      </c>
      <c r="T1305" s="10" t="s">
        <v>349</v>
      </c>
      <c r="U1305" t="s">
        <v>177</v>
      </c>
      <c r="V1305" s="58">
        <v>7.1775000000000002</v>
      </c>
      <c r="W1305" s="38">
        <f t="shared" si="125"/>
        <v>509.39742250087079</v>
      </c>
    </row>
    <row r="1306" spans="1:23">
      <c r="A1306" t="s">
        <v>2703</v>
      </c>
      <c r="B1306" s="20">
        <v>45740</v>
      </c>
      <c r="C1306" s="20">
        <v>45728</v>
      </c>
      <c r="D1306" t="s">
        <v>169</v>
      </c>
      <c r="E1306" t="s">
        <v>170</v>
      </c>
      <c r="F1306" s="19"/>
      <c r="G1306" t="s">
        <v>3036</v>
      </c>
      <c r="H1306" t="s">
        <v>3230</v>
      </c>
      <c r="I1306" t="s">
        <v>3437</v>
      </c>
      <c r="J1306" s="8" t="str">
        <f t="shared" si="126"/>
        <v>STKR</v>
      </c>
      <c r="K1306" t="s">
        <v>10</v>
      </c>
      <c r="L1306" s="54">
        <v>1010</v>
      </c>
      <c r="M1306" t="s">
        <v>1472</v>
      </c>
      <c r="N1306" t="s">
        <v>11</v>
      </c>
      <c r="O1306" s="54">
        <v>4.2000000000000003E-2</v>
      </c>
      <c r="P1306" s="35">
        <f t="shared" si="124"/>
        <v>42.42</v>
      </c>
      <c r="Q1306" s="10">
        <f t="shared" si="127"/>
        <v>7.3003400000000003</v>
      </c>
      <c r="R1306" s="10">
        <f t="shared" si="128"/>
        <v>5.7999999999999996E-3</v>
      </c>
      <c r="S1306" s="11">
        <f t="shared" si="129"/>
        <v>5.86</v>
      </c>
      <c r="T1306" s="10" t="s">
        <v>349</v>
      </c>
      <c r="U1306" t="s">
        <v>18</v>
      </c>
      <c r="V1306" s="58">
        <v>7.1775000000000002</v>
      </c>
      <c r="W1306" s="38">
        <f t="shared" si="125"/>
        <v>5.910135841170324</v>
      </c>
    </row>
    <row r="1307" spans="1:23">
      <c r="A1307" t="s">
        <v>2704</v>
      </c>
      <c r="B1307" s="20">
        <v>45740</v>
      </c>
      <c r="C1307" s="20">
        <v>45728</v>
      </c>
      <c r="D1307" t="s">
        <v>169</v>
      </c>
      <c r="E1307" t="s">
        <v>170</v>
      </c>
      <c r="F1307" s="19"/>
      <c r="G1307" t="s">
        <v>3036</v>
      </c>
      <c r="H1307" t="s">
        <v>3231</v>
      </c>
      <c r="I1307" t="s">
        <v>3438</v>
      </c>
      <c r="J1307" s="8" t="str">
        <f t="shared" si="126"/>
        <v>STKR</v>
      </c>
      <c r="K1307" t="s">
        <v>10</v>
      </c>
      <c r="L1307" s="54">
        <v>1010</v>
      </c>
      <c r="M1307" t="s">
        <v>1472</v>
      </c>
      <c r="N1307" t="s">
        <v>11</v>
      </c>
      <c r="O1307" s="54">
        <v>4.2000000000000003E-2</v>
      </c>
      <c r="P1307" s="35">
        <f t="shared" si="124"/>
        <v>42.42</v>
      </c>
      <c r="Q1307" s="10">
        <f t="shared" si="127"/>
        <v>7.3003400000000003</v>
      </c>
      <c r="R1307" s="10">
        <f t="shared" si="128"/>
        <v>5.7999999999999996E-3</v>
      </c>
      <c r="S1307" s="11">
        <f t="shared" si="129"/>
        <v>5.86</v>
      </c>
      <c r="T1307" s="10" t="s">
        <v>349</v>
      </c>
      <c r="U1307" t="s">
        <v>18</v>
      </c>
      <c r="V1307" s="58">
        <v>7.1775000000000002</v>
      </c>
      <c r="W1307" s="38">
        <f t="shared" si="125"/>
        <v>5.910135841170324</v>
      </c>
    </row>
    <row r="1308" spans="1:23">
      <c r="A1308" t="s">
        <v>2705</v>
      </c>
      <c r="B1308" s="20">
        <v>45740</v>
      </c>
      <c r="C1308" s="20">
        <v>45728</v>
      </c>
      <c r="D1308" t="s">
        <v>169</v>
      </c>
      <c r="E1308" t="s">
        <v>170</v>
      </c>
      <c r="F1308" s="19"/>
      <c r="G1308" t="s">
        <v>3036</v>
      </c>
      <c r="H1308" t="s">
        <v>3232</v>
      </c>
      <c r="I1308" t="s">
        <v>3439</v>
      </c>
      <c r="J1308" s="8" t="str">
        <f t="shared" si="126"/>
        <v>STKR</v>
      </c>
      <c r="K1308" t="s">
        <v>10</v>
      </c>
      <c r="L1308" s="54">
        <v>1010</v>
      </c>
      <c r="M1308" t="s">
        <v>1472</v>
      </c>
      <c r="N1308" t="s">
        <v>11</v>
      </c>
      <c r="O1308" s="54">
        <v>4.2000000000000003E-2</v>
      </c>
      <c r="P1308" s="35">
        <f t="shared" si="124"/>
        <v>42.42</v>
      </c>
      <c r="Q1308" s="10">
        <f t="shared" si="127"/>
        <v>7.3003400000000003</v>
      </c>
      <c r="R1308" s="10">
        <f t="shared" si="128"/>
        <v>5.7999999999999996E-3</v>
      </c>
      <c r="S1308" s="11">
        <f t="shared" si="129"/>
        <v>5.86</v>
      </c>
      <c r="T1308" s="10" t="s">
        <v>349</v>
      </c>
      <c r="U1308" t="s">
        <v>18</v>
      </c>
      <c r="V1308" s="58">
        <v>7.1775000000000002</v>
      </c>
      <c r="W1308" s="38">
        <f t="shared" si="125"/>
        <v>5.910135841170324</v>
      </c>
    </row>
    <row r="1309" spans="1:23">
      <c r="A1309" t="s">
        <v>2706</v>
      </c>
      <c r="B1309" s="20">
        <v>45740</v>
      </c>
      <c r="C1309" s="20">
        <v>45728</v>
      </c>
      <c r="D1309" t="s">
        <v>169</v>
      </c>
      <c r="E1309" t="s">
        <v>170</v>
      </c>
      <c r="F1309" s="19"/>
      <c r="G1309" t="s">
        <v>3036</v>
      </c>
      <c r="H1309" t="s">
        <v>3233</v>
      </c>
      <c r="I1309" t="s">
        <v>3440</v>
      </c>
      <c r="J1309" s="8" t="str">
        <f t="shared" si="126"/>
        <v>STKR</v>
      </c>
      <c r="K1309" t="s">
        <v>10</v>
      </c>
      <c r="L1309" s="54">
        <v>1010</v>
      </c>
      <c r="M1309" t="s">
        <v>1472</v>
      </c>
      <c r="N1309" t="s">
        <v>11</v>
      </c>
      <c r="O1309" s="54">
        <v>4.2000000000000003E-2</v>
      </c>
      <c r="P1309" s="35">
        <f t="shared" si="124"/>
        <v>42.42</v>
      </c>
      <c r="Q1309" s="10">
        <f t="shared" si="127"/>
        <v>7.3003400000000003</v>
      </c>
      <c r="R1309" s="10">
        <f t="shared" si="128"/>
        <v>5.7999999999999996E-3</v>
      </c>
      <c r="S1309" s="11">
        <f t="shared" si="129"/>
        <v>5.86</v>
      </c>
      <c r="T1309" s="10" t="s">
        <v>349</v>
      </c>
      <c r="U1309" t="s">
        <v>18</v>
      </c>
      <c r="V1309" s="58">
        <v>7.1775000000000002</v>
      </c>
      <c r="W1309" s="38">
        <f t="shared" si="125"/>
        <v>5.910135841170324</v>
      </c>
    </row>
    <row r="1310" spans="1:23">
      <c r="A1310" t="s">
        <v>2707</v>
      </c>
      <c r="B1310" s="20">
        <v>45740</v>
      </c>
      <c r="C1310" s="20">
        <v>45728</v>
      </c>
      <c r="D1310" t="s">
        <v>169</v>
      </c>
      <c r="E1310" t="s">
        <v>170</v>
      </c>
      <c r="F1310" s="19"/>
      <c r="G1310" t="s">
        <v>3036</v>
      </c>
      <c r="H1310" t="s">
        <v>3234</v>
      </c>
      <c r="I1310" t="s">
        <v>3441</v>
      </c>
      <c r="J1310" s="8" t="str">
        <f t="shared" si="126"/>
        <v>STKR</v>
      </c>
      <c r="K1310" t="s">
        <v>10</v>
      </c>
      <c r="L1310" s="54">
        <v>1010</v>
      </c>
      <c r="M1310" t="s">
        <v>1472</v>
      </c>
      <c r="N1310" t="s">
        <v>11</v>
      </c>
      <c r="O1310" s="54">
        <v>4.2000000000000003E-2</v>
      </c>
      <c r="P1310" s="35">
        <f t="shared" si="124"/>
        <v>42.42</v>
      </c>
      <c r="Q1310" s="10">
        <f t="shared" si="127"/>
        <v>7.3003400000000003</v>
      </c>
      <c r="R1310" s="10">
        <f t="shared" si="128"/>
        <v>5.7999999999999996E-3</v>
      </c>
      <c r="S1310" s="11">
        <f t="shared" si="129"/>
        <v>5.86</v>
      </c>
      <c r="T1310" s="10" t="s">
        <v>349</v>
      </c>
      <c r="U1310" t="s">
        <v>18</v>
      </c>
      <c r="V1310" s="58">
        <v>7.1775000000000002</v>
      </c>
      <c r="W1310" s="38">
        <f t="shared" si="125"/>
        <v>5.910135841170324</v>
      </c>
    </row>
    <row r="1311" spans="1:23">
      <c r="A1311" t="s">
        <v>2708</v>
      </c>
      <c r="B1311" s="20">
        <v>45740</v>
      </c>
      <c r="C1311" s="20">
        <v>45728</v>
      </c>
      <c r="D1311" t="s">
        <v>169</v>
      </c>
      <c r="E1311" t="s">
        <v>170</v>
      </c>
      <c r="F1311" s="19"/>
      <c r="G1311" t="s">
        <v>3036</v>
      </c>
      <c r="H1311" t="s">
        <v>3235</v>
      </c>
      <c r="I1311" t="s">
        <v>3442</v>
      </c>
      <c r="J1311" s="8" t="str">
        <f t="shared" si="126"/>
        <v>STKR</v>
      </c>
      <c r="K1311" t="s">
        <v>10</v>
      </c>
      <c r="L1311" s="54">
        <v>510</v>
      </c>
      <c r="M1311" t="s">
        <v>1472</v>
      </c>
      <c r="N1311" t="s">
        <v>11</v>
      </c>
      <c r="O1311" s="54">
        <v>4.2000000000000003E-2</v>
      </c>
      <c r="P1311" s="35">
        <f t="shared" si="124"/>
        <v>21.42</v>
      </c>
      <c r="Q1311" s="10">
        <f t="shared" si="127"/>
        <v>7.3003400000000003</v>
      </c>
      <c r="R1311" s="10">
        <f t="shared" si="128"/>
        <v>5.7999999999999996E-3</v>
      </c>
      <c r="S1311" s="11">
        <f t="shared" si="129"/>
        <v>2.96</v>
      </c>
      <c r="T1311" s="10" t="s">
        <v>349</v>
      </c>
      <c r="U1311" t="s">
        <v>18</v>
      </c>
      <c r="V1311" s="58">
        <v>7.1775000000000002</v>
      </c>
      <c r="W1311" s="38">
        <f t="shared" si="125"/>
        <v>2.9843260188087775</v>
      </c>
    </row>
    <row r="1312" spans="1:23">
      <c r="A1312" t="s">
        <v>2709</v>
      </c>
      <c r="B1312" s="20">
        <v>45740</v>
      </c>
      <c r="C1312" s="20">
        <v>45728</v>
      </c>
      <c r="D1312" t="s">
        <v>169</v>
      </c>
      <c r="E1312" t="s">
        <v>170</v>
      </c>
      <c r="F1312" s="19"/>
      <c r="G1312" t="s">
        <v>3016</v>
      </c>
      <c r="H1312" t="s">
        <v>1561</v>
      </c>
      <c r="I1312" t="s">
        <v>1562</v>
      </c>
      <c r="J1312" s="8" t="str">
        <f t="shared" si="126"/>
        <v>STKR</v>
      </c>
      <c r="K1312" t="s">
        <v>10</v>
      </c>
      <c r="L1312" s="54">
        <v>4000</v>
      </c>
      <c r="M1312" t="s">
        <v>1472</v>
      </c>
      <c r="N1312" t="s">
        <v>11</v>
      </c>
      <c r="O1312" s="54">
        <v>3.5000000000000003E-2</v>
      </c>
      <c r="P1312" s="35">
        <f t="shared" si="124"/>
        <v>140</v>
      </c>
      <c r="Q1312" s="10">
        <f t="shared" si="127"/>
        <v>7.3003400000000003</v>
      </c>
      <c r="R1312" s="10">
        <f t="shared" si="128"/>
        <v>4.7999999999999996E-3</v>
      </c>
      <c r="S1312" s="11">
        <f t="shared" si="129"/>
        <v>19.2</v>
      </c>
      <c r="T1312" s="10" t="s">
        <v>349</v>
      </c>
      <c r="U1312" t="s">
        <v>18</v>
      </c>
      <c r="V1312" s="58">
        <v>7.1775000000000002</v>
      </c>
      <c r="W1312" s="38">
        <f t="shared" si="125"/>
        <v>19.505398815743643</v>
      </c>
    </row>
    <row r="1313" spans="1:23">
      <c r="A1313" t="s">
        <v>2710</v>
      </c>
      <c r="B1313" s="20">
        <v>45740</v>
      </c>
      <c r="C1313" s="20">
        <v>45728</v>
      </c>
      <c r="D1313" t="s">
        <v>169</v>
      </c>
      <c r="E1313" t="s">
        <v>170</v>
      </c>
      <c r="F1313" s="19"/>
      <c r="G1313" t="s">
        <v>3016</v>
      </c>
      <c r="H1313" t="s">
        <v>1133</v>
      </c>
      <c r="I1313" t="s">
        <v>1134</v>
      </c>
      <c r="J1313" s="8" t="str">
        <f t="shared" si="126"/>
        <v>STKR</v>
      </c>
      <c r="K1313" t="s">
        <v>10</v>
      </c>
      <c r="L1313" s="54">
        <v>6500</v>
      </c>
      <c r="M1313" t="s">
        <v>1472</v>
      </c>
      <c r="N1313" t="s">
        <v>11</v>
      </c>
      <c r="O1313" s="54">
        <v>2.5899999999999999E-2</v>
      </c>
      <c r="P1313" s="35">
        <f t="shared" si="124"/>
        <v>168.35</v>
      </c>
      <c r="Q1313" s="10">
        <f t="shared" si="127"/>
        <v>7.3003400000000003</v>
      </c>
      <c r="R1313" s="10">
        <f t="shared" si="128"/>
        <v>3.5000000000000001E-3</v>
      </c>
      <c r="S1313" s="11">
        <f t="shared" si="129"/>
        <v>22.75</v>
      </c>
      <c r="T1313" s="10" t="s">
        <v>349</v>
      </c>
      <c r="U1313" t="s">
        <v>18</v>
      </c>
      <c r="V1313" s="58">
        <v>7.1775000000000002</v>
      </c>
      <c r="W1313" s="38">
        <f t="shared" si="125"/>
        <v>23.455242075931729</v>
      </c>
    </row>
    <row r="1314" spans="1:23">
      <c r="A1314" t="s">
        <v>2711</v>
      </c>
      <c r="B1314" s="20">
        <v>45740</v>
      </c>
      <c r="C1314" s="20">
        <v>45728</v>
      </c>
      <c r="D1314" t="s">
        <v>169</v>
      </c>
      <c r="E1314" t="s">
        <v>170</v>
      </c>
      <c r="F1314" s="19"/>
      <c r="G1314" t="s">
        <v>3016</v>
      </c>
      <c r="H1314" t="s">
        <v>3236</v>
      </c>
      <c r="I1314" t="s">
        <v>3443</v>
      </c>
      <c r="J1314" s="8" t="str">
        <f t="shared" si="126"/>
        <v>STKR</v>
      </c>
      <c r="K1314" t="s">
        <v>10</v>
      </c>
      <c r="L1314" s="54">
        <v>200</v>
      </c>
      <c r="M1314" t="s">
        <v>1472</v>
      </c>
      <c r="N1314" t="s">
        <v>11</v>
      </c>
      <c r="O1314" s="54">
        <v>4.2000000000000003E-2</v>
      </c>
      <c r="P1314" s="35">
        <f t="shared" si="124"/>
        <v>8.4</v>
      </c>
      <c r="Q1314" s="10">
        <f t="shared" si="127"/>
        <v>7.3003400000000003</v>
      </c>
      <c r="R1314" s="10">
        <f t="shared" si="128"/>
        <v>5.7999999999999996E-3</v>
      </c>
      <c r="S1314" s="11">
        <f t="shared" si="129"/>
        <v>1.1599999999999999</v>
      </c>
      <c r="T1314" s="10" t="s">
        <v>349</v>
      </c>
      <c r="U1314" t="s">
        <v>18</v>
      </c>
      <c r="V1314" s="58">
        <v>7.1775000000000002</v>
      </c>
      <c r="W1314" s="38">
        <f t="shared" si="125"/>
        <v>1.1703239289446186</v>
      </c>
    </row>
    <row r="1315" spans="1:23">
      <c r="A1315" t="s">
        <v>2712</v>
      </c>
      <c r="B1315" s="20">
        <v>45740</v>
      </c>
      <c r="C1315" s="20">
        <v>45728</v>
      </c>
      <c r="D1315" t="s">
        <v>169</v>
      </c>
      <c r="E1315" t="s">
        <v>170</v>
      </c>
      <c r="F1315" s="19"/>
      <c r="G1315" t="s">
        <v>3016</v>
      </c>
      <c r="H1315" t="s">
        <v>3236</v>
      </c>
      <c r="I1315" t="s">
        <v>3443</v>
      </c>
      <c r="J1315" s="8" t="str">
        <f t="shared" si="126"/>
        <v>STKR</v>
      </c>
      <c r="K1315" t="s">
        <v>10</v>
      </c>
      <c r="L1315" s="54">
        <v>2020</v>
      </c>
      <c r="M1315" t="s">
        <v>1472</v>
      </c>
      <c r="N1315" t="s">
        <v>11</v>
      </c>
      <c r="O1315" s="54">
        <v>4.2000000000000003E-2</v>
      </c>
      <c r="P1315" s="35">
        <f t="shared" si="124"/>
        <v>84.84</v>
      </c>
      <c r="Q1315" s="10">
        <f t="shared" si="127"/>
        <v>7.3003400000000003</v>
      </c>
      <c r="R1315" s="10">
        <f t="shared" si="128"/>
        <v>5.7999999999999996E-3</v>
      </c>
      <c r="S1315" s="11">
        <f t="shared" si="129"/>
        <v>11.72</v>
      </c>
      <c r="T1315" s="10" t="s">
        <v>349</v>
      </c>
      <c r="U1315" t="s">
        <v>18</v>
      </c>
      <c r="V1315" s="58">
        <v>7.1775000000000002</v>
      </c>
      <c r="W1315" s="38">
        <f t="shared" si="125"/>
        <v>11.820271682340648</v>
      </c>
    </row>
    <row r="1316" spans="1:23">
      <c r="A1316" t="s">
        <v>2713</v>
      </c>
      <c r="B1316" s="20">
        <v>45740</v>
      </c>
      <c r="C1316" s="20">
        <v>45728</v>
      </c>
      <c r="D1316" t="s">
        <v>806</v>
      </c>
      <c r="E1316" t="s">
        <v>807</v>
      </c>
      <c r="F1316" s="19"/>
      <c r="G1316" t="s">
        <v>3037</v>
      </c>
      <c r="H1316" t="s">
        <v>1607</v>
      </c>
      <c r="I1316" t="s">
        <v>1608</v>
      </c>
      <c r="J1316" s="8" t="str">
        <f t="shared" si="126"/>
        <v>BAG-</v>
      </c>
      <c r="K1316" t="s">
        <v>10</v>
      </c>
      <c r="L1316" s="54">
        <v>30000</v>
      </c>
      <c r="M1316" t="s">
        <v>1472</v>
      </c>
      <c r="N1316" t="s">
        <v>11</v>
      </c>
      <c r="O1316" s="54">
        <v>0.17299999999999999</v>
      </c>
      <c r="P1316" s="35">
        <f t="shared" si="124"/>
        <v>5190</v>
      </c>
      <c r="Q1316" s="10">
        <f t="shared" si="127"/>
        <v>7.3003400000000003</v>
      </c>
      <c r="R1316" s="10">
        <f t="shared" si="128"/>
        <v>2.3699999999999999E-2</v>
      </c>
      <c r="S1316" s="11">
        <f t="shared" si="129"/>
        <v>711</v>
      </c>
      <c r="T1316" s="10" t="s">
        <v>349</v>
      </c>
      <c r="U1316" t="s">
        <v>810</v>
      </c>
      <c r="V1316" s="58">
        <v>7.1775000000000002</v>
      </c>
      <c r="W1316" s="38">
        <f t="shared" si="125"/>
        <v>723.09299895506786</v>
      </c>
    </row>
    <row r="1317" spans="1:23">
      <c r="A1317" t="s">
        <v>2721</v>
      </c>
      <c r="B1317" s="20">
        <v>45740</v>
      </c>
      <c r="C1317" s="20">
        <v>45728</v>
      </c>
      <c r="D1317" t="s">
        <v>101</v>
      </c>
      <c r="E1317" t="s">
        <v>102</v>
      </c>
      <c r="F1317" s="19"/>
      <c r="G1317" t="s">
        <v>3039</v>
      </c>
      <c r="H1317" t="s">
        <v>3239</v>
      </c>
      <c r="I1317" t="s">
        <v>3446</v>
      </c>
      <c r="J1317" s="8" t="str">
        <f t="shared" si="126"/>
        <v>STKR</v>
      </c>
      <c r="K1317" t="s">
        <v>10</v>
      </c>
      <c r="L1317" s="54">
        <v>1010</v>
      </c>
      <c r="M1317" t="s">
        <v>1472</v>
      </c>
      <c r="N1317" t="s">
        <v>11</v>
      </c>
      <c r="O1317" s="54">
        <v>0.11</v>
      </c>
      <c r="P1317" s="35">
        <f t="shared" si="124"/>
        <v>111.1</v>
      </c>
      <c r="Q1317" s="10">
        <f t="shared" si="127"/>
        <v>7.3003400000000003</v>
      </c>
      <c r="R1317" s="10">
        <f t="shared" si="128"/>
        <v>1.5100000000000001E-2</v>
      </c>
      <c r="S1317" s="11">
        <f t="shared" si="129"/>
        <v>15.25</v>
      </c>
      <c r="T1317" s="10" t="s">
        <v>349</v>
      </c>
      <c r="U1317" t="s">
        <v>18</v>
      </c>
      <c r="V1317" s="58">
        <v>7.1775000000000002</v>
      </c>
      <c r="W1317" s="38">
        <f t="shared" si="125"/>
        <v>15.478927203065133</v>
      </c>
    </row>
    <row r="1318" spans="1:23">
      <c r="A1318" t="s">
        <v>2722</v>
      </c>
      <c r="B1318" s="20">
        <v>45740</v>
      </c>
      <c r="C1318" s="20">
        <v>45728</v>
      </c>
      <c r="D1318" t="s">
        <v>101</v>
      </c>
      <c r="E1318" t="s">
        <v>102</v>
      </c>
      <c r="F1318" s="19"/>
      <c r="G1318" t="s">
        <v>3039</v>
      </c>
      <c r="H1318" t="s">
        <v>111</v>
      </c>
      <c r="I1318" t="s">
        <v>112</v>
      </c>
      <c r="J1318" s="8" t="str">
        <f t="shared" si="126"/>
        <v>STKR</v>
      </c>
      <c r="K1318" t="s">
        <v>10</v>
      </c>
      <c r="L1318" s="54">
        <v>2270</v>
      </c>
      <c r="M1318" t="s">
        <v>1472</v>
      </c>
      <c r="N1318" t="s">
        <v>11</v>
      </c>
      <c r="O1318" s="54">
        <v>0.05</v>
      </c>
      <c r="P1318" s="35">
        <f t="shared" si="124"/>
        <v>113.5</v>
      </c>
      <c r="Q1318" s="10">
        <f t="shared" si="127"/>
        <v>7.3003400000000003</v>
      </c>
      <c r="R1318" s="10">
        <f t="shared" si="128"/>
        <v>6.7999999999999996E-3</v>
      </c>
      <c r="S1318" s="11">
        <f t="shared" si="129"/>
        <v>15.44</v>
      </c>
      <c r="T1318" s="10" t="s">
        <v>349</v>
      </c>
      <c r="U1318" t="s">
        <v>18</v>
      </c>
      <c r="V1318" s="58">
        <v>7.1775000000000002</v>
      </c>
      <c r="W1318" s="38">
        <f t="shared" si="125"/>
        <v>15.813305468477882</v>
      </c>
    </row>
    <row r="1319" spans="1:23">
      <c r="A1319" t="s">
        <v>2723</v>
      </c>
      <c r="B1319" s="20">
        <v>45740</v>
      </c>
      <c r="C1319" s="20">
        <v>45728</v>
      </c>
      <c r="D1319" t="s">
        <v>101</v>
      </c>
      <c r="E1319" t="s">
        <v>102</v>
      </c>
      <c r="F1319" s="19"/>
      <c r="G1319" t="s">
        <v>3039</v>
      </c>
      <c r="H1319" t="s">
        <v>108</v>
      </c>
      <c r="I1319" t="s">
        <v>109</v>
      </c>
      <c r="J1319" s="8" t="str">
        <f t="shared" si="126"/>
        <v>STKR</v>
      </c>
      <c r="K1319" t="s">
        <v>10</v>
      </c>
      <c r="L1319" s="54">
        <v>2270</v>
      </c>
      <c r="M1319" t="s">
        <v>1472</v>
      </c>
      <c r="N1319" t="s">
        <v>11</v>
      </c>
      <c r="O1319" s="54">
        <v>0.05</v>
      </c>
      <c r="P1319" s="35">
        <f t="shared" si="124"/>
        <v>113.5</v>
      </c>
      <c r="Q1319" s="10">
        <f t="shared" si="127"/>
        <v>7.3003400000000003</v>
      </c>
      <c r="R1319" s="10">
        <f t="shared" si="128"/>
        <v>6.7999999999999996E-3</v>
      </c>
      <c r="S1319" s="11">
        <f t="shared" si="129"/>
        <v>15.44</v>
      </c>
      <c r="T1319" s="10" t="s">
        <v>349</v>
      </c>
      <c r="U1319" t="s">
        <v>18</v>
      </c>
      <c r="V1319" s="58">
        <v>7.1775000000000002</v>
      </c>
      <c r="W1319" s="38">
        <f t="shared" si="125"/>
        <v>15.813305468477882</v>
      </c>
    </row>
    <row r="1320" spans="1:23">
      <c r="A1320" t="s">
        <v>2724</v>
      </c>
      <c r="B1320" s="20">
        <v>45740</v>
      </c>
      <c r="C1320" s="20">
        <v>45728</v>
      </c>
      <c r="D1320" t="s">
        <v>101</v>
      </c>
      <c r="E1320" t="s">
        <v>102</v>
      </c>
      <c r="F1320" s="19"/>
      <c r="G1320" t="s">
        <v>3039</v>
      </c>
      <c r="H1320" t="s">
        <v>3240</v>
      </c>
      <c r="I1320" t="s">
        <v>3447</v>
      </c>
      <c r="J1320" s="8" t="str">
        <f t="shared" si="126"/>
        <v>STKR</v>
      </c>
      <c r="K1320" t="s">
        <v>10</v>
      </c>
      <c r="L1320" s="54">
        <v>1010</v>
      </c>
      <c r="M1320" t="s">
        <v>1472</v>
      </c>
      <c r="N1320" t="s">
        <v>11</v>
      </c>
      <c r="O1320" s="54">
        <v>0.11</v>
      </c>
      <c r="P1320" s="35">
        <f t="shared" si="124"/>
        <v>111.1</v>
      </c>
      <c r="Q1320" s="10">
        <f t="shared" si="127"/>
        <v>7.3003400000000003</v>
      </c>
      <c r="R1320" s="10">
        <f t="shared" si="128"/>
        <v>1.5100000000000001E-2</v>
      </c>
      <c r="S1320" s="11">
        <f t="shared" si="129"/>
        <v>15.25</v>
      </c>
      <c r="T1320" s="10" t="s">
        <v>349</v>
      </c>
      <c r="U1320" t="s">
        <v>18</v>
      </c>
      <c r="V1320" s="58">
        <v>7.1775000000000002</v>
      </c>
      <c r="W1320" s="38">
        <f t="shared" si="125"/>
        <v>15.478927203065133</v>
      </c>
    </row>
    <row r="1321" spans="1:23">
      <c r="A1321" t="s">
        <v>2748</v>
      </c>
      <c r="B1321" s="20">
        <v>45740</v>
      </c>
      <c r="C1321" s="20">
        <v>45729</v>
      </c>
      <c r="D1321" t="s">
        <v>806</v>
      </c>
      <c r="E1321" t="s">
        <v>807</v>
      </c>
      <c r="F1321" s="19"/>
      <c r="G1321" t="s">
        <v>3037</v>
      </c>
      <c r="H1321" t="s">
        <v>3215</v>
      </c>
      <c r="I1321" t="s">
        <v>3422</v>
      </c>
      <c r="J1321" s="8" t="str">
        <f t="shared" si="126"/>
        <v>BAG-</v>
      </c>
      <c r="K1321" t="s">
        <v>10</v>
      </c>
      <c r="L1321" s="54">
        <v>2820</v>
      </c>
      <c r="M1321" t="s">
        <v>1472</v>
      </c>
      <c r="N1321" t="s">
        <v>11</v>
      </c>
      <c r="O1321" s="54">
        <v>0.1</v>
      </c>
      <c r="P1321" s="35">
        <f t="shared" si="124"/>
        <v>282</v>
      </c>
      <c r="Q1321" s="10">
        <f t="shared" si="127"/>
        <v>7.3003400000000003</v>
      </c>
      <c r="R1321" s="10">
        <f t="shared" si="128"/>
        <v>1.37E-2</v>
      </c>
      <c r="S1321" s="11">
        <f t="shared" si="129"/>
        <v>38.630000000000003</v>
      </c>
      <c r="T1321" s="10" t="s">
        <v>349</v>
      </c>
      <c r="U1321" t="s">
        <v>810</v>
      </c>
      <c r="V1321" s="58">
        <v>7.1775000000000002</v>
      </c>
      <c r="W1321" s="38">
        <f t="shared" si="125"/>
        <v>39.28944618599791</v>
      </c>
    </row>
    <row r="1322" spans="1:23">
      <c r="A1322" t="s">
        <v>2749</v>
      </c>
      <c r="B1322" s="20">
        <v>45740</v>
      </c>
      <c r="C1322" s="20">
        <v>45729</v>
      </c>
      <c r="D1322" t="s">
        <v>806</v>
      </c>
      <c r="E1322" t="s">
        <v>807</v>
      </c>
      <c r="F1322" s="19"/>
      <c r="G1322" t="s">
        <v>3037</v>
      </c>
      <c r="H1322" t="s">
        <v>3216</v>
      </c>
      <c r="I1322" t="s">
        <v>3423</v>
      </c>
      <c r="J1322" s="8" t="str">
        <f t="shared" si="126"/>
        <v>BAG-</v>
      </c>
      <c r="K1322" t="s">
        <v>10</v>
      </c>
      <c r="L1322" s="54">
        <v>15000</v>
      </c>
      <c r="M1322" t="s">
        <v>1472</v>
      </c>
      <c r="N1322" t="s">
        <v>11</v>
      </c>
      <c r="O1322" s="54">
        <v>0.13</v>
      </c>
      <c r="P1322" s="35">
        <f t="shared" si="124"/>
        <v>1950</v>
      </c>
      <c r="Q1322" s="10">
        <f t="shared" si="127"/>
        <v>7.3003400000000003</v>
      </c>
      <c r="R1322" s="10">
        <f t="shared" si="128"/>
        <v>1.78E-2</v>
      </c>
      <c r="S1322" s="11">
        <f t="shared" si="129"/>
        <v>267</v>
      </c>
      <c r="T1322" s="10" t="s">
        <v>349</v>
      </c>
      <c r="U1322" t="s">
        <v>810</v>
      </c>
      <c r="V1322" s="58">
        <v>7.1775000000000002</v>
      </c>
      <c r="W1322" s="38">
        <f t="shared" si="125"/>
        <v>271.68234064785787</v>
      </c>
    </row>
    <row r="1323" spans="1:23">
      <c r="A1323" t="s">
        <v>2750</v>
      </c>
      <c r="B1323" s="20">
        <v>45740</v>
      </c>
      <c r="C1323" s="20">
        <v>45729</v>
      </c>
      <c r="D1323" t="s">
        <v>806</v>
      </c>
      <c r="E1323" t="s">
        <v>807</v>
      </c>
      <c r="F1323" s="19"/>
      <c r="G1323" t="s">
        <v>3037</v>
      </c>
      <c r="H1323" t="s">
        <v>3217</v>
      </c>
      <c r="I1323" t="s">
        <v>3424</v>
      </c>
      <c r="J1323" s="8" t="str">
        <f t="shared" si="126"/>
        <v>BAG-</v>
      </c>
      <c r="K1323" t="s">
        <v>10</v>
      </c>
      <c r="L1323" s="54">
        <v>7200</v>
      </c>
      <c r="M1323" t="s">
        <v>1472</v>
      </c>
      <c r="N1323" t="s">
        <v>11</v>
      </c>
      <c r="O1323" s="54">
        <v>0.14000000000000001</v>
      </c>
      <c r="P1323" s="35">
        <f t="shared" si="124"/>
        <v>1008</v>
      </c>
      <c r="Q1323" s="10">
        <f t="shared" si="127"/>
        <v>7.3003400000000003</v>
      </c>
      <c r="R1323" s="10">
        <f t="shared" si="128"/>
        <v>1.9199999999999998E-2</v>
      </c>
      <c r="S1323" s="11">
        <f t="shared" si="129"/>
        <v>138.24</v>
      </c>
      <c r="T1323" s="10" t="s">
        <v>349</v>
      </c>
      <c r="U1323" t="s">
        <v>810</v>
      </c>
      <c r="V1323" s="58">
        <v>7.1775000000000002</v>
      </c>
      <c r="W1323" s="38">
        <f t="shared" si="125"/>
        <v>140.43887147335423</v>
      </c>
    </row>
    <row r="1324" spans="1:23">
      <c r="A1324" t="s">
        <v>2751</v>
      </c>
      <c r="B1324" s="20">
        <v>45740</v>
      </c>
      <c r="C1324" s="20">
        <v>45729</v>
      </c>
      <c r="D1324" t="s">
        <v>806</v>
      </c>
      <c r="E1324" t="s">
        <v>807</v>
      </c>
      <c r="F1324" s="19"/>
      <c r="G1324" t="s">
        <v>3037</v>
      </c>
      <c r="H1324" t="s">
        <v>3248</v>
      </c>
      <c r="I1324" t="s">
        <v>3455</v>
      </c>
      <c r="J1324" s="8" t="str">
        <f t="shared" si="126"/>
        <v>BAG-</v>
      </c>
      <c r="K1324" t="s">
        <v>10</v>
      </c>
      <c r="L1324" s="54">
        <v>3000</v>
      </c>
      <c r="M1324" t="s">
        <v>1472</v>
      </c>
      <c r="N1324" t="s">
        <v>11</v>
      </c>
      <c r="O1324" s="54">
        <v>0.185</v>
      </c>
      <c r="P1324" s="35">
        <f t="shared" si="124"/>
        <v>555</v>
      </c>
      <c r="Q1324" s="10">
        <f t="shared" si="127"/>
        <v>7.3003400000000003</v>
      </c>
      <c r="R1324" s="10">
        <f t="shared" si="128"/>
        <v>2.53E-2</v>
      </c>
      <c r="S1324" s="11">
        <f t="shared" si="129"/>
        <v>75.900000000000006</v>
      </c>
      <c r="T1324" s="10" t="s">
        <v>349</v>
      </c>
      <c r="U1324" t="s">
        <v>810</v>
      </c>
      <c r="V1324" s="58">
        <v>7.1775000000000002</v>
      </c>
      <c r="W1324" s="38">
        <f t="shared" si="125"/>
        <v>77.32497387669801</v>
      </c>
    </row>
    <row r="1325" spans="1:23">
      <c r="A1325" t="s">
        <v>2753</v>
      </c>
      <c r="B1325" s="20">
        <v>45740</v>
      </c>
      <c r="C1325" s="20">
        <v>45729</v>
      </c>
      <c r="D1325" t="s">
        <v>162</v>
      </c>
      <c r="E1325" t="s">
        <v>163</v>
      </c>
      <c r="F1325" s="19"/>
      <c r="G1325" t="s">
        <v>3000</v>
      </c>
      <c r="H1325" t="s">
        <v>573</v>
      </c>
      <c r="I1325" t="s">
        <v>574</v>
      </c>
      <c r="J1325" s="8" t="str">
        <f t="shared" si="126"/>
        <v>SCR-</v>
      </c>
      <c r="K1325" t="s">
        <v>10</v>
      </c>
      <c r="L1325" s="54">
        <v>930</v>
      </c>
      <c r="M1325" t="s">
        <v>1472</v>
      </c>
      <c r="N1325" t="s">
        <v>11</v>
      </c>
      <c r="O1325" s="54">
        <v>0.11700000000000001</v>
      </c>
      <c r="P1325" s="35">
        <f t="shared" si="124"/>
        <v>108.81</v>
      </c>
      <c r="Q1325" s="10">
        <f t="shared" si="127"/>
        <v>7.3003400000000003</v>
      </c>
      <c r="R1325" s="10">
        <f t="shared" si="128"/>
        <v>1.6E-2</v>
      </c>
      <c r="S1325" s="11">
        <f t="shared" si="129"/>
        <v>14.88</v>
      </c>
      <c r="T1325" s="10" t="s">
        <v>349</v>
      </c>
      <c r="U1325" t="s">
        <v>166</v>
      </c>
      <c r="V1325" s="58">
        <v>7.1775000000000002</v>
      </c>
      <c r="W1325" s="38">
        <f t="shared" si="125"/>
        <v>15.159874608150471</v>
      </c>
    </row>
    <row r="1326" spans="1:23">
      <c r="A1326" t="s">
        <v>2765</v>
      </c>
      <c r="B1326" s="20">
        <v>45740</v>
      </c>
      <c r="C1326" s="20">
        <v>45730</v>
      </c>
      <c r="D1326" t="s">
        <v>806</v>
      </c>
      <c r="E1326" t="s">
        <v>807</v>
      </c>
      <c r="F1326" s="19"/>
      <c r="G1326" t="s">
        <v>3037</v>
      </c>
      <c r="H1326" t="s">
        <v>3253</v>
      </c>
      <c r="I1326" t="s">
        <v>3460</v>
      </c>
      <c r="J1326" s="8" t="str">
        <f t="shared" si="126"/>
        <v>BAG-</v>
      </c>
      <c r="K1326" t="s">
        <v>10</v>
      </c>
      <c r="L1326" s="54">
        <v>7000</v>
      </c>
      <c r="M1326" t="s">
        <v>1472</v>
      </c>
      <c r="N1326" t="s">
        <v>11</v>
      </c>
      <c r="O1326" s="54">
        <v>0.13</v>
      </c>
      <c r="P1326" s="35">
        <f t="shared" si="124"/>
        <v>910</v>
      </c>
      <c r="Q1326" s="10">
        <f t="shared" si="127"/>
        <v>7.3003400000000003</v>
      </c>
      <c r="R1326" s="10">
        <f t="shared" si="128"/>
        <v>1.78E-2</v>
      </c>
      <c r="S1326" s="11">
        <f t="shared" si="129"/>
        <v>124.6</v>
      </c>
      <c r="T1326" s="10" t="s">
        <v>349</v>
      </c>
      <c r="U1326" t="s">
        <v>810</v>
      </c>
      <c r="V1326" s="58">
        <v>7.1775000000000002</v>
      </c>
      <c r="W1326" s="38">
        <f t="shared" si="125"/>
        <v>126.78509230233368</v>
      </c>
    </row>
    <row r="1327" spans="1:23">
      <c r="A1327" t="s">
        <v>2766</v>
      </c>
      <c r="B1327" s="20">
        <v>45740</v>
      </c>
      <c r="C1327" s="20">
        <v>45730</v>
      </c>
      <c r="D1327" t="s">
        <v>806</v>
      </c>
      <c r="E1327" t="s">
        <v>807</v>
      </c>
      <c r="F1327" s="19"/>
      <c r="G1327" t="s">
        <v>3037</v>
      </c>
      <c r="H1327" t="s">
        <v>817</v>
      </c>
      <c r="I1327" t="s">
        <v>818</v>
      </c>
      <c r="J1327" s="8" t="str">
        <f t="shared" si="126"/>
        <v>BAG-</v>
      </c>
      <c r="K1327" t="s">
        <v>10</v>
      </c>
      <c r="L1327" s="54">
        <v>3000</v>
      </c>
      <c r="M1327" t="s">
        <v>1472</v>
      </c>
      <c r="N1327" t="s">
        <v>11</v>
      </c>
      <c r="O1327" s="54">
        <v>8.5000000000000006E-2</v>
      </c>
      <c r="P1327" s="35">
        <f t="shared" si="124"/>
        <v>255</v>
      </c>
      <c r="Q1327" s="10">
        <f t="shared" si="127"/>
        <v>7.3003400000000003</v>
      </c>
      <c r="R1327" s="10">
        <f t="shared" si="128"/>
        <v>1.1599999999999999E-2</v>
      </c>
      <c r="S1327" s="11">
        <f t="shared" si="129"/>
        <v>34.799999999999997</v>
      </c>
      <c r="T1327" s="10" t="s">
        <v>349</v>
      </c>
      <c r="U1327" t="s">
        <v>810</v>
      </c>
      <c r="V1327" s="58">
        <v>7.1775000000000002</v>
      </c>
      <c r="W1327" s="38">
        <f t="shared" si="125"/>
        <v>35.527690700104493</v>
      </c>
    </row>
    <row r="1328" spans="1:23">
      <c r="A1328" t="s">
        <v>2767</v>
      </c>
      <c r="B1328" s="20">
        <v>45740</v>
      </c>
      <c r="C1328" s="20">
        <v>45730</v>
      </c>
      <c r="D1328" t="s">
        <v>806</v>
      </c>
      <c r="E1328" t="s">
        <v>807</v>
      </c>
      <c r="F1328" s="19"/>
      <c r="G1328" t="s">
        <v>3024</v>
      </c>
      <c r="H1328" t="s">
        <v>3254</v>
      </c>
      <c r="I1328" t="s">
        <v>3461</v>
      </c>
      <c r="J1328" s="8" t="str">
        <f t="shared" si="126"/>
        <v>SWF-</v>
      </c>
      <c r="K1328" t="s">
        <v>10</v>
      </c>
      <c r="L1328" s="54">
        <v>100</v>
      </c>
      <c r="M1328" t="s">
        <v>186</v>
      </c>
      <c r="N1328" t="s">
        <v>11</v>
      </c>
      <c r="O1328" s="54">
        <v>17.2</v>
      </c>
      <c r="P1328" s="35">
        <f t="shared" si="124"/>
        <v>1720</v>
      </c>
      <c r="Q1328" s="10">
        <f t="shared" si="127"/>
        <v>7.3003400000000003</v>
      </c>
      <c r="R1328" s="10">
        <f t="shared" si="128"/>
        <v>2.3561000000000001</v>
      </c>
      <c r="S1328" s="11">
        <f t="shared" si="129"/>
        <v>235.61</v>
      </c>
      <c r="T1328" s="10" t="s">
        <v>349</v>
      </c>
      <c r="U1328" t="s">
        <v>3483</v>
      </c>
      <c r="V1328" s="58">
        <v>7.1775000000000002</v>
      </c>
      <c r="W1328" s="38">
        <f t="shared" si="125"/>
        <v>239.63775687913619</v>
      </c>
    </row>
    <row r="1329" spans="1:23">
      <c r="A1329" t="s">
        <v>2768</v>
      </c>
      <c r="B1329" s="20">
        <v>45740</v>
      </c>
      <c r="C1329" s="20">
        <v>45730</v>
      </c>
      <c r="D1329" t="s">
        <v>806</v>
      </c>
      <c r="E1329" t="s">
        <v>807</v>
      </c>
      <c r="F1329" s="19"/>
      <c r="G1329" t="s">
        <v>3024</v>
      </c>
      <c r="H1329" t="s">
        <v>3255</v>
      </c>
      <c r="I1329" t="s">
        <v>3462</v>
      </c>
      <c r="J1329" s="8" t="str">
        <f t="shared" si="126"/>
        <v>SWF-</v>
      </c>
      <c r="K1329" t="s">
        <v>10</v>
      </c>
      <c r="L1329" s="54">
        <v>100</v>
      </c>
      <c r="M1329" t="s">
        <v>186</v>
      </c>
      <c r="N1329" t="s">
        <v>11</v>
      </c>
      <c r="O1329" s="54">
        <v>17.2</v>
      </c>
      <c r="P1329" s="35">
        <f t="shared" si="124"/>
        <v>1720</v>
      </c>
      <c r="Q1329" s="10">
        <f t="shared" si="127"/>
        <v>7.3003400000000003</v>
      </c>
      <c r="R1329" s="10">
        <f t="shared" si="128"/>
        <v>2.3561000000000001</v>
      </c>
      <c r="S1329" s="11">
        <f t="shared" si="129"/>
        <v>235.61</v>
      </c>
      <c r="T1329" s="10" t="s">
        <v>349</v>
      </c>
      <c r="U1329" t="s">
        <v>3483</v>
      </c>
      <c r="V1329" s="58">
        <v>7.1775000000000002</v>
      </c>
      <c r="W1329" s="38">
        <f t="shared" si="125"/>
        <v>239.63775687913619</v>
      </c>
    </row>
    <row r="1330" spans="1:23">
      <c r="A1330" t="s">
        <v>2769</v>
      </c>
      <c r="B1330" s="20">
        <v>45740</v>
      </c>
      <c r="C1330" s="20">
        <v>45730</v>
      </c>
      <c r="D1330" t="s">
        <v>806</v>
      </c>
      <c r="E1330" t="s">
        <v>807</v>
      </c>
      <c r="F1330" s="19"/>
      <c r="G1330" t="s">
        <v>3024</v>
      </c>
      <c r="H1330" t="s">
        <v>3087</v>
      </c>
      <c r="I1330" t="s">
        <v>3303</v>
      </c>
      <c r="J1330" s="8" t="str">
        <f t="shared" si="126"/>
        <v>SWF-</v>
      </c>
      <c r="K1330" t="s">
        <v>10</v>
      </c>
      <c r="L1330" s="54">
        <v>100</v>
      </c>
      <c r="M1330" t="s">
        <v>186</v>
      </c>
      <c r="N1330" t="s">
        <v>11</v>
      </c>
      <c r="O1330" s="54">
        <v>16</v>
      </c>
      <c r="P1330" s="35">
        <f t="shared" si="124"/>
        <v>1600</v>
      </c>
      <c r="Q1330" s="10">
        <f t="shared" si="127"/>
        <v>7.3003400000000003</v>
      </c>
      <c r="R1330" s="10">
        <f t="shared" si="128"/>
        <v>2.1917</v>
      </c>
      <c r="S1330" s="11">
        <f t="shared" si="129"/>
        <v>219.17</v>
      </c>
      <c r="T1330" s="10" t="s">
        <v>349</v>
      </c>
      <c r="U1330" t="s">
        <v>3483</v>
      </c>
      <c r="V1330" s="58">
        <v>7.1775000000000002</v>
      </c>
      <c r="W1330" s="38">
        <f t="shared" si="125"/>
        <v>222.91884360849878</v>
      </c>
    </row>
    <row r="1331" spans="1:23">
      <c r="A1331" t="s">
        <v>2772</v>
      </c>
      <c r="B1331" s="20">
        <v>45740</v>
      </c>
      <c r="C1331" s="20">
        <v>45730</v>
      </c>
      <c r="D1331" t="s">
        <v>187</v>
      </c>
      <c r="E1331" t="s">
        <v>188</v>
      </c>
      <c r="F1331" s="19"/>
      <c r="G1331" t="s">
        <v>3006</v>
      </c>
      <c r="H1331" t="s">
        <v>208</v>
      </c>
      <c r="I1331" t="s">
        <v>209</v>
      </c>
      <c r="J1331" s="8" t="str">
        <f t="shared" si="126"/>
        <v>ALM-</v>
      </c>
      <c r="K1331" t="s">
        <v>98</v>
      </c>
      <c r="L1331" s="54">
        <v>300</v>
      </c>
      <c r="M1331" t="s">
        <v>186</v>
      </c>
      <c r="N1331" t="s">
        <v>11</v>
      </c>
      <c r="O1331" s="54">
        <v>3.1415999999999999</v>
      </c>
      <c r="P1331" s="35">
        <f t="shared" si="124"/>
        <v>942.48</v>
      </c>
      <c r="Q1331" s="10">
        <f t="shared" si="127"/>
        <v>7.3003400000000003</v>
      </c>
      <c r="R1331" s="10">
        <f t="shared" si="128"/>
        <v>0.43030000000000002</v>
      </c>
      <c r="S1331" s="11">
        <f t="shared" si="129"/>
        <v>129.09</v>
      </c>
      <c r="T1331" s="10" t="s">
        <v>349</v>
      </c>
      <c r="U1331" t="s">
        <v>191</v>
      </c>
      <c r="V1331" s="58">
        <v>7.1775000000000002</v>
      </c>
      <c r="W1331" s="38">
        <f t="shared" si="125"/>
        <v>131.31034482758619</v>
      </c>
    </row>
    <row r="1332" spans="1:23">
      <c r="A1332" t="s">
        <v>2773</v>
      </c>
      <c r="B1332" s="20">
        <v>45740</v>
      </c>
      <c r="C1332" s="20">
        <v>45730</v>
      </c>
      <c r="D1332" t="s">
        <v>187</v>
      </c>
      <c r="E1332" t="s">
        <v>188</v>
      </c>
      <c r="F1332" s="19"/>
      <c r="G1332" t="s">
        <v>3006</v>
      </c>
      <c r="H1332" t="s">
        <v>1715</v>
      </c>
      <c r="I1332" t="s">
        <v>1716</v>
      </c>
      <c r="J1332" s="8" t="str">
        <f t="shared" si="126"/>
        <v>ALM-</v>
      </c>
      <c r="K1332" t="s">
        <v>98</v>
      </c>
      <c r="L1332" s="54">
        <v>110</v>
      </c>
      <c r="M1332" t="s">
        <v>186</v>
      </c>
      <c r="N1332" t="s">
        <v>11</v>
      </c>
      <c r="O1332" s="54">
        <v>3.1415999999999999</v>
      </c>
      <c r="P1332" s="35">
        <f t="shared" si="124"/>
        <v>345.58</v>
      </c>
      <c r="Q1332" s="10">
        <f t="shared" si="127"/>
        <v>7.3003400000000003</v>
      </c>
      <c r="R1332" s="10">
        <f t="shared" si="128"/>
        <v>0.43030000000000002</v>
      </c>
      <c r="S1332" s="11">
        <f t="shared" si="129"/>
        <v>47.33</v>
      </c>
      <c r="T1332" s="10" t="s">
        <v>349</v>
      </c>
      <c r="U1332" t="s">
        <v>191</v>
      </c>
      <c r="V1332" s="58">
        <v>7.1775000000000002</v>
      </c>
      <c r="W1332" s="38">
        <f t="shared" si="125"/>
        <v>48.147126436781605</v>
      </c>
    </row>
    <row r="1333" spans="1:23">
      <c r="A1333" t="s">
        <v>2774</v>
      </c>
      <c r="B1333" s="20">
        <v>45740</v>
      </c>
      <c r="C1333" s="20">
        <v>45730</v>
      </c>
      <c r="D1333" t="s">
        <v>187</v>
      </c>
      <c r="E1333" t="s">
        <v>188</v>
      </c>
      <c r="F1333" s="19"/>
      <c r="G1333" t="s">
        <v>3006</v>
      </c>
      <c r="H1333" t="s">
        <v>202</v>
      </c>
      <c r="I1333" t="s">
        <v>203</v>
      </c>
      <c r="J1333" s="8" t="str">
        <f t="shared" si="126"/>
        <v>ALM-</v>
      </c>
      <c r="K1333" t="s">
        <v>98</v>
      </c>
      <c r="L1333" s="54">
        <v>300</v>
      </c>
      <c r="M1333" t="s">
        <v>186</v>
      </c>
      <c r="N1333" t="s">
        <v>11</v>
      </c>
      <c r="O1333" s="54">
        <v>3.1415999999999999</v>
      </c>
      <c r="P1333" s="35">
        <f t="shared" si="124"/>
        <v>942.48</v>
      </c>
      <c r="Q1333" s="10">
        <f t="shared" si="127"/>
        <v>7.3003400000000003</v>
      </c>
      <c r="R1333" s="10">
        <f t="shared" si="128"/>
        <v>0.43030000000000002</v>
      </c>
      <c r="S1333" s="11">
        <f t="shared" si="129"/>
        <v>129.09</v>
      </c>
      <c r="T1333" s="10" t="s">
        <v>349</v>
      </c>
      <c r="U1333" t="s">
        <v>191</v>
      </c>
      <c r="V1333" s="58">
        <v>7.1775000000000002</v>
      </c>
      <c r="W1333" s="38">
        <f t="shared" si="125"/>
        <v>131.31034482758619</v>
      </c>
    </row>
    <row r="1334" spans="1:23">
      <c r="A1334" t="s">
        <v>2775</v>
      </c>
      <c r="B1334" s="20">
        <v>45740</v>
      </c>
      <c r="C1334" s="20">
        <v>45730</v>
      </c>
      <c r="D1334" t="s">
        <v>187</v>
      </c>
      <c r="E1334" t="s">
        <v>188</v>
      </c>
      <c r="F1334" s="19"/>
      <c r="G1334" t="s">
        <v>3006</v>
      </c>
      <c r="H1334" t="s">
        <v>199</v>
      </c>
      <c r="I1334" t="s">
        <v>200</v>
      </c>
      <c r="J1334" s="8" t="str">
        <f t="shared" si="126"/>
        <v>ALM-</v>
      </c>
      <c r="K1334" t="s">
        <v>98</v>
      </c>
      <c r="L1334" s="54">
        <v>50</v>
      </c>
      <c r="M1334" t="s">
        <v>186</v>
      </c>
      <c r="N1334" t="s">
        <v>11</v>
      </c>
      <c r="O1334" s="54">
        <v>3.1415999999999999</v>
      </c>
      <c r="P1334" s="35">
        <f t="shared" si="124"/>
        <v>157.08000000000001</v>
      </c>
      <c r="Q1334" s="10">
        <f t="shared" si="127"/>
        <v>7.3003400000000003</v>
      </c>
      <c r="R1334" s="10">
        <f t="shared" si="128"/>
        <v>0.43030000000000002</v>
      </c>
      <c r="S1334" s="11">
        <f t="shared" si="129"/>
        <v>21.52</v>
      </c>
      <c r="T1334" s="10" t="s">
        <v>349</v>
      </c>
      <c r="U1334" t="s">
        <v>191</v>
      </c>
      <c r="V1334" s="58">
        <v>7.1775000000000002</v>
      </c>
      <c r="W1334" s="38">
        <f t="shared" si="125"/>
        <v>21.885057471264364</v>
      </c>
    </row>
    <row r="1335" spans="1:23">
      <c r="A1335" t="s">
        <v>2776</v>
      </c>
      <c r="B1335" s="20">
        <v>45740</v>
      </c>
      <c r="C1335" s="20">
        <v>45730</v>
      </c>
      <c r="D1335" t="s">
        <v>169</v>
      </c>
      <c r="E1335" t="s">
        <v>170</v>
      </c>
      <c r="F1335" s="19"/>
      <c r="G1335" t="s">
        <v>3016</v>
      </c>
      <c r="H1335" t="s">
        <v>3157</v>
      </c>
      <c r="I1335" t="s">
        <v>3367</v>
      </c>
      <c r="J1335" s="8" t="str">
        <f t="shared" si="126"/>
        <v>STKR</v>
      </c>
      <c r="K1335" t="s">
        <v>10</v>
      </c>
      <c r="L1335" s="54">
        <v>2020</v>
      </c>
      <c r="M1335" t="s">
        <v>1472</v>
      </c>
      <c r="N1335" t="s">
        <v>11</v>
      </c>
      <c r="O1335" s="54">
        <v>3.5000000000000003E-2</v>
      </c>
      <c r="P1335" s="35">
        <f t="shared" si="124"/>
        <v>70.7</v>
      </c>
      <c r="Q1335" s="10">
        <f t="shared" si="127"/>
        <v>7.3003400000000003</v>
      </c>
      <c r="R1335" s="10">
        <f t="shared" si="128"/>
        <v>4.7999999999999996E-3</v>
      </c>
      <c r="S1335" s="11">
        <f t="shared" si="129"/>
        <v>9.6999999999999993</v>
      </c>
      <c r="T1335" s="10" t="s">
        <v>349</v>
      </c>
      <c r="U1335" t="s">
        <v>18</v>
      </c>
      <c r="V1335" s="58">
        <v>7.1775000000000002</v>
      </c>
      <c r="W1335" s="38">
        <f t="shared" si="125"/>
        <v>9.8502264019505397</v>
      </c>
    </row>
    <row r="1336" spans="1:23">
      <c r="A1336" t="s">
        <v>2777</v>
      </c>
      <c r="B1336" s="20">
        <v>45740</v>
      </c>
      <c r="C1336" s="20">
        <v>45730</v>
      </c>
      <c r="D1336" t="s">
        <v>169</v>
      </c>
      <c r="E1336" t="s">
        <v>170</v>
      </c>
      <c r="F1336" s="19"/>
      <c r="G1336" t="s">
        <v>3017</v>
      </c>
      <c r="H1336" t="s">
        <v>3256</v>
      </c>
      <c r="I1336" t="s">
        <v>3463</v>
      </c>
      <c r="J1336" s="8" t="str">
        <f t="shared" si="126"/>
        <v>PAP-</v>
      </c>
      <c r="K1336" t="s">
        <v>10</v>
      </c>
      <c r="L1336" s="54">
        <v>18000</v>
      </c>
      <c r="M1336" t="s">
        <v>1472</v>
      </c>
      <c r="N1336" t="s">
        <v>11</v>
      </c>
      <c r="O1336" s="54">
        <v>0.14000000000000001</v>
      </c>
      <c r="P1336" s="35">
        <f t="shared" si="124"/>
        <v>2520</v>
      </c>
      <c r="Q1336" s="10">
        <f t="shared" si="127"/>
        <v>7.3003400000000003</v>
      </c>
      <c r="R1336" s="10">
        <f t="shared" si="128"/>
        <v>1.9199999999999998E-2</v>
      </c>
      <c r="S1336" s="11">
        <f t="shared" si="129"/>
        <v>345.6</v>
      </c>
      <c r="T1336" s="10" t="s">
        <v>349</v>
      </c>
      <c r="U1336" t="s">
        <v>1094</v>
      </c>
      <c r="V1336" s="58">
        <v>7.1775000000000002</v>
      </c>
      <c r="W1336" s="38">
        <f t="shared" si="125"/>
        <v>351.09717868338555</v>
      </c>
    </row>
    <row r="1337" spans="1:23">
      <c r="A1337" t="s">
        <v>2789</v>
      </c>
      <c r="B1337" s="20">
        <v>45740</v>
      </c>
      <c r="C1337" s="20">
        <v>45734</v>
      </c>
      <c r="D1337" t="s">
        <v>121</v>
      </c>
      <c r="E1337" t="s">
        <v>122</v>
      </c>
      <c r="F1337" s="19"/>
      <c r="G1337" t="s">
        <v>3050</v>
      </c>
      <c r="H1337" t="s">
        <v>3261</v>
      </c>
      <c r="I1337" t="s">
        <v>3468</v>
      </c>
      <c r="J1337" s="8" t="str">
        <f t="shared" si="126"/>
        <v>HDL-</v>
      </c>
      <c r="K1337" t="s">
        <v>10</v>
      </c>
      <c r="L1337" s="54">
        <v>150</v>
      </c>
      <c r="M1337" t="s">
        <v>1472</v>
      </c>
      <c r="N1337" t="s">
        <v>11</v>
      </c>
      <c r="O1337" s="54">
        <v>5.1675000000000004</v>
      </c>
      <c r="P1337" s="35">
        <f t="shared" si="124"/>
        <v>775.13</v>
      </c>
      <c r="Q1337" s="10">
        <f t="shared" si="127"/>
        <v>7.3003400000000003</v>
      </c>
      <c r="R1337" s="10">
        <f t="shared" si="128"/>
        <v>0.70779999999999998</v>
      </c>
      <c r="S1337" s="11">
        <f t="shared" si="129"/>
        <v>106.17</v>
      </c>
      <c r="T1337" s="10" t="s">
        <v>349</v>
      </c>
      <c r="U1337" t="s">
        <v>228</v>
      </c>
      <c r="V1337" s="58">
        <v>7.1775000000000002</v>
      </c>
      <c r="W1337" s="38">
        <f t="shared" si="125"/>
        <v>107.99373040752351</v>
      </c>
    </row>
    <row r="1338" spans="1:23">
      <c r="A1338" t="s">
        <v>2800</v>
      </c>
      <c r="B1338" s="20">
        <v>45740</v>
      </c>
      <c r="C1338" s="20">
        <v>45735</v>
      </c>
      <c r="D1338" t="s">
        <v>101</v>
      </c>
      <c r="E1338" t="s">
        <v>102</v>
      </c>
      <c r="F1338" s="19"/>
      <c r="G1338" t="s">
        <v>3039</v>
      </c>
      <c r="H1338" t="s">
        <v>1245</v>
      </c>
      <c r="I1338" t="s">
        <v>1246</v>
      </c>
      <c r="J1338" s="8" t="str">
        <f t="shared" si="126"/>
        <v>STKR</v>
      </c>
      <c r="K1338" t="s">
        <v>10</v>
      </c>
      <c r="L1338" s="54">
        <v>510</v>
      </c>
      <c r="M1338" t="s">
        <v>1472</v>
      </c>
      <c r="N1338" t="s">
        <v>11</v>
      </c>
      <c r="O1338" s="54">
        <v>0.05</v>
      </c>
      <c r="P1338" s="35">
        <f t="shared" si="124"/>
        <v>25.5</v>
      </c>
      <c r="Q1338" s="10">
        <f t="shared" si="127"/>
        <v>7.3003400000000003</v>
      </c>
      <c r="R1338" s="10">
        <f t="shared" si="128"/>
        <v>6.7999999999999996E-3</v>
      </c>
      <c r="S1338" s="11">
        <f t="shared" si="129"/>
        <v>3.47</v>
      </c>
      <c r="T1338" s="10" t="s">
        <v>349</v>
      </c>
      <c r="U1338" t="s">
        <v>18</v>
      </c>
      <c r="V1338" s="58">
        <v>7.1775000000000002</v>
      </c>
      <c r="W1338" s="38">
        <f t="shared" si="125"/>
        <v>3.5527690700104495</v>
      </c>
    </row>
    <row r="1339" spans="1:23">
      <c r="A1339" t="s">
        <v>2801</v>
      </c>
      <c r="B1339" s="20">
        <v>45740</v>
      </c>
      <c r="C1339" s="20">
        <v>45735</v>
      </c>
      <c r="D1339" t="s">
        <v>101</v>
      </c>
      <c r="E1339" t="s">
        <v>102</v>
      </c>
      <c r="F1339" s="19"/>
      <c r="G1339" t="s">
        <v>3039</v>
      </c>
      <c r="H1339" t="s">
        <v>3267</v>
      </c>
      <c r="I1339" t="s">
        <v>3474</v>
      </c>
      <c r="J1339" s="8" t="str">
        <f t="shared" si="126"/>
        <v>STKR</v>
      </c>
      <c r="K1339" t="s">
        <v>10</v>
      </c>
      <c r="L1339" s="54">
        <v>102</v>
      </c>
      <c r="M1339" t="s">
        <v>1472</v>
      </c>
      <c r="N1339" t="s">
        <v>11</v>
      </c>
      <c r="O1339" s="54">
        <v>0.217</v>
      </c>
      <c r="P1339" s="35">
        <f t="shared" si="124"/>
        <v>22.13</v>
      </c>
      <c r="Q1339" s="10">
        <f t="shared" si="127"/>
        <v>7.3003400000000003</v>
      </c>
      <c r="R1339" s="10">
        <f t="shared" si="128"/>
        <v>2.9700000000000001E-2</v>
      </c>
      <c r="S1339" s="11">
        <f t="shared" si="129"/>
        <v>3.03</v>
      </c>
      <c r="T1339" s="10" t="s">
        <v>349</v>
      </c>
      <c r="U1339" t="s">
        <v>18</v>
      </c>
      <c r="V1339" s="58">
        <v>7.1775000000000002</v>
      </c>
      <c r="W1339" s="38">
        <f t="shared" si="125"/>
        <v>3.0838035527690697</v>
      </c>
    </row>
    <row r="1340" spans="1:23">
      <c r="A1340" t="s">
        <v>2802</v>
      </c>
      <c r="B1340" s="20">
        <v>45740</v>
      </c>
      <c r="C1340" s="20">
        <v>45735</v>
      </c>
      <c r="D1340" t="s">
        <v>101</v>
      </c>
      <c r="E1340" t="s">
        <v>102</v>
      </c>
      <c r="F1340" s="19"/>
      <c r="G1340" t="s">
        <v>3039</v>
      </c>
      <c r="H1340" t="s">
        <v>1265</v>
      </c>
      <c r="I1340" t="s">
        <v>1266</v>
      </c>
      <c r="J1340" s="8" t="str">
        <f t="shared" si="126"/>
        <v>STKR</v>
      </c>
      <c r="K1340" t="s">
        <v>10</v>
      </c>
      <c r="L1340" s="54">
        <v>1210</v>
      </c>
      <c r="M1340" t="s">
        <v>1472</v>
      </c>
      <c r="N1340" t="s">
        <v>11</v>
      </c>
      <c r="O1340" s="54">
        <v>0.06</v>
      </c>
      <c r="P1340" s="35">
        <f t="shared" si="124"/>
        <v>72.599999999999994</v>
      </c>
      <c r="Q1340" s="10">
        <f t="shared" si="127"/>
        <v>7.3003400000000003</v>
      </c>
      <c r="R1340" s="10">
        <f t="shared" si="128"/>
        <v>8.2000000000000007E-3</v>
      </c>
      <c r="S1340" s="11">
        <f t="shared" si="129"/>
        <v>9.92</v>
      </c>
      <c r="T1340" s="10" t="s">
        <v>349</v>
      </c>
      <c r="U1340" t="s">
        <v>18</v>
      </c>
      <c r="V1340" s="58">
        <v>7.1775000000000002</v>
      </c>
      <c r="W1340" s="38">
        <f t="shared" si="125"/>
        <v>10.11494252873563</v>
      </c>
    </row>
    <row r="1341" spans="1:23">
      <c r="A1341" t="s">
        <v>2321</v>
      </c>
      <c r="B1341" s="20">
        <v>45741</v>
      </c>
      <c r="C1341" s="20">
        <v>45664</v>
      </c>
      <c r="D1341" t="s">
        <v>94</v>
      </c>
      <c r="E1341" t="s">
        <v>95</v>
      </c>
      <c r="F1341" s="19"/>
      <c r="G1341" t="s">
        <v>2879</v>
      </c>
      <c r="H1341" t="s">
        <v>3081</v>
      </c>
      <c r="I1341" t="s">
        <v>3297</v>
      </c>
      <c r="J1341" s="8" t="str">
        <f t="shared" si="126"/>
        <v>LID-</v>
      </c>
      <c r="K1341" t="s">
        <v>369</v>
      </c>
      <c r="L1341" s="54">
        <v>426</v>
      </c>
      <c r="M1341" t="s">
        <v>1472</v>
      </c>
      <c r="N1341" t="s">
        <v>11</v>
      </c>
      <c r="O1341" s="54">
        <v>8.9</v>
      </c>
      <c r="P1341" s="35">
        <f t="shared" si="124"/>
        <v>3791.4</v>
      </c>
      <c r="Q1341" s="10">
        <f t="shared" si="127"/>
        <v>7.3003400000000003</v>
      </c>
      <c r="R1341" s="10">
        <f t="shared" si="128"/>
        <v>1.2191000000000001</v>
      </c>
      <c r="S1341" s="11">
        <f t="shared" si="129"/>
        <v>519.34</v>
      </c>
      <c r="T1341" s="10" t="s">
        <v>349</v>
      </c>
      <c r="U1341" t="s">
        <v>368</v>
      </c>
      <c r="V1341" s="58">
        <v>7.1775000000000002</v>
      </c>
      <c r="W1341" s="38">
        <f t="shared" si="125"/>
        <v>528.23406478578897</v>
      </c>
    </row>
    <row r="1342" spans="1:23">
      <c r="A1342" t="s">
        <v>2420</v>
      </c>
      <c r="B1342" s="20">
        <v>45741</v>
      </c>
      <c r="C1342" s="20">
        <v>45702</v>
      </c>
      <c r="D1342" t="s">
        <v>709</v>
      </c>
      <c r="E1342" t="s">
        <v>710</v>
      </c>
      <c r="F1342" s="19"/>
      <c r="G1342" t="s">
        <v>2930</v>
      </c>
      <c r="H1342" t="s">
        <v>3111</v>
      </c>
      <c r="I1342" t="s">
        <v>3326</v>
      </c>
      <c r="J1342" s="8" t="str">
        <f t="shared" si="126"/>
        <v>SHDL</v>
      </c>
      <c r="K1342" t="s">
        <v>10</v>
      </c>
      <c r="L1342" s="54">
        <v>2060</v>
      </c>
      <c r="M1342" t="s">
        <v>1472</v>
      </c>
      <c r="N1342" t="s">
        <v>11</v>
      </c>
      <c r="O1342" s="54">
        <v>3.5226999999999999</v>
      </c>
      <c r="P1342" s="35">
        <f t="shared" si="124"/>
        <v>7256.76</v>
      </c>
      <c r="Q1342" s="10">
        <f t="shared" si="127"/>
        <v>7.3003400000000003</v>
      </c>
      <c r="R1342" s="10">
        <f t="shared" si="128"/>
        <v>0.48249999999999998</v>
      </c>
      <c r="S1342" s="11">
        <f t="shared" si="129"/>
        <v>993.95</v>
      </c>
      <c r="T1342" s="10" t="s">
        <v>349</v>
      </c>
      <c r="U1342" t="s">
        <v>722</v>
      </c>
      <c r="V1342" s="58">
        <v>7.1775000000000002</v>
      </c>
      <c r="W1342" s="38">
        <f t="shared" si="125"/>
        <v>1011.0431208638104</v>
      </c>
    </row>
    <row r="1343" spans="1:23">
      <c r="A1343" t="s">
        <v>2421</v>
      </c>
      <c r="B1343" s="20">
        <v>45741</v>
      </c>
      <c r="C1343" s="20">
        <v>45702</v>
      </c>
      <c r="D1343" t="s">
        <v>709</v>
      </c>
      <c r="E1343" t="s">
        <v>710</v>
      </c>
      <c r="F1343" s="19"/>
      <c r="G1343" t="s">
        <v>2930</v>
      </c>
      <c r="H1343" t="s">
        <v>3112</v>
      </c>
      <c r="I1343" t="s">
        <v>3327</v>
      </c>
      <c r="J1343" s="8" t="str">
        <f t="shared" si="126"/>
        <v>SHDL</v>
      </c>
      <c r="K1343" t="s">
        <v>10</v>
      </c>
      <c r="L1343" s="54">
        <v>2040</v>
      </c>
      <c r="M1343" t="s">
        <v>1472</v>
      </c>
      <c r="N1343" t="s">
        <v>11</v>
      </c>
      <c r="O1343" s="54">
        <v>2.6659999999999999</v>
      </c>
      <c r="P1343" s="35">
        <f t="shared" si="124"/>
        <v>5438.64</v>
      </c>
      <c r="Q1343" s="10">
        <f t="shared" si="127"/>
        <v>7.3003400000000003</v>
      </c>
      <c r="R1343" s="10">
        <f t="shared" si="128"/>
        <v>0.36520000000000002</v>
      </c>
      <c r="S1343" s="11">
        <f t="shared" si="129"/>
        <v>745.01</v>
      </c>
      <c r="T1343" s="10" t="s">
        <v>349</v>
      </c>
      <c r="U1343" t="s">
        <v>722</v>
      </c>
      <c r="V1343" s="58">
        <v>7.1775000000000002</v>
      </c>
      <c r="W1343" s="38">
        <f t="shared" si="125"/>
        <v>757.73458725182854</v>
      </c>
    </row>
    <row r="1344" spans="1:23">
      <c r="A1344" t="s">
        <v>2422</v>
      </c>
      <c r="B1344" s="20">
        <v>45741</v>
      </c>
      <c r="C1344" s="20">
        <v>45702</v>
      </c>
      <c r="D1344" t="s">
        <v>709</v>
      </c>
      <c r="E1344" t="s">
        <v>710</v>
      </c>
      <c r="F1344" s="19"/>
      <c r="G1344" t="s">
        <v>2930</v>
      </c>
      <c r="H1344" t="s">
        <v>729</v>
      </c>
      <c r="I1344" t="s">
        <v>730</v>
      </c>
      <c r="J1344" s="8" t="str">
        <f t="shared" si="126"/>
        <v>HDL-</v>
      </c>
      <c r="K1344" t="s">
        <v>10</v>
      </c>
      <c r="L1344" s="54">
        <v>5020</v>
      </c>
      <c r="M1344" t="s">
        <v>1472</v>
      </c>
      <c r="N1344" t="s">
        <v>11</v>
      </c>
      <c r="O1344" s="54">
        <v>1.5156000000000001</v>
      </c>
      <c r="P1344" s="35">
        <f t="shared" si="124"/>
        <v>7608.31</v>
      </c>
      <c r="Q1344" s="10">
        <f t="shared" si="127"/>
        <v>7.3003400000000003</v>
      </c>
      <c r="R1344" s="10">
        <f t="shared" si="128"/>
        <v>0.20760000000000001</v>
      </c>
      <c r="S1344" s="11">
        <f t="shared" si="129"/>
        <v>1042.1500000000001</v>
      </c>
      <c r="T1344" s="10" t="s">
        <v>349</v>
      </c>
      <c r="U1344" t="s">
        <v>228</v>
      </c>
      <c r="V1344" s="58">
        <v>7.1775000000000002</v>
      </c>
      <c r="W1344" s="38">
        <f t="shared" si="125"/>
        <v>1060.0225705329153</v>
      </c>
    </row>
    <row r="1345" spans="1:23">
      <c r="A1345" t="s">
        <v>2423</v>
      </c>
      <c r="B1345" s="20">
        <v>45741</v>
      </c>
      <c r="C1345" s="20">
        <v>45702</v>
      </c>
      <c r="D1345" t="s">
        <v>709</v>
      </c>
      <c r="E1345" t="s">
        <v>710</v>
      </c>
      <c r="F1345" s="19"/>
      <c r="G1345" t="s">
        <v>2930</v>
      </c>
      <c r="H1345" t="s">
        <v>726</v>
      </c>
      <c r="I1345" t="s">
        <v>727</v>
      </c>
      <c r="J1345" s="8" t="str">
        <f t="shared" si="126"/>
        <v>KNOB</v>
      </c>
      <c r="K1345" t="s">
        <v>10</v>
      </c>
      <c r="L1345" s="54">
        <v>1120</v>
      </c>
      <c r="M1345" t="s">
        <v>1472</v>
      </c>
      <c r="N1345" t="s">
        <v>11</v>
      </c>
      <c r="O1345" s="54">
        <v>0.54969999999999997</v>
      </c>
      <c r="P1345" s="35">
        <f t="shared" si="124"/>
        <v>615.66</v>
      </c>
      <c r="Q1345" s="10">
        <f t="shared" si="127"/>
        <v>7.3003400000000003</v>
      </c>
      <c r="R1345" s="10">
        <f t="shared" si="128"/>
        <v>7.5300000000000006E-2</v>
      </c>
      <c r="S1345" s="11">
        <f t="shared" si="129"/>
        <v>84.34</v>
      </c>
      <c r="T1345" s="10" t="s">
        <v>349</v>
      </c>
      <c r="U1345" t="s">
        <v>32</v>
      </c>
      <c r="V1345" s="58">
        <v>7.1775000000000002</v>
      </c>
      <c r="W1345" s="38">
        <f t="shared" si="125"/>
        <v>85.776941832114247</v>
      </c>
    </row>
    <row r="1346" spans="1:23">
      <c r="A1346" t="s">
        <v>2424</v>
      </c>
      <c r="B1346" s="20">
        <v>45741</v>
      </c>
      <c r="C1346" s="20">
        <v>45702</v>
      </c>
      <c r="D1346" t="s">
        <v>709</v>
      </c>
      <c r="E1346" t="s">
        <v>710</v>
      </c>
      <c r="F1346" s="19"/>
      <c r="G1346" t="s">
        <v>2930</v>
      </c>
      <c r="H1346" t="s">
        <v>3113</v>
      </c>
      <c r="I1346" t="s">
        <v>727</v>
      </c>
      <c r="J1346" s="8" t="str">
        <f t="shared" si="126"/>
        <v>KNOB</v>
      </c>
      <c r="K1346" t="s">
        <v>10</v>
      </c>
      <c r="L1346" s="54">
        <v>1000</v>
      </c>
      <c r="M1346" t="s">
        <v>1472</v>
      </c>
      <c r="N1346" t="s">
        <v>11</v>
      </c>
      <c r="O1346" s="54">
        <v>2.0691000000000002</v>
      </c>
      <c r="P1346" s="35">
        <f t="shared" ref="P1346:P1409" si="130">ROUND(O1346*L1346,2)</f>
        <v>2069.1</v>
      </c>
      <c r="Q1346" s="10">
        <f t="shared" si="127"/>
        <v>7.3003400000000003</v>
      </c>
      <c r="R1346" s="10">
        <f t="shared" si="128"/>
        <v>0.28339999999999999</v>
      </c>
      <c r="S1346" s="11">
        <f t="shared" si="129"/>
        <v>283.39999999999998</v>
      </c>
      <c r="T1346" s="10" t="s">
        <v>349</v>
      </c>
      <c r="U1346" t="s">
        <v>32</v>
      </c>
      <c r="V1346" s="58">
        <v>7.1775000000000002</v>
      </c>
      <c r="W1346" s="38">
        <f t="shared" ref="W1346:W1409" si="131">IF(N1346="CNY",O1346/V1346*L1346,1)</f>
        <v>288.27586206896552</v>
      </c>
    </row>
    <row r="1347" spans="1:23">
      <c r="A1347" t="s">
        <v>2425</v>
      </c>
      <c r="B1347" s="20">
        <v>45741</v>
      </c>
      <c r="C1347" s="20">
        <v>45702</v>
      </c>
      <c r="D1347" t="s">
        <v>709</v>
      </c>
      <c r="E1347" t="s">
        <v>710</v>
      </c>
      <c r="F1347" s="19"/>
      <c r="G1347" t="s">
        <v>2930</v>
      </c>
      <c r="H1347" t="s">
        <v>3114</v>
      </c>
      <c r="I1347" t="s">
        <v>3328</v>
      </c>
      <c r="J1347" s="8" t="str">
        <f t="shared" si="126"/>
        <v>HDL-</v>
      </c>
      <c r="K1347" t="s">
        <v>10</v>
      </c>
      <c r="L1347" s="54">
        <v>1020</v>
      </c>
      <c r="M1347" t="s">
        <v>1472</v>
      </c>
      <c r="N1347" t="s">
        <v>11</v>
      </c>
      <c r="O1347" s="54">
        <v>2.3549000000000002</v>
      </c>
      <c r="P1347" s="35">
        <f t="shared" si="130"/>
        <v>2402</v>
      </c>
      <c r="Q1347" s="10">
        <f t="shared" si="127"/>
        <v>7.3003400000000003</v>
      </c>
      <c r="R1347" s="10">
        <f t="shared" si="128"/>
        <v>0.3226</v>
      </c>
      <c r="S1347" s="11">
        <f t="shared" si="129"/>
        <v>329.05</v>
      </c>
      <c r="T1347" s="10" t="s">
        <v>349</v>
      </c>
      <c r="U1347" t="s">
        <v>228</v>
      </c>
      <c r="V1347" s="58">
        <v>7.1775000000000002</v>
      </c>
      <c r="W1347" s="38">
        <f t="shared" si="131"/>
        <v>334.65663531870433</v>
      </c>
    </row>
    <row r="1348" spans="1:23">
      <c r="A1348" t="s">
        <v>2440</v>
      </c>
      <c r="B1348" s="20">
        <v>45741</v>
      </c>
      <c r="C1348" s="20">
        <v>45702</v>
      </c>
      <c r="D1348" t="s">
        <v>28</v>
      </c>
      <c r="E1348" t="s">
        <v>29</v>
      </c>
      <c r="F1348" s="19"/>
      <c r="G1348" t="s">
        <v>2937</v>
      </c>
      <c r="H1348" t="s">
        <v>1167</v>
      </c>
      <c r="I1348" t="s">
        <v>1168</v>
      </c>
      <c r="J1348" s="8" t="str">
        <f t="shared" si="126"/>
        <v>FG--</v>
      </c>
      <c r="K1348" t="s">
        <v>10</v>
      </c>
      <c r="L1348" s="54">
        <v>2050</v>
      </c>
      <c r="M1348" t="s">
        <v>1472</v>
      </c>
      <c r="N1348" t="s">
        <v>11</v>
      </c>
      <c r="O1348" s="54">
        <v>1.2692000000000001</v>
      </c>
      <c r="P1348" s="35">
        <f t="shared" si="130"/>
        <v>2601.86</v>
      </c>
      <c r="Q1348" s="10">
        <f t="shared" si="127"/>
        <v>7.3003400000000003</v>
      </c>
      <c r="R1348" s="10">
        <f t="shared" si="128"/>
        <v>0.1739</v>
      </c>
      <c r="S1348" s="11">
        <f t="shared" si="129"/>
        <v>356.5</v>
      </c>
      <c r="T1348" s="10" t="s">
        <v>349</v>
      </c>
      <c r="U1348" t="s">
        <v>64</v>
      </c>
      <c r="V1348" s="58">
        <v>7.1775000000000002</v>
      </c>
      <c r="W1348" s="38">
        <f t="shared" si="131"/>
        <v>362.50226401950545</v>
      </c>
    </row>
    <row r="1349" spans="1:23">
      <c r="A1349" t="s">
        <v>2441</v>
      </c>
      <c r="B1349" s="20">
        <v>45741</v>
      </c>
      <c r="C1349" s="20">
        <v>45702</v>
      </c>
      <c r="D1349" t="s">
        <v>128</v>
      </c>
      <c r="E1349" t="s">
        <v>129</v>
      </c>
      <c r="F1349" s="19"/>
      <c r="G1349" t="s">
        <v>2938</v>
      </c>
      <c r="H1349" t="s">
        <v>443</v>
      </c>
      <c r="I1349" t="s">
        <v>444</v>
      </c>
      <c r="J1349" s="8" t="str">
        <f t="shared" si="126"/>
        <v>FG--</v>
      </c>
      <c r="K1349" t="s">
        <v>10</v>
      </c>
      <c r="L1349" s="54">
        <v>6000</v>
      </c>
      <c r="M1349" t="s">
        <v>1472</v>
      </c>
      <c r="N1349" t="s">
        <v>11</v>
      </c>
      <c r="O1349" s="54">
        <v>1.0021</v>
      </c>
      <c r="P1349" s="35">
        <f t="shared" si="130"/>
        <v>6012.6</v>
      </c>
      <c r="Q1349" s="10">
        <f t="shared" si="127"/>
        <v>7.3003400000000003</v>
      </c>
      <c r="R1349" s="10">
        <f t="shared" si="128"/>
        <v>0.13730000000000001</v>
      </c>
      <c r="S1349" s="11">
        <f t="shared" si="129"/>
        <v>823.8</v>
      </c>
      <c r="T1349" s="10" t="s">
        <v>349</v>
      </c>
      <c r="U1349" t="s">
        <v>64</v>
      </c>
      <c r="V1349" s="58">
        <v>7.1775000000000002</v>
      </c>
      <c r="W1349" s="38">
        <f t="shared" si="131"/>
        <v>837.70114942528733</v>
      </c>
    </row>
    <row r="1350" spans="1:23">
      <c r="A1350" t="s">
        <v>2533</v>
      </c>
      <c r="B1350" s="20">
        <v>45741</v>
      </c>
      <c r="C1350" s="20">
        <v>45714</v>
      </c>
      <c r="D1350" t="s">
        <v>94</v>
      </c>
      <c r="E1350" t="s">
        <v>95</v>
      </c>
      <c r="F1350" s="19"/>
      <c r="G1350" t="s">
        <v>2968</v>
      </c>
      <c r="H1350" t="s">
        <v>3164</v>
      </c>
      <c r="I1350" t="s">
        <v>3374</v>
      </c>
      <c r="J1350" s="8" t="str">
        <f t="shared" si="126"/>
        <v>LID-</v>
      </c>
      <c r="K1350" t="s">
        <v>98</v>
      </c>
      <c r="L1350" s="54">
        <v>560</v>
      </c>
      <c r="M1350" t="s">
        <v>1472</v>
      </c>
      <c r="N1350" t="s">
        <v>11</v>
      </c>
      <c r="O1350" s="54">
        <v>4.26</v>
      </c>
      <c r="P1350" s="35">
        <f t="shared" si="130"/>
        <v>2385.6</v>
      </c>
      <c r="Q1350" s="10">
        <f t="shared" si="127"/>
        <v>7.3003400000000003</v>
      </c>
      <c r="R1350" s="10">
        <f t="shared" si="128"/>
        <v>0.58350000000000002</v>
      </c>
      <c r="S1350" s="11">
        <f t="shared" si="129"/>
        <v>326.76</v>
      </c>
      <c r="T1350" s="10" t="s">
        <v>349</v>
      </c>
      <c r="U1350" t="s">
        <v>368</v>
      </c>
      <c r="V1350" s="58">
        <v>7.1775000000000002</v>
      </c>
      <c r="W1350" s="38">
        <f t="shared" si="131"/>
        <v>332.37199582027165</v>
      </c>
    </row>
    <row r="1351" spans="1:23">
      <c r="A1351" t="s">
        <v>2534</v>
      </c>
      <c r="B1351" s="20">
        <v>45741</v>
      </c>
      <c r="C1351" s="20">
        <v>45714</v>
      </c>
      <c r="D1351" t="s">
        <v>94</v>
      </c>
      <c r="E1351" t="s">
        <v>95</v>
      </c>
      <c r="F1351" s="19"/>
      <c r="G1351" t="s">
        <v>2968</v>
      </c>
      <c r="H1351" t="s">
        <v>3164</v>
      </c>
      <c r="I1351" t="s">
        <v>3374</v>
      </c>
      <c r="J1351" s="8" t="str">
        <f t="shared" si="126"/>
        <v>LID-</v>
      </c>
      <c r="K1351" t="s">
        <v>98</v>
      </c>
      <c r="L1351" s="54">
        <v>850</v>
      </c>
      <c r="M1351" t="s">
        <v>1472</v>
      </c>
      <c r="N1351" t="s">
        <v>11</v>
      </c>
      <c r="O1351" s="54">
        <v>4.26</v>
      </c>
      <c r="P1351" s="35">
        <f t="shared" si="130"/>
        <v>3621</v>
      </c>
      <c r="Q1351" s="10">
        <f t="shared" si="127"/>
        <v>7.3003400000000003</v>
      </c>
      <c r="R1351" s="10">
        <f t="shared" si="128"/>
        <v>0.58350000000000002</v>
      </c>
      <c r="S1351" s="11">
        <f t="shared" si="129"/>
        <v>495.98</v>
      </c>
      <c r="T1351" s="10" t="s">
        <v>349</v>
      </c>
      <c r="U1351" t="s">
        <v>368</v>
      </c>
      <c r="V1351" s="58">
        <v>7.1775000000000002</v>
      </c>
      <c r="W1351" s="38">
        <f t="shared" si="131"/>
        <v>504.49320794148377</v>
      </c>
    </row>
    <row r="1352" spans="1:23">
      <c r="A1352" t="s">
        <v>2540</v>
      </c>
      <c r="B1352" s="20">
        <v>45741</v>
      </c>
      <c r="C1352" s="20">
        <v>45714</v>
      </c>
      <c r="D1352" t="s">
        <v>830</v>
      </c>
      <c r="E1352" t="s">
        <v>831</v>
      </c>
      <c r="F1352" s="19"/>
      <c r="G1352" t="s">
        <v>2988</v>
      </c>
      <c r="H1352" t="s">
        <v>3166</v>
      </c>
      <c r="I1352" t="s">
        <v>3376</v>
      </c>
      <c r="J1352" s="8" t="str">
        <f t="shared" si="126"/>
        <v>LID-</v>
      </c>
      <c r="K1352" t="s">
        <v>98</v>
      </c>
      <c r="L1352" s="54">
        <v>1920</v>
      </c>
      <c r="M1352" t="s">
        <v>1472</v>
      </c>
      <c r="N1352" t="s">
        <v>11</v>
      </c>
      <c r="O1352" s="54">
        <v>4.2</v>
      </c>
      <c r="P1352" s="35">
        <f t="shared" si="130"/>
        <v>8064</v>
      </c>
      <c r="Q1352" s="10">
        <f t="shared" si="127"/>
        <v>7.3003400000000003</v>
      </c>
      <c r="R1352" s="10">
        <f t="shared" si="128"/>
        <v>0.57530000000000003</v>
      </c>
      <c r="S1352" s="11">
        <f t="shared" si="129"/>
        <v>1104.58</v>
      </c>
      <c r="T1352" s="10" t="s">
        <v>349</v>
      </c>
      <c r="U1352" t="s">
        <v>368</v>
      </c>
      <c r="V1352" s="58">
        <v>7.1775000000000002</v>
      </c>
      <c r="W1352" s="38">
        <f t="shared" si="131"/>
        <v>1123.5109717868338</v>
      </c>
    </row>
    <row r="1353" spans="1:23">
      <c r="A1353" t="s">
        <v>2562</v>
      </c>
      <c r="B1353" s="20">
        <v>45741</v>
      </c>
      <c r="C1353" s="20">
        <v>45716</v>
      </c>
      <c r="D1353" t="s">
        <v>143</v>
      </c>
      <c r="E1353" t="s">
        <v>144</v>
      </c>
      <c r="F1353" s="19"/>
      <c r="G1353" t="s">
        <v>2997</v>
      </c>
      <c r="H1353" t="s">
        <v>245</v>
      </c>
      <c r="I1353" t="s">
        <v>246</v>
      </c>
      <c r="J1353" s="8" t="str">
        <f t="shared" si="126"/>
        <v>WHR-</v>
      </c>
      <c r="K1353" t="s">
        <v>10</v>
      </c>
      <c r="L1353" s="54">
        <v>17000</v>
      </c>
      <c r="M1353" t="s">
        <v>1472</v>
      </c>
      <c r="N1353" t="s">
        <v>11</v>
      </c>
      <c r="O1353" s="54">
        <v>0.1096</v>
      </c>
      <c r="P1353" s="35">
        <f t="shared" si="130"/>
        <v>1863.2</v>
      </c>
      <c r="Q1353" s="10">
        <f t="shared" si="127"/>
        <v>7.3003400000000003</v>
      </c>
      <c r="R1353" s="10">
        <f t="shared" si="128"/>
        <v>1.4999999999999999E-2</v>
      </c>
      <c r="S1353" s="11">
        <f t="shared" si="129"/>
        <v>255</v>
      </c>
      <c r="T1353" s="10" t="s">
        <v>349</v>
      </c>
      <c r="U1353" t="s">
        <v>248</v>
      </c>
      <c r="V1353" s="58">
        <v>7.1775000000000002</v>
      </c>
      <c r="W1353" s="38">
        <f t="shared" si="131"/>
        <v>259.58899338209682</v>
      </c>
    </row>
    <row r="1354" spans="1:23">
      <c r="A1354" t="s">
        <v>2575</v>
      </c>
      <c r="B1354" s="20">
        <v>45741</v>
      </c>
      <c r="C1354" s="20">
        <v>45716</v>
      </c>
      <c r="D1354" t="s">
        <v>28</v>
      </c>
      <c r="E1354" t="s">
        <v>29</v>
      </c>
      <c r="F1354" s="19"/>
      <c r="G1354" t="s">
        <v>3001</v>
      </c>
      <c r="H1354" t="s">
        <v>1175</v>
      </c>
      <c r="I1354" t="s">
        <v>1176</v>
      </c>
      <c r="J1354" s="8" t="str">
        <f t="shared" si="126"/>
        <v>MISC</v>
      </c>
      <c r="K1354" t="s">
        <v>10</v>
      </c>
      <c r="L1354" s="54">
        <v>1700</v>
      </c>
      <c r="M1354" t="s">
        <v>1472</v>
      </c>
      <c r="N1354" t="s">
        <v>11</v>
      </c>
      <c r="O1354" s="54">
        <v>0.18720000000000001</v>
      </c>
      <c r="P1354" s="35">
        <f t="shared" si="130"/>
        <v>318.24</v>
      </c>
      <c r="Q1354" s="10">
        <f t="shared" si="127"/>
        <v>7.3003400000000003</v>
      </c>
      <c r="R1354" s="10">
        <f t="shared" si="128"/>
        <v>2.5600000000000001E-2</v>
      </c>
      <c r="S1354" s="11">
        <f t="shared" si="129"/>
        <v>43.52</v>
      </c>
      <c r="T1354" s="10" t="s">
        <v>349</v>
      </c>
      <c r="U1354" t="s">
        <v>25</v>
      </c>
      <c r="V1354" s="58">
        <v>7.1775000000000002</v>
      </c>
      <c r="W1354" s="38">
        <f t="shared" si="131"/>
        <v>44.338557993730404</v>
      </c>
    </row>
    <row r="1355" spans="1:23">
      <c r="A1355" t="s">
        <v>2578</v>
      </c>
      <c r="B1355" s="20">
        <v>45741</v>
      </c>
      <c r="C1355" s="20">
        <v>45716</v>
      </c>
      <c r="D1355" t="s">
        <v>128</v>
      </c>
      <c r="E1355" t="s">
        <v>129</v>
      </c>
      <c r="F1355" s="19"/>
      <c r="G1355" t="s">
        <v>2938</v>
      </c>
      <c r="H1355" t="s">
        <v>954</v>
      </c>
      <c r="I1355" t="s">
        <v>955</v>
      </c>
      <c r="J1355" s="8" t="str">
        <f t="shared" si="126"/>
        <v>RIV-</v>
      </c>
      <c r="K1355" t="s">
        <v>10</v>
      </c>
      <c r="L1355" s="54">
        <v>6100</v>
      </c>
      <c r="M1355" t="s">
        <v>1472</v>
      </c>
      <c r="N1355" t="s">
        <v>11</v>
      </c>
      <c r="O1355" s="54">
        <v>7.0099999999999996E-2</v>
      </c>
      <c r="P1355" s="35">
        <f t="shared" si="130"/>
        <v>427.61</v>
      </c>
      <c r="Q1355" s="10">
        <f t="shared" si="127"/>
        <v>7.3003400000000003</v>
      </c>
      <c r="R1355" s="10">
        <f t="shared" si="128"/>
        <v>9.5999999999999992E-3</v>
      </c>
      <c r="S1355" s="11">
        <f t="shared" si="129"/>
        <v>58.56</v>
      </c>
      <c r="T1355" s="10" t="s">
        <v>349</v>
      </c>
      <c r="U1355" t="s">
        <v>132</v>
      </c>
      <c r="V1355" s="58">
        <v>7.1775000000000002</v>
      </c>
      <c r="W1355" s="38">
        <f t="shared" si="131"/>
        <v>59.576454197143846</v>
      </c>
    </row>
    <row r="1356" spans="1:23">
      <c r="A1356" t="s">
        <v>2612</v>
      </c>
      <c r="B1356" s="20">
        <v>45741</v>
      </c>
      <c r="C1356" s="20">
        <v>45720</v>
      </c>
      <c r="D1356" t="s">
        <v>651</v>
      </c>
      <c r="E1356" t="s">
        <v>652</v>
      </c>
      <c r="F1356" s="19"/>
      <c r="G1356" t="s">
        <v>3014</v>
      </c>
      <c r="H1356" t="s">
        <v>3200</v>
      </c>
      <c r="I1356" t="s">
        <v>3407</v>
      </c>
      <c r="J1356" s="8" t="str">
        <f t="shared" si="126"/>
        <v>HDL-</v>
      </c>
      <c r="K1356" t="s">
        <v>10</v>
      </c>
      <c r="L1356" s="54">
        <v>3400</v>
      </c>
      <c r="M1356" t="s">
        <v>1472</v>
      </c>
      <c r="N1356" t="s">
        <v>11</v>
      </c>
      <c r="O1356" s="54">
        <v>2.3401999999999998</v>
      </c>
      <c r="P1356" s="35">
        <f t="shared" si="130"/>
        <v>7956.68</v>
      </c>
      <c r="Q1356" s="10">
        <f t="shared" si="127"/>
        <v>7.3003400000000003</v>
      </c>
      <c r="R1356" s="10">
        <f t="shared" si="128"/>
        <v>0.3206</v>
      </c>
      <c r="S1356" s="11">
        <f t="shared" si="129"/>
        <v>1090.04</v>
      </c>
      <c r="T1356" s="10" t="s">
        <v>349</v>
      </c>
      <c r="U1356" t="s">
        <v>228</v>
      </c>
      <c r="V1356" s="58">
        <v>7.1775000000000002</v>
      </c>
      <c r="W1356" s="38">
        <f t="shared" si="131"/>
        <v>1108.5586903517935</v>
      </c>
    </row>
    <row r="1357" spans="1:23">
      <c r="A1357" t="s">
        <v>2614</v>
      </c>
      <c r="B1357" s="20">
        <v>45741</v>
      </c>
      <c r="C1357" s="20">
        <v>45720</v>
      </c>
      <c r="D1357" t="s">
        <v>28</v>
      </c>
      <c r="E1357" t="s">
        <v>29</v>
      </c>
      <c r="F1357" s="19"/>
      <c r="G1357" t="s">
        <v>2937</v>
      </c>
      <c r="H1357" t="s">
        <v>3202</v>
      </c>
      <c r="I1357" t="s">
        <v>3409</v>
      </c>
      <c r="J1357" s="8" t="str">
        <f t="shared" si="126"/>
        <v>BRKT</v>
      </c>
      <c r="K1357" t="s">
        <v>10</v>
      </c>
      <c r="L1357" s="54">
        <v>1030</v>
      </c>
      <c r="M1357" t="s">
        <v>1472</v>
      </c>
      <c r="N1357" t="s">
        <v>11</v>
      </c>
      <c r="O1357" s="54">
        <v>0.68369999999999997</v>
      </c>
      <c r="P1357" s="35">
        <f t="shared" si="130"/>
        <v>704.21</v>
      </c>
      <c r="Q1357" s="10">
        <f t="shared" si="127"/>
        <v>7.3003400000000003</v>
      </c>
      <c r="R1357" s="10">
        <f t="shared" si="128"/>
        <v>9.3700000000000006E-2</v>
      </c>
      <c r="S1357" s="11">
        <f t="shared" si="129"/>
        <v>96.51</v>
      </c>
      <c r="T1357" s="10" t="s">
        <v>349</v>
      </c>
      <c r="U1357" t="s">
        <v>442</v>
      </c>
      <c r="V1357" s="58">
        <v>7.1775000000000002</v>
      </c>
      <c r="W1357" s="38">
        <f t="shared" si="131"/>
        <v>98.113688610240331</v>
      </c>
    </row>
    <row r="1358" spans="1:23">
      <c r="A1358" t="s">
        <v>2615</v>
      </c>
      <c r="B1358" s="20">
        <v>45741</v>
      </c>
      <c r="C1358" s="20">
        <v>45720</v>
      </c>
      <c r="D1358" t="s">
        <v>28</v>
      </c>
      <c r="E1358" t="s">
        <v>29</v>
      </c>
      <c r="F1358" s="19"/>
      <c r="G1358" t="s">
        <v>2937</v>
      </c>
      <c r="H1358" t="s">
        <v>3203</v>
      </c>
      <c r="I1358" t="s">
        <v>3410</v>
      </c>
      <c r="J1358" s="8" t="str">
        <f t="shared" si="126"/>
        <v>BRKT</v>
      </c>
      <c r="K1358" t="s">
        <v>10</v>
      </c>
      <c r="L1358" s="54">
        <v>1550</v>
      </c>
      <c r="M1358" t="s">
        <v>1472</v>
      </c>
      <c r="N1358" t="s">
        <v>11</v>
      </c>
      <c r="O1358" s="54">
        <v>0.68369999999999997</v>
      </c>
      <c r="P1358" s="35">
        <f t="shared" si="130"/>
        <v>1059.74</v>
      </c>
      <c r="Q1358" s="10">
        <f t="shared" si="127"/>
        <v>7.3003400000000003</v>
      </c>
      <c r="R1358" s="10">
        <f t="shared" si="128"/>
        <v>9.3700000000000006E-2</v>
      </c>
      <c r="S1358" s="11">
        <f t="shared" si="129"/>
        <v>145.24</v>
      </c>
      <c r="T1358" s="10" t="s">
        <v>349</v>
      </c>
      <c r="U1358" t="s">
        <v>442</v>
      </c>
      <c r="V1358" s="58">
        <v>7.1775000000000002</v>
      </c>
      <c r="W1358" s="38">
        <f t="shared" si="131"/>
        <v>147.64681295715778</v>
      </c>
    </row>
    <row r="1359" spans="1:23">
      <c r="A1359" t="s">
        <v>2633</v>
      </c>
      <c r="B1359" s="20">
        <v>45741</v>
      </c>
      <c r="C1359" s="20">
        <v>45721</v>
      </c>
      <c r="D1359" t="s">
        <v>651</v>
      </c>
      <c r="E1359" t="s">
        <v>652</v>
      </c>
      <c r="F1359" s="19"/>
      <c r="G1359" t="s">
        <v>3014</v>
      </c>
      <c r="H1359" t="s">
        <v>1674</v>
      </c>
      <c r="I1359" t="s">
        <v>1675</v>
      </c>
      <c r="J1359" s="8" t="str">
        <f t="shared" si="126"/>
        <v>HDL-</v>
      </c>
      <c r="K1359" t="s">
        <v>10</v>
      </c>
      <c r="L1359" s="54">
        <v>3100</v>
      </c>
      <c r="M1359" t="s">
        <v>1472</v>
      </c>
      <c r="N1359" t="s">
        <v>11</v>
      </c>
      <c r="O1359" s="54">
        <v>2.0844999999999998</v>
      </c>
      <c r="P1359" s="35">
        <f t="shared" si="130"/>
        <v>6461.95</v>
      </c>
      <c r="Q1359" s="10">
        <f t="shared" si="127"/>
        <v>7.3003400000000003</v>
      </c>
      <c r="R1359" s="10">
        <f t="shared" si="128"/>
        <v>0.28549999999999998</v>
      </c>
      <c r="S1359" s="11">
        <f t="shared" si="129"/>
        <v>885.05</v>
      </c>
      <c r="T1359" s="10" t="s">
        <v>349</v>
      </c>
      <c r="U1359" t="s">
        <v>228</v>
      </c>
      <c r="V1359" s="58">
        <v>7.1775000000000002</v>
      </c>
      <c r="W1359" s="38">
        <f t="shared" si="131"/>
        <v>900.30651340996155</v>
      </c>
    </row>
    <row r="1360" spans="1:23">
      <c r="A1360" t="s">
        <v>2635</v>
      </c>
      <c r="B1360" s="20">
        <v>45741</v>
      </c>
      <c r="C1360" s="20">
        <v>45721</v>
      </c>
      <c r="D1360" t="s">
        <v>28</v>
      </c>
      <c r="E1360" t="s">
        <v>29</v>
      </c>
      <c r="F1360" s="19"/>
      <c r="G1360" t="s">
        <v>3001</v>
      </c>
      <c r="H1360" t="s">
        <v>1629</v>
      </c>
      <c r="I1360" t="s">
        <v>1630</v>
      </c>
      <c r="J1360" s="8" t="str">
        <f t="shared" si="126"/>
        <v>FG--</v>
      </c>
      <c r="K1360" t="s">
        <v>10</v>
      </c>
      <c r="L1360" s="54">
        <v>500</v>
      </c>
      <c r="M1360" t="s">
        <v>1472</v>
      </c>
      <c r="N1360" t="s">
        <v>11</v>
      </c>
      <c r="O1360" s="54">
        <v>0.4859</v>
      </c>
      <c r="P1360" s="35">
        <f t="shared" si="130"/>
        <v>242.95</v>
      </c>
      <c r="Q1360" s="10">
        <f t="shared" si="127"/>
        <v>7.3003400000000003</v>
      </c>
      <c r="R1360" s="10">
        <f t="shared" si="128"/>
        <v>6.6600000000000006E-2</v>
      </c>
      <c r="S1360" s="11">
        <f t="shared" si="129"/>
        <v>33.299999999999997</v>
      </c>
      <c r="T1360" s="10" t="s">
        <v>349</v>
      </c>
      <c r="U1360" t="s">
        <v>64</v>
      </c>
      <c r="V1360" s="58">
        <v>7.1775000000000002</v>
      </c>
      <c r="W1360" s="38">
        <f t="shared" si="131"/>
        <v>33.848833159177985</v>
      </c>
    </row>
    <row r="1361" spans="1:23">
      <c r="A1361" t="s">
        <v>2636</v>
      </c>
      <c r="B1361" s="20">
        <v>45741</v>
      </c>
      <c r="C1361" s="20">
        <v>45721</v>
      </c>
      <c r="D1361" t="s">
        <v>28</v>
      </c>
      <c r="E1361" t="s">
        <v>29</v>
      </c>
      <c r="F1361" s="19"/>
      <c r="G1361" t="s">
        <v>2937</v>
      </c>
      <c r="H1361" t="s">
        <v>3203</v>
      </c>
      <c r="I1361" t="s">
        <v>3410</v>
      </c>
      <c r="J1361" s="8" t="str">
        <f t="shared" si="126"/>
        <v>BRKT</v>
      </c>
      <c r="K1361" t="s">
        <v>10</v>
      </c>
      <c r="L1361" s="54">
        <v>500</v>
      </c>
      <c r="M1361" t="s">
        <v>1472</v>
      </c>
      <c r="N1361" t="s">
        <v>11</v>
      </c>
      <c r="O1361" s="54">
        <v>0.68369999999999997</v>
      </c>
      <c r="P1361" s="35">
        <f t="shared" si="130"/>
        <v>341.85</v>
      </c>
      <c r="Q1361" s="10">
        <f t="shared" si="127"/>
        <v>7.3003400000000003</v>
      </c>
      <c r="R1361" s="10">
        <f t="shared" si="128"/>
        <v>9.3700000000000006E-2</v>
      </c>
      <c r="S1361" s="11">
        <f t="shared" si="129"/>
        <v>46.85</v>
      </c>
      <c r="T1361" s="10" t="s">
        <v>349</v>
      </c>
      <c r="U1361" t="s">
        <v>442</v>
      </c>
      <c r="V1361" s="58">
        <v>7.1775000000000002</v>
      </c>
      <c r="W1361" s="38">
        <f t="shared" si="131"/>
        <v>47.628004179728315</v>
      </c>
    </row>
    <row r="1362" spans="1:23">
      <c r="A1362" t="s">
        <v>2638</v>
      </c>
      <c r="B1362" s="20">
        <v>45741</v>
      </c>
      <c r="C1362" s="20">
        <v>45721</v>
      </c>
      <c r="D1362" t="s">
        <v>2247</v>
      </c>
      <c r="E1362" t="s">
        <v>2248</v>
      </c>
      <c r="F1362" s="19"/>
      <c r="G1362" t="s">
        <v>3020</v>
      </c>
      <c r="H1362" t="s">
        <v>1635</v>
      </c>
      <c r="I1362" t="s">
        <v>1636</v>
      </c>
      <c r="J1362" s="8" t="str">
        <f t="shared" si="126"/>
        <v>KNOB</v>
      </c>
      <c r="K1362" t="s">
        <v>10</v>
      </c>
      <c r="L1362" s="54">
        <v>500</v>
      </c>
      <c r="M1362" t="s">
        <v>1472</v>
      </c>
      <c r="N1362" t="s">
        <v>11</v>
      </c>
      <c r="O1362" s="54">
        <v>0.70320000000000005</v>
      </c>
      <c r="P1362" s="35">
        <f t="shared" si="130"/>
        <v>351.6</v>
      </c>
      <c r="Q1362" s="10">
        <f t="shared" si="127"/>
        <v>7.3003400000000003</v>
      </c>
      <c r="R1362" s="10">
        <f t="shared" si="128"/>
        <v>9.6299999999999997E-2</v>
      </c>
      <c r="S1362" s="11">
        <f t="shared" si="129"/>
        <v>48.15</v>
      </c>
      <c r="T1362" s="10" t="s">
        <v>349</v>
      </c>
      <c r="U1362" t="s">
        <v>32</v>
      </c>
      <c r="V1362" s="58">
        <v>7.1775000000000002</v>
      </c>
      <c r="W1362" s="38">
        <f t="shared" si="131"/>
        <v>48.986415882967606</v>
      </c>
    </row>
    <row r="1363" spans="1:23">
      <c r="A1363" t="s">
        <v>2663</v>
      </c>
      <c r="B1363" s="20">
        <v>45741</v>
      </c>
      <c r="C1363" s="20">
        <v>45723</v>
      </c>
      <c r="D1363" t="s">
        <v>28</v>
      </c>
      <c r="E1363" t="s">
        <v>29</v>
      </c>
      <c r="F1363" s="19"/>
      <c r="G1363" t="s">
        <v>2937</v>
      </c>
      <c r="H1363" t="s">
        <v>3202</v>
      </c>
      <c r="I1363" t="s">
        <v>3409</v>
      </c>
      <c r="J1363" s="8" t="str">
        <f t="shared" si="126"/>
        <v>BRKT</v>
      </c>
      <c r="K1363" t="s">
        <v>10</v>
      </c>
      <c r="L1363" s="54">
        <v>500</v>
      </c>
      <c r="M1363" t="s">
        <v>1472</v>
      </c>
      <c r="N1363" t="s">
        <v>11</v>
      </c>
      <c r="O1363" s="54">
        <v>0.68369999999999997</v>
      </c>
      <c r="P1363" s="35">
        <f t="shared" si="130"/>
        <v>341.85</v>
      </c>
      <c r="Q1363" s="10">
        <f t="shared" si="127"/>
        <v>7.3003400000000003</v>
      </c>
      <c r="R1363" s="10">
        <f t="shared" si="128"/>
        <v>9.3700000000000006E-2</v>
      </c>
      <c r="S1363" s="11">
        <f t="shared" si="129"/>
        <v>46.85</v>
      </c>
      <c r="T1363" s="10" t="s">
        <v>349</v>
      </c>
      <c r="U1363" t="s">
        <v>442</v>
      </c>
      <c r="V1363" s="58">
        <v>7.1775000000000002</v>
      </c>
      <c r="W1363" s="38">
        <f t="shared" si="131"/>
        <v>47.628004179728315</v>
      </c>
    </row>
    <row r="1364" spans="1:23">
      <c r="A1364" t="s">
        <v>2664</v>
      </c>
      <c r="B1364" s="20">
        <v>45741</v>
      </c>
      <c r="C1364" s="20">
        <v>45723</v>
      </c>
      <c r="D1364" t="s">
        <v>28</v>
      </c>
      <c r="E1364" t="s">
        <v>29</v>
      </c>
      <c r="F1364" s="19"/>
      <c r="G1364" t="s">
        <v>2937</v>
      </c>
      <c r="H1364" t="s">
        <v>1152</v>
      </c>
      <c r="I1364" t="s">
        <v>1153</v>
      </c>
      <c r="J1364" s="8" t="str">
        <f t="shared" si="126"/>
        <v>BRKT</v>
      </c>
      <c r="K1364" t="s">
        <v>10</v>
      </c>
      <c r="L1364" s="54">
        <v>1530</v>
      </c>
      <c r="M1364" t="s">
        <v>1472</v>
      </c>
      <c r="N1364" t="s">
        <v>11</v>
      </c>
      <c r="O1364" s="54">
        <v>0.6522</v>
      </c>
      <c r="P1364" s="35">
        <f t="shared" si="130"/>
        <v>997.87</v>
      </c>
      <c r="Q1364" s="10">
        <f t="shared" si="127"/>
        <v>7.3003400000000003</v>
      </c>
      <c r="R1364" s="10">
        <f t="shared" si="128"/>
        <v>8.9300000000000004E-2</v>
      </c>
      <c r="S1364" s="11">
        <f t="shared" si="129"/>
        <v>136.63</v>
      </c>
      <c r="T1364" s="10" t="s">
        <v>349</v>
      </c>
      <c r="U1364" t="s">
        <v>442</v>
      </c>
      <c r="V1364" s="58">
        <v>7.1775000000000002</v>
      </c>
      <c r="W1364" s="38">
        <f t="shared" si="131"/>
        <v>139.0269592476489</v>
      </c>
    </row>
    <row r="1365" spans="1:23">
      <c r="A1365" t="s">
        <v>2696</v>
      </c>
      <c r="B1365" s="20">
        <v>45741</v>
      </c>
      <c r="C1365" s="20">
        <v>45728</v>
      </c>
      <c r="D1365" t="s">
        <v>709</v>
      </c>
      <c r="E1365" t="s">
        <v>710</v>
      </c>
      <c r="F1365" s="19"/>
      <c r="G1365" t="s">
        <v>2930</v>
      </c>
      <c r="H1365" t="s">
        <v>1647</v>
      </c>
      <c r="I1365" t="s">
        <v>1648</v>
      </c>
      <c r="J1365" s="8" t="str">
        <f t="shared" ref="J1365:J1428" si="132">+LEFT(U1365,4)</f>
        <v>KNOB</v>
      </c>
      <c r="K1365" t="s">
        <v>10</v>
      </c>
      <c r="L1365" s="54">
        <v>1010</v>
      </c>
      <c r="M1365" t="s">
        <v>1472</v>
      </c>
      <c r="N1365" t="s">
        <v>11</v>
      </c>
      <c r="O1365" s="54">
        <v>1.0902000000000001</v>
      </c>
      <c r="P1365" s="35">
        <f t="shared" si="130"/>
        <v>1101.0999999999999</v>
      </c>
      <c r="Q1365" s="10">
        <f t="shared" ref="Q1365:Q1428" si="133">IF(N1365="HKD",7.8,IF(N1365="CNY",7.30034,1))</f>
        <v>7.3003400000000003</v>
      </c>
      <c r="R1365" s="10">
        <f t="shared" ref="R1365:R1428" si="134">+ROUND(O1365/Q1365,4)</f>
        <v>0.14929999999999999</v>
      </c>
      <c r="S1365" s="11">
        <f t="shared" ref="S1365:S1428" si="135">ROUND(R1365*L1365,2)</f>
        <v>150.79</v>
      </c>
      <c r="T1365" s="10" t="s">
        <v>349</v>
      </c>
      <c r="U1365" t="s">
        <v>32</v>
      </c>
      <c r="V1365" s="58">
        <v>7.1775000000000002</v>
      </c>
      <c r="W1365" s="38">
        <f t="shared" si="131"/>
        <v>153.41024033437827</v>
      </c>
    </row>
    <row r="1366" spans="1:23">
      <c r="A1366" t="s">
        <v>2697</v>
      </c>
      <c r="B1366" s="20">
        <v>45741</v>
      </c>
      <c r="C1366" s="20">
        <v>45728</v>
      </c>
      <c r="D1366" t="s">
        <v>709</v>
      </c>
      <c r="E1366" t="s">
        <v>710</v>
      </c>
      <c r="F1366" s="19"/>
      <c r="G1366" t="s">
        <v>2930</v>
      </c>
      <c r="H1366" t="s">
        <v>3227</v>
      </c>
      <c r="I1366" t="s">
        <v>3434</v>
      </c>
      <c r="J1366" s="8" t="str">
        <f t="shared" si="132"/>
        <v>KNOB</v>
      </c>
      <c r="K1366" t="s">
        <v>10</v>
      </c>
      <c r="L1366" s="54">
        <v>3000</v>
      </c>
      <c r="M1366" t="s">
        <v>1472</v>
      </c>
      <c r="N1366" t="s">
        <v>11</v>
      </c>
      <c r="O1366" s="54">
        <v>1.6423000000000001</v>
      </c>
      <c r="P1366" s="35">
        <f t="shared" si="130"/>
        <v>4926.8999999999996</v>
      </c>
      <c r="Q1366" s="10">
        <f t="shared" si="133"/>
        <v>7.3003400000000003</v>
      </c>
      <c r="R1366" s="10">
        <f t="shared" si="134"/>
        <v>0.22500000000000001</v>
      </c>
      <c r="S1366" s="11">
        <f t="shared" si="135"/>
        <v>675</v>
      </c>
      <c r="T1366" s="10" t="s">
        <v>349</v>
      </c>
      <c r="U1366" t="s">
        <v>32</v>
      </c>
      <c r="V1366" s="58">
        <v>7.1775000000000002</v>
      </c>
      <c r="W1366" s="38">
        <f t="shared" si="131"/>
        <v>686.43678160919546</v>
      </c>
    </row>
    <row r="1367" spans="1:23">
      <c r="A1367" t="s">
        <v>2698</v>
      </c>
      <c r="B1367" s="20">
        <v>45741</v>
      </c>
      <c r="C1367" s="20">
        <v>45728</v>
      </c>
      <c r="D1367" t="s">
        <v>709</v>
      </c>
      <c r="E1367" t="s">
        <v>710</v>
      </c>
      <c r="F1367" s="19"/>
      <c r="G1367" t="s">
        <v>2930</v>
      </c>
      <c r="H1367" t="s">
        <v>1641</v>
      </c>
      <c r="I1367" t="s">
        <v>1642</v>
      </c>
      <c r="J1367" s="8" t="str">
        <f t="shared" si="132"/>
        <v>KNOB</v>
      </c>
      <c r="K1367" t="s">
        <v>10</v>
      </c>
      <c r="L1367" s="54">
        <v>4100</v>
      </c>
      <c r="M1367" t="s">
        <v>1472</v>
      </c>
      <c r="N1367" t="s">
        <v>11</v>
      </c>
      <c r="O1367" s="54">
        <v>0.87629999999999997</v>
      </c>
      <c r="P1367" s="35">
        <f t="shared" si="130"/>
        <v>3592.83</v>
      </c>
      <c r="Q1367" s="10">
        <f t="shared" si="133"/>
        <v>7.3003400000000003</v>
      </c>
      <c r="R1367" s="10">
        <f t="shared" si="134"/>
        <v>0.12</v>
      </c>
      <c r="S1367" s="11">
        <f t="shared" si="135"/>
        <v>492</v>
      </c>
      <c r="T1367" s="10" t="s">
        <v>349</v>
      </c>
      <c r="U1367" t="s">
        <v>32</v>
      </c>
      <c r="V1367" s="58">
        <v>7.1775000000000002</v>
      </c>
      <c r="W1367" s="38">
        <f t="shared" si="131"/>
        <v>500.5684430512016</v>
      </c>
    </row>
    <row r="1368" spans="1:23">
      <c r="A1368" t="s">
        <v>2715</v>
      </c>
      <c r="B1368" s="20">
        <v>45741</v>
      </c>
      <c r="C1368" s="20">
        <v>45728</v>
      </c>
      <c r="D1368" t="s">
        <v>651</v>
      </c>
      <c r="E1368" t="s">
        <v>652</v>
      </c>
      <c r="F1368" s="19"/>
      <c r="G1368" t="s">
        <v>3014</v>
      </c>
      <c r="H1368" t="s">
        <v>1674</v>
      </c>
      <c r="I1368" t="s">
        <v>1675</v>
      </c>
      <c r="J1368" s="8" t="str">
        <f t="shared" si="132"/>
        <v>HDL-</v>
      </c>
      <c r="K1368" t="s">
        <v>10</v>
      </c>
      <c r="L1368" s="54">
        <v>3000</v>
      </c>
      <c r="M1368" t="s">
        <v>1472</v>
      </c>
      <c r="N1368" t="s">
        <v>11</v>
      </c>
      <c r="O1368" s="54">
        <v>2.0844999999999998</v>
      </c>
      <c r="P1368" s="35">
        <f t="shared" si="130"/>
        <v>6253.5</v>
      </c>
      <c r="Q1368" s="10">
        <f t="shared" si="133"/>
        <v>7.3003400000000003</v>
      </c>
      <c r="R1368" s="10">
        <f t="shared" si="134"/>
        <v>0.28549999999999998</v>
      </c>
      <c r="S1368" s="11">
        <f t="shared" si="135"/>
        <v>856.5</v>
      </c>
      <c r="T1368" s="10" t="s">
        <v>349</v>
      </c>
      <c r="U1368" t="s">
        <v>228</v>
      </c>
      <c r="V1368" s="58">
        <v>7.1775000000000002</v>
      </c>
      <c r="W1368" s="38">
        <f t="shared" si="131"/>
        <v>871.26436781609186</v>
      </c>
    </row>
    <row r="1369" spans="1:23">
      <c r="A1369" t="s">
        <v>2716</v>
      </c>
      <c r="B1369" s="20">
        <v>45741</v>
      </c>
      <c r="C1369" s="20">
        <v>45728</v>
      </c>
      <c r="D1369" t="s">
        <v>651</v>
      </c>
      <c r="E1369" t="s">
        <v>652</v>
      </c>
      <c r="F1369" s="19"/>
      <c r="G1369" t="s">
        <v>3038</v>
      </c>
      <c r="H1369" t="s">
        <v>3237</v>
      </c>
      <c r="I1369" t="s">
        <v>3444</v>
      </c>
      <c r="J1369" s="8" t="str">
        <f t="shared" si="132"/>
        <v>FG--</v>
      </c>
      <c r="K1369" t="s">
        <v>10</v>
      </c>
      <c r="L1369" s="54">
        <v>2030</v>
      </c>
      <c r="M1369" t="s">
        <v>1472</v>
      </c>
      <c r="N1369" t="s">
        <v>11</v>
      </c>
      <c r="O1369" s="54">
        <v>0.77500000000000002</v>
      </c>
      <c r="P1369" s="35">
        <f t="shared" si="130"/>
        <v>1573.25</v>
      </c>
      <c r="Q1369" s="10">
        <f t="shared" si="133"/>
        <v>7.3003400000000003</v>
      </c>
      <c r="R1369" s="10">
        <f t="shared" si="134"/>
        <v>0.1062</v>
      </c>
      <c r="S1369" s="11">
        <f t="shared" si="135"/>
        <v>215.59</v>
      </c>
      <c r="T1369" s="10" t="s">
        <v>349</v>
      </c>
      <c r="U1369" t="s">
        <v>64</v>
      </c>
      <c r="V1369" s="58">
        <v>7.1775000000000002</v>
      </c>
      <c r="W1369" s="38">
        <f t="shared" si="131"/>
        <v>219.1919191919192</v>
      </c>
    </row>
    <row r="1370" spans="1:23">
      <c r="A1370" t="s">
        <v>2717</v>
      </c>
      <c r="B1370" s="20">
        <v>45741</v>
      </c>
      <c r="C1370" s="20">
        <v>45728</v>
      </c>
      <c r="D1370" t="s">
        <v>651</v>
      </c>
      <c r="E1370" t="s">
        <v>652</v>
      </c>
      <c r="F1370" s="19"/>
      <c r="G1370" t="s">
        <v>3038</v>
      </c>
      <c r="H1370" t="s">
        <v>3238</v>
      </c>
      <c r="I1370" t="s">
        <v>3445</v>
      </c>
      <c r="J1370" s="8" t="str">
        <f t="shared" si="132"/>
        <v>FG--</v>
      </c>
      <c r="K1370" t="s">
        <v>10</v>
      </c>
      <c r="L1370" s="54">
        <v>3100</v>
      </c>
      <c r="M1370" t="s">
        <v>1472</v>
      </c>
      <c r="N1370" t="s">
        <v>11</v>
      </c>
      <c r="O1370" s="54">
        <v>0.82320000000000004</v>
      </c>
      <c r="P1370" s="35">
        <f t="shared" si="130"/>
        <v>2551.92</v>
      </c>
      <c r="Q1370" s="10">
        <f t="shared" si="133"/>
        <v>7.3003400000000003</v>
      </c>
      <c r="R1370" s="10">
        <f t="shared" si="134"/>
        <v>0.1128</v>
      </c>
      <c r="S1370" s="11">
        <f t="shared" si="135"/>
        <v>349.68</v>
      </c>
      <c r="T1370" s="10" t="s">
        <v>349</v>
      </c>
      <c r="U1370" t="s">
        <v>64</v>
      </c>
      <c r="V1370" s="58">
        <v>7.1775000000000002</v>
      </c>
      <c r="W1370" s="38">
        <f t="shared" si="131"/>
        <v>355.54440961337514</v>
      </c>
    </row>
    <row r="1371" spans="1:23">
      <c r="A1371" t="s">
        <v>2718</v>
      </c>
      <c r="B1371" s="20">
        <v>45741</v>
      </c>
      <c r="C1371" s="20">
        <v>45728</v>
      </c>
      <c r="D1371" t="s">
        <v>28</v>
      </c>
      <c r="E1371" t="s">
        <v>29</v>
      </c>
      <c r="F1371" s="19"/>
      <c r="G1371" t="s">
        <v>3001</v>
      </c>
      <c r="H1371" t="s">
        <v>1149</v>
      </c>
      <c r="I1371" t="s">
        <v>1150</v>
      </c>
      <c r="J1371" s="8" t="str">
        <f t="shared" si="132"/>
        <v>BRKT</v>
      </c>
      <c r="K1371" t="s">
        <v>10</v>
      </c>
      <c r="L1371" s="54">
        <v>3100</v>
      </c>
      <c r="M1371" t="s">
        <v>1472</v>
      </c>
      <c r="N1371" t="s">
        <v>11</v>
      </c>
      <c r="O1371" s="54">
        <v>0.57750000000000001</v>
      </c>
      <c r="P1371" s="35">
        <f t="shared" si="130"/>
        <v>1790.25</v>
      </c>
      <c r="Q1371" s="10">
        <f t="shared" si="133"/>
        <v>7.3003400000000003</v>
      </c>
      <c r="R1371" s="10">
        <f t="shared" si="134"/>
        <v>7.9100000000000004E-2</v>
      </c>
      <c r="S1371" s="11">
        <f t="shared" si="135"/>
        <v>245.21</v>
      </c>
      <c r="T1371" s="10" t="s">
        <v>349</v>
      </c>
      <c r="U1371" t="s">
        <v>442</v>
      </c>
      <c r="V1371" s="58">
        <v>7.1775000000000002</v>
      </c>
      <c r="W1371" s="38">
        <f t="shared" si="131"/>
        <v>249.42528735632183</v>
      </c>
    </row>
    <row r="1372" spans="1:23">
      <c r="A1372" t="s">
        <v>2719</v>
      </c>
      <c r="B1372" s="20">
        <v>45741</v>
      </c>
      <c r="C1372" s="20">
        <v>45728</v>
      </c>
      <c r="D1372" t="s">
        <v>28</v>
      </c>
      <c r="E1372" t="s">
        <v>29</v>
      </c>
      <c r="F1372" s="19"/>
      <c r="G1372" t="s">
        <v>3001</v>
      </c>
      <c r="H1372" t="s">
        <v>1145</v>
      </c>
      <c r="I1372" t="s">
        <v>1146</v>
      </c>
      <c r="J1372" s="8" t="str">
        <f t="shared" si="132"/>
        <v>BRKT</v>
      </c>
      <c r="K1372" t="s">
        <v>10</v>
      </c>
      <c r="L1372" s="54">
        <v>3100</v>
      </c>
      <c r="M1372" t="s">
        <v>1472</v>
      </c>
      <c r="N1372" t="s">
        <v>11</v>
      </c>
      <c r="O1372" s="54">
        <v>0.59809999999999997</v>
      </c>
      <c r="P1372" s="35">
        <f t="shared" si="130"/>
        <v>1854.11</v>
      </c>
      <c r="Q1372" s="10">
        <f t="shared" si="133"/>
        <v>7.3003400000000003</v>
      </c>
      <c r="R1372" s="10">
        <f t="shared" si="134"/>
        <v>8.1900000000000001E-2</v>
      </c>
      <c r="S1372" s="11">
        <f t="shared" si="135"/>
        <v>253.89</v>
      </c>
      <c r="T1372" s="10" t="s">
        <v>349</v>
      </c>
      <c r="U1372" t="s">
        <v>442</v>
      </c>
      <c r="V1372" s="58">
        <v>7.1775000000000002</v>
      </c>
      <c r="W1372" s="38">
        <f t="shared" si="131"/>
        <v>258.32253570184605</v>
      </c>
    </row>
    <row r="1373" spans="1:23">
      <c r="A1373" t="s">
        <v>2720</v>
      </c>
      <c r="B1373" s="20">
        <v>45741</v>
      </c>
      <c r="C1373" s="20">
        <v>45728</v>
      </c>
      <c r="D1373" t="s">
        <v>128</v>
      </c>
      <c r="E1373" t="s">
        <v>129</v>
      </c>
      <c r="F1373" s="19"/>
      <c r="G1373" t="s">
        <v>2938</v>
      </c>
      <c r="H1373" t="s">
        <v>954</v>
      </c>
      <c r="I1373" t="s">
        <v>955</v>
      </c>
      <c r="J1373" s="8" t="str">
        <f t="shared" si="132"/>
        <v>RIV-</v>
      </c>
      <c r="K1373" t="s">
        <v>10</v>
      </c>
      <c r="L1373" s="54">
        <v>3500</v>
      </c>
      <c r="M1373" t="s">
        <v>1472</v>
      </c>
      <c r="N1373" t="s">
        <v>11</v>
      </c>
      <c r="O1373" s="54">
        <v>7.0099999999999996E-2</v>
      </c>
      <c r="P1373" s="35">
        <f t="shared" si="130"/>
        <v>245.35</v>
      </c>
      <c r="Q1373" s="10">
        <f t="shared" si="133"/>
        <v>7.3003400000000003</v>
      </c>
      <c r="R1373" s="10">
        <f t="shared" si="134"/>
        <v>9.5999999999999992E-3</v>
      </c>
      <c r="S1373" s="11">
        <f t="shared" si="135"/>
        <v>33.6</v>
      </c>
      <c r="T1373" s="10" t="s">
        <v>349</v>
      </c>
      <c r="U1373" t="s">
        <v>132</v>
      </c>
      <c r="V1373" s="58">
        <v>7.1775000000000002</v>
      </c>
      <c r="W1373" s="38">
        <f t="shared" si="131"/>
        <v>34.183211424590731</v>
      </c>
    </row>
    <row r="1374" spans="1:23">
      <c r="A1374" t="s">
        <v>2754</v>
      </c>
      <c r="B1374" s="20">
        <v>45741</v>
      </c>
      <c r="C1374" s="20">
        <v>45729</v>
      </c>
      <c r="D1374" t="s">
        <v>128</v>
      </c>
      <c r="E1374" t="s">
        <v>129</v>
      </c>
      <c r="F1374" s="19"/>
      <c r="G1374" t="s">
        <v>2938</v>
      </c>
      <c r="H1374" t="s">
        <v>954</v>
      </c>
      <c r="I1374" t="s">
        <v>955</v>
      </c>
      <c r="J1374" s="8" t="str">
        <f t="shared" si="132"/>
        <v>RIV-</v>
      </c>
      <c r="K1374" t="s">
        <v>10</v>
      </c>
      <c r="L1374" s="54">
        <v>1000</v>
      </c>
      <c r="M1374" t="s">
        <v>1472</v>
      </c>
      <c r="N1374" t="s">
        <v>11</v>
      </c>
      <c r="O1374" s="54">
        <v>7.0099999999999996E-2</v>
      </c>
      <c r="P1374" s="35">
        <f t="shared" si="130"/>
        <v>70.099999999999994</v>
      </c>
      <c r="Q1374" s="10">
        <f t="shared" si="133"/>
        <v>7.3003400000000003</v>
      </c>
      <c r="R1374" s="10">
        <f t="shared" si="134"/>
        <v>9.5999999999999992E-3</v>
      </c>
      <c r="S1374" s="11">
        <f t="shared" si="135"/>
        <v>9.6</v>
      </c>
      <c r="T1374" s="10" t="s">
        <v>349</v>
      </c>
      <c r="U1374" t="s">
        <v>132</v>
      </c>
      <c r="V1374" s="58">
        <v>7.1775000000000002</v>
      </c>
      <c r="W1374" s="38">
        <f t="shared" si="131"/>
        <v>9.7666318355973516</v>
      </c>
    </row>
    <row r="1375" spans="1:23">
      <c r="A1375" t="s">
        <v>2767</v>
      </c>
      <c r="B1375" s="20">
        <v>45741</v>
      </c>
      <c r="C1375" s="20">
        <v>45730</v>
      </c>
      <c r="D1375" t="s">
        <v>806</v>
      </c>
      <c r="E1375" t="s">
        <v>807</v>
      </c>
      <c r="F1375" s="19"/>
      <c r="G1375" t="s">
        <v>3024</v>
      </c>
      <c r="H1375" t="s">
        <v>3254</v>
      </c>
      <c r="I1375" t="s">
        <v>3461</v>
      </c>
      <c r="J1375" s="8" t="str">
        <f t="shared" si="132"/>
        <v>SWF-</v>
      </c>
      <c r="K1375" t="s">
        <v>10</v>
      </c>
      <c r="L1375" s="54">
        <v>11</v>
      </c>
      <c r="M1375" t="s">
        <v>186</v>
      </c>
      <c r="N1375" t="s">
        <v>11</v>
      </c>
      <c r="O1375" s="54">
        <v>17.2</v>
      </c>
      <c r="P1375" s="35">
        <f t="shared" si="130"/>
        <v>189.2</v>
      </c>
      <c r="Q1375" s="10">
        <f t="shared" si="133"/>
        <v>7.3003400000000003</v>
      </c>
      <c r="R1375" s="10">
        <f t="shared" si="134"/>
        <v>2.3561000000000001</v>
      </c>
      <c r="S1375" s="11">
        <f t="shared" si="135"/>
        <v>25.92</v>
      </c>
      <c r="T1375" s="10" t="s">
        <v>349</v>
      </c>
      <c r="U1375" t="s">
        <v>3483</v>
      </c>
      <c r="V1375" s="58">
        <v>7.1775000000000002</v>
      </c>
      <c r="W1375" s="38">
        <f t="shared" si="131"/>
        <v>26.360153256704979</v>
      </c>
    </row>
    <row r="1376" spans="1:23">
      <c r="A1376" t="s">
        <v>2768</v>
      </c>
      <c r="B1376" s="20">
        <v>45741</v>
      </c>
      <c r="C1376" s="20">
        <v>45730</v>
      </c>
      <c r="D1376" t="s">
        <v>806</v>
      </c>
      <c r="E1376" t="s">
        <v>807</v>
      </c>
      <c r="F1376" s="19"/>
      <c r="G1376" t="s">
        <v>3024</v>
      </c>
      <c r="H1376" t="s">
        <v>3255</v>
      </c>
      <c r="I1376" t="s">
        <v>3462</v>
      </c>
      <c r="J1376" s="8" t="str">
        <f t="shared" si="132"/>
        <v>SWF-</v>
      </c>
      <c r="K1376" t="s">
        <v>10</v>
      </c>
      <c r="L1376" s="54">
        <v>9</v>
      </c>
      <c r="M1376" t="s">
        <v>186</v>
      </c>
      <c r="N1376" t="s">
        <v>11</v>
      </c>
      <c r="O1376" s="54">
        <v>17.2</v>
      </c>
      <c r="P1376" s="35">
        <f t="shared" si="130"/>
        <v>154.80000000000001</v>
      </c>
      <c r="Q1376" s="10">
        <f t="shared" si="133"/>
        <v>7.3003400000000003</v>
      </c>
      <c r="R1376" s="10">
        <f t="shared" si="134"/>
        <v>2.3561000000000001</v>
      </c>
      <c r="S1376" s="11">
        <f t="shared" si="135"/>
        <v>21.2</v>
      </c>
      <c r="T1376" s="10" t="s">
        <v>349</v>
      </c>
      <c r="U1376" t="s">
        <v>3483</v>
      </c>
      <c r="V1376" s="58">
        <v>7.1775000000000002</v>
      </c>
      <c r="W1376" s="38">
        <f t="shared" si="131"/>
        <v>21.567398119122256</v>
      </c>
    </row>
    <row r="1377" spans="1:23">
      <c r="A1377" t="s">
        <v>2769</v>
      </c>
      <c r="B1377" s="20">
        <v>45741</v>
      </c>
      <c r="C1377" s="20">
        <v>45730</v>
      </c>
      <c r="D1377" t="s">
        <v>806</v>
      </c>
      <c r="E1377" t="s">
        <v>807</v>
      </c>
      <c r="F1377" s="19"/>
      <c r="G1377" t="s">
        <v>3024</v>
      </c>
      <c r="H1377" t="s">
        <v>3087</v>
      </c>
      <c r="I1377" t="s">
        <v>3303</v>
      </c>
      <c r="J1377" s="8" t="str">
        <f t="shared" si="132"/>
        <v>SWF-</v>
      </c>
      <c r="K1377" t="s">
        <v>10</v>
      </c>
      <c r="L1377" s="54">
        <v>16.5</v>
      </c>
      <c r="M1377" t="s">
        <v>186</v>
      </c>
      <c r="N1377" t="s">
        <v>11</v>
      </c>
      <c r="O1377" s="54">
        <v>16</v>
      </c>
      <c r="P1377" s="35">
        <f t="shared" si="130"/>
        <v>264</v>
      </c>
      <c r="Q1377" s="10">
        <f t="shared" si="133"/>
        <v>7.3003400000000003</v>
      </c>
      <c r="R1377" s="10">
        <f t="shared" si="134"/>
        <v>2.1917</v>
      </c>
      <c r="S1377" s="11">
        <f t="shared" si="135"/>
        <v>36.159999999999997</v>
      </c>
      <c r="T1377" s="10" t="s">
        <v>349</v>
      </c>
      <c r="U1377" t="s">
        <v>3483</v>
      </c>
      <c r="V1377" s="58">
        <v>7.1775000000000002</v>
      </c>
      <c r="W1377" s="38">
        <f t="shared" si="131"/>
        <v>36.781609195402297</v>
      </c>
    </row>
    <row r="1378" spans="1:23">
      <c r="A1378" t="s">
        <v>2284</v>
      </c>
      <c r="B1378" s="20">
        <v>45742</v>
      </c>
      <c r="C1378" s="20">
        <v>45604</v>
      </c>
      <c r="D1378" t="s">
        <v>287</v>
      </c>
      <c r="E1378" t="s">
        <v>288</v>
      </c>
      <c r="F1378" s="19"/>
      <c r="G1378" t="s">
        <v>2851</v>
      </c>
      <c r="H1378" t="s">
        <v>75</v>
      </c>
      <c r="I1378" t="s">
        <v>3280</v>
      </c>
      <c r="J1378" s="8" t="str">
        <f t="shared" si="132"/>
        <v>ANYD</v>
      </c>
      <c r="K1378" t="s">
        <v>10</v>
      </c>
      <c r="L1378" s="54">
        <v>100</v>
      </c>
      <c r="M1378" t="s">
        <v>1472</v>
      </c>
      <c r="N1378" t="s">
        <v>11</v>
      </c>
      <c r="O1378" s="54">
        <v>9.2149999999999999</v>
      </c>
      <c r="P1378" s="35">
        <f t="shared" si="130"/>
        <v>921.5</v>
      </c>
      <c r="Q1378" s="10">
        <f t="shared" si="133"/>
        <v>7.3003400000000003</v>
      </c>
      <c r="R1378" s="10">
        <f t="shared" si="134"/>
        <v>1.2623</v>
      </c>
      <c r="S1378" s="11">
        <f t="shared" si="135"/>
        <v>126.23</v>
      </c>
      <c r="T1378" s="10" t="s">
        <v>349</v>
      </c>
      <c r="U1378" t="s">
        <v>36</v>
      </c>
      <c r="V1378" s="58">
        <v>7.1775000000000002</v>
      </c>
      <c r="W1378" s="38">
        <f t="shared" si="131"/>
        <v>128.38732149076978</v>
      </c>
    </row>
    <row r="1379" spans="1:23">
      <c r="A1379" t="s">
        <v>705</v>
      </c>
      <c r="B1379" s="20">
        <v>45742</v>
      </c>
      <c r="C1379" s="20">
        <v>45639</v>
      </c>
      <c r="D1379" t="s">
        <v>287</v>
      </c>
      <c r="E1379" t="s">
        <v>288</v>
      </c>
      <c r="F1379" s="19"/>
      <c r="G1379" t="s">
        <v>2851</v>
      </c>
      <c r="H1379" t="s">
        <v>703</v>
      </c>
      <c r="I1379" t="s">
        <v>704</v>
      </c>
      <c r="J1379" s="8" t="str">
        <f t="shared" si="132"/>
        <v>ANYD</v>
      </c>
      <c r="K1379" t="s">
        <v>10</v>
      </c>
      <c r="L1379" s="54">
        <v>78</v>
      </c>
      <c r="M1379" t="s">
        <v>1472</v>
      </c>
      <c r="N1379" t="s">
        <v>11</v>
      </c>
      <c r="O1379" s="54">
        <v>7.4237000000000002</v>
      </c>
      <c r="P1379" s="35">
        <f t="shared" si="130"/>
        <v>579.04999999999995</v>
      </c>
      <c r="Q1379" s="10">
        <f t="shared" si="133"/>
        <v>7.3003400000000003</v>
      </c>
      <c r="R1379" s="10">
        <f t="shared" si="134"/>
        <v>1.0168999999999999</v>
      </c>
      <c r="S1379" s="11">
        <f t="shared" si="135"/>
        <v>79.319999999999993</v>
      </c>
      <c r="T1379" s="10" t="s">
        <v>349</v>
      </c>
      <c r="U1379" t="s">
        <v>36</v>
      </c>
      <c r="V1379" s="58">
        <v>7.1775000000000002</v>
      </c>
      <c r="W1379" s="38">
        <f t="shared" si="131"/>
        <v>80.675527690700108</v>
      </c>
    </row>
    <row r="1380" spans="1:23">
      <c r="A1380" t="s">
        <v>2316</v>
      </c>
      <c r="B1380" s="20">
        <v>45742</v>
      </c>
      <c r="C1380" s="20">
        <v>45664</v>
      </c>
      <c r="D1380" t="s">
        <v>287</v>
      </c>
      <c r="E1380" t="s">
        <v>288</v>
      </c>
      <c r="F1380" s="19"/>
      <c r="G1380" t="s">
        <v>2851</v>
      </c>
      <c r="H1380" t="s">
        <v>1557</v>
      </c>
      <c r="I1380" t="s">
        <v>1558</v>
      </c>
      <c r="J1380" s="8" t="str">
        <f t="shared" si="132"/>
        <v>ANYD</v>
      </c>
      <c r="K1380" t="s">
        <v>10</v>
      </c>
      <c r="L1380" s="54">
        <v>200</v>
      </c>
      <c r="M1380" t="s">
        <v>1472</v>
      </c>
      <c r="N1380" t="s">
        <v>11</v>
      </c>
      <c r="O1380" s="54">
        <v>7.2716000000000003</v>
      </c>
      <c r="P1380" s="35">
        <f t="shared" si="130"/>
        <v>1454.32</v>
      </c>
      <c r="Q1380" s="10">
        <f t="shared" si="133"/>
        <v>7.3003400000000003</v>
      </c>
      <c r="R1380" s="10">
        <f t="shared" si="134"/>
        <v>0.99609999999999999</v>
      </c>
      <c r="S1380" s="11">
        <f t="shared" si="135"/>
        <v>199.22</v>
      </c>
      <c r="T1380" s="10" t="s">
        <v>349</v>
      </c>
      <c r="U1380" t="s">
        <v>36</v>
      </c>
      <c r="V1380" s="58">
        <v>7.1775000000000002</v>
      </c>
      <c r="W1380" s="38">
        <f t="shared" si="131"/>
        <v>202.62208289794498</v>
      </c>
    </row>
    <row r="1381" spans="1:23">
      <c r="A1381" t="s">
        <v>291</v>
      </c>
      <c r="B1381" s="20">
        <v>45742</v>
      </c>
      <c r="C1381" s="20">
        <v>45670</v>
      </c>
      <c r="D1381" t="s">
        <v>287</v>
      </c>
      <c r="E1381" t="s">
        <v>288</v>
      </c>
      <c r="F1381" s="19"/>
      <c r="G1381" t="s">
        <v>2884</v>
      </c>
      <c r="H1381" t="s">
        <v>76</v>
      </c>
      <c r="I1381" t="s">
        <v>77</v>
      </c>
      <c r="J1381" s="8" t="str">
        <f t="shared" si="132"/>
        <v>GLID</v>
      </c>
      <c r="K1381" t="s">
        <v>10</v>
      </c>
      <c r="L1381" s="54">
        <v>-110</v>
      </c>
      <c r="M1381" t="s">
        <v>1472</v>
      </c>
      <c r="N1381" t="s">
        <v>11</v>
      </c>
      <c r="O1381" s="54">
        <v>6.5929000000000002</v>
      </c>
      <c r="P1381" s="35">
        <f t="shared" si="130"/>
        <v>-725.22</v>
      </c>
      <c r="Q1381" s="10">
        <f t="shared" si="133"/>
        <v>7.3003400000000003</v>
      </c>
      <c r="R1381" s="10">
        <f t="shared" si="134"/>
        <v>0.90310000000000001</v>
      </c>
      <c r="S1381" s="11">
        <f t="shared" si="135"/>
        <v>-99.34</v>
      </c>
      <c r="T1381" s="10" t="s">
        <v>349</v>
      </c>
      <c r="U1381" t="s">
        <v>78</v>
      </c>
      <c r="V1381" s="58">
        <v>7.1775000000000002</v>
      </c>
      <c r="W1381" s="38">
        <f t="shared" si="131"/>
        <v>-101.04061302681991</v>
      </c>
    </row>
    <row r="1382" spans="1:23">
      <c r="A1382" t="s">
        <v>2342</v>
      </c>
      <c r="B1382" s="20">
        <v>45742</v>
      </c>
      <c r="C1382" s="20">
        <v>45674</v>
      </c>
      <c r="D1382" t="s">
        <v>287</v>
      </c>
      <c r="E1382" t="s">
        <v>288</v>
      </c>
      <c r="F1382" s="19"/>
      <c r="G1382" t="s">
        <v>2884</v>
      </c>
      <c r="H1382" t="s">
        <v>3064</v>
      </c>
      <c r="I1382" t="s">
        <v>83</v>
      </c>
      <c r="J1382" s="8" t="str">
        <f t="shared" si="132"/>
        <v>ANYD</v>
      </c>
      <c r="K1382" t="s">
        <v>10</v>
      </c>
      <c r="L1382" s="54">
        <v>-90</v>
      </c>
      <c r="M1382" t="s">
        <v>1472</v>
      </c>
      <c r="N1382" t="s">
        <v>11</v>
      </c>
      <c r="O1382" s="54">
        <v>7.4237000000000002</v>
      </c>
      <c r="P1382" s="35">
        <f t="shared" si="130"/>
        <v>-668.13</v>
      </c>
      <c r="Q1382" s="10">
        <f t="shared" si="133"/>
        <v>7.3003400000000003</v>
      </c>
      <c r="R1382" s="10">
        <f t="shared" si="134"/>
        <v>1.0168999999999999</v>
      </c>
      <c r="S1382" s="11">
        <f t="shared" si="135"/>
        <v>-91.52</v>
      </c>
      <c r="T1382" s="10" t="s">
        <v>349</v>
      </c>
      <c r="U1382" t="s">
        <v>36</v>
      </c>
      <c r="V1382" s="58">
        <v>7.1775000000000002</v>
      </c>
      <c r="W1382" s="38">
        <f t="shared" si="131"/>
        <v>-93.087147335423197</v>
      </c>
    </row>
    <row r="1383" spans="1:23">
      <c r="A1383" t="s">
        <v>2344</v>
      </c>
      <c r="B1383" s="20">
        <v>45742</v>
      </c>
      <c r="C1383" s="20">
        <v>45677</v>
      </c>
      <c r="D1383" t="s">
        <v>287</v>
      </c>
      <c r="E1383" t="s">
        <v>288</v>
      </c>
      <c r="F1383" s="19"/>
      <c r="G1383" t="s">
        <v>2884</v>
      </c>
      <c r="H1383" t="s">
        <v>79</v>
      </c>
      <c r="I1383" t="s">
        <v>80</v>
      </c>
      <c r="J1383" s="8" t="str">
        <f t="shared" si="132"/>
        <v>ANYD</v>
      </c>
      <c r="K1383" t="s">
        <v>10</v>
      </c>
      <c r="L1383" s="54">
        <v>-120</v>
      </c>
      <c r="M1383" t="s">
        <v>1472</v>
      </c>
      <c r="N1383" t="s">
        <v>11</v>
      </c>
      <c r="O1383" s="54">
        <v>6.5929000000000002</v>
      </c>
      <c r="P1383" s="35">
        <f t="shared" si="130"/>
        <v>-791.15</v>
      </c>
      <c r="Q1383" s="10">
        <f t="shared" si="133"/>
        <v>7.3003400000000003</v>
      </c>
      <c r="R1383" s="10">
        <f t="shared" si="134"/>
        <v>0.90310000000000001</v>
      </c>
      <c r="S1383" s="11">
        <f t="shared" si="135"/>
        <v>-108.37</v>
      </c>
      <c r="T1383" s="10" t="s">
        <v>349</v>
      </c>
      <c r="U1383" t="s">
        <v>36</v>
      </c>
      <c r="V1383" s="58">
        <v>7.1775000000000002</v>
      </c>
      <c r="W1383" s="38">
        <f t="shared" si="131"/>
        <v>-110.22612330198537</v>
      </c>
    </row>
    <row r="1384" spans="1:23">
      <c r="A1384" t="s">
        <v>2387</v>
      </c>
      <c r="B1384" s="20">
        <v>45742</v>
      </c>
      <c r="C1384" s="20">
        <v>45695</v>
      </c>
      <c r="D1384" t="s">
        <v>252</v>
      </c>
      <c r="E1384" t="s">
        <v>253</v>
      </c>
      <c r="F1384" s="19"/>
      <c r="G1384" t="s">
        <v>2915</v>
      </c>
      <c r="H1384" t="s">
        <v>1022</v>
      </c>
      <c r="I1384" t="s">
        <v>1023</v>
      </c>
      <c r="J1384" s="8" t="str">
        <f t="shared" si="132"/>
        <v>ANYD</v>
      </c>
      <c r="K1384" t="s">
        <v>10</v>
      </c>
      <c r="L1384" s="54">
        <v>3050</v>
      </c>
      <c r="M1384" t="s">
        <v>1472</v>
      </c>
      <c r="N1384" t="s">
        <v>11</v>
      </c>
      <c r="O1384" s="54">
        <v>1.2838000000000001</v>
      </c>
      <c r="P1384" s="35">
        <f t="shared" si="130"/>
        <v>3915.59</v>
      </c>
      <c r="Q1384" s="10">
        <f t="shared" si="133"/>
        <v>7.3003400000000003</v>
      </c>
      <c r="R1384" s="10">
        <f t="shared" si="134"/>
        <v>0.1759</v>
      </c>
      <c r="S1384" s="11">
        <f t="shared" si="135"/>
        <v>536.5</v>
      </c>
      <c r="T1384" s="10" t="s">
        <v>349</v>
      </c>
      <c r="U1384" t="s">
        <v>36</v>
      </c>
      <c r="V1384" s="58">
        <v>7.1775000000000002</v>
      </c>
      <c r="W1384" s="38">
        <f t="shared" si="131"/>
        <v>545.53674677812614</v>
      </c>
    </row>
    <row r="1385" spans="1:23">
      <c r="A1385" t="s">
        <v>2388</v>
      </c>
      <c r="B1385" s="20">
        <v>45742</v>
      </c>
      <c r="C1385" s="20">
        <v>45695</v>
      </c>
      <c r="D1385" t="s">
        <v>252</v>
      </c>
      <c r="E1385" t="s">
        <v>253</v>
      </c>
      <c r="F1385" s="19"/>
      <c r="G1385" t="s">
        <v>2915</v>
      </c>
      <c r="H1385" t="s">
        <v>682</v>
      </c>
      <c r="I1385" t="s">
        <v>683</v>
      </c>
      <c r="J1385" s="8" t="str">
        <f t="shared" si="132"/>
        <v>ANYD</v>
      </c>
      <c r="K1385" t="s">
        <v>10</v>
      </c>
      <c r="L1385" s="54">
        <v>4900</v>
      </c>
      <c r="M1385" t="s">
        <v>1472</v>
      </c>
      <c r="N1385" t="s">
        <v>11</v>
      </c>
      <c r="O1385" s="54">
        <v>1.3524</v>
      </c>
      <c r="P1385" s="35">
        <f t="shared" si="130"/>
        <v>6626.76</v>
      </c>
      <c r="Q1385" s="10">
        <f t="shared" si="133"/>
        <v>7.3003400000000003</v>
      </c>
      <c r="R1385" s="10">
        <f t="shared" si="134"/>
        <v>0.18529999999999999</v>
      </c>
      <c r="S1385" s="11">
        <f t="shared" si="135"/>
        <v>907.97</v>
      </c>
      <c r="T1385" s="10" t="s">
        <v>349</v>
      </c>
      <c r="U1385" t="s">
        <v>36</v>
      </c>
      <c r="V1385" s="58">
        <v>7.1775000000000002</v>
      </c>
      <c r="W1385" s="38">
        <f t="shared" si="131"/>
        <v>923.26854754440967</v>
      </c>
    </row>
    <row r="1386" spans="1:23">
      <c r="A1386" t="s">
        <v>2391</v>
      </c>
      <c r="B1386" s="20">
        <v>45742</v>
      </c>
      <c r="C1386" s="20">
        <v>45695</v>
      </c>
      <c r="D1386" t="s">
        <v>287</v>
      </c>
      <c r="E1386" t="s">
        <v>288</v>
      </c>
      <c r="F1386" s="19"/>
      <c r="G1386" t="s">
        <v>2884</v>
      </c>
      <c r="H1386" t="s">
        <v>703</v>
      </c>
      <c r="I1386" t="s">
        <v>704</v>
      </c>
      <c r="J1386" s="8" t="str">
        <f t="shared" si="132"/>
        <v>ANYD</v>
      </c>
      <c r="K1386" t="s">
        <v>10</v>
      </c>
      <c r="L1386" s="54">
        <v>-90</v>
      </c>
      <c r="M1386" t="s">
        <v>1472</v>
      </c>
      <c r="N1386" t="s">
        <v>11</v>
      </c>
      <c r="O1386" s="54">
        <v>7.5751999999999997</v>
      </c>
      <c r="P1386" s="35">
        <f t="shared" si="130"/>
        <v>-681.77</v>
      </c>
      <c r="Q1386" s="10">
        <f t="shared" si="133"/>
        <v>7.3003400000000003</v>
      </c>
      <c r="R1386" s="10">
        <f t="shared" si="134"/>
        <v>1.0377000000000001</v>
      </c>
      <c r="S1386" s="11">
        <f t="shared" si="135"/>
        <v>-93.39</v>
      </c>
      <c r="T1386" s="10" t="s">
        <v>349</v>
      </c>
      <c r="U1386" t="s">
        <v>36</v>
      </c>
      <c r="V1386" s="58">
        <v>7.1775000000000002</v>
      </c>
      <c r="W1386" s="38">
        <f t="shared" si="131"/>
        <v>-94.986833855799361</v>
      </c>
    </row>
    <row r="1387" spans="1:23">
      <c r="A1387" t="s">
        <v>2499</v>
      </c>
      <c r="B1387" s="20">
        <v>45742</v>
      </c>
      <c r="C1387" s="20">
        <v>45713</v>
      </c>
      <c r="D1387" t="s">
        <v>2257</v>
      </c>
      <c r="E1387" t="s">
        <v>2258</v>
      </c>
      <c r="F1387" s="19"/>
      <c r="G1387" t="s">
        <v>2957</v>
      </c>
      <c r="H1387" t="s">
        <v>1800</v>
      </c>
      <c r="I1387" t="s">
        <v>1801</v>
      </c>
      <c r="J1387" s="8" t="str">
        <f t="shared" si="132"/>
        <v>HDL-</v>
      </c>
      <c r="K1387" t="s">
        <v>10</v>
      </c>
      <c r="L1387" s="54">
        <v>3520</v>
      </c>
      <c r="M1387" t="s">
        <v>1472</v>
      </c>
      <c r="N1387" t="s">
        <v>11</v>
      </c>
      <c r="O1387" s="54">
        <v>7.4931000000000001</v>
      </c>
      <c r="P1387" s="35">
        <f t="shared" si="130"/>
        <v>26375.71</v>
      </c>
      <c r="Q1387" s="10">
        <f t="shared" si="133"/>
        <v>7.3003400000000003</v>
      </c>
      <c r="R1387" s="10">
        <f t="shared" si="134"/>
        <v>1.0264</v>
      </c>
      <c r="S1387" s="11">
        <f t="shared" si="135"/>
        <v>3612.93</v>
      </c>
      <c r="T1387" s="10" t="s">
        <v>349</v>
      </c>
      <c r="U1387" t="s">
        <v>228</v>
      </c>
      <c r="V1387" s="58">
        <v>7.1775000000000002</v>
      </c>
      <c r="W1387" s="38">
        <f t="shared" si="131"/>
        <v>3674.7770114942527</v>
      </c>
    </row>
    <row r="1388" spans="1:23">
      <c r="A1388" t="s">
        <v>2500</v>
      </c>
      <c r="B1388" s="20">
        <v>45742</v>
      </c>
      <c r="C1388" s="20">
        <v>45713</v>
      </c>
      <c r="D1388" t="s">
        <v>2257</v>
      </c>
      <c r="E1388" t="s">
        <v>2258</v>
      </c>
      <c r="F1388" s="19"/>
      <c r="G1388" t="s">
        <v>2957</v>
      </c>
      <c r="H1388" t="s">
        <v>1800</v>
      </c>
      <c r="I1388" t="s">
        <v>1801</v>
      </c>
      <c r="J1388" s="8" t="str">
        <f t="shared" si="132"/>
        <v>HDL-</v>
      </c>
      <c r="K1388" t="s">
        <v>10</v>
      </c>
      <c r="L1388" s="54">
        <v>2200</v>
      </c>
      <c r="M1388" t="s">
        <v>1472</v>
      </c>
      <c r="N1388" t="s">
        <v>11</v>
      </c>
      <c r="O1388" s="54">
        <v>7.4931000000000001</v>
      </c>
      <c r="P1388" s="35">
        <f t="shared" si="130"/>
        <v>16484.82</v>
      </c>
      <c r="Q1388" s="10">
        <f t="shared" si="133"/>
        <v>7.3003400000000003</v>
      </c>
      <c r="R1388" s="10">
        <f t="shared" si="134"/>
        <v>1.0264</v>
      </c>
      <c r="S1388" s="11">
        <f t="shared" si="135"/>
        <v>2258.08</v>
      </c>
      <c r="T1388" s="10" t="s">
        <v>349</v>
      </c>
      <c r="U1388" t="s">
        <v>228</v>
      </c>
      <c r="V1388" s="58">
        <v>7.1775000000000002</v>
      </c>
      <c r="W1388" s="38">
        <f t="shared" si="131"/>
        <v>2296.7356321839079</v>
      </c>
    </row>
    <row r="1389" spans="1:23">
      <c r="A1389" t="s">
        <v>2534</v>
      </c>
      <c r="B1389" s="20">
        <v>45742</v>
      </c>
      <c r="C1389" s="20">
        <v>45714</v>
      </c>
      <c r="D1389" t="s">
        <v>94</v>
      </c>
      <c r="E1389" t="s">
        <v>95</v>
      </c>
      <c r="F1389" s="19"/>
      <c r="G1389" t="s">
        <v>2972</v>
      </c>
      <c r="H1389" t="s">
        <v>3164</v>
      </c>
      <c r="I1389" t="s">
        <v>3374</v>
      </c>
      <c r="J1389" s="8" t="str">
        <f t="shared" si="132"/>
        <v>LID-</v>
      </c>
      <c r="K1389" t="s">
        <v>98</v>
      </c>
      <c r="L1389" s="54">
        <v>600</v>
      </c>
      <c r="M1389" t="s">
        <v>1472</v>
      </c>
      <c r="N1389" t="s">
        <v>11</v>
      </c>
      <c r="O1389" s="54">
        <v>4.26</v>
      </c>
      <c r="P1389" s="35">
        <f t="shared" si="130"/>
        <v>2556</v>
      </c>
      <c r="Q1389" s="10">
        <f t="shared" si="133"/>
        <v>7.3003400000000003</v>
      </c>
      <c r="R1389" s="10">
        <f t="shared" si="134"/>
        <v>0.58350000000000002</v>
      </c>
      <c r="S1389" s="11">
        <f t="shared" si="135"/>
        <v>350.1</v>
      </c>
      <c r="T1389" s="10" t="s">
        <v>349</v>
      </c>
      <c r="U1389" t="s">
        <v>368</v>
      </c>
      <c r="V1389" s="58">
        <v>7.1775000000000002</v>
      </c>
      <c r="W1389" s="38">
        <f t="shared" si="131"/>
        <v>356.11285266457679</v>
      </c>
    </row>
    <row r="1390" spans="1:23">
      <c r="A1390" t="s">
        <v>2593</v>
      </c>
      <c r="B1390" s="20">
        <v>45742</v>
      </c>
      <c r="C1390" s="20">
        <v>45716</v>
      </c>
      <c r="D1390" t="s">
        <v>2817</v>
      </c>
      <c r="E1390" t="s">
        <v>2818</v>
      </c>
      <c r="F1390" s="19"/>
      <c r="G1390" t="s">
        <v>3007</v>
      </c>
      <c r="H1390" t="s">
        <v>3147</v>
      </c>
      <c r="I1390" t="s">
        <v>3357</v>
      </c>
      <c r="J1390" s="8" t="str">
        <f t="shared" si="132"/>
        <v>HDL-</v>
      </c>
      <c r="K1390" t="s">
        <v>10</v>
      </c>
      <c r="L1390" s="54">
        <v>4283</v>
      </c>
      <c r="M1390" t="s">
        <v>1472</v>
      </c>
      <c r="N1390" t="s">
        <v>2246</v>
      </c>
      <c r="O1390" s="54">
        <v>1.3</v>
      </c>
      <c r="P1390" s="35">
        <f t="shared" si="130"/>
        <v>5567.9</v>
      </c>
      <c r="Q1390" s="10">
        <f t="shared" si="133"/>
        <v>1</v>
      </c>
      <c r="R1390" s="10">
        <f t="shared" si="134"/>
        <v>1.3</v>
      </c>
      <c r="S1390" s="11">
        <f t="shared" si="135"/>
        <v>5567.9</v>
      </c>
      <c r="T1390" s="10" t="s">
        <v>349</v>
      </c>
      <c r="U1390" t="s">
        <v>228</v>
      </c>
      <c r="V1390" s="58">
        <v>7.1775000000000002</v>
      </c>
      <c r="W1390" s="38">
        <f t="shared" si="131"/>
        <v>1</v>
      </c>
    </row>
    <row r="1391" spans="1:23">
      <c r="A1391" t="s">
        <v>2594</v>
      </c>
      <c r="B1391" s="20">
        <v>45742</v>
      </c>
      <c r="C1391" s="20">
        <v>45716</v>
      </c>
      <c r="D1391" t="s">
        <v>2817</v>
      </c>
      <c r="E1391" t="s">
        <v>2818</v>
      </c>
      <c r="F1391" s="19"/>
      <c r="G1391" t="s">
        <v>3007</v>
      </c>
      <c r="H1391" t="s">
        <v>3148</v>
      </c>
      <c r="I1391" t="s">
        <v>3358</v>
      </c>
      <c r="J1391" s="8" t="str">
        <f t="shared" si="132"/>
        <v>HDL-</v>
      </c>
      <c r="K1391" t="s">
        <v>10</v>
      </c>
      <c r="L1391" s="54">
        <v>343</v>
      </c>
      <c r="M1391" t="s">
        <v>1472</v>
      </c>
      <c r="N1391" t="s">
        <v>2246</v>
      </c>
      <c r="O1391" s="54">
        <v>1.1100000000000001</v>
      </c>
      <c r="P1391" s="35">
        <f t="shared" si="130"/>
        <v>380.73</v>
      </c>
      <c r="Q1391" s="10">
        <f t="shared" si="133"/>
        <v>1</v>
      </c>
      <c r="R1391" s="10">
        <f t="shared" si="134"/>
        <v>1.1100000000000001</v>
      </c>
      <c r="S1391" s="11">
        <f t="shared" si="135"/>
        <v>380.73</v>
      </c>
      <c r="T1391" s="10" t="s">
        <v>349</v>
      </c>
      <c r="U1391" t="s">
        <v>228</v>
      </c>
      <c r="V1391" s="58">
        <v>7.1775000000000002</v>
      </c>
      <c r="W1391" s="38">
        <f t="shared" si="131"/>
        <v>1</v>
      </c>
    </row>
    <row r="1392" spans="1:23">
      <c r="A1392" t="s">
        <v>2595</v>
      </c>
      <c r="B1392" s="20">
        <v>45742</v>
      </c>
      <c r="C1392" s="20">
        <v>45716</v>
      </c>
      <c r="D1392" t="s">
        <v>2817</v>
      </c>
      <c r="E1392" t="s">
        <v>2818</v>
      </c>
      <c r="F1392" s="19"/>
      <c r="G1392" t="s">
        <v>3007</v>
      </c>
      <c r="H1392" t="s">
        <v>3149</v>
      </c>
      <c r="I1392" t="s">
        <v>3359</v>
      </c>
      <c r="J1392" s="8" t="str">
        <f t="shared" si="132"/>
        <v>HDL-</v>
      </c>
      <c r="K1392" t="s">
        <v>10</v>
      </c>
      <c r="L1392" s="54">
        <v>4439</v>
      </c>
      <c r="M1392" t="s">
        <v>1472</v>
      </c>
      <c r="N1392" t="s">
        <v>2246</v>
      </c>
      <c r="O1392" s="54">
        <v>1.3</v>
      </c>
      <c r="P1392" s="35">
        <f t="shared" si="130"/>
        <v>5770.7</v>
      </c>
      <c r="Q1392" s="10">
        <f t="shared" si="133"/>
        <v>1</v>
      </c>
      <c r="R1392" s="10">
        <f t="shared" si="134"/>
        <v>1.3</v>
      </c>
      <c r="S1392" s="11">
        <f t="shared" si="135"/>
        <v>5770.7</v>
      </c>
      <c r="T1392" s="10" t="s">
        <v>349</v>
      </c>
      <c r="U1392" t="s">
        <v>228</v>
      </c>
      <c r="V1392" s="58">
        <v>7.1775000000000002</v>
      </c>
      <c r="W1392" s="38">
        <f t="shared" si="131"/>
        <v>1</v>
      </c>
    </row>
    <row r="1393" spans="1:23">
      <c r="A1393" t="s">
        <v>2596</v>
      </c>
      <c r="B1393" s="20">
        <v>45742</v>
      </c>
      <c r="C1393" s="20">
        <v>45716</v>
      </c>
      <c r="D1393" t="s">
        <v>2817</v>
      </c>
      <c r="E1393" t="s">
        <v>2818</v>
      </c>
      <c r="F1393" s="19"/>
      <c r="G1393" t="s">
        <v>3007</v>
      </c>
      <c r="H1393" t="s">
        <v>1798</v>
      </c>
      <c r="I1393" t="s">
        <v>1799</v>
      </c>
      <c r="J1393" s="8" t="str">
        <f t="shared" si="132"/>
        <v>HDL-</v>
      </c>
      <c r="K1393" t="s">
        <v>10</v>
      </c>
      <c r="L1393" s="54">
        <v>376</v>
      </c>
      <c r="M1393" t="s">
        <v>1472</v>
      </c>
      <c r="N1393" t="s">
        <v>2246</v>
      </c>
      <c r="O1393" s="54">
        <v>1.1100000000000001</v>
      </c>
      <c r="P1393" s="35">
        <f t="shared" si="130"/>
        <v>417.36</v>
      </c>
      <c r="Q1393" s="10">
        <f t="shared" si="133"/>
        <v>1</v>
      </c>
      <c r="R1393" s="10">
        <f t="shared" si="134"/>
        <v>1.1100000000000001</v>
      </c>
      <c r="S1393" s="11">
        <f t="shared" si="135"/>
        <v>417.36</v>
      </c>
      <c r="T1393" s="10" t="s">
        <v>349</v>
      </c>
      <c r="U1393" t="s">
        <v>228</v>
      </c>
      <c r="V1393" s="58">
        <v>7.1775000000000002</v>
      </c>
      <c r="W1393" s="38">
        <f t="shared" si="131"/>
        <v>1</v>
      </c>
    </row>
    <row r="1394" spans="1:23">
      <c r="A1394" t="s">
        <v>2597</v>
      </c>
      <c r="B1394" s="20">
        <v>45742</v>
      </c>
      <c r="C1394" s="20">
        <v>45716</v>
      </c>
      <c r="D1394" t="s">
        <v>2817</v>
      </c>
      <c r="E1394" t="s">
        <v>2818</v>
      </c>
      <c r="F1394" s="19"/>
      <c r="G1394" t="s">
        <v>3007</v>
      </c>
      <c r="H1394" t="s">
        <v>3150</v>
      </c>
      <c r="I1394" t="s">
        <v>3360</v>
      </c>
      <c r="J1394" s="8" t="str">
        <f t="shared" si="132"/>
        <v>HDL-</v>
      </c>
      <c r="K1394" t="s">
        <v>10</v>
      </c>
      <c r="L1394" s="54">
        <v>4556</v>
      </c>
      <c r="M1394" t="s">
        <v>1472</v>
      </c>
      <c r="N1394" t="s">
        <v>2246</v>
      </c>
      <c r="O1394" s="54">
        <v>1.3</v>
      </c>
      <c r="P1394" s="35">
        <f t="shared" si="130"/>
        <v>5922.8</v>
      </c>
      <c r="Q1394" s="10">
        <f t="shared" si="133"/>
        <v>1</v>
      </c>
      <c r="R1394" s="10">
        <f t="shared" si="134"/>
        <v>1.3</v>
      </c>
      <c r="S1394" s="11">
        <f t="shared" si="135"/>
        <v>5922.8</v>
      </c>
      <c r="T1394" s="10" t="s">
        <v>349</v>
      </c>
      <c r="U1394" t="s">
        <v>228</v>
      </c>
      <c r="V1394" s="58">
        <v>7.1775000000000002</v>
      </c>
      <c r="W1394" s="38">
        <f t="shared" si="131"/>
        <v>1</v>
      </c>
    </row>
    <row r="1395" spans="1:23">
      <c r="A1395" t="s">
        <v>2598</v>
      </c>
      <c r="B1395" s="20">
        <v>45742</v>
      </c>
      <c r="C1395" s="20">
        <v>45716</v>
      </c>
      <c r="D1395" t="s">
        <v>2817</v>
      </c>
      <c r="E1395" t="s">
        <v>2818</v>
      </c>
      <c r="F1395" s="19"/>
      <c r="G1395" t="s">
        <v>3007</v>
      </c>
      <c r="H1395" t="s">
        <v>1800</v>
      </c>
      <c r="I1395" t="s">
        <v>1801</v>
      </c>
      <c r="J1395" s="8" t="str">
        <f t="shared" si="132"/>
        <v>HDL-</v>
      </c>
      <c r="K1395" t="s">
        <v>10</v>
      </c>
      <c r="L1395" s="54">
        <v>7287</v>
      </c>
      <c r="M1395" t="s">
        <v>1472</v>
      </c>
      <c r="N1395" t="s">
        <v>2246</v>
      </c>
      <c r="O1395" s="54">
        <v>1.1100000000000001</v>
      </c>
      <c r="P1395" s="35">
        <f t="shared" si="130"/>
        <v>8088.57</v>
      </c>
      <c r="Q1395" s="10">
        <f t="shared" si="133"/>
        <v>1</v>
      </c>
      <c r="R1395" s="10">
        <f t="shared" si="134"/>
        <v>1.1100000000000001</v>
      </c>
      <c r="S1395" s="11">
        <f t="shared" si="135"/>
        <v>8088.57</v>
      </c>
      <c r="T1395" s="10" t="s">
        <v>349</v>
      </c>
      <c r="U1395" t="s">
        <v>228</v>
      </c>
      <c r="V1395" s="58">
        <v>7.1775000000000002</v>
      </c>
      <c r="W1395" s="38">
        <f t="shared" si="131"/>
        <v>1</v>
      </c>
    </row>
    <row r="1396" spans="1:23">
      <c r="A1396" t="s">
        <v>2599</v>
      </c>
      <c r="B1396" s="20">
        <v>45742</v>
      </c>
      <c r="C1396" s="20">
        <v>45716</v>
      </c>
      <c r="D1396" t="s">
        <v>2817</v>
      </c>
      <c r="E1396" t="s">
        <v>2818</v>
      </c>
      <c r="F1396" s="19"/>
      <c r="G1396" t="s">
        <v>3007</v>
      </c>
      <c r="H1396" t="s">
        <v>3151</v>
      </c>
      <c r="I1396" t="s">
        <v>3361</v>
      </c>
      <c r="J1396" s="8" t="str">
        <f t="shared" si="132"/>
        <v>HDL-</v>
      </c>
      <c r="K1396" t="s">
        <v>10</v>
      </c>
      <c r="L1396" s="54">
        <v>4289</v>
      </c>
      <c r="M1396" t="s">
        <v>1472</v>
      </c>
      <c r="N1396" t="s">
        <v>2246</v>
      </c>
      <c r="O1396" s="54">
        <v>1.3</v>
      </c>
      <c r="P1396" s="35">
        <f t="shared" si="130"/>
        <v>5575.7</v>
      </c>
      <c r="Q1396" s="10">
        <f t="shared" si="133"/>
        <v>1</v>
      </c>
      <c r="R1396" s="10">
        <f t="shared" si="134"/>
        <v>1.3</v>
      </c>
      <c r="S1396" s="11">
        <f t="shared" si="135"/>
        <v>5575.7</v>
      </c>
      <c r="T1396" s="10" t="s">
        <v>349</v>
      </c>
      <c r="U1396" t="s">
        <v>228</v>
      </c>
      <c r="V1396" s="58">
        <v>7.1775000000000002</v>
      </c>
      <c r="W1396" s="38">
        <f t="shared" si="131"/>
        <v>1</v>
      </c>
    </row>
    <row r="1397" spans="1:23">
      <c r="A1397" t="s">
        <v>2600</v>
      </c>
      <c r="B1397" s="20">
        <v>45742</v>
      </c>
      <c r="C1397" s="20">
        <v>45716</v>
      </c>
      <c r="D1397" t="s">
        <v>2817</v>
      </c>
      <c r="E1397" t="s">
        <v>2818</v>
      </c>
      <c r="F1397" s="19"/>
      <c r="G1397" t="s">
        <v>3007</v>
      </c>
      <c r="H1397" t="s">
        <v>3192</v>
      </c>
      <c r="I1397" t="s">
        <v>3399</v>
      </c>
      <c r="J1397" s="8" t="str">
        <f t="shared" si="132"/>
        <v>HDL-</v>
      </c>
      <c r="K1397" t="s">
        <v>10</v>
      </c>
      <c r="L1397" s="54">
        <v>243</v>
      </c>
      <c r="M1397" t="s">
        <v>1472</v>
      </c>
      <c r="N1397" t="s">
        <v>2246</v>
      </c>
      <c r="O1397" s="54">
        <v>1.1100000000000001</v>
      </c>
      <c r="P1397" s="35">
        <f t="shared" si="130"/>
        <v>269.73</v>
      </c>
      <c r="Q1397" s="10">
        <f t="shared" si="133"/>
        <v>1</v>
      </c>
      <c r="R1397" s="10">
        <f t="shared" si="134"/>
        <v>1.1100000000000001</v>
      </c>
      <c r="S1397" s="11">
        <f t="shared" si="135"/>
        <v>269.73</v>
      </c>
      <c r="T1397" s="10" t="s">
        <v>349</v>
      </c>
      <c r="U1397" t="s">
        <v>228</v>
      </c>
      <c r="V1397" s="58">
        <v>7.1775000000000002</v>
      </c>
      <c r="W1397" s="38">
        <f t="shared" si="131"/>
        <v>1</v>
      </c>
    </row>
    <row r="1398" spans="1:23">
      <c r="A1398" t="s">
        <v>2617</v>
      </c>
      <c r="B1398" s="20">
        <v>45742</v>
      </c>
      <c r="C1398" s="20">
        <v>45720</v>
      </c>
      <c r="D1398" t="s">
        <v>252</v>
      </c>
      <c r="E1398" t="s">
        <v>253</v>
      </c>
      <c r="F1398" s="19"/>
      <c r="G1398" t="s">
        <v>2915</v>
      </c>
      <c r="H1398" t="s">
        <v>3068</v>
      </c>
      <c r="I1398" t="s">
        <v>3285</v>
      </c>
      <c r="J1398" s="8" t="str">
        <f t="shared" si="132"/>
        <v>ANYD</v>
      </c>
      <c r="K1398" t="s">
        <v>10</v>
      </c>
      <c r="L1398" s="54">
        <v>8200</v>
      </c>
      <c r="M1398" t="s">
        <v>1472</v>
      </c>
      <c r="N1398" t="s">
        <v>11</v>
      </c>
      <c r="O1398" s="54">
        <v>0.873</v>
      </c>
      <c r="P1398" s="35">
        <f t="shared" si="130"/>
        <v>7158.6</v>
      </c>
      <c r="Q1398" s="10">
        <f t="shared" si="133"/>
        <v>7.3003400000000003</v>
      </c>
      <c r="R1398" s="10">
        <f t="shared" si="134"/>
        <v>0.1196</v>
      </c>
      <c r="S1398" s="11">
        <f t="shared" si="135"/>
        <v>980.72</v>
      </c>
      <c r="T1398" s="10" t="s">
        <v>349</v>
      </c>
      <c r="U1398" t="s">
        <v>36</v>
      </c>
      <c r="V1398" s="58">
        <v>7.1775000000000002</v>
      </c>
      <c r="W1398" s="38">
        <f t="shared" si="131"/>
        <v>997.36677115987459</v>
      </c>
    </row>
    <row r="1399" spans="1:23">
      <c r="A1399" t="s">
        <v>2647</v>
      </c>
      <c r="B1399" s="20">
        <v>45742</v>
      </c>
      <c r="C1399" s="20">
        <v>45721</v>
      </c>
      <c r="D1399" t="s">
        <v>311</v>
      </c>
      <c r="E1399" t="s">
        <v>312</v>
      </c>
      <c r="F1399" s="19"/>
      <c r="G1399" t="s">
        <v>3022</v>
      </c>
      <c r="H1399" t="s">
        <v>309</v>
      </c>
      <c r="I1399" t="s">
        <v>310</v>
      </c>
      <c r="J1399" s="8" t="str">
        <f t="shared" si="132"/>
        <v>EXM-</v>
      </c>
      <c r="K1399" t="s">
        <v>10</v>
      </c>
      <c r="L1399" s="54">
        <v>25</v>
      </c>
      <c r="M1399" t="s">
        <v>186</v>
      </c>
      <c r="N1399" t="s">
        <v>11</v>
      </c>
      <c r="O1399" s="54">
        <v>102.0354</v>
      </c>
      <c r="P1399" s="35">
        <f t="shared" si="130"/>
        <v>2550.89</v>
      </c>
      <c r="Q1399" s="10">
        <f t="shared" si="133"/>
        <v>7.3003400000000003</v>
      </c>
      <c r="R1399" s="10">
        <f t="shared" si="134"/>
        <v>13.976800000000001</v>
      </c>
      <c r="S1399" s="11">
        <f t="shared" si="135"/>
        <v>349.42</v>
      </c>
      <c r="T1399" s="10" t="s">
        <v>349</v>
      </c>
      <c r="U1399" t="s">
        <v>315</v>
      </c>
      <c r="V1399" s="58">
        <v>7.1775000000000002</v>
      </c>
      <c r="W1399" s="38">
        <f t="shared" si="131"/>
        <v>355.40020898641586</v>
      </c>
    </row>
    <row r="1400" spans="1:23">
      <c r="A1400" t="s">
        <v>2648</v>
      </c>
      <c r="B1400" s="20">
        <v>45742</v>
      </c>
      <c r="C1400" s="20">
        <v>45721</v>
      </c>
      <c r="D1400" t="s">
        <v>311</v>
      </c>
      <c r="E1400" t="s">
        <v>312</v>
      </c>
      <c r="F1400" s="19"/>
      <c r="G1400" t="s">
        <v>3023</v>
      </c>
      <c r="H1400" t="s">
        <v>669</v>
      </c>
      <c r="I1400" t="s">
        <v>670</v>
      </c>
      <c r="J1400" s="8" t="str">
        <f t="shared" si="132"/>
        <v>INM-</v>
      </c>
      <c r="K1400" t="s">
        <v>10</v>
      </c>
      <c r="L1400" s="54">
        <v>50</v>
      </c>
      <c r="M1400" t="s">
        <v>186</v>
      </c>
      <c r="N1400" t="s">
        <v>11</v>
      </c>
      <c r="O1400" s="54">
        <v>110.17700000000001</v>
      </c>
      <c r="P1400" s="35">
        <f t="shared" si="130"/>
        <v>5508.85</v>
      </c>
      <c r="Q1400" s="10">
        <f t="shared" si="133"/>
        <v>7.3003400000000003</v>
      </c>
      <c r="R1400" s="10">
        <f t="shared" si="134"/>
        <v>15.092000000000001</v>
      </c>
      <c r="S1400" s="11">
        <f t="shared" si="135"/>
        <v>754.6</v>
      </c>
      <c r="T1400" s="10" t="s">
        <v>349</v>
      </c>
      <c r="U1400" t="s">
        <v>327</v>
      </c>
      <c r="V1400" s="58">
        <v>7.1775000000000002</v>
      </c>
      <c r="W1400" s="38">
        <f t="shared" si="131"/>
        <v>767.51654475792407</v>
      </c>
    </row>
    <row r="1401" spans="1:23">
      <c r="A1401" t="s">
        <v>2649</v>
      </c>
      <c r="B1401" s="20">
        <v>45742</v>
      </c>
      <c r="C1401" s="20">
        <v>45721</v>
      </c>
      <c r="D1401" t="s">
        <v>311</v>
      </c>
      <c r="E1401" t="s">
        <v>312</v>
      </c>
      <c r="F1401" s="19"/>
      <c r="G1401" t="s">
        <v>3023</v>
      </c>
      <c r="H1401" t="s">
        <v>331</v>
      </c>
      <c r="I1401" t="s">
        <v>332</v>
      </c>
      <c r="J1401" s="8" t="str">
        <f t="shared" si="132"/>
        <v>INM-</v>
      </c>
      <c r="K1401" t="s">
        <v>10</v>
      </c>
      <c r="L1401" s="54">
        <v>25</v>
      </c>
      <c r="M1401" t="s">
        <v>186</v>
      </c>
      <c r="N1401" t="s">
        <v>11</v>
      </c>
      <c r="O1401" s="54">
        <v>64.778800000000004</v>
      </c>
      <c r="P1401" s="35">
        <f t="shared" si="130"/>
        <v>1619.47</v>
      </c>
      <c r="Q1401" s="10">
        <f t="shared" si="133"/>
        <v>7.3003400000000003</v>
      </c>
      <c r="R1401" s="10">
        <f t="shared" si="134"/>
        <v>8.8734000000000002</v>
      </c>
      <c r="S1401" s="11">
        <f t="shared" si="135"/>
        <v>221.84</v>
      </c>
      <c r="T1401" s="10" t="s">
        <v>349</v>
      </c>
      <c r="U1401" t="s">
        <v>327</v>
      </c>
      <c r="V1401" s="58">
        <v>7.1775000000000002</v>
      </c>
      <c r="W1401" s="38">
        <f t="shared" si="131"/>
        <v>225.63148728665971</v>
      </c>
    </row>
    <row r="1402" spans="1:23">
      <c r="A1402" t="s">
        <v>2650</v>
      </c>
      <c r="B1402" s="20">
        <v>45742</v>
      </c>
      <c r="C1402" s="20">
        <v>45721</v>
      </c>
      <c r="D1402" t="s">
        <v>311</v>
      </c>
      <c r="E1402" t="s">
        <v>312</v>
      </c>
      <c r="F1402" s="19"/>
      <c r="G1402" t="s">
        <v>3023</v>
      </c>
      <c r="H1402" t="s">
        <v>662</v>
      </c>
      <c r="I1402" t="s">
        <v>663</v>
      </c>
      <c r="J1402" s="8" t="str">
        <f t="shared" si="132"/>
        <v>INM-</v>
      </c>
      <c r="K1402" t="s">
        <v>10</v>
      </c>
      <c r="L1402" s="54">
        <v>75</v>
      </c>
      <c r="M1402" t="s">
        <v>186</v>
      </c>
      <c r="N1402" t="s">
        <v>11</v>
      </c>
      <c r="O1402" s="54">
        <v>92.743399999999994</v>
      </c>
      <c r="P1402" s="35">
        <f t="shared" si="130"/>
        <v>6955.76</v>
      </c>
      <c r="Q1402" s="10">
        <f t="shared" si="133"/>
        <v>7.3003400000000003</v>
      </c>
      <c r="R1402" s="10">
        <f t="shared" si="134"/>
        <v>12.704000000000001</v>
      </c>
      <c r="S1402" s="11">
        <f t="shared" si="135"/>
        <v>952.8</v>
      </c>
      <c r="T1402" s="10" t="s">
        <v>349</v>
      </c>
      <c r="U1402" t="s">
        <v>327</v>
      </c>
      <c r="V1402" s="58">
        <v>7.1775000000000002</v>
      </c>
      <c r="W1402" s="38">
        <f t="shared" si="131"/>
        <v>969.10553814002083</v>
      </c>
    </row>
    <row r="1403" spans="1:23">
      <c r="A1403" t="s">
        <v>2651</v>
      </c>
      <c r="B1403" s="20">
        <v>45742</v>
      </c>
      <c r="C1403" s="20">
        <v>45721</v>
      </c>
      <c r="D1403" t="s">
        <v>311</v>
      </c>
      <c r="E1403" t="s">
        <v>312</v>
      </c>
      <c r="F1403" s="19"/>
      <c r="G1403" t="s">
        <v>3023</v>
      </c>
      <c r="H1403" t="s">
        <v>341</v>
      </c>
      <c r="I1403" t="s">
        <v>342</v>
      </c>
      <c r="J1403" s="8" t="str">
        <f t="shared" si="132"/>
        <v>INM-</v>
      </c>
      <c r="K1403" t="s">
        <v>10</v>
      </c>
      <c r="L1403" s="54">
        <v>25</v>
      </c>
      <c r="M1403" t="s">
        <v>186</v>
      </c>
      <c r="N1403" t="s">
        <v>11</v>
      </c>
      <c r="O1403" s="54">
        <v>63.008800000000001</v>
      </c>
      <c r="P1403" s="35">
        <f t="shared" si="130"/>
        <v>1575.22</v>
      </c>
      <c r="Q1403" s="10">
        <f t="shared" si="133"/>
        <v>7.3003400000000003</v>
      </c>
      <c r="R1403" s="10">
        <f t="shared" si="134"/>
        <v>8.6309000000000005</v>
      </c>
      <c r="S1403" s="11">
        <f t="shared" si="135"/>
        <v>215.77</v>
      </c>
      <c r="T1403" s="10" t="s">
        <v>349</v>
      </c>
      <c r="U1403" t="s">
        <v>327</v>
      </c>
      <c r="V1403" s="58">
        <v>7.1775000000000002</v>
      </c>
      <c r="W1403" s="38">
        <f t="shared" si="131"/>
        <v>219.46638801811216</v>
      </c>
    </row>
    <row r="1404" spans="1:23">
      <c r="A1404" t="s">
        <v>2666</v>
      </c>
      <c r="B1404" s="20">
        <v>45742</v>
      </c>
      <c r="C1404" s="20">
        <v>45723</v>
      </c>
      <c r="D1404" t="s">
        <v>252</v>
      </c>
      <c r="E1404" t="s">
        <v>253</v>
      </c>
      <c r="F1404" s="19"/>
      <c r="G1404" t="s">
        <v>2915</v>
      </c>
      <c r="H1404" t="s">
        <v>1530</v>
      </c>
      <c r="I1404" t="s">
        <v>1531</v>
      </c>
      <c r="J1404" s="8" t="str">
        <f t="shared" si="132"/>
        <v>ANYD</v>
      </c>
      <c r="K1404" t="s">
        <v>10</v>
      </c>
      <c r="L1404" s="54">
        <v>1000</v>
      </c>
      <c r="M1404" t="s">
        <v>1472</v>
      </c>
      <c r="N1404" t="s">
        <v>11</v>
      </c>
      <c r="O1404" s="54">
        <v>1.38</v>
      </c>
      <c r="P1404" s="35">
        <f t="shared" si="130"/>
        <v>1380</v>
      </c>
      <c r="Q1404" s="10">
        <f t="shared" si="133"/>
        <v>7.3003400000000003</v>
      </c>
      <c r="R1404" s="10">
        <f t="shared" si="134"/>
        <v>0.189</v>
      </c>
      <c r="S1404" s="11">
        <f t="shared" si="135"/>
        <v>189</v>
      </c>
      <c r="T1404" s="10" t="s">
        <v>349</v>
      </c>
      <c r="U1404" t="s">
        <v>36</v>
      </c>
      <c r="V1404" s="58">
        <v>7.1775000000000002</v>
      </c>
      <c r="W1404" s="38">
        <f t="shared" si="131"/>
        <v>192.26750261233016</v>
      </c>
    </row>
    <row r="1405" spans="1:23">
      <c r="A1405" t="s">
        <v>2671</v>
      </c>
      <c r="B1405" s="20">
        <v>45742</v>
      </c>
      <c r="C1405" s="20">
        <v>45726</v>
      </c>
      <c r="D1405" t="s">
        <v>311</v>
      </c>
      <c r="E1405" t="s">
        <v>312</v>
      </c>
      <c r="F1405" s="19"/>
      <c r="G1405" t="s">
        <v>3026</v>
      </c>
      <c r="H1405" t="s">
        <v>669</v>
      </c>
      <c r="I1405" t="s">
        <v>670</v>
      </c>
      <c r="J1405" s="8" t="str">
        <f t="shared" si="132"/>
        <v>INM-</v>
      </c>
      <c r="K1405" t="s">
        <v>10</v>
      </c>
      <c r="L1405" s="54">
        <v>50</v>
      </c>
      <c r="M1405" t="s">
        <v>186</v>
      </c>
      <c r="N1405" t="s">
        <v>11</v>
      </c>
      <c r="O1405" s="54">
        <v>110.17700000000001</v>
      </c>
      <c r="P1405" s="35">
        <f t="shared" si="130"/>
        <v>5508.85</v>
      </c>
      <c r="Q1405" s="10">
        <f t="shared" si="133"/>
        <v>7.3003400000000003</v>
      </c>
      <c r="R1405" s="10">
        <f t="shared" si="134"/>
        <v>15.092000000000001</v>
      </c>
      <c r="S1405" s="11">
        <f t="shared" si="135"/>
        <v>754.6</v>
      </c>
      <c r="T1405" s="10" t="s">
        <v>349</v>
      </c>
      <c r="U1405" t="s">
        <v>327</v>
      </c>
      <c r="V1405" s="58">
        <v>7.1775000000000002</v>
      </c>
      <c r="W1405" s="38">
        <f t="shared" si="131"/>
        <v>767.51654475792407</v>
      </c>
    </row>
    <row r="1406" spans="1:23">
      <c r="A1406" t="s">
        <v>2672</v>
      </c>
      <c r="B1406" s="20">
        <v>45742</v>
      </c>
      <c r="C1406" s="20">
        <v>45726</v>
      </c>
      <c r="D1406" t="s">
        <v>311</v>
      </c>
      <c r="E1406" t="s">
        <v>312</v>
      </c>
      <c r="F1406" s="19"/>
      <c r="G1406" t="s">
        <v>3026</v>
      </c>
      <c r="H1406" t="s">
        <v>662</v>
      </c>
      <c r="I1406" t="s">
        <v>663</v>
      </c>
      <c r="J1406" s="8" t="str">
        <f t="shared" si="132"/>
        <v>INM-</v>
      </c>
      <c r="K1406" t="s">
        <v>10</v>
      </c>
      <c r="L1406" s="54">
        <v>75</v>
      </c>
      <c r="M1406" t="s">
        <v>186</v>
      </c>
      <c r="N1406" t="s">
        <v>11</v>
      </c>
      <c r="O1406" s="54">
        <v>92.743399999999994</v>
      </c>
      <c r="P1406" s="35">
        <f t="shared" si="130"/>
        <v>6955.76</v>
      </c>
      <c r="Q1406" s="10">
        <f t="shared" si="133"/>
        <v>7.3003400000000003</v>
      </c>
      <c r="R1406" s="10">
        <f t="shared" si="134"/>
        <v>12.704000000000001</v>
      </c>
      <c r="S1406" s="11">
        <f t="shared" si="135"/>
        <v>952.8</v>
      </c>
      <c r="T1406" s="10" t="s">
        <v>349</v>
      </c>
      <c r="U1406" t="s">
        <v>327</v>
      </c>
      <c r="V1406" s="58">
        <v>7.1775000000000002</v>
      </c>
      <c r="W1406" s="38">
        <f t="shared" si="131"/>
        <v>969.10553814002083</v>
      </c>
    </row>
    <row r="1407" spans="1:23">
      <c r="A1407" t="s">
        <v>2673</v>
      </c>
      <c r="B1407" s="20">
        <v>45742</v>
      </c>
      <c r="C1407" s="20">
        <v>45726</v>
      </c>
      <c r="D1407" t="s">
        <v>311</v>
      </c>
      <c r="E1407" t="s">
        <v>312</v>
      </c>
      <c r="F1407" s="19"/>
      <c r="G1407" t="s">
        <v>3027</v>
      </c>
      <c r="H1407" t="s">
        <v>3199</v>
      </c>
      <c r="I1407" t="s">
        <v>3406</v>
      </c>
      <c r="J1407" s="8" t="str">
        <f t="shared" si="132"/>
        <v>EXM-</v>
      </c>
      <c r="K1407" t="s">
        <v>10</v>
      </c>
      <c r="L1407" s="54">
        <v>25</v>
      </c>
      <c r="M1407" t="s">
        <v>186</v>
      </c>
      <c r="N1407" t="s">
        <v>11</v>
      </c>
      <c r="O1407" s="54">
        <v>88.495599999999996</v>
      </c>
      <c r="P1407" s="35">
        <f t="shared" si="130"/>
        <v>2212.39</v>
      </c>
      <c r="Q1407" s="10">
        <f t="shared" si="133"/>
        <v>7.3003400000000003</v>
      </c>
      <c r="R1407" s="10">
        <f t="shared" si="134"/>
        <v>12.1221</v>
      </c>
      <c r="S1407" s="11">
        <f t="shared" si="135"/>
        <v>303.05</v>
      </c>
      <c r="T1407" s="10" t="s">
        <v>349</v>
      </c>
      <c r="U1407" t="s">
        <v>315</v>
      </c>
      <c r="V1407" s="58">
        <v>7.1775000000000002</v>
      </c>
      <c r="W1407" s="38">
        <f t="shared" si="131"/>
        <v>308.23963775687912</v>
      </c>
    </row>
    <row r="1408" spans="1:23">
      <c r="A1408" t="s">
        <v>2691</v>
      </c>
      <c r="B1408" s="20">
        <v>45742</v>
      </c>
      <c r="C1408" s="20">
        <v>45727</v>
      </c>
      <c r="D1408" t="s">
        <v>252</v>
      </c>
      <c r="E1408" t="s">
        <v>253</v>
      </c>
      <c r="F1408" s="19"/>
      <c r="G1408" t="s">
        <v>2915</v>
      </c>
      <c r="H1408" t="s">
        <v>1530</v>
      </c>
      <c r="I1408" t="s">
        <v>1531</v>
      </c>
      <c r="J1408" s="8" t="str">
        <f t="shared" si="132"/>
        <v>ANYD</v>
      </c>
      <c r="K1408" t="s">
        <v>10</v>
      </c>
      <c r="L1408" s="54">
        <v>1250</v>
      </c>
      <c r="M1408" t="s">
        <v>1472</v>
      </c>
      <c r="N1408" t="s">
        <v>11</v>
      </c>
      <c r="O1408" s="54">
        <v>1.38</v>
      </c>
      <c r="P1408" s="35">
        <f t="shared" si="130"/>
        <v>1725</v>
      </c>
      <c r="Q1408" s="10">
        <f t="shared" si="133"/>
        <v>7.3003400000000003</v>
      </c>
      <c r="R1408" s="10">
        <f t="shared" si="134"/>
        <v>0.189</v>
      </c>
      <c r="S1408" s="11">
        <f t="shared" si="135"/>
        <v>236.25</v>
      </c>
      <c r="T1408" s="10" t="s">
        <v>349</v>
      </c>
      <c r="U1408" t="s">
        <v>36</v>
      </c>
      <c r="V1408" s="58">
        <v>7.1775000000000002</v>
      </c>
      <c r="W1408" s="38">
        <f t="shared" si="131"/>
        <v>240.33437826541271</v>
      </c>
    </row>
    <row r="1409" spans="1:23">
      <c r="A1409" t="s">
        <v>2694</v>
      </c>
      <c r="B1409" s="20">
        <v>45742</v>
      </c>
      <c r="C1409" s="20">
        <v>45728</v>
      </c>
      <c r="D1409" t="s">
        <v>311</v>
      </c>
      <c r="E1409" t="s">
        <v>312</v>
      </c>
      <c r="F1409" s="19"/>
      <c r="G1409" t="s">
        <v>3033</v>
      </c>
      <c r="H1409" t="s">
        <v>341</v>
      </c>
      <c r="I1409" t="s">
        <v>342</v>
      </c>
      <c r="J1409" s="8" t="str">
        <f t="shared" si="132"/>
        <v>INM-</v>
      </c>
      <c r="K1409" t="s">
        <v>10</v>
      </c>
      <c r="L1409" s="54">
        <v>75</v>
      </c>
      <c r="M1409" t="s">
        <v>186</v>
      </c>
      <c r="N1409" t="s">
        <v>11</v>
      </c>
      <c r="O1409" s="54">
        <v>63.008800000000001</v>
      </c>
      <c r="P1409" s="35">
        <f t="shared" si="130"/>
        <v>4725.66</v>
      </c>
      <c r="Q1409" s="10">
        <f t="shared" si="133"/>
        <v>7.3003400000000003</v>
      </c>
      <c r="R1409" s="10">
        <f t="shared" si="134"/>
        <v>8.6309000000000005</v>
      </c>
      <c r="S1409" s="11">
        <f t="shared" si="135"/>
        <v>647.32000000000005</v>
      </c>
      <c r="T1409" s="10" t="s">
        <v>349</v>
      </c>
      <c r="U1409" t="s">
        <v>327</v>
      </c>
      <c r="V1409" s="58">
        <v>7.1775000000000002</v>
      </c>
      <c r="W1409" s="38">
        <f t="shared" si="131"/>
        <v>658.39916405433644</v>
      </c>
    </row>
    <row r="1410" spans="1:23">
      <c r="A1410" t="s">
        <v>2756</v>
      </c>
      <c r="B1410" s="20">
        <v>45742</v>
      </c>
      <c r="C1410" s="20">
        <v>45729</v>
      </c>
      <c r="D1410" t="s">
        <v>311</v>
      </c>
      <c r="E1410" t="s">
        <v>312</v>
      </c>
      <c r="F1410" s="19"/>
      <c r="G1410" t="s">
        <v>3045</v>
      </c>
      <c r="H1410" t="s">
        <v>331</v>
      </c>
      <c r="I1410" t="s">
        <v>332</v>
      </c>
      <c r="J1410" s="8" t="str">
        <f t="shared" si="132"/>
        <v>INM-</v>
      </c>
      <c r="K1410" t="s">
        <v>10</v>
      </c>
      <c r="L1410" s="54">
        <v>50</v>
      </c>
      <c r="M1410" t="s">
        <v>186</v>
      </c>
      <c r="N1410" t="s">
        <v>11</v>
      </c>
      <c r="O1410" s="54">
        <v>64.778800000000004</v>
      </c>
      <c r="P1410" s="35">
        <f t="shared" ref="P1410:P1473" si="136">ROUND(O1410*L1410,2)</f>
        <v>3238.94</v>
      </c>
      <c r="Q1410" s="10">
        <f t="shared" si="133"/>
        <v>7.3003400000000003</v>
      </c>
      <c r="R1410" s="10">
        <f t="shared" si="134"/>
        <v>8.8734000000000002</v>
      </c>
      <c r="S1410" s="11">
        <f t="shared" si="135"/>
        <v>443.67</v>
      </c>
      <c r="T1410" s="10" t="s">
        <v>349</v>
      </c>
      <c r="U1410" t="s">
        <v>327</v>
      </c>
      <c r="V1410" s="58">
        <v>7.1775000000000002</v>
      </c>
      <c r="W1410" s="38">
        <f t="shared" ref="W1410:W1473" si="137">IF(N1410="CNY",O1410/V1410*L1410,1)</f>
        <v>451.26297457331941</v>
      </c>
    </row>
    <row r="1411" spans="1:23">
      <c r="A1411" t="s">
        <v>2757</v>
      </c>
      <c r="B1411" s="20">
        <v>45742</v>
      </c>
      <c r="C1411" s="20">
        <v>45729</v>
      </c>
      <c r="D1411" t="s">
        <v>311</v>
      </c>
      <c r="E1411" t="s">
        <v>312</v>
      </c>
      <c r="F1411" s="19"/>
      <c r="G1411" t="s">
        <v>3046</v>
      </c>
      <c r="H1411" t="s">
        <v>320</v>
      </c>
      <c r="I1411" t="s">
        <v>321</v>
      </c>
      <c r="J1411" s="8" t="str">
        <f t="shared" si="132"/>
        <v>EXM-</v>
      </c>
      <c r="K1411" t="s">
        <v>10</v>
      </c>
      <c r="L1411" s="54">
        <v>25</v>
      </c>
      <c r="M1411" t="s">
        <v>186</v>
      </c>
      <c r="N1411" t="s">
        <v>11</v>
      </c>
      <c r="O1411" s="54">
        <v>110.6195</v>
      </c>
      <c r="P1411" s="35">
        <f t="shared" si="136"/>
        <v>2765.49</v>
      </c>
      <c r="Q1411" s="10">
        <f t="shared" si="133"/>
        <v>7.3003400000000003</v>
      </c>
      <c r="R1411" s="10">
        <f t="shared" si="134"/>
        <v>15.152699999999999</v>
      </c>
      <c r="S1411" s="11">
        <f t="shared" si="135"/>
        <v>378.82</v>
      </c>
      <c r="T1411" s="10" t="s">
        <v>349</v>
      </c>
      <c r="U1411" t="s">
        <v>315</v>
      </c>
      <c r="V1411" s="58">
        <v>7.1775000000000002</v>
      </c>
      <c r="W1411" s="38">
        <f t="shared" si="137"/>
        <v>385.29954719609896</v>
      </c>
    </row>
    <row r="1412" spans="1:23">
      <c r="A1412" t="s">
        <v>2758</v>
      </c>
      <c r="B1412" s="20">
        <v>45742</v>
      </c>
      <c r="C1412" s="20">
        <v>45729</v>
      </c>
      <c r="D1412" t="s">
        <v>311</v>
      </c>
      <c r="E1412" t="s">
        <v>312</v>
      </c>
      <c r="F1412" s="19"/>
      <c r="G1412" t="s">
        <v>3045</v>
      </c>
      <c r="H1412" t="s">
        <v>328</v>
      </c>
      <c r="I1412" t="s">
        <v>329</v>
      </c>
      <c r="J1412" s="8" t="str">
        <f t="shared" si="132"/>
        <v>INM-</v>
      </c>
      <c r="K1412" t="s">
        <v>10</v>
      </c>
      <c r="L1412" s="54">
        <v>25</v>
      </c>
      <c r="M1412" t="s">
        <v>186</v>
      </c>
      <c r="N1412" t="s">
        <v>11</v>
      </c>
      <c r="O1412" s="54">
        <v>69.026499999999999</v>
      </c>
      <c r="P1412" s="35">
        <f t="shared" si="136"/>
        <v>1725.66</v>
      </c>
      <c r="Q1412" s="10">
        <f t="shared" si="133"/>
        <v>7.3003400000000003</v>
      </c>
      <c r="R1412" s="10">
        <f t="shared" si="134"/>
        <v>9.4551999999999996</v>
      </c>
      <c r="S1412" s="11">
        <f t="shared" si="135"/>
        <v>236.38</v>
      </c>
      <c r="T1412" s="10" t="s">
        <v>349</v>
      </c>
      <c r="U1412" t="s">
        <v>327</v>
      </c>
      <c r="V1412" s="58">
        <v>7.1775000000000002</v>
      </c>
      <c r="W1412" s="38">
        <f t="shared" si="137"/>
        <v>240.4266805990944</v>
      </c>
    </row>
    <row r="1413" spans="1:23">
      <c r="A1413" t="s">
        <v>2759</v>
      </c>
      <c r="B1413" s="20">
        <v>45742</v>
      </c>
      <c r="C1413" s="20">
        <v>45729</v>
      </c>
      <c r="D1413" t="s">
        <v>311</v>
      </c>
      <c r="E1413" t="s">
        <v>312</v>
      </c>
      <c r="F1413" s="19"/>
      <c r="G1413" t="s">
        <v>3045</v>
      </c>
      <c r="H1413" t="s">
        <v>323</v>
      </c>
      <c r="I1413" t="s">
        <v>324</v>
      </c>
      <c r="J1413" s="8" t="str">
        <f t="shared" si="132"/>
        <v>INM-</v>
      </c>
      <c r="K1413" t="s">
        <v>10</v>
      </c>
      <c r="L1413" s="54">
        <v>50</v>
      </c>
      <c r="M1413" t="s">
        <v>186</v>
      </c>
      <c r="N1413" t="s">
        <v>11</v>
      </c>
      <c r="O1413" s="54">
        <v>69.026499999999999</v>
      </c>
      <c r="P1413" s="35">
        <f t="shared" si="136"/>
        <v>3451.33</v>
      </c>
      <c r="Q1413" s="10">
        <f t="shared" si="133"/>
        <v>7.3003400000000003</v>
      </c>
      <c r="R1413" s="10">
        <f t="shared" si="134"/>
        <v>9.4551999999999996</v>
      </c>
      <c r="S1413" s="11">
        <f t="shared" si="135"/>
        <v>472.76</v>
      </c>
      <c r="T1413" s="10" t="s">
        <v>349</v>
      </c>
      <c r="U1413" t="s">
        <v>327</v>
      </c>
      <c r="V1413" s="58">
        <v>7.1775000000000002</v>
      </c>
      <c r="W1413" s="38">
        <f t="shared" si="137"/>
        <v>480.85336119818879</v>
      </c>
    </row>
    <row r="1414" spans="1:23">
      <c r="A1414" t="s">
        <v>2770</v>
      </c>
      <c r="B1414" s="20">
        <v>45742</v>
      </c>
      <c r="C1414" s="20">
        <v>45730</v>
      </c>
      <c r="D1414" t="s">
        <v>287</v>
      </c>
      <c r="E1414" t="s">
        <v>288</v>
      </c>
      <c r="F1414" s="19"/>
      <c r="G1414" t="s">
        <v>2851</v>
      </c>
      <c r="H1414" t="s">
        <v>79</v>
      </c>
      <c r="I1414" t="s">
        <v>80</v>
      </c>
      <c r="J1414" s="8" t="str">
        <f t="shared" si="132"/>
        <v>ANYD</v>
      </c>
      <c r="K1414" t="s">
        <v>10</v>
      </c>
      <c r="L1414" s="54">
        <v>2050</v>
      </c>
      <c r="M1414" t="s">
        <v>1472</v>
      </c>
      <c r="N1414" t="s">
        <v>11</v>
      </c>
      <c r="O1414" s="54">
        <v>6.5929000000000002</v>
      </c>
      <c r="P1414" s="35">
        <f t="shared" si="136"/>
        <v>13515.45</v>
      </c>
      <c r="Q1414" s="10">
        <f t="shared" si="133"/>
        <v>7.3003400000000003</v>
      </c>
      <c r="R1414" s="10">
        <f t="shared" si="134"/>
        <v>0.90310000000000001</v>
      </c>
      <c r="S1414" s="11">
        <f t="shared" si="135"/>
        <v>1851.36</v>
      </c>
      <c r="T1414" s="10" t="s">
        <v>349</v>
      </c>
      <c r="U1414" t="s">
        <v>36</v>
      </c>
      <c r="V1414" s="58">
        <v>7.1775000000000002</v>
      </c>
      <c r="W1414" s="38">
        <f t="shared" si="137"/>
        <v>1883.0296064089166</v>
      </c>
    </row>
    <row r="1415" spans="1:23">
      <c r="A1415" t="s">
        <v>2771</v>
      </c>
      <c r="B1415" s="20">
        <v>45742</v>
      </c>
      <c r="C1415" s="20">
        <v>45730</v>
      </c>
      <c r="D1415" t="s">
        <v>287</v>
      </c>
      <c r="E1415" t="s">
        <v>288</v>
      </c>
      <c r="F1415" s="19"/>
      <c r="G1415" t="s">
        <v>2851</v>
      </c>
      <c r="H1415" t="s">
        <v>76</v>
      </c>
      <c r="I1415" t="s">
        <v>77</v>
      </c>
      <c r="J1415" s="8" t="str">
        <f t="shared" si="132"/>
        <v>GLID</v>
      </c>
      <c r="K1415" t="s">
        <v>10</v>
      </c>
      <c r="L1415" s="54">
        <v>3100</v>
      </c>
      <c r="M1415" t="s">
        <v>1472</v>
      </c>
      <c r="N1415" t="s">
        <v>11</v>
      </c>
      <c r="O1415" s="54">
        <v>6.4610000000000003</v>
      </c>
      <c r="P1415" s="35">
        <f t="shared" si="136"/>
        <v>20029.099999999999</v>
      </c>
      <c r="Q1415" s="10">
        <f t="shared" si="133"/>
        <v>7.3003400000000003</v>
      </c>
      <c r="R1415" s="10">
        <f t="shared" si="134"/>
        <v>0.88500000000000001</v>
      </c>
      <c r="S1415" s="11">
        <f t="shared" si="135"/>
        <v>2743.5</v>
      </c>
      <c r="T1415" s="10" t="s">
        <v>349</v>
      </c>
      <c r="U1415" t="s">
        <v>78</v>
      </c>
      <c r="V1415" s="58">
        <v>7.1775000000000002</v>
      </c>
      <c r="W1415" s="38">
        <f t="shared" si="137"/>
        <v>2790.5398815743647</v>
      </c>
    </row>
    <row r="1416" spans="1:23">
      <c r="A1416" t="s">
        <v>2808</v>
      </c>
      <c r="B1416" s="20">
        <v>45742</v>
      </c>
      <c r="C1416" s="20">
        <v>45737</v>
      </c>
      <c r="D1416" t="s">
        <v>5</v>
      </c>
      <c r="E1416" t="s">
        <v>6</v>
      </c>
      <c r="F1416" s="19"/>
      <c r="G1416" t="s">
        <v>3054</v>
      </c>
      <c r="H1416" t="s">
        <v>3269</v>
      </c>
      <c r="I1416" t="s">
        <v>3476</v>
      </c>
      <c r="J1416" s="8" t="str">
        <f t="shared" si="132"/>
        <v>BOX-</v>
      </c>
      <c r="K1416" t="s">
        <v>10</v>
      </c>
      <c r="L1416" s="54">
        <v>505</v>
      </c>
      <c r="M1416" t="s">
        <v>1472</v>
      </c>
      <c r="N1416" t="s">
        <v>11</v>
      </c>
      <c r="O1416" s="54">
        <v>6.52</v>
      </c>
      <c r="P1416" s="35">
        <f t="shared" si="136"/>
        <v>3292.6</v>
      </c>
      <c r="Q1416" s="10">
        <f t="shared" si="133"/>
        <v>7.3003400000000003</v>
      </c>
      <c r="R1416" s="10">
        <f t="shared" si="134"/>
        <v>0.8931</v>
      </c>
      <c r="S1416" s="11">
        <f t="shared" si="135"/>
        <v>451.02</v>
      </c>
      <c r="T1416" s="10" t="s">
        <v>349</v>
      </c>
      <c r="U1416" t="s">
        <v>1</v>
      </c>
      <c r="V1416" s="58">
        <v>7.1775000000000002</v>
      </c>
      <c r="W1416" s="38">
        <f t="shared" si="137"/>
        <v>458.73911529083938</v>
      </c>
    </row>
    <row r="1417" spans="1:23">
      <c r="A1417" t="s">
        <v>2809</v>
      </c>
      <c r="B1417" s="20">
        <v>45742</v>
      </c>
      <c r="C1417" s="20">
        <v>45737</v>
      </c>
      <c r="D1417" t="s">
        <v>268</v>
      </c>
      <c r="E1417" t="s">
        <v>269</v>
      </c>
      <c r="F1417" s="19"/>
      <c r="G1417" t="s">
        <v>3055</v>
      </c>
      <c r="H1417" t="s">
        <v>1686</v>
      </c>
      <c r="I1417" t="s">
        <v>1687</v>
      </c>
      <c r="J1417" s="8" t="str">
        <f t="shared" si="132"/>
        <v>MISC</v>
      </c>
      <c r="K1417" t="s">
        <v>10</v>
      </c>
      <c r="L1417" s="54">
        <v>3500</v>
      </c>
      <c r="M1417" t="s">
        <v>1472</v>
      </c>
      <c r="N1417" t="s">
        <v>11</v>
      </c>
      <c r="O1417" s="54">
        <v>2.5</v>
      </c>
      <c r="P1417" s="35">
        <f t="shared" si="136"/>
        <v>8750</v>
      </c>
      <c r="Q1417" s="10">
        <f t="shared" si="133"/>
        <v>7.3003400000000003</v>
      </c>
      <c r="R1417" s="10">
        <f t="shared" si="134"/>
        <v>0.34239999999999998</v>
      </c>
      <c r="S1417" s="11">
        <f t="shared" si="135"/>
        <v>1198.4000000000001</v>
      </c>
      <c r="T1417" s="10" t="s">
        <v>349</v>
      </c>
      <c r="U1417" t="s">
        <v>25</v>
      </c>
      <c r="V1417" s="58">
        <v>7.1775000000000002</v>
      </c>
      <c r="W1417" s="38">
        <f t="shared" si="137"/>
        <v>1219.0874259839777</v>
      </c>
    </row>
    <row r="1418" spans="1:23">
      <c r="A1418" t="s">
        <v>2377</v>
      </c>
      <c r="B1418" s="20">
        <v>45743</v>
      </c>
      <c r="C1418" s="20">
        <v>45695</v>
      </c>
      <c r="D1418" t="s">
        <v>143</v>
      </c>
      <c r="E1418" t="s">
        <v>144</v>
      </c>
      <c r="F1418" s="19"/>
      <c r="G1418" t="s">
        <v>2913</v>
      </c>
      <c r="H1418" t="s">
        <v>141</v>
      </c>
      <c r="I1418" t="s">
        <v>142</v>
      </c>
      <c r="J1418" s="8" t="str">
        <f t="shared" si="132"/>
        <v>KNOB</v>
      </c>
      <c r="K1418" t="s">
        <v>10</v>
      </c>
      <c r="L1418" s="54">
        <v>2900</v>
      </c>
      <c r="M1418" t="s">
        <v>1472</v>
      </c>
      <c r="N1418" t="s">
        <v>11</v>
      </c>
      <c r="O1418" s="54">
        <v>5.0999999999999996</v>
      </c>
      <c r="P1418" s="35">
        <f t="shared" si="136"/>
        <v>14790</v>
      </c>
      <c r="Q1418" s="10">
        <f t="shared" si="133"/>
        <v>7.3003400000000003</v>
      </c>
      <c r="R1418" s="10">
        <f t="shared" si="134"/>
        <v>0.6986</v>
      </c>
      <c r="S1418" s="11">
        <f t="shared" si="135"/>
        <v>2025.94</v>
      </c>
      <c r="T1418" s="10" t="s">
        <v>349</v>
      </c>
      <c r="U1418" t="s">
        <v>32</v>
      </c>
      <c r="V1418" s="58">
        <v>7.1775000000000002</v>
      </c>
      <c r="W1418" s="38">
        <f t="shared" si="137"/>
        <v>2060.6060606060605</v>
      </c>
    </row>
    <row r="1419" spans="1:23">
      <c r="A1419" t="s">
        <v>2534</v>
      </c>
      <c r="B1419" s="20">
        <v>45743</v>
      </c>
      <c r="C1419" s="20">
        <v>45714</v>
      </c>
      <c r="D1419" t="s">
        <v>94</v>
      </c>
      <c r="E1419" t="s">
        <v>95</v>
      </c>
      <c r="F1419" s="19"/>
      <c r="G1419" t="s">
        <v>2971</v>
      </c>
      <c r="H1419" t="s">
        <v>3164</v>
      </c>
      <c r="I1419" t="s">
        <v>3374</v>
      </c>
      <c r="J1419" s="8" t="str">
        <f t="shared" si="132"/>
        <v>LID-</v>
      </c>
      <c r="K1419" t="s">
        <v>98</v>
      </c>
      <c r="L1419" s="54">
        <v>1127</v>
      </c>
      <c r="M1419" t="s">
        <v>1472</v>
      </c>
      <c r="N1419" t="s">
        <v>11</v>
      </c>
      <c r="O1419" s="54">
        <v>4.26</v>
      </c>
      <c r="P1419" s="35">
        <f t="shared" si="136"/>
        <v>4801.0200000000004</v>
      </c>
      <c r="Q1419" s="10">
        <f t="shared" si="133"/>
        <v>7.3003400000000003</v>
      </c>
      <c r="R1419" s="10">
        <f t="shared" si="134"/>
        <v>0.58350000000000002</v>
      </c>
      <c r="S1419" s="11">
        <f t="shared" si="135"/>
        <v>657.6</v>
      </c>
      <c r="T1419" s="10" t="s">
        <v>349</v>
      </c>
      <c r="U1419" t="s">
        <v>368</v>
      </c>
      <c r="V1419" s="58">
        <v>7.1775000000000002</v>
      </c>
      <c r="W1419" s="38">
        <f t="shared" si="137"/>
        <v>668.89864158829675</v>
      </c>
    </row>
    <row r="1420" spans="1:23">
      <c r="A1420" t="s">
        <v>2549</v>
      </c>
      <c r="B1420" s="20">
        <v>45743</v>
      </c>
      <c r="C1420" s="20">
        <v>45716</v>
      </c>
      <c r="D1420" t="s">
        <v>149</v>
      </c>
      <c r="E1420" t="s">
        <v>150</v>
      </c>
      <c r="F1420" s="19"/>
      <c r="G1420" t="s">
        <v>2993</v>
      </c>
      <c r="H1420" t="s">
        <v>3169</v>
      </c>
      <c r="I1420" t="s">
        <v>3379</v>
      </c>
      <c r="J1420" s="8" t="str">
        <f t="shared" si="132"/>
        <v>GLID</v>
      </c>
      <c r="K1420" t="s">
        <v>10</v>
      </c>
      <c r="L1420" s="54">
        <v>530</v>
      </c>
      <c r="M1420" t="s">
        <v>1472</v>
      </c>
      <c r="N1420" t="s">
        <v>11</v>
      </c>
      <c r="O1420" s="54">
        <v>4.4287999999999998</v>
      </c>
      <c r="P1420" s="35">
        <f t="shared" si="136"/>
        <v>2347.2600000000002</v>
      </c>
      <c r="Q1420" s="10">
        <f t="shared" si="133"/>
        <v>7.3003400000000003</v>
      </c>
      <c r="R1420" s="10">
        <f t="shared" si="134"/>
        <v>0.60670000000000002</v>
      </c>
      <c r="S1420" s="11">
        <f t="shared" si="135"/>
        <v>321.55</v>
      </c>
      <c r="T1420" s="10" t="s">
        <v>349</v>
      </c>
      <c r="U1420" t="s">
        <v>78</v>
      </c>
      <c r="V1420" s="58">
        <v>7.1775000000000002</v>
      </c>
      <c r="W1420" s="38">
        <f t="shared" si="137"/>
        <v>327.03086032741209</v>
      </c>
    </row>
    <row r="1421" spans="1:23">
      <c r="A1421" t="s">
        <v>2551</v>
      </c>
      <c r="B1421" s="20">
        <v>45743</v>
      </c>
      <c r="C1421" s="20">
        <v>45716</v>
      </c>
      <c r="D1421" t="s">
        <v>149</v>
      </c>
      <c r="E1421" t="s">
        <v>150</v>
      </c>
      <c r="F1421" s="19"/>
      <c r="G1421" t="s">
        <v>2993</v>
      </c>
      <c r="H1421" t="s">
        <v>3170</v>
      </c>
      <c r="I1421" t="s">
        <v>787</v>
      </c>
      <c r="J1421" s="8" t="str">
        <f t="shared" si="132"/>
        <v>GLID</v>
      </c>
      <c r="K1421" t="s">
        <v>10</v>
      </c>
      <c r="L1421" s="54">
        <v>1020</v>
      </c>
      <c r="M1421" t="s">
        <v>1472</v>
      </c>
      <c r="N1421" t="s">
        <v>11</v>
      </c>
      <c r="O1421" s="54">
        <v>2.7372999999999998</v>
      </c>
      <c r="P1421" s="35">
        <f t="shared" si="136"/>
        <v>2792.05</v>
      </c>
      <c r="Q1421" s="10">
        <f t="shared" si="133"/>
        <v>7.3003400000000003</v>
      </c>
      <c r="R1421" s="10">
        <f t="shared" si="134"/>
        <v>0.375</v>
      </c>
      <c r="S1421" s="11">
        <f t="shared" si="135"/>
        <v>382.5</v>
      </c>
      <c r="T1421" s="10" t="s">
        <v>349</v>
      </c>
      <c r="U1421" t="s">
        <v>78</v>
      </c>
      <c r="V1421" s="58">
        <v>7.1775000000000002</v>
      </c>
      <c r="W1421" s="38">
        <f t="shared" si="137"/>
        <v>388.99979101358406</v>
      </c>
    </row>
    <row r="1422" spans="1:23">
      <c r="A1422" t="s">
        <v>2563</v>
      </c>
      <c r="B1422" s="20">
        <v>45743</v>
      </c>
      <c r="C1422" s="20">
        <v>45716</v>
      </c>
      <c r="D1422" t="s">
        <v>709</v>
      </c>
      <c r="E1422" t="s">
        <v>710</v>
      </c>
      <c r="F1422" s="19"/>
      <c r="G1422" t="s">
        <v>2998</v>
      </c>
      <c r="H1422" t="s">
        <v>3177</v>
      </c>
      <c r="I1422" t="s">
        <v>3384</v>
      </c>
      <c r="J1422" s="8" t="str">
        <f t="shared" si="132"/>
        <v>KNOB</v>
      </c>
      <c r="K1422" t="s">
        <v>10</v>
      </c>
      <c r="L1422" s="54">
        <v>1010</v>
      </c>
      <c r="M1422" t="s">
        <v>1472</v>
      </c>
      <c r="N1422" t="s">
        <v>11</v>
      </c>
      <c r="O1422" s="54">
        <v>1.2481</v>
      </c>
      <c r="P1422" s="35">
        <f t="shared" si="136"/>
        <v>1260.58</v>
      </c>
      <c r="Q1422" s="10">
        <f t="shared" si="133"/>
        <v>7.3003400000000003</v>
      </c>
      <c r="R1422" s="10">
        <f t="shared" si="134"/>
        <v>0.17100000000000001</v>
      </c>
      <c r="S1422" s="11">
        <f t="shared" si="135"/>
        <v>172.71</v>
      </c>
      <c r="T1422" s="10" t="s">
        <v>349</v>
      </c>
      <c r="U1422" t="s">
        <v>32</v>
      </c>
      <c r="V1422" s="58">
        <v>7.1775000000000002</v>
      </c>
      <c r="W1422" s="38">
        <f t="shared" si="137"/>
        <v>175.62953674677811</v>
      </c>
    </row>
    <row r="1423" spans="1:23">
      <c r="A1423" t="s">
        <v>2643</v>
      </c>
      <c r="B1423" s="20">
        <v>45743</v>
      </c>
      <c r="C1423" s="20">
        <v>45721</v>
      </c>
      <c r="D1423" t="s">
        <v>709</v>
      </c>
      <c r="E1423" t="s">
        <v>710</v>
      </c>
      <c r="F1423" s="19"/>
      <c r="G1423" t="s">
        <v>2998</v>
      </c>
      <c r="H1423" t="s">
        <v>738</v>
      </c>
      <c r="I1423" t="s">
        <v>739</v>
      </c>
      <c r="J1423" s="8" t="str">
        <f t="shared" si="132"/>
        <v>KNOB</v>
      </c>
      <c r="K1423" t="s">
        <v>10</v>
      </c>
      <c r="L1423" s="54">
        <v>1000</v>
      </c>
      <c r="M1423" t="s">
        <v>1472</v>
      </c>
      <c r="N1423" t="s">
        <v>11</v>
      </c>
      <c r="O1423" s="54">
        <v>1.0463</v>
      </c>
      <c r="P1423" s="35">
        <f t="shared" si="136"/>
        <v>1046.3</v>
      </c>
      <c r="Q1423" s="10">
        <f t="shared" si="133"/>
        <v>7.3003400000000003</v>
      </c>
      <c r="R1423" s="10">
        <f t="shared" si="134"/>
        <v>0.14330000000000001</v>
      </c>
      <c r="S1423" s="11">
        <f t="shared" si="135"/>
        <v>143.30000000000001</v>
      </c>
      <c r="T1423" s="10" t="s">
        <v>349</v>
      </c>
      <c r="U1423" t="s">
        <v>32</v>
      </c>
      <c r="V1423" s="58">
        <v>7.1775000000000002</v>
      </c>
      <c r="W1423" s="38">
        <f t="shared" si="137"/>
        <v>145.77499129223267</v>
      </c>
    </row>
    <row r="1424" spans="1:23">
      <c r="A1424" t="s">
        <v>2674</v>
      </c>
      <c r="B1424" s="20">
        <v>45743</v>
      </c>
      <c r="C1424" s="20">
        <v>45726</v>
      </c>
      <c r="D1424" t="s">
        <v>1006</v>
      </c>
      <c r="E1424" t="s">
        <v>1007</v>
      </c>
      <c r="F1424" s="19"/>
      <c r="G1424" t="s">
        <v>3028</v>
      </c>
      <c r="H1424" t="s">
        <v>3218</v>
      </c>
      <c r="I1424" t="s">
        <v>3425</v>
      </c>
      <c r="J1424" s="8" t="str">
        <f t="shared" si="132"/>
        <v>ALM-</v>
      </c>
      <c r="K1424" t="s">
        <v>98</v>
      </c>
      <c r="L1424" s="54">
        <v>1007</v>
      </c>
      <c r="M1424" t="s">
        <v>186</v>
      </c>
      <c r="N1424" t="s">
        <v>11</v>
      </c>
      <c r="O1424" s="54">
        <v>2.9203999999999999</v>
      </c>
      <c r="P1424" s="35">
        <f t="shared" si="136"/>
        <v>2940.84</v>
      </c>
      <c r="Q1424" s="10">
        <f t="shared" si="133"/>
        <v>7.3003400000000003</v>
      </c>
      <c r="R1424" s="10">
        <f t="shared" si="134"/>
        <v>0.4</v>
      </c>
      <c r="S1424" s="11">
        <f t="shared" si="135"/>
        <v>402.8</v>
      </c>
      <c r="T1424" s="10" t="s">
        <v>349</v>
      </c>
      <c r="U1424" t="s">
        <v>191</v>
      </c>
      <c r="V1424" s="58">
        <v>7.1775000000000002</v>
      </c>
      <c r="W1424" s="38">
        <f t="shared" si="137"/>
        <v>409.73079763148729</v>
      </c>
    </row>
    <row r="1425" spans="1:23">
      <c r="A1425" t="s">
        <v>2676</v>
      </c>
      <c r="B1425" s="20">
        <v>45743</v>
      </c>
      <c r="C1425" s="20">
        <v>45726</v>
      </c>
      <c r="D1425" t="s">
        <v>1006</v>
      </c>
      <c r="E1425" t="s">
        <v>1007</v>
      </c>
      <c r="F1425" s="19"/>
      <c r="G1425" t="s">
        <v>3028</v>
      </c>
      <c r="H1425" t="s">
        <v>3220</v>
      </c>
      <c r="I1425" t="s">
        <v>3427</v>
      </c>
      <c r="J1425" s="8" t="str">
        <f t="shared" si="132"/>
        <v>ALM-</v>
      </c>
      <c r="K1425" t="s">
        <v>98</v>
      </c>
      <c r="L1425" s="54">
        <v>683</v>
      </c>
      <c r="M1425" t="s">
        <v>186</v>
      </c>
      <c r="N1425" t="s">
        <v>11</v>
      </c>
      <c r="O1425" s="54">
        <v>2.9203999999999999</v>
      </c>
      <c r="P1425" s="35">
        <f t="shared" si="136"/>
        <v>1994.63</v>
      </c>
      <c r="Q1425" s="10">
        <f t="shared" si="133"/>
        <v>7.3003400000000003</v>
      </c>
      <c r="R1425" s="10">
        <f t="shared" si="134"/>
        <v>0.4</v>
      </c>
      <c r="S1425" s="11">
        <f t="shared" si="135"/>
        <v>273.2</v>
      </c>
      <c r="T1425" s="10" t="s">
        <v>349</v>
      </c>
      <c r="U1425" t="s">
        <v>191</v>
      </c>
      <c r="V1425" s="58">
        <v>7.1775000000000002</v>
      </c>
      <c r="W1425" s="38">
        <f t="shared" si="137"/>
        <v>277.90082897944967</v>
      </c>
    </row>
    <row r="1426" spans="1:23">
      <c r="A1426" t="s">
        <v>2678</v>
      </c>
      <c r="B1426" s="20">
        <v>45743</v>
      </c>
      <c r="C1426" s="20">
        <v>45726</v>
      </c>
      <c r="D1426" t="s">
        <v>1006</v>
      </c>
      <c r="E1426" t="s">
        <v>1007</v>
      </c>
      <c r="F1426" s="19"/>
      <c r="G1426" t="s">
        <v>3028</v>
      </c>
      <c r="H1426" t="s">
        <v>1019</v>
      </c>
      <c r="I1426" t="s">
        <v>1020</v>
      </c>
      <c r="J1426" s="8" t="str">
        <f t="shared" si="132"/>
        <v>ALM-</v>
      </c>
      <c r="K1426" t="s">
        <v>98</v>
      </c>
      <c r="L1426" s="54">
        <v>269</v>
      </c>
      <c r="M1426" t="s">
        <v>186</v>
      </c>
      <c r="N1426" t="s">
        <v>11</v>
      </c>
      <c r="O1426" s="54">
        <v>2.9203999999999999</v>
      </c>
      <c r="P1426" s="35">
        <f t="shared" si="136"/>
        <v>785.59</v>
      </c>
      <c r="Q1426" s="10">
        <f t="shared" si="133"/>
        <v>7.3003400000000003</v>
      </c>
      <c r="R1426" s="10">
        <f t="shared" si="134"/>
        <v>0.4</v>
      </c>
      <c r="S1426" s="11">
        <f t="shared" si="135"/>
        <v>107.6</v>
      </c>
      <c r="T1426" s="10" t="s">
        <v>349</v>
      </c>
      <c r="U1426" t="s">
        <v>191</v>
      </c>
      <c r="V1426" s="58">
        <v>7.1775000000000002</v>
      </c>
      <c r="W1426" s="38">
        <f t="shared" si="137"/>
        <v>109.45142459073493</v>
      </c>
    </row>
    <row r="1427" spans="1:23">
      <c r="A1427" t="s">
        <v>2679</v>
      </c>
      <c r="B1427" s="20">
        <v>45743</v>
      </c>
      <c r="C1427" s="20">
        <v>45726</v>
      </c>
      <c r="D1427" t="s">
        <v>1006</v>
      </c>
      <c r="E1427" t="s">
        <v>1007</v>
      </c>
      <c r="F1427" s="19"/>
      <c r="G1427" t="s">
        <v>3028</v>
      </c>
      <c r="H1427" t="s">
        <v>3221</v>
      </c>
      <c r="I1427" t="s">
        <v>3428</v>
      </c>
      <c r="J1427" s="8" t="str">
        <f t="shared" si="132"/>
        <v>ALM-</v>
      </c>
      <c r="K1427" t="s">
        <v>98</v>
      </c>
      <c r="L1427" s="54">
        <v>510</v>
      </c>
      <c r="M1427" t="s">
        <v>186</v>
      </c>
      <c r="N1427" t="s">
        <v>11</v>
      </c>
      <c r="O1427" s="54">
        <v>3.0973000000000002</v>
      </c>
      <c r="P1427" s="35">
        <f t="shared" si="136"/>
        <v>1579.62</v>
      </c>
      <c r="Q1427" s="10">
        <f t="shared" si="133"/>
        <v>7.3003400000000003</v>
      </c>
      <c r="R1427" s="10">
        <f t="shared" si="134"/>
        <v>0.42430000000000001</v>
      </c>
      <c r="S1427" s="11">
        <f t="shared" si="135"/>
        <v>216.39</v>
      </c>
      <c r="T1427" s="10" t="s">
        <v>349</v>
      </c>
      <c r="U1427" t="s">
        <v>191</v>
      </c>
      <c r="V1427" s="58">
        <v>7.1775000000000002</v>
      </c>
      <c r="W1427" s="38">
        <f t="shared" si="137"/>
        <v>220.07983281086729</v>
      </c>
    </row>
    <row r="1428" spans="1:23">
      <c r="A1428" t="s">
        <v>2730</v>
      </c>
      <c r="B1428" s="20">
        <v>45743</v>
      </c>
      <c r="C1428" s="20">
        <v>45728</v>
      </c>
      <c r="D1428" t="s">
        <v>149</v>
      </c>
      <c r="E1428" t="s">
        <v>150</v>
      </c>
      <c r="F1428" s="19"/>
      <c r="G1428" t="s">
        <v>2993</v>
      </c>
      <c r="H1428" t="s">
        <v>1190</v>
      </c>
      <c r="I1428" t="s">
        <v>1191</v>
      </c>
      <c r="J1428" s="8" t="str">
        <f t="shared" si="132"/>
        <v>GLID</v>
      </c>
      <c r="K1428" t="s">
        <v>10</v>
      </c>
      <c r="L1428" s="54">
        <v>3030</v>
      </c>
      <c r="M1428" t="s">
        <v>1472</v>
      </c>
      <c r="N1428" t="s">
        <v>11</v>
      </c>
      <c r="O1428" s="54">
        <v>4.3726000000000003</v>
      </c>
      <c r="P1428" s="35">
        <f t="shared" si="136"/>
        <v>13248.98</v>
      </c>
      <c r="Q1428" s="10">
        <f t="shared" si="133"/>
        <v>7.3003400000000003</v>
      </c>
      <c r="R1428" s="10">
        <f t="shared" si="134"/>
        <v>0.59899999999999998</v>
      </c>
      <c r="S1428" s="11">
        <f t="shared" si="135"/>
        <v>1814.97</v>
      </c>
      <c r="T1428" s="10" t="s">
        <v>349</v>
      </c>
      <c r="U1428" t="s">
        <v>78</v>
      </c>
      <c r="V1428" s="58">
        <v>7.1775000000000002</v>
      </c>
      <c r="W1428" s="38">
        <f t="shared" si="137"/>
        <v>1845.9042842215256</v>
      </c>
    </row>
    <row r="1429" spans="1:23">
      <c r="A1429" t="s">
        <v>2761</v>
      </c>
      <c r="B1429" s="20">
        <v>45743</v>
      </c>
      <c r="C1429" s="20">
        <v>45730</v>
      </c>
      <c r="D1429" t="s">
        <v>806</v>
      </c>
      <c r="E1429" t="s">
        <v>807</v>
      </c>
      <c r="F1429" s="19"/>
      <c r="G1429" t="s">
        <v>3048</v>
      </c>
      <c r="H1429" t="s">
        <v>3250</v>
      </c>
      <c r="I1429" t="s">
        <v>3457</v>
      </c>
      <c r="J1429" s="8" t="str">
        <f t="shared" ref="J1429:J1492" si="138">+LEFT(U1429,4)</f>
        <v>BAG-</v>
      </c>
      <c r="K1429" t="s">
        <v>10</v>
      </c>
      <c r="L1429" s="54">
        <v>10000</v>
      </c>
      <c r="M1429" t="s">
        <v>1472</v>
      </c>
      <c r="N1429" t="s">
        <v>11</v>
      </c>
      <c r="O1429" s="54">
        <v>9.6000000000000002E-2</v>
      </c>
      <c r="P1429" s="35">
        <f t="shared" si="136"/>
        <v>960</v>
      </c>
      <c r="Q1429" s="10">
        <f t="shared" ref="Q1429:Q1492" si="139">IF(N1429="HKD",7.8,IF(N1429="CNY",7.30034,1))</f>
        <v>7.3003400000000003</v>
      </c>
      <c r="R1429" s="10">
        <f t="shared" ref="R1429:R1492" si="140">+ROUND(O1429/Q1429,4)</f>
        <v>1.32E-2</v>
      </c>
      <c r="S1429" s="11">
        <f t="shared" ref="S1429:S1492" si="141">ROUND(R1429*L1429,2)</f>
        <v>132</v>
      </c>
      <c r="T1429" s="10" t="s">
        <v>349</v>
      </c>
      <c r="U1429" t="s">
        <v>810</v>
      </c>
      <c r="V1429" s="58">
        <v>7.1775000000000002</v>
      </c>
      <c r="W1429" s="38">
        <f t="shared" si="137"/>
        <v>133.75130616509927</v>
      </c>
    </row>
    <row r="1430" spans="1:23">
      <c r="A1430" t="s">
        <v>2762</v>
      </c>
      <c r="B1430" s="20">
        <v>45743</v>
      </c>
      <c r="C1430" s="20">
        <v>45730</v>
      </c>
      <c r="D1430" t="s">
        <v>806</v>
      </c>
      <c r="E1430" t="s">
        <v>807</v>
      </c>
      <c r="F1430" s="19"/>
      <c r="G1430" t="s">
        <v>3048</v>
      </c>
      <c r="H1430" t="s">
        <v>3251</v>
      </c>
      <c r="I1430" t="s">
        <v>3458</v>
      </c>
      <c r="J1430" s="8" t="str">
        <f t="shared" si="138"/>
        <v>BAG-</v>
      </c>
      <c r="K1430" t="s">
        <v>10</v>
      </c>
      <c r="L1430" s="54">
        <v>4000</v>
      </c>
      <c r="M1430" t="s">
        <v>1472</v>
      </c>
      <c r="N1430" t="s">
        <v>11</v>
      </c>
      <c r="O1430" s="54">
        <v>0.113</v>
      </c>
      <c r="P1430" s="35">
        <f t="shared" si="136"/>
        <v>452</v>
      </c>
      <c r="Q1430" s="10">
        <f t="shared" si="139"/>
        <v>7.3003400000000003</v>
      </c>
      <c r="R1430" s="10">
        <f t="shared" si="140"/>
        <v>1.55E-2</v>
      </c>
      <c r="S1430" s="11">
        <f t="shared" si="141"/>
        <v>62</v>
      </c>
      <c r="T1430" s="10" t="s">
        <v>349</v>
      </c>
      <c r="U1430" t="s">
        <v>810</v>
      </c>
      <c r="V1430" s="58">
        <v>7.1775000000000002</v>
      </c>
      <c r="W1430" s="38">
        <f t="shared" si="137"/>
        <v>62.974573319400903</v>
      </c>
    </row>
    <row r="1431" spans="1:23">
      <c r="A1431" t="s">
        <v>2763</v>
      </c>
      <c r="B1431" s="20">
        <v>45743</v>
      </c>
      <c r="C1431" s="20">
        <v>45730</v>
      </c>
      <c r="D1431" t="s">
        <v>806</v>
      </c>
      <c r="E1431" t="s">
        <v>807</v>
      </c>
      <c r="F1431" s="19"/>
      <c r="G1431" t="s">
        <v>3048</v>
      </c>
      <c r="H1431" t="s">
        <v>804</v>
      </c>
      <c r="I1431" t="s">
        <v>805</v>
      </c>
      <c r="J1431" s="8" t="str">
        <f t="shared" si="138"/>
        <v>BAG-</v>
      </c>
      <c r="K1431" t="s">
        <v>10</v>
      </c>
      <c r="L1431" s="54">
        <v>7000</v>
      </c>
      <c r="M1431" t="s">
        <v>1472</v>
      </c>
      <c r="N1431" t="s">
        <v>11</v>
      </c>
      <c r="O1431" s="54">
        <v>0.152</v>
      </c>
      <c r="P1431" s="35">
        <f t="shared" si="136"/>
        <v>1064</v>
      </c>
      <c r="Q1431" s="10">
        <f t="shared" si="139"/>
        <v>7.3003400000000003</v>
      </c>
      <c r="R1431" s="10">
        <f t="shared" si="140"/>
        <v>2.0799999999999999E-2</v>
      </c>
      <c r="S1431" s="11">
        <f t="shared" si="141"/>
        <v>145.6</v>
      </c>
      <c r="T1431" s="10" t="s">
        <v>349</v>
      </c>
      <c r="U1431" t="s">
        <v>810</v>
      </c>
      <c r="V1431" s="58">
        <v>7.1775000000000002</v>
      </c>
      <c r="W1431" s="38">
        <f t="shared" si="137"/>
        <v>148.24103099965168</v>
      </c>
    </row>
    <row r="1432" spans="1:23">
      <c r="A1432" t="s">
        <v>2764</v>
      </c>
      <c r="B1432" s="20">
        <v>45743</v>
      </c>
      <c r="C1432" s="20">
        <v>45730</v>
      </c>
      <c r="D1432" t="s">
        <v>806</v>
      </c>
      <c r="E1432" t="s">
        <v>807</v>
      </c>
      <c r="F1432" s="19"/>
      <c r="G1432" t="s">
        <v>3048</v>
      </c>
      <c r="H1432" t="s">
        <v>3252</v>
      </c>
      <c r="I1432" t="s">
        <v>3459</v>
      </c>
      <c r="J1432" s="8" t="str">
        <f t="shared" si="138"/>
        <v>BAG-</v>
      </c>
      <c r="K1432" t="s">
        <v>10</v>
      </c>
      <c r="L1432" s="54">
        <v>1000</v>
      </c>
      <c r="M1432" t="s">
        <v>1472</v>
      </c>
      <c r="N1432" t="s">
        <v>11</v>
      </c>
      <c r="O1432" s="54">
        <v>0.215</v>
      </c>
      <c r="P1432" s="35">
        <f t="shared" si="136"/>
        <v>215</v>
      </c>
      <c r="Q1432" s="10">
        <f t="shared" si="139"/>
        <v>7.3003400000000003</v>
      </c>
      <c r="R1432" s="10">
        <f t="shared" si="140"/>
        <v>2.9499999999999998E-2</v>
      </c>
      <c r="S1432" s="11">
        <f t="shared" si="141"/>
        <v>29.5</v>
      </c>
      <c r="T1432" s="10" t="s">
        <v>349</v>
      </c>
      <c r="U1432" t="s">
        <v>810</v>
      </c>
      <c r="V1432" s="58">
        <v>7.1775000000000002</v>
      </c>
      <c r="W1432" s="38">
        <f t="shared" si="137"/>
        <v>29.954719609892024</v>
      </c>
    </row>
    <row r="1433" spans="1:23">
      <c r="A1433" t="s">
        <v>2779</v>
      </c>
      <c r="B1433" s="20">
        <v>45743</v>
      </c>
      <c r="C1433" s="20">
        <v>45730</v>
      </c>
      <c r="D1433" t="s">
        <v>1006</v>
      </c>
      <c r="E1433" t="s">
        <v>1007</v>
      </c>
      <c r="F1433" s="19"/>
      <c r="G1433" t="s">
        <v>3028</v>
      </c>
      <c r="H1433" t="s">
        <v>1013</v>
      </c>
      <c r="I1433" t="s">
        <v>1014</v>
      </c>
      <c r="J1433" s="8" t="str">
        <f t="shared" si="138"/>
        <v>ALM-</v>
      </c>
      <c r="K1433" t="s">
        <v>98</v>
      </c>
      <c r="L1433" s="54">
        <v>982</v>
      </c>
      <c r="M1433" t="s">
        <v>186</v>
      </c>
      <c r="N1433" t="s">
        <v>11</v>
      </c>
      <c r="O1433" s="54">
        <v>3.0973000000000002</v>
      </c>
      <c r="P1433" s="35">
        <f t="shared" si="136"/>
        <v>3041.55</v>
      </c>
      <c r="Q1433" s="10">
        <f t="shared" si="139"/>
        <v>7.3003400000000003</v>
      </c>
      <c r="R1433" s="10">
        <f t="shared" si="140"/>
        <v>0.42430000000000001</v>
      </c>
      <c r="S1433" s="11">
        <f t="shared" si="141"/>
        <v>416.66</v>
      </c>
      <c r="T1433" s="10" t="s">
        <v>349</v>
      </c>
      <c r="U1433" t="s">
        <v>191</v>
      </c>
      <c r="V1433" s="58">
        <v>7.1775000000000002</v>
      </c>
      <c r="W1433" s="38">
        <f t="shared" si="137"/>
        <v>423.76156043190525</v>
      </c>
    </row>
    <row r="1434" spans="1:23">
      <c r="A1434" t="s">
        <v>2780</v>
      </c>
      <c r="B1434" s="20">
        <v>45743</v>
      </c>
      <c r="C1434" s="20">
        <v>45730</v>
      </c>
      <c r="D1434" t="s">
        <v>1006</v>
      </c>
      <c r="E1434" t="s">
        <v>1007</v>
      </c>
      <c r="F1434" s="19"/>
      <c r="G1434" t="s">
        <v>3028</v>
      </c>
      <c r="H1434" t="s">
        <v>3197</v>
      </c>
      <c r="I1434" t="s">
        <v>3404</v>
      </c>
      <c r="J1434" s="8" t="str">
        <f t="shared" si="138"/>
        <v>ALM-</v>
      </c>
      <c r="K1434" t="s">
        <v>98</v>
      </c>
      <c r="L1434" s="54">
        <v>700</v>
      </c>
      <c r="M1434" t="s">
        <v>186</v>
      </c>
      <c r="N1434" t="s">
        <v>11</v>
      </c>
      <c r="O1434" s="54">
        <v>2.9203999999999999</v>
      </c>
      <c r="P1434" s="35">
        <f t="shared" si="136"/>
        <v>2044.28</v>
      </c>
      <c r="Q1434" s="10">
        <f t="shared" si="139"/>
        <v>7.3003400000000003</v>
      </c>
      <c r="R1434" s="10">
        <f t="shared" si="140"/>
        <v>0.4</v>
      </c>
      <c r="S1434" s="11">
        <f t="shared" si="141"/>
        <v>280</v>
      </c>
      <c r="T1434" s="10" t="s">
        <v>349</v>
      </c>
      <c r="U1434" t="s">
        <v>191</v>
      </c>
      <c r="V1434" s="58">
        <v>7.1775000000000002</v>
      </c>
      <c r="W1434" s="38">
        <f t="shared" si="137"/>
        <v>284.81783350748867</v>
      </c>
    </row>
    <row r="1435" spans="1:23">
      <c r="A1435" t="s">
        <v>2781</v>
      </c>
      <c r="B1435" s="20">
        <v>45743</v>
      </c>
      <c r="C1435" s="20">
        <v>45730</v>
      </c>
      <c r="D1435" t="s">
        <v>1006</v>
      </c>
      <c r="E1435" t="s">
        <v>1007</v>
      </c>
      <c r="F1435" s="19"/>
      <c r="G1435" t="s">
        <v>3028</v>
      </c>
      <c r="H1435" t="s">
        <v>1010</v>
      </c>
      <c r="I1435" t="s">
        <v>1011</v>
      </c>
      <c r="J1435" s="8" t="str">
        <f t="shared" si="138"/>
        <v>ALM-</v>
      </c>
      <c r="K1435" t="s">
        <v>98</v>
      </c>
      <c r="L1435" s="54">
        <v>1902</v>
      </c>
      <c r="M1435" t="s">
        <v>186</v>
      </c>
      <c r="N1435" t="s">
        <v>11</v>
      </c>
      <c r="O1435" s="54">
        <v>2.9203999999999999</v>
      </c>
      <c r="P1435" s="35">
        <f t="shared" si="136"/>
        <v>5554.6</v>
      </c>
      <c r="Q1435" s="10">
        <f t="shared" si="139"/>
        <v>7.3003400000000003</v>
      </c>
      <c r="R1435" s="10">
        <f t="shared" si="140"/>
        <v>0.4</v>
      </c>
      <c r="S1435" s="11">
        <f t="shared" si="141"/>
        <v>760.8</v>
      </c>
      <c r="T1435" s="10" t="s">
        <v>349</v>
      </c>
      <c r="U1435" t="s">
        <v>191</v>
      </c>
      <c r="V1435" s="58">
        <v>7.1775000000000002</v>
      </c>
      <c r="W1435" s="38">
        <f t="shared" si="137"/>
        <v>773.89074190177632</v>
      </c>
    </row>
    <row r="1436" spans="1:23">
      <c r="A1436" t="s">
        <v>2782</v>
      </c>
      <c r="B1436" s="20">
        <v>45743</v>
      </c>
      <c r="C1436" s="20">
        <v>45730</v>
      </c>
      <c r="D1436" t="s">
        <v>1006</v>
      </c>
      <c r="E1436" t="s">
        <v>1007</v>
      </c>
      <c r="F1436" s="19"/>
      <c r="G1436" t="s">
        <v>3028</v>
      </c>
      <c r="H1436" t="s">
        <v>3257</v>
      </c>
      <c r="I1436" t="s">
        <v>3464</v>
      </c>
      <c r="J1436" s="8" t="str">
        <f t="shared" si="138"/>
        <v>ALM-</v>
      </c>
      <c r="K1436" t="s">
        <v>98</v>
      </c>
      <c r="L1436" s="54">
        <v>527</v>
      </c>
      <c r="M1436" t="s">
        <v>186</v>
      </c>
      <c r="N1436" t="s">
        <v>11</v>
      </c>
      <c r="O1436" s="54">
        <v>2.9203999999999999</v>
      </c>
      <c r="P1436" s="35">
        <f t="shared" si="136"/>
        <v>1539.05</v>
      </c>
      <c r="Q1436" s="10">
        <f t="shared" si="139"/>
        <v>7.3003400000000003</v>
      </c>
      <c r="R1436" s="10">
        <f t="shared" si="140"/>
        <v>0.4</v>
      </c>
      <c r="S1436" s="11">
        <f t="shared" si="141"/>
        <v>210.8</v>
      </c>
      <c r="T1436" s="10" t="s">
        <v>349</v>
      </c>
      <c r="U1436" t="s">
        <v>191</v>
      </c>
      <c r="V1436" s="58">
        <v>7.1775000000000002</v>
      </c>
      <c r="W1436" s="38">
        <f t="shared" si="137"/>
        <v>214.42714036920933</v>
      </c>
    </row>
    <row r="1437" spans="1:23">
      <c r="A1437" t="s">
        <v>2783</v>
      </c>
      <c r="B1437" s="20">
        <v>45743</v>
      </c>
      <c r="C1437" s="20">
        <v>45730</v>
      </c>
      <c r="D1437" t="s">
        <v>1006</v>
      </c>
      <c r="E1437" t="s">
        <v>1007</v>
      </c>
      <c r="F1437" s="19"/>
      <c r="G1437" t="s">
        <v>3028</v>
      </c>
      <c r="H1437" t="s">
        <v>3258</v>
      </c>
      <c r="I1437" t="s">
        <v>3465</v>
      </c>
      <c r="J1437" s="8" t="str">
        <f t="shared" si="138"/>
        <v>ALM-</v>
      </c>
      <c r="K1437" t="s">
        <v>98</v>
      </c>
      <c r="L1437" s="54">
        <v>942</v>
      </c>
      <c r="M1437" t="s">
        <v>186</v>
      </c>
      <c r="N1437" t="s">
        <v>11</v>
      </c>
      <c r="O1437" s="54">
        <v>2.9203999999999999</v>
      </c>
      <c r="P1437" s="35">
        <f t="shared" si="136"/>
        <v>2751.02</v>
      </c>
      <c r="Q1437" s="10">
        <f t="shared" si="139"/>
        <v>7.3003400000000003</v>
      </c>
      <c r="R1437" s="10">
        <f t="shared" si="140"/>
        <v>0.4</v>
      </c>
      <c r="S1437" s="11">
        <f t="shared" si="141"/>
        <v>376.8</v>
      </c>
      <c r="T1437" s="10" t="s">
        <v>349</v>
      </c>
      <c r="U1437" t="s">
        <v>191</v>
      </c>
      <c r="V1437" s="58">
        <v>7.1775000000000002</v>
      </c>
      <c r="W1437" s="38">
        <f t="shared" si="137"/>
        <v>383.28342737722045</v>
      </c>
    </row>
    <row r="1438" spans="1:23">
      <c r="A1438" t="s">
        <v>2784</v>
      </c>
      <c r="B1438" s="20">
        <v>45743</v>
      </c>
      <c r="C1438" s="20">
        <v>45730</v>
      </c>
      <c r="D1438" t="s">
        <v>1006</v>
      </c>
      <c r="E1438" t="s">
        <v>1007</v>
      </c>
      <c r="F1438" s="19"/>
      <c r="G1438" t="s">
        <v>3028</v>
      </c>
      <c r="H1438" t="s">
        <v>3196</v>
      </c>
      <c r="I1438" t="s">
        <v>3403</v>
      </c>
      <c r="J1438" s="8" t="str">
        <f t="shared" si="138"/>
        <v>ALM-</v>
      </c>
      <c r="K1438" t="s">
        <v>98</v>
      </c>
      <c r="L1438" s="54">
        <v>885</v>
      </c>
      <c r="M1438" t="s">
        <v>186</v>
      </c>
      <c r="N1438" t="s">
        <v>11</v>
      </c>
      <c r="O1438" s="54">
        <v>2.9203999999999999</v>
      </c>
      <c r="P1438" s="35">
        <f t="shared" si="136"/>
        <v>2584.5500000000002</v>
      </c>
      <c r="Q1438" s="10">
        <f t="shared" si="139"/>
        <v>7.3003400000000003</v>
      </c>
      <c r="R1438" s="10">
        <f t="shared" si="140"/>
        <v>0.4</v>
      </c>
      <c r="S1438" s="11">
        <f t="shared" si="141"/>
        <v>354</v>
      </c>
      <c r="T1438" s="10" t="s">
        <v>349</v>
      </c>
      <c r="U1438" t="s">
        <v>191</v>
      </c>
      <c r="V1438" s="58">
        <v>7.1775000000000002</v>
      </c>
      <c r="W1438" s="38">
        <f t="shared" si="137"/>
        <v>360.09111807732495</v>
      </c>
    </row>
    <row r="1439" spans="1:23">
      <c r="A1439" t="s">
        <v>2785</v>
      </c>
      <c r="B1439" s="20">
        <v>45743</v>
      </c>
      <c r="C1439" s="20">
        <v>45730</v>
      </c>
      <c r="D1439" t="s">
        <v>1006</v>
      </c>
      <c r="E1439" t="s">
        <v>1007</v>
      </c>
      <c r="F1439" s="19"/>
      <c r="G1439" t="s">
        <v>3028</v>
      </c>
      <c r="H1439" t="s">
        <v>3259</v>
      </c>
      <c r="I1439" t="s">
        <v>3466</v>
      </c>
      <c r="J1439" s="8" t="str">
        <f t="shared" si="138"/>
        <v>ALM-</v>
      </c>
      <c r="K1439" t="s">
        <v>98</v>
      </c>
      <c r="L1439" s="54">
        <v>817</v>
      </c>
      <c r="M1439" t="s">
        <v>186</v>
      </c>
      <c r="N1439" t="s">
        <v>11</v>
      </c>
      <c r="O1439" s="54">
        <v>2.9203999999999999</v>
      </c>
      <c r="P1439" s="35">
        <f t="shared" si="136"/>
        <v>2385.9699999999998</v>
      </c>
      <c r="Q1439" s="10">
        <f t="shared" si="139"/>
        <v>7.3003400000000003</v>
      </c>
      <c r="R1439" s="10">
        <f t="shared" si="140"/>
        <v>0.4</v>
      </c>
      <c r="S1439" s="11">
        <f t="shared" si="141"/>
        <v>326.8</v>
      </c>
      <c r="T1439" s="10" t="s">
        <v>349</v>
      </c>
      <c r="U1439" t="s">
        <v>191</v>
      </c>
      <c r="V1439" s="58">
        <v>7.1775000000000002</v>
      </c>
      <c r="W1439" s="38">
        <f t="shared" si="137"/>
        <v>332.42309996516894</v>
      </c>
    </row>
    <row r="1440" spans="1:23">
      <c r="A1440" t="s">
        <v>2786</v>
      </c>
      <c r="B1440" s="20">
        <v>45743</v>
      </c>
      <c r="C1440" s="20">
        <v>45730</v>
      </c>
      <c r="D1440" t="s">
        <v>1006</v>
      </c>
      <c r="E1440" t="s">
        <v>1007</v>
      </c>
      <c r="F1440" s="19"/>
      <c r="G1440" t="s">
        <v>3028</v>
      </c>
      <c r="H1440" t="s">
        <v>3260</v>
      </c>
      <c r="I1440" t="s">
        <v>3467</v>
      </c>
      <c r="J1440" s="8" t="str">
        <f t="shared" si="138"/>
        <v>ALM-</v>
      </c>
      <c r="K1440" t="s">
        <v>98</v>
      </c>
      <c r="L1440" s="54">
        <v>601</v>
      </c>
      <c r="M1440" t="s">
        <v>186</v>
      </c>
      <c r="N1440" t="s">
        <v>11</v>
      </c>
      <c r="O1440" s="54">
        <v>2.9203999999999999</v>
      </c>
      <c r="P1440" s="35">
        <f t="shared" si="136"/>
        <v>1755.16</v>
      </c>
      <c r="Q1440" s="10">
        <f t="shared" si="139"/>
        <v>7.3003400000000003</v>
      </c>
      <c r="R1440" s="10">
        <f t="shared" si="140"/>
        <v>0.4</v>
      </c>
      <c r="S1440" s="11">
        <f t="shared" si="141"/>
        <v>240.4</v>
      </c>
      <c r="T1440" s="10" t="s">
        <v>349</v>
      </c>
      <c r="U1440" t="s">
        <v>191</v>
      </c>
      <c r="V1440" s="58">
        <v>7.1775000000000002</v>
      </c>
      <c r="W1440" s="38">
        <f t="shared" si="137"/>
        <v>244.53645419714385</v>
      </c>
    </row>
    <row r="1441" spans="1:23">
      <c r="A1441" t="s">
        <v>2787</v>
      </c>
      <c r="B1441" s="20">
        <v>45743</v>
      </c>
      <c r="C1441" s="20">
        <v>45733</v>
      </c>
      <c r="D1441" t="s">
        <v>14</v>
      </c>
      <c r="E1441" t="s">
        <v>15</v>
      </c>
      <c r="F1441" s="19"/>
      <c r="G1441" t="s">
        <v>3049</v>
      </c>
      <c r="H1441" t="s">
        <v>12</v>
      </c>
      <c r="I1441" t="s">
        <v>13</v>
      </c>
      <c r="J1441" s="8" t="str">
        <f t="shared" si="138"/>
        <v>STKR</v>
      </c>
      <c r="K1441" t="s">
        <v>10</v>
      </c>
      <c r="L1441" s="54">
        <v>60000</v>
      </c>
      <c r="M1441" t="s">
        <v>1472</v>
      </c>
      <c r="N1441" t="s">
        <v>11</v>
      </c>
      <c r="O1441" s="54">
        <v>2.8199999999999999E-2</v>
      </c>
      <c r="P1441" s="35">
        <f t="shared" si="136"/>
        <v>1692</v>
      </c>
      <c r="Q1441" s="10">
        <f t="shared" si="139"/>
        <v>7.3003400000000003</v>
      </c>
      <c r="R1441" s="10">
        <f t="shared" si="140"/>
        <v>3.8999999999999998E-3</v>
      </c>
      <c r="S1441" s="11">
        <f t="shared" si="141"/>
        <v>234</v>
      </c>
      <c r="T1441" s="10" t="s">
        <v>349</v>
      </c>
      <c r="U1441" t="s">
        <v>18</v>
      </c>
      <c r="V1441" s="58">
        <v>7.1775000000000002</v>
      </c>
      <c r="W1441" s="38">
        <f t="shared" si="137"/>
        <v>235.73667711598742</v>
      </c>
    </row>
    <row r="1442" spans="1:23">
      <c r="A1442" t="s">
        <v>2803</v>
      </c>
      <c r="B1442" s="20">
        <v>45743</v>
      </c>
      <c r="C1442" s="20">
        <v>45735</v>
      </c>
      <c r="D1442" t="s">
        <v>1006</v>
      </c>
      <c r="E1442" t="s">
        <v>1007</v>
      </c>
      <c r="F1442" s="19"/>
      <c r="G1442" t="s">
        <v>3028</v>
      </c>
      <c r="H1442" t="s">
        <v>3268</v>
      </c>
      <c r="I1442" t="s">
        <v>3475</v>
      </c>
      <c r="J1442" s="8" t="str">
        <f t="shared" si="138"/>
        <v>ALM-</v>
      </c>
      <c r="K1442" t="s">
        <v>98</v>
      </c>
      <c r="L1442" s="54">
        <v>563</v>
      </c>
      <c r="M1442" t="s">
        <v>186</v>
      </c>
      <c r="N1442" t="s">
        <v>11</v>
      </c>
      <c r="O1442" s="54">
        <v>2.9203999999999999</v>
      </c>
      <c r="P1442" s="35">
        <f t="shared" si="136"/>
        <v>1644.19</v>
      </c>
      <c r="Q1442" s="10">
        <f t="shared" si="139"/>
        <v>7.3003400000000003</v>
      </c>
      <c r="R1442" s="10">
        <f t="shared" si="140"/>
        <v>0.4</v>
      </c>
      <c r="S1442" s="11">
        <f t="shared" si="141"/>
        <v>225.2</v>
      </c>
      <c r="T1442" s="10" t="s">
        <v>349</v>
      </c>
      <c r="U1442" t="s">
        <v>191</v>
      </c>
      <c r="V1442" s="58">
        <v>7.1775000000000002</v>
      </c>
      <c r="W1442" s="38">
        <f t="shared" si="137"/>
        <v>229.07491466388018</v>
      </c>
    </row>
    <row r="1443" spans="1:23">
      <c r="A1443" t="s">
        <v>2804</v>
      </c>
      <c r="B1443" s="20">
        <v>45743</v>
      </c>
      <c r="C1443" s="20">
        <v>45735</v>
      </c>
      <c r="D1443" t="s">
        <v>1006</v>
      </c>
      <c r="E1443" t="s">
        <v>1007</v>
      </c>
      <c r="F1443" s="19"/>
      <c r="G1443" t="s">
        <v>3028</v>
      </c>
      <c r="H1443" t="s">
        <v>1013</v>
      </c>
      <c r="I1443" t="s">
        <v>1014</v>
      </c>
      <c r="J1443" s="8" t="str">
        <f t="shared" si="138"/>
        <v>ALM-</v>
      </c>
      <c r="K1443" t="s">
        <v>98</v>
      </c>
      <c r="L1443" s="54">
        <v>643</v>
      </c>
      <c r="M1443" t="s">
        <v>186</v>
      </c>
      <c r="N1443" t="s">
        <v>11</v>
      </c>
      <c r="O1443" s="54">
        <v>3.0973000000000002</v>
      </c>
      <c r="P1443" s="35">
        <f t="shared" si="136"/>
        <v>1991.56</v>
      </c>
      <c r="Q1443" s="10">
        <f t="shared" si="139"/>
        <v>7.3003400000000003</v>
      </c>
      <c r="R1443" s="10">
        <f t="shared" si="140"/>
        <v>0.42430000000000001</v>
      </c>
      <c r="S1443" s="11">
        <f t="shared" si="141"/>
        <v>272.82</v>
      </c>
      <c r="T1443" s="10" t="s">
        <v>349</v>
      </c>
      <c r="U1443" t="s">
        <v>191</v>
      </c>
      <c r="V1443" s="58">
        <v>7.1775000000000002</v>
      </c>
      <c r="W1443" s="38">
        <f t="shared" si="137"/>
        <v>277.47320097526995</v>
      </c>
    </row>
    <row r="1444" spans="1:23">
      <c r="A1444" t="s">
        <v>2811</v>
      </c>
      <c r="B1444" s="20">
        <v>45743</v>
      </c>
      <c r="C1444" s="20">
        <v>45743</v>
      </c>
      <c r="D1444" t="s">
        <v>5</v>
      </c>
      <c r="E1444" t="s">
        <v>6</v>
      </c>
      <c r="F1444" s="19"/>
      <c r="G1444" t="s">
        <v>3057</v>
      </c>
      <c r="H1444" t="s">
        <v>3271</v>
      </c>
      <c r="I1444" t="s">
        <v>428</v>
      </c>
      <c r="J1444" s="8" t="str">
        <f t="shared" si="138"/>
        <v>BOX-</v>
      </c>
      <c r="K1444" t="s">
        <v>10</v>
      </c>
      <c r="L1444" s="54">
        <v>3600</v>
      </c>
      <c r="M1444" t="s">
        <v>1472</v>
      </c>
      <c r="N1444" t="s">
        <v>11</v>
      </c>
      <c r="O1444" s="54">
        <v>2.79</v>
      </c>
      <c r="P1444" s="35">
        <f t="shared" si="136"/>
        <v>10044</v>
      </c>
      <c r="Q1444" s="10">
        <f t="shared" si="139"/>
        <v>7.3003400000000003</v>
      </c>
      <c r="R1444" s="10">
        <f t="shared" si="140"/>
        <v>0.38219999999999998</v>
      </c>
      <c r="S1444" s="11">
        <f t="shared" si="141"/>
        <v>1375.92</v>
      </c>
      <c r="T1444" s="10" t="s">
        <v>349</v>
      </c>
      <c r="U1444" t="s">
        <v>1</v>
      </c>
      <c r="V1444" s="58">
        <v>7.1775000000000002</v>
      </c>
      <c r="W1444" s="38">
        <f t="shared" si="137"/>
        <v>1399.373040752351</v>
      </c>
    </row>
    <row r="1445" spans="1:23">
      <c r="A1445" t="s">
        <v>2812</v>
      </c>
      <c r="B1445" s="20">
        <v>45743</v>
      </c>
      <c r="C1445" s="20">
        <v>45743</v>
      </c>
      <c r="D1445" t="s">
        <v>5</v>
      </c>
      <c r="E1445" t="s">
        <v>6</v>
      </c>
      <c r="F1445" s="19"/>
      <c r="G1445" t="s">
        <v>3057</v>
      </c>
      <c r="H1445" t="s">
        <v>3271</v>
      </c>
      <c r="I1445" t="s">
        <v>428</v>
      </c>
      <c r="J1445" s="8" t="str">
        <f t="shared" si="138"/>
        <v>BOX-</v>
      </c>
      <c r="K1445" t="s">
        <v>10</v>
      </c>
      <c r="L1445" s="54">
        <v>50</v>
      </c>
      <c r="M1445" t="s">
        <v>1472</v>
      </c>
      <c r="N1445" t="s">
        <v>11</v>
      </c>
      <c r="O1445" s="54">
        <v>2.79</v>
      </c>
      <c r="P1445" s="35">
        <f t="shared" si="136"/>
        <v>139.5</v>
      </c>
      <c r="Q1445" s="10">
        <f t="shared" si="139"/>
        <v>7.3003400000000003</v>
      </c>
      <c r="R1445" s="10">
        <f t="shared" si="140"/>
        <v>0.38219999999999998</v>
      </c>
      <c r="S1445" s="11">
        <f t="shared" si="141"/>
        <v>19.11</v>
      </c>
      <c r="T1445" s="10" t="s">
        <v>349</v>
      </c>
      <c r="U1445" t="s">
        <v>1</v>
      </c>
      <c r="V1445" s="58">
        <v>7.1775000000000002</v>
      </c>
      <c r="W1445" s="38">
        <f t="shared" si="137"/>
        <v>19.435736677115987</v>
      </c>
    </row>
    <row r="1446" spans="1:23">
      <c r="A1446" t="s">
        <v>2813</v>
      </c>
      <c r="B1446" s="20">
        <v>45743</v>
      </c>
      <c r="C1446" s="20">
        <v>45743</v>
      </c>
      <c r="D1446" t="s">
        <v>5</v>
      </c>
      <c r="E1446" t="s">
        <v>6</v>
      </c>
      <c r="F1446" s="19"/>
      <c r="G1446" t="s">
        <v>3057</v>
      </c>
      <c r="H1446" t="s">
        <v>3272</v>
      </c>
      <c r="I1446" t="s">
        <v>3478</v>
      </c>
      <c r="J1446" s="8" t="str">
        <f t="shared" si="138"/>
        <v>BOX-</v>
      </c>
      <c r="K1446" t="s">
        <v>10</v>
      </c>
      <c r="L1446" s="54">
        <v>2020</v>
      </c>
      <c r="M1446" t="s">
        <v>1472</v>
      </c>
      <c r="N1446" t="s">
        <v>11</v>
      </c>
      <c r="O1446" s="54">
        <v>1.65</v>
      </c>
      <c r="P1446" s="35">
        <f t="shared" si="136"/>
        <v>3333</v>
      </c>
      <c r="Q1446" s="10">
        <f t="shared" si="139"/>
        <v>7.3003400000000003</v>
      </c>
      <c r="R1446" s="10">
        <f t="shared" si="140"/>
        <v>0.22600000000000001</v>
      </c>
      <c r="S1446" s="11">
        <f t="shared" si="141"/>
        <v>456.52</v>
      </c>
      <c r="T1446" s="10" t="s">
        <v>349</v>
      </c>
      <c r="U1446" t="s">
        <v>1</v>
      </c>
      <c r="V1446" s="58">
        <v>7.1775000000000002</v>
      </c>
      <c r="W1446" s="38">
        <f t="shared" si="137"/>
        <v>464.36781609195396</v>
      </c>
    </row>
    <row r="1447" spans="1:23">
      <c r="A1447" t="s">
        <v>2814</v>
      </c>
      <c r="B1447" s="20">
        <v>45743</v>
      </c>
      <c r="C1447" s="20">
        <v>45743</v>
      </c>
      <c r="D1447" t="s">
        <v>5</v>
      </c>
      <c r="E1447" t="s">
        <v>6</v>
      </c>
      <c r="F1447" s="19"/>
      <c r="G1447" t="s">
        <v>3057</v>
      </c>
      <c r="H1447" t="s">
        <v>3272</v>
      </c>
      <c r="I1447" t="s">
        <v>3478</v>
      </c>
      <c r="J1447" s="8" t="str">
        <f t="shared" si="138"/>
        <v>BOX-</v>
      </c>
      <c r="K1447" t="s">
        <v>10</v>
      </c>
      <c r="L1447" s="54">
        <v>200</v>
      </c>
      <c r="M1447" t="s">
        <v>1472</v>
      </c>
      <c r="N1447" t="s">
        <v>11</v>
      </c>
      <c r="O1447" s="54">
        <v>1.65</v>
      </c>
      <c r="P1447" s="35">
        <f t="shared" si="136"/>
        <v>330</v>
      </c>
      <c r="Q1447" s="10">
        <f t="shared" si="139"/>
        <v>7.3003400000000003</v>
      </c>
      <c r="R1447" s="10">
        <f t="shared" si="140"/>
        <v>0.22600000000000001</v>
      </c>
      <c r="S1447" s="11">
        <f t="shared" si="141"/>
        <v>45.2</v>
      </c>
      <c r="T1447" s="10" t="s">
        <v>349</v>
      </c>
      <c r="U1447" t="s">
        <v>1</v>
      </c>
      <c r="V1447" s="58">
        <v>7.1775000000000002</v>
      </c>
      <c r="W1447" s="38">
        <f t="shared" si="137"/>
        <v>45.977011494252871</v>
      </c>
    </row>
    <row r="1448" spans="1:23">
      <c r="A1448" t="s">
        <v>2815</v>
      </c>
      <c r="B1448" s="20">
        <v>45743</v>
      </c>
      <c r="C1448" s="20">
        <v>45743</v>
      </c>
      <c r="D1448" t="s">
        <v>5</v>
      </c>
      <c r="E1448" t="s">
        <v>6</v>
      </c>
      <c r="F1448" s="19"/>
      <c r="G1448" t="s">
        <v>3057</v>
      </c>
      <c r="H1448" t="s">
        <v>3273</v>
      </c>
      <c r="I1448" t="s">
        <v>3479</v>
      </c>
      <c r="J1448" s="8" t="str">
        <f t="shared" si="138"/>
        <v>BOX-</v>
      </c>
      <c r="K1448" t="s">
        <v>10</v>
      </c>
      <c r="L1448" s="54">
        <v>1010</v>
      </c>
      <c r="M1448" t="s">
        <v>1472</v>
      </c>
      <c r="N1448" t="s">
        <v>11</v>
      </c>
      <c r="O1448" s="54">
        <v>3.23</v>
      </c>
      <c r="P1448" s="35">
        <f t="shared" si="136"/>
        <v>3262.3</v>
      </c>
      <c r="Q1448" s="10">
        <f t="shared" si="139"/>
        <v>7.3003400000000003</v>
      </c>
      <c r="R1448" s="10">
        <f t="shared" si="140"/>
        <v>0.44240000000000002</v>
      </c>
      <c r="S1448" s="11">
        <f t="shared" si="141"/>
        <v>446.82</v>
      </c>
      <c r="T1448" s="10" t="s">
        <v>349</v>
      </c>
      <c r="U1448" t="s">
        <v>1</v>
      </c>
      <c r="V1448" s="58">
        <v>7.1775000000000002</v>
      </c>
      <c r="W1448" s="38">
        <f t="shared" si="137"/>
        <v>454.51758969000349</v>
      </c>
    </row>
    <row r="1449" spans="1:23">
      <c r="A1449" t="s">
        <v>2816</v>
      </c>
      <c r="B1449" s="20">
        <v>45743</v>
      </c>
      <c r="C1449" s="20">
        <v>45743</v>
      </c>
      <c r="D1449" t="s">
        <v>5</v>
      </c>
      <c r="E1449" t="s">
        <v>6</v>
      </c>
      <c r="F1449" s="19"/>
      <c r="G1449" t="s">
        <v>3057</v>
      </c>
      <c r="H1449" t="s">
        <v>3274</v>
      </c>
      <c r="I1449" t="s">
        <v>3480</v>
      </c>
      <c r="J1449" s="8" t="str">
        <f t="shared" si="138"/>
        <v>BOX-</v>
      </c>
      <c r="K1449" t="s">
        <v>10</v>
      </c>
      <c r="L1449" s="54">
        <v>1530</v>
      </c>
      <c r="M1449" t="s">
        <v>1472</v>
      </c>
      <c r="N1449" t="s">
        <v>11</v>
      </c>
      <c r="O1449" s="54">
        <v>2.76</v>
      </c>
      <c r="P1449" s="35">
        <f t="shared" si="136"/>
        <v>4222.8</v>
      </c>
      <c r="Q1449" s="10">
        <f t="shared" si="139"/>
        <v>7.3003400000000003</v>
      </c>
      <c r="R1449" s="10">
        <f t="shared" si="140"/>
        <v>0.37809999999999999</v>
      </c>
      <c r="S1449" s="11">
        <f t="shared" si="141"/>
        <v>578.49</v>
      </c>
      <c r="T1449" s="10" t="s">
        <v>349</v>
      </c>
      <c r="U1449" t="s">
        <v>1</v>
      </c>
      <c r="V1449" s="58">
        <v>7.1775000000000002</v>
      </c>
      <c r="W1449" s="38">
        <f t="shared" si="137"/>
        <v>588.33855799373032</v>
      </c>
    </row>
    <row r="1450" spans="1:23">
      <c r="A1450" t="s">
        <v>2414</v>
      </c>
      <c r="B1450" s="20">
        <v>45744</v>
      </c>
      <c r="C1450" s="20">
        <v>45702</v>
      </c>
      <c r="D1450" t="s">
        <v>21</v>
      </c>
      <c r="E1450" t="s">
        <v>22</v>
      </c>
      <c r="F1450" s="19"/>
      <c r="G1450" t="s">
        <v>2929</v>
      </c>
      <c r="H1450" t="s">
        <v>3105</v>
      </c>
      <c r="I1450" t="s">
        <v>3320</v>
      </c>
      <c r="J1450" s="8" t="str">
        <f t="shared" si="138"/>
        <v>HDL-</v>
      </c>
      <c r="K1450" t="s">
        <v>98</v>
      </c>
      <c r="L1450" s="54">
        <v>1030</v>
      </c>
      <c r="M1450" t="s">
        <v>1472</v>
      </c>
      <c r="N1450" t="s">
        <v>11</v>
      </c>
      <c r="O1450" s="54">
        <v>4.9718999999999998</v>
      </c>
      <c r="P1450" s="35">
        <f t="shared" si="136"/>
        <v>5121.0600000000004</v>
      </c>
      <c r="Q1450" s="10">
        <f t="shared" si="139"/>
        <v>7.3003400000000003</v>
      </c>
      <c r="R1450" s="10">
        <f t="shared" si="140"/>
        <v>0.68110000000000004</v>
      </c>
      <c r="S1450" s="11">
        <f t="shared" si="141"/>
        <v>701.53</v>
      </c>
      <c r="T1450" s="10" t="s">
        <v>349</v>
      </c>
      <c r="U1450" t="s">
        <v>228</v>
      </c>
      <c r="V1450" s="58">
        <v>7.1775000000000002</v>
      </c>
      <c r="W1450" s="38">
        <f t="shared" si="137"/>
        <v>713.48756530825494</v>
      </c>
    </row>
    <row r="1451" spans="1:23">
      <c r="A1451" t="s">
        <v>2415</v>
      </c>
      <c r="B1451" s="20">
        <v>45744</v>
      </c>
      <c r="C1451" s="20">
        <v>45702</v>
      </c>
      <c r="D1451" t="s">
        <v>21</v>
      </c>
      <c r="E1451" t="s">
        <v>22</v>
      </c>
      <c r="F1451" s="19"/>
      <c r="G1451" t="s">
        <v>2929</v>
      </c>
      <c r="H1451" t="s">
        <v>3106</v>
      </c>
      <c r="I1451" t="s">
        <v>3321</v>
      </c>
      <c r="J1451" s="8" t="str">
        <f t="shared" si="138"/>
        <v>HDL-</v>
      </c>
      <c r="K1451" t="s">
        <v>98</v>
      </c>
      <c r="L1451" s="54">
        <v>1030</v>
      </c>
      <c r="M1451" t="s">
        <v>1472</v>
      </c>
      <c r="N1451" t="s">
        <v>11</v>
      </c>
      <c r="O1451" s="54">
        <v>4.9718999999999998</v>
      </c>
      <c r="P1451" s="35">
        <f t="shared" si="136"/>
        <v>5121.0600000000004</v>
      </c>
      <c r="Q1451" s="10">
        <f t="shared" si="139"/>
        <v>7.3003400000000003</v>
      </c>
      <c r="R1451" s="10">
        <f t="shared" si="140"/>
        <v>0.68110000000000004</v>
      </c>
      <c r="S1451" s="11">
        <f t="shared" si="141"/>
        <v>701.53</v>
      </c>
      <c r="T1451" s="10" t="s">
        <v>349</v>
      </c>
      <c r="U1451" t="s">
        <v>228</v>
      </c>
      <c r="V1451" s="58">
        <v>7.1775000000000002</v>
      </c>
      <c r="W1451" s="38">
        <f t="shared" si="137"/>
        <v>713.48756530825494</v>
      </c>
    </row>
    <row r="1452" spans="1:23">
      <c r="A1452" t="s">
        <v>2416</v>
      </c>
      <c r="B1452" s="20">
        <v>45744</v>
      </c>
      <c r="C1452" s="20">
        <v>45702</v>
      </c>
      <c r="D1452" t="s">
        <v>21</v>
      </c>
      <c r="E1452" t="s">
        <v>22</v>
      </c>
      <c r="F1452" s="19"/>
      <c r="G1452" t="s">
        <v>2929</v>
      </c>
      <c r="H1452" t="s">
        <v>3107</v>
      </c>
      <c r="I1452" t="s">
        <v>3322</v>
      </c>
      <c r="J1452" s="8" t="str">
        <f t="shared" si="138"/>
        <v>HDL-</v>
      </c>
      <c r="K1452" t="s">
        <v>98</v>
      </c>
      <c r="L1452" s="54">
        <v>1030</v>
      </c>
      <c r="M1452" t="s">
        <v>1472</v>
      </c>
      <c r="N1452" t="s">
        <v>11</v>
      </c>
      <c r="O1452" s="54">
        <v>4.9718999999999998</v>
      </c>
      <c r="P1452" s="35">
        <f t="shared" si="136"/>
        <v>5121.0600000000004</v>
      </c>
      <c r="Q1452" s="10">
        <f t="shared" si="139"/>
        <v>7.3003400000000003</v>
      </c>
      <c r="R1452" s="10">
        <f t="shared" si="140"/>
        <v>0.68110000000000004</v>
      </c>
      <c r="S1452" s="11">
        <f t="shared" si="141"/>
        <v>701.53</v>
      </c>
      <c r="T1452" s="10" t="s">
        <v>349</v>
      </c>
      <c r="U1452" t="s">
        <v>228</v>
      </c>
      <c r="V1452" s="58">
        <v>7.1775000000000002</v>
      </c>
      <c r="W1452" s="38">
        <f t="shared" si="137"/>
        <v>713.48756530825494</v>
      </c>
    </row>
    <row r="1453" spans="1:23">
      <c r="A1453" t="s">
        <v>2417</v>
      </c>
      <c r="B1453" s="20">
        <v>45744</v>
      </c>
      <c r="C1453" s="20">
        <v>45702</v>
      </c>
      <c r="D1453" t="s">
        <v>21</v>
      </c>
      <c r="E1453" t="s">
        <v>22</v>
      </c>
      <c r="F1453" s="19"/>
      <c r="G1453" t="s">
        <v>2929</v>
      </c>
      <c r="H1453" t="s">
        <v>3108</v>
      </c>
      <c r="I1453" t="s">
        <v>3323</v>
      </c>
      <c r="J1453" s="8" t="str">
        <f t="shared" si="138"/>
        <v>HDL-</v>
      </c>
      <c r="K1453" t="s">
        <v>98</v>
      </c>
      <c r="L1453" s="54">
        <v>1030</v>
      </c>
      <c r="M1453" t="s">
        <v>1472</v>
      </c>
      <c r="N1453" t="s">
        <v>11</v>
      </c>
      <c r="O1453" s="54">
        <v>5.1859000000000002</v>
      </c>
      <c r="P1453" s="35">
        <f t="shared" si="136"/>
        <v>5341.48</v>
      </c>
      <c r="Q1453" s="10">
        <f t="shared" si="139"/>
        <v>7.3003400000000003</v>
      </c>
      <c r="R1453" s="10">
        <f t="shared" si="140"/>
        <v>0.71040000000000003</v>
      </c>
      <c r="S1453" s="11">
        <f t="shared" si="141"/>
        <v>731.71</v>
      </c>
      <c r="T1453" s="10" t="s">
        <v>349</v>
      </c>
      <c r="U1453" t="s">
        <v>228</v>
      </c>
      <c r="V1453" s="58">
        <v>7.1775000000000002</v>
      </c>
      <c r="W1453" s="38">
        <f t="shared" si="137"/>
        <v>744.19742250087074</v>
      </c>
    </row>
    <row r="1454" spans="1:23">
      <c r="A1454" t="s">
        <v>2418</v>
      </c>
      <c r="B1454" s="20">
        <v>45744</v>
      </c>
      <c r="C1454" s="20">
        <v>45702</v>
      </c>
      <c r="D1454" t="s">
        <v>21</v>
      </c>
      <c r="E1454" t="s">
        <v>22</v>
      </c>
      <c r="F1454" s="19"/>
      <c r="G1454" t="s">
        <v>2929</v>
      </c>
      <c r="H1454" t="s">
        <v>3109</v>
      </c>
      <c r="I1454" t="s">
        <v>3324</v>
      </c>
      <c r="J1454" s="8" t="str">
        <f t="shared" si="138"/>
        <v>HDL-</v>
      </c>
      <c r="K1454" t="s">
        <v>98</v>
      </c>
      <c r="L1454" s="54">
        <v>1030</v>
      </c>
      <c r="M1454" t="s">
        <v>1472</v>
      </c>
      <c r="N1454" t="s">
        <v>11</v>
      </c>
      <c r="O1454" s="54">
        <v>5.1859000000000002</v>
      </c>
      <c r="P1454" s="35">
        <f t="shared" si="136"/>
        <v>5341.48</v>
      </c>
      <c r="Q1454" s="10">
        <f t="shared" si="139"/>
        <v>7.3003400000000003</v>
      </c>
      <c r="R1454" s="10">
        <f t="shared" si="140"/>
        <v>0.71040000000000003</v>
      </c>
      <c r="S1454" s="11">
        <f t="shared" si="141"/>
        <v>731.71</v>
      </c>
      <c r="T1454" s="10" t="s">
        <v>349</v>
      </c>
      <c r="U1454" t="s">
        <v>228</v>
      </c>
      <c r="V1454" s="58">
        <v>7.1775000000000002</v>
      </c>
      <c r="W1454" s="38">
        <f t="shared" si="137"/>
        <v>744.19742250087074</v>
      </c>
    </row>
    <row r="1455" spans="1:23">
      <c r="A1455" t="s">
        <v>2419</v>
      </c>
      <c r="B1455" s="20">
        <v>45744</v>
      </c>
      <c r="C1455" s="20">
        <v>45702</v>
      </c>
      <c r="D1455" t="s">
        <v>21</v>
      </c>
      <c r="E1455" t="s">
        <v>22</v>
      </c>
      <c r="F1455" s="19"/>
      <c r="G1455" t="s">
        <v>2929</v>
      </c>
      <c r="H1455" t="s">
        <v>3110</v>
      </c>
      <c r="I1455" t="s">
        <v>3325</v>
      </c>
      <c r="J1455" s="8" t="str">
        <f t="shared" si="138"/>
        <v>HDL-</v>
      </c>
      <c r="K1455" t="s">
        <v>98</v>
      </c>
      <c r="L1455" s="54">
        <v>1030</v>
      </c>
      <c r="M1455" t="s">
        <v>1472</v>
      </c>
      <c r="N1455" t="s">
        <v>11</v>
      </c>
      <c r="O1455" s="54">
        <v>5.2427000000000001</v>
      </c>
      <c r="P1455" s="35">
        <f t="shared" si="136"/>
        <v>5399.98</v>
      </c>
      <c r="Q1455" s="10">
        <f t="shared" si="139"/>
        <v>7.3003400000000003</v>
      </c>
      <c r="R1455" s="10">
        <f t="shared" si="140"/>
        <v>0.71809999999999996</v>
      </c>
      <c r="S1455" s="11">
        <f t="shared" si="141"/>
        <v>739.64</v>
      </c>
      <c r="T1455" s="10" t="s">
        <v>349</v>
      </c>
      <c r="U1455" t="s">
        <v>228</v>
      </c>
      <c r="V1455" s="58">
        <v>7.1775000000000002</v>
      </c>
      <c r="W1455" s="38">
        <f t="shared" si="137"/>
        <v>752.34845001741553</v>
      </c>
    </row>
    <row r="1456" spans="1:23">
      <c r="A1456" t="s">
        <v>2493</v>
      </c>
      <c r="B1456" s="20">
        <v>45744</v>
      </c>
      <c r="C1456" s="20">
        <v>45713</v>
      </c>
      <c r="D1456" t="s">
        <v>2257</v>
      </c>
      <c r="E1456" t="s">
        <v>2258</v>
      </c>
      <c r="F1456" s="19"/>
      <c r="G1456" t="s">
        <v>2956</v>
      </c>
      <c r="H1456" t="s">
        <v>1798</v>
      </c>
      <c r="I1456" t="s">
        <v>1799</v>
      </c>
      <c r="J1456" s="8" t="str">
        <f t="shared" si="138"/>
        <v>HDL-</v>
      </c>
      <c r="K1456" t="s">
        <v>10</v>
      </c>
      <c r="L1456" s="54">
        <v>3000</v>
      </c>
      <c r="M1456" t="s">
        <v>1472</v>
      </c>
      <c r="N1456" t="s">
        <v>11</v>
      </c>
      <c r="O1456" s="54">
        <v>7.4931000000000001</v>
      </c>
      <c r="P1456" s="35">
        <f t="shared" si="136"/>
        <v>22479.3</v>
      </c>
      <c r="Q1456" s="10">
        <f t="shared" si="139"/>
        <v>7.3003400000000003</v>
      </c>
      <c r="R1456" s="10">
        <f t="shared" si="140"/>
        <v>1.0264</v>
      </c>
      <c r="S1456" s="11">
        <f t="shared" si="141"/>
        <v>3079.2</v>
      </c>
      <c r="T1456" s="10" t="s">
        <v>349</v>
      </c>
      <c r="U1456" t="s">
        <v>228</v>
      </c>
      <c r="V1456" s="58">
        <v>7.1775000000000002</v>
      </c>
      <c r="W1456" s="38">
        <f t="shared" si="137"/>
        <v>3131.9122257053291</v>
      </c>
    </row>
    <row r="1457" spans="1:23">
      <c r="A1457" t="s">
        <v>2500</v>
      </c>
      <c r="B1457" s="20">
        <v>45744</v>
      </c>
      <c r="C1457" s="20">
        <v>45713</v>
      </c>
      <c r="D1457" t="s">
        <v>2257</v>
      </c>
      <c r="E1457" t="s">
        <v>2258</v>
      </c>
      <c r="F1457" s="19"/>
      <c r="G1457" t="s">
        <v>2956</v>
      </c>
      <c r="H1457" t="s">
        <v>1800</v>
      </c>
      <c r="I1457" t="s">
        <v>1801</v>
      </c>
      <c r="J1457" s="8" t="str">
        <f t="shared" si="138"/>
        <v>HDL-</v>
      </c>
      <c r="K1457" t="s">
        <v>10</v>
      </c>
      <c r="L1457" s="54">
        <v>1320</v>
      </c>
      <c r="M1457" t="s">
        <v>1472</v>
      </c>
      <c r="N1457" t="s">
        <v>11</v>
      </c>
      <c r="O1457" s="54">
        <v>7.4931000000000001</v>
      </c>
      <c r="P1457" s="35">
        <f t="shared" si="136"/>
        <v>9890.89</v>
      </c>
      <c r="Q1457" s="10">
        <f t="shared" si="139"/>
        <v>7.3003400000000003</v>
      </c>
      <c r="R1457" s="10">
        <f t="shared" si="140"/>
        <v>1.0264</v>
      </c>
      <c r="S1457" s="11">
        <f t="shared" si="141"/>
        <v>1354.85</v>
      </c>
      <c r="T1457" s="10" t="s">
        <v>349</v>
      </c>
      <c r="U1457" t="s">
        <v>228</v>
      </c>
      <c r="V1457" s="58">
        <v>7.1775000000000002</v>
      </c>
      <c r="W1457" s="38">
        <f t="shared" si="137"/>
        <v>1378.0413793103446</v>
      </c>
    </row>
    <row r="1458" spans="1:23">
      <c r="A1458" t="s">
        <v>2501</v>
      </c>
      <c r="B1458" s="20">
        <v>45744</v>
      </c>
      <c r="C1458" s="20">
        <v>45713</v>
      </c>
      <c r="D1458" t="s">
        <v>2257</v>
      </c>
      <c r="E1458" t="s">
        <v>2258</v>
      </c>
      <c r="F1458" s="19"/>
      <c r="G1458" t="s">
        <v>2956</v>
      </c>
      <c r="H1458" t="s">
        <v>1800</v>
      </c>
      <c r="I1458" t="s">
        <v>1801</v>
      </c>
      <c r="J1458" s="8" t="str">
        <f t="shared" si="138"/>
        <v>HDL-</v>
      </c>
      <c r="K1458" t="s">
        <v>10</v>
      </c>
      <c r="L1458" s="54">
        <v>2200</v>
      </c>
      <c r="M1458" t="s">
        <v>1472</v>
      </c>
      <c r="N1458" t="s">
        <v>11</v>
      </c>
      <c r="O1458" s="54">
        <v>7.4931000000000001</v>
      </c>
      <c r="P1458" s="35">
        <f t="shared" si="136"/>
        <v>16484.82</v>
      </c>
      <c r="Q1458" s="10">
        <f t="shared" si="139"/>
        <v>7.3003400000000003</v>
      </c>
      <c r="R1458" s="10">
        <f t="shared" si="140"/>
        <v>1.0264</v>
      </c>
      <c r="S1458" s="11">
        <f t="shared" si="141"/>
        <v>2258.08</v>
      </c>
      <c r="T1458" s="10" t="s">
        <v>349</v>
      </c>
      <c r="U1458" t="s">
        <v>228</v>
      </c>
      <c r="V1458" s="58">
        <v>7.1775000000000002</v>
      </c>
      <c r="W1458" s="38">
        <f t="shared" si="137"/>
        <v>2296.7356321839079</v>
      </c>
    </row>
    <row r="1459" spans="1:23">
      <c r="A1459" t="s">
        <v>2534</v>
      </c>
      <c r="B1459" s="20">
        <v>45744</v>
      </c>
      <c r="C1459" s="20">
        <v>45714</v>
      </c>
      <c r="D1459" t="s">
        <v>94</v>
      </c>
      <c r="E1459" t="s">
        <v>95</v>
      </c>
      <c r="F1459" s="19"/>
      <c r="G1459" t="s">
        <v>2969</v>
      </c>
      <c r="H1459" t="s">
        <v>3164</v>
      </c>
      <c r="I1459" t="s">
        <v>3374</v>
      </c>
      <c r="J1459" s="8" t="str">
        <f t="shared" si="138"/>
        <v>LID-</v>
      </c>
      <c r="K1459" t="s">
        <v>98</v>
      </c>
      <c r="L1459" s="54">
        <v>38</v>
      </c>
      <c r="M1459" t="s">
        <v>1472</v>
      </c>
      <c r="N1459" t="s">
        <v>11</v>
      </c>
      <c r="O1459" s="54">
        <v>4.26</v>
      </c>
      <c r="P1459" s="35">
        <f t="shared" si="136"/>
        <v>161.88</v>
      </c>
      <c r="Q1459" s="10">
        <f t="shared" si="139"/>
        <v>7.3003400000000003</v>
      </c>
      <c r="R1459" s="10">
        <f t="shared" si="140"/>
        <v>0.58350000000000002</v>
      </c>
      <c r="S1459" s="11">
        <f t="shared" si="141"/>
        <v>22.17</v>
      </c>
      <c r="T1459" s="10" t="s">
        <v>349</v>
      </c>
      <c r="U1459" t="s">
        <v>368</v>
      </c>
      <c r="V1459" s="58">
        <v>7.1775000000000002</v>
      </c>
      <c r="W1459" s="38">
        <f t="shared" si="137"/>
        <v>22.553814002089862</v>
      </c>
    </row>
    <row r="1460" spans="1:23">
      <c r="A1460" t="s">
        <v>2534</v>
      </c>
      <c r="B1460" s="20">
        <v>45744</v>
      </c>
      <c r="C1460" s="20">
        <v>45714</v>
      </c>
      <c r="D1460" t="s">
        <v>94</v>
      </c>
      <c r="E1460" t="s">
        <v>95</v>
      </c>
      <c r="F1460" s="19"/>
      <c r="G1460" t="s">
        <v>2970</v>
      </c>
      <c r="H1460" t="s">
        <v>3164</v>
      </c>
      <c r="I1460" t="s">
        <v>3374</v>
      </c>
      <c r="J1460" s="8" t="str">
        <f t="shared" si="138"/>
        <v>LID-</v>
      </c>
      <c r="K1460" t="s">
        <v>98</v>
      </c>
      <c r="L1460" s="54">
        <v>1735</v>
      </c>
      <c r="M1460" t="s">
        <v>1472</v>
      </c>
      <c r="N1460" t="s">
        <v>11</v>
      </c>
      <c r="O1460" s="54">
        <v>4.26</v>
      </c>
      <c r="P1460" s="35">
        <f t="shared" si="136"/>
        <v>7391.1</v>
      </c>
      <c r="Q1460" s="10">
        <f t="shared" si="139"/>
        <v>7.3003400000000003</v>
      </c>
      <c r="R1460" s="10">
        <f t="shared" si="140"/>
        <v>0.58350000000000002</v>
      </c>
      <c r="S1460" s="11">
        <f t="shared" si="141"/>
        <v>1012.37</v>
      </c>
      <c r="T1460" s="10" t="s">
        <v>349</v>
      </c>
      <c r="U1460" t="s">
        <v>368</v>
      </c>
      <c r="V1460" s="58">
        <v>7.1775000000000002</v>
      </c>
      <c r="W1460" s="38">
        <f t="shared" si="137"/>
        <v>1029.7596656217345</v>
      </c>
    </row>
    <row r="1461" spans="1:23">
      <c r="A1461" t="s">
        <v>2535</v>
      </c>
      <c r="B1461" s="20">
        <v>45744</v>
      </c>
      <c r="C1461" s="20">
        <v>45714</v>
      </c>
      <c r="D1461" t="s">
        <v>94</v>
      </c>
      <c r="E1461" t="s">
        <v>95</v>
      </c>
      <c r="F1461" s="19"/>
      <c r="G1461" t="s">
        <v>2969</v>
      </c>
      <c r="H1461" t="s">
        <v>3164</v>
      </c>
      <c r="I1461" t="s">
        <v>3374</v>
      </c>
      <c r="J1461" s="8" t="str">
        <f t="shared" si="138"/>
        <v>LID-</v>
      </c>
      <c r="K1461" t="s">
        <v>98</v>
      </c>
      <c r="L1461" s="54">
        <v>562</v>
      </c>
      <c r="M1461" t="s">
        <v>1472</v>
      </c>
      <c r="N1461" t="s">
        <v>11</v>
      </c>
      <c r="O1461" s="54">
        <v>4.26</v>
      </c>
      <c r="P1461" s="35">
        <f t="shared" si="136"/>
        <v>2394.12</v>
      </c>
      <c r="Q1461" s="10">
        <f t="shared" si="139"/>
        <v>7.3003400000000003</v>
      </c>
      <c r="R1461" s="10">
        <f t="shared" si="140"/>
        <v>0.58350000000000002</v>
      </c>
      <c r="S1461" s="11">
        <f t="shared" si="141"/>
        <v>327.93</v>
      </c>
      <c r="T1461" s="10" t="s">
        <v>349</v>
      </c>
      <c r="U1461" t="s">
        <v>368</v>
      </c>
      <c r="V1461" s="58">
        <v>7.1775000000000002</v>
      </c>
      <c r="W1461" s="38">
        <f t="shared" si="137"/>
        <v>333.5590386624869</v>
      </c>
    </row>
    <row r="1462" spans="1:23">
      <c r="A1462" t="s">
        <v>2535</v>
      </c>
      <c r="B1462" s="20">
        <v>45744</v>
      </c>
      <c r="C1462" s="20">
        <v>45714</v>
      </c>
      <c r="D1462" t="s">
        <v>94</v>
      </c>
      <c r="E1462" t="s">
        <v>95</v>
      </c>
      <c r="F1462" s="19"/>
      <c r="G1462" t="s">
        <v>2973</v>
      </c>
      <c r="H1462" t="s">
        <v>3164</v>
      </c>
      <c r="I1462" t="s">
        <v>3374</v>
      </c>
      <c r="J1462" s="8" t="str">
        <f t="shared" si="138"/>
        <v>LID-</v>
      </c>
      <c r="K1462" t="s">
        <v>98</v>
      </c>
      <c r="L1462" s="54">
        <v>-600</v>
      </c>
      <c r="M1462" t="s">
        <v>1472</v>
      </c>
      <c r="N1462" t="s">
        <v>11</v>
      </c>
      <c r="O1462" s="54">
        <v>4.26</v>
      </c>
      <c r="P1462" s="35">
        <f t="shared" si="136"/>
        <v>-2556</v>
      </c>
      <c r="Q1462" s="10">
        <f t="shared" si="139"/>
        <v>7.3003400000000003</v>
      </c>
      <c r="R1462" s="10">
        <f t="shared" si="140"/>
        <v>0.58350000000000002</v>
      </c>
      <c r="S1462" s="11">
        <f t="shared" si="141"/>
        <v>-350.1</v>
      </c>
      <c r="T1462" s="10" t="s">
        <v>349</v>
      </c>
      <c r="U1462" t="s">
        <v>368</v>
      </c>
      <c r="V1462" s="58">
        <v>7.1775000000000002</v>
      </c>
      <c r="W1462" s="38">
        <f t="shared" si="137"/>
        <v>-356.11285266457679</v>
      </c>
    </row>
    <row r="1463" spans="1:23">
      <c r="A1463" t="s">
        <v>2535</v>
      </c>
      <c r="B1463" s="20">
        <v>45744</v>
      </c>
      <c r="C1463" s="20">
        <v>45714</v>
      </c>
      <c r="D1463" t="s">
        <v>94</v>
      </c>
      <c r="E1463" t="s">
        <v>95</v>
      </c>
      <c r="F1463" s="19"/>
      <c r="G1463" t="s">
        <v>2969</v>
      </c>
      <c r="H1463" t="s">
        <v>3164</v>
      </c>
      <c r="I1463" t="s">
        <v>3374</v>
      </c>
      <c r="J1463" s="8" t="str">
        <f t="shared" si="138"/>
        <v>LID-</v>
      </c>
      <c r="K1463" t="s">
        <v>98</v>
      </c>
      <c r="L1463" s="54">
        <v>600</v>
      </c>
      <c r="M1463" t="s">
        <v>1472</v>
      </c>
      <c r="N1463" t="s">
        <v>11</v>
      </c>
      <c r="O1463" s="54">
        <v>4.26</v>
      </c>
      <c r="P1463" s="35">
        <f t="shared" si="136"/>
        <v>2556</v>
      </c>
      <c r="Q1463" s="10">
        <f t="shared" si="139"/>
        <v>7.3003400000000003</v>
      </c>
      <c r="R1463" s="10">
        <f t="shared" si="140"/>
        <v>0.58350000000000002</v>
      </c>
      <c r="S1463" s="11">
        <f t="shared" si="141"/>
        <v>350.1</v>
      </c>
      <c r="T1463" s="10" t="s">
        <v>349</v>
      </c>
      <c r="U1463" t="s">
        <v>368</v>
      </c>
      <c r="V1463" s="58">
        <v>7.1775000000000002</v>
      </c>
      <c r="W1463" s="38">
        <f t="shared" si="137"/>
        <v>356.11285266457679</v>
      </c>
    </row>
    <row r="1464" spans="1:23">
      <c r="A1464" t="s">
        <v>2540</v>
      </c>
      <c r="B1464" s="20">
        <v>45744</v>
      </c>
      <c r="C1464" s="20">
        <v>45714</v>
      </c>
      <c r="D1464" t="s">
        <v>830</v>
      </c>
      <c r="E1464" t="s">
        <v>831</v>
      </c>
      <c r="F1464" s="19"/>
      <c r="G1464" t="s">
        <v>2987</v>
      </c>
      <c r="H1464" t="s">
        <v>3166</v>
      </c>
      <c r="I1464" t="s">
        <v>3376</v>
      </c>
      <c r="J1464" s="8" t="str">
        <f t="shared" si="138"/>
        <v>LID-</v>
      </c>
      <c r="K1464" t="s">
        <v>98</v>
      </c>
      <c r="L1464" s="54">
        <v>960</v>
      </c>
      <c r="M1464" t="s">
        <v>1472</v>
      </c>
      <c r="N1464" t="s">
        <v>11</v>
      </c>
      <c r="O1464" s="54">
        <v>4.2</v>
      </c>
      <c r="P1464" s="35">
        <f t="shared" si="136"/>
        <v>4032</v>
      </c>
      <c r="Q1464" s="10">
        <f t="shared" si="139"/>
        <v>7.3003400000000003</v>
      </c>
      <c r="R1464" s="10">
        <f t="shared" si="140"/>
        <v>0.57530000000000003</v>
      </c>
      <c r="S1464" s="11">
        <f t="shared" si="141"/>
        <v>552.29</v>
      </c>
      <c r="T1464" s="10" t="s">
        <v>349</v>
      </c>
      <c r="U1464" t="s">
        <v>368</v>
      </c>
      <c r="V1464" s="58">
        <v>7.1775000000000002</v>
      </c>
      <c r="W1464" s="38">
        <f t="shared" si="137"/>
        <v>561.7554858934169</v>
      </c>
    </row>
    <row r="1465" spans="1:23">
      <c r="A1465" t="s">
        <v>2552</v>
      </c>
      <c r="B1465" s="20">
        <v>45744</v>
      </c>
      <c r="C1465" s="20">
        <v>45716</v>
      </c>
      <c r="D1465" t="s">
        <v>149</v>
      </c>
      <c r="E1465" t="s">
        <v>150</v>
      </c>
      <c r="F1465" s="19"/>
      <c r="G1465" t="s">
        <v>2995</v>
      </c>
      <c r="H1465" t="s">
        <v>1726</v>
      </c>
      <c r="I1465" t="s">
        <v>1727</v>
      </c>
      <c r="J1465" s="8" t="str">
        <f t="shared" si="138"/>
        <v>GLID</v>
      </c>
      <c r="K1465" t="s">
        <v>10</v>
      </c>
      <c r="L1465" s="54">
        <v>1020</v>
      </c>
      <c r="M1465" t="s">
        <v>1472</v>
      </c>
      <c r="N1465" t="s">
        <v>11</v>
      </c>
      <c r="O1465" s="54">
        <v>3.1461000000000001</v>
      </c>
      <c r="P1465" s="35">
        <f t="shared" si="136"/>
        <v>3209.02</v>
      </c>
      <c r="Q1465" s="10">
        <f t="shared" si="139"/>
        <v>7.3003400000000003</v>
      </c>
      <c r="R1465" s="10">
        <f t="shared" si="140"/>
        <v>0.43099999999999999</v>
      </c>
      <c r="S1465" s="11">
        <f t="shared" si="141"/>
        <v>439.62</v>
      </c>
      <c r="T1465" s="10" t="s">
        <v>349</v>
      </c>
      <c r="U1465" t="s">
        <v>78</v>
      </c>
      <c r="V1465" s="58">
        <v>7.1775000000000002</v>
      </c>
      <c r="W1465" s="38">
        <f t="shared" si="137"/>
        <v>447.09467084639499</v>
      </c>
    </row>
    <row r="1466" spans="1:23">
      <c r="A1466" t="s">
        <v>2554</v>
      </c>
      <c r="B1466" s="20">
        <v>45744</v>
      </c>
      <c r="C1466" s="20">
        <v>45716</v>
      </c>
      <c r="D1466" t="s">
        <v>149</v>
      </c>
      <c r="E1466" t="s">
        <v>150</v>
      </c>
      <c r="F1466" s="19"/>
      <c r="G1466" t="s">
        <v>2995</v>
      </c>
      <c r="H1466" t="s">
        <v>3172</v>
      </c>
      <c r="I1466" t="s">
        <v>3317</v>
      </c>
      <c r="J1466" s="8" t="str">
        <f t="shared" si="138"/>
        <v>GLID</v>
      </c>
      <c r="K1466" t="s">
        <v>10</v>
      </c>
      <c r="L1466" s="54">
        <v>1030</v>
      </c>
      <c r="M1466" t="s">
        <v>1472</v>
      </c>
      <c r="N1466" t="s">
        <v>11</v>
      </c>
      <c r="O1466" s="54">
        <v>4.8769</v>
      </c>
      <c r="P1466" s="35">
        <f t="shared" si="136"/>
        <v>5023.21</v>
      </c>
      <c r="Q1466" s="10">
        <f t="shared" si="139"/>
        <v>7.3003400000000003</v>
      </c>
      <c r="R1466" s="10">
        <f t="shared" si="140"/>
        <v>0.66800000000000004</v>
      </c>
      <c r="S1466" s="11">
        <f t="shared" si="141"/>
        <v>688.04</v>
      </c>
      <c r="T1466" s="10" t="s">
        <v>349</v>
      </c>
      <c r="U1466" t="s">
        <v>78</v>
      </c>
      <c r="V1466" s="58">
        <v>7.1775000000000002</v>
      </c>
      <c r="W1466" s="38">
        <f t="shared" si="137"/>
        <v>699.85468477882262</v>
      </c>
    </row>
    <row r="1467" spans="1:23">
      <c r="A1467" t="s">
        <v>2555</v>
      </c>
      <c r="B1467" s="20">
        <v>45744</v>
      </c>
      <c r="C1467" s="20">
        <v>45716</v>
      </c>
      <c r="D1467" t="s">
        <v>149</v>
      </c>
      <c r="E1467" t="s">
        <v>150</v>
      </c>
      <c r="F1467" s="19"/>
      <c r="G1467" t="s">
        <v>2995</v>
      </c>
      <c r="H1467" t="s">
        <v>1309</v>
      </c>
      <c r="I1467" t="s">
        <v>1310</v>
      </c>
      <c r="J1467" s="8" t="str">
        <f t="shared" si="138"/>
        <v>GLID</v>
      </c>
      <c r="K1467" t="s">
        <v>10</v>
      </c>
      <c r="L1467" s="54">
        <v>1200</v>
      </c>
      <c r="M1467" t="s">
        <v>1472</v>
      </c>
      <c r="N1467" t="s">
        <v>11</v>
      </c>
      <c r="O1467" s="54">
        <v>6.1177000000000001</v>
      </c>
      <c r="P1467" s="35">
        <f t="shared" si="136"/>
        <v>7341.24</v>
      </c>
      <c r="Q1467" s="10">
        <f t="shared" si="139"/>
        <v>7.3003400000000003</v>
      </c>
      <c r="R1467" s="10">
        <f t="shared" si="140"/>
        <v>0.83799999999999997</v>
      </c>
      <c r="S1467" s="11">
        <f t="shared" si="141"/>
        <v>1005.6</v>
      </c>
      <c r="T1467" s="10" t="s">
        <v>349</v>
      </c>
      <c r="U1467" t="s">
        <v>78</v>
      </c>
      <c r="V1467" s="58">
        <v>7.1775000000000002</v>
      </c>
      <c r="W1467" s="38">
        <f t="shared" si="137"/>
        <v>1022.8129571577848</v>
      </c>
    </row>
    <row r="1468" spans="1:23">
      <c r="A1468" t="s">
        <v>2556</v>
      </c>
      <c r="B1468" s="20">
        <v>45744</v>
      </c>
      <c r="C1468" s="20">
        <v>45716</v>
      </c>
      <c r="D1468" t="s">
        <v>149</v>
      </c>
      <c r="E1468" t="s">
        <v>150</v>
      </c>
      <c r="F1468" s="19"/>
      <c r="G1468" t="s">
        <v>2995</v>
      </c>
      <c r="H1468" t="s">
        <v>3173</v>
      </c>
      <c r="I1468" t="s">
        <v>3380</v>
      </c>
      <c r="J1468" s="8" t="str">
        <f t="shared" si="138"/>
        <v>GLID</v>
      </c>
      <c r="K1468" t="s">
        <v>10</v>
      </c>
      <c r="L1468" s="54">
        <v>1030</v>
      </c>
      <c r="M1468" t="s">
        <v>1472</v>
      </c>
      <c r="N1468" t="s">
        <v>11</v>
      </c>
      <c r="O1468" s="54">
        <v>7.3867000000000003</v>
      </c>
      <c r="P1468" s="35">
        <f t="shared" si="136"/>
        <v>7608.3</v>
      </c>
      <c r="Q1468" s="10">
        <f t="shared" si="139"/>
        <v>7.3003400000000003</v>
      </c>
      <c r="R1468" s="10">
        <f t="shared" si="140"/>
        <v>1.0118</v>
      </c>
      <c r="S1468" s="11">
        <f t="shared" si="141"/>
        <v>1042.1500000000001</v>
      </c>
      <c r="T1468" s="10" t="s">
        <v>349</v>
      </c>
      <c r="U1468" t="s">
        <v>78</v>
      </c>
      <c r="V1468" s="58">
        <v>7.1775000000000002</v>
      </c>
      <c r="W1468" s="38">
        <f t="shared" si="137"/>
        <v>1060.0210379658654</v>
      </c>
    </row>
    <row r="1469" spans="1:23">
      <c r="A1469" t="s">
        <v>2565</v>
      </c>
      <c r="B1469" s="20">
        <v>45744</v>
      </c>
      <c r="C1469" s="20">
        <v>45716</v>
      </c>
      <c r="D1469" t="s">
        <v>21</v>
      </c>
      <c r="E1469" t="s">
        <v>22</v>
      </c>
      <c r="F1469" s="19"/>
      <c r="G1469" t="s">
        <v>2929</v>
      </c>
      <c r="H1469" t="s">
        <v>3178</v>
      </c>
      <c r="I1469" t="s">
        <v>3385</v>
      </c>
      <c r="J1469" s="8" t="str">
        <f t="shared" si="138"/>
        <v>BRKT</v>
      </c>
      <c r="K1469" t="s">
        <v>10</v>
      </c>
      <c r="L1469" s="54">
        <v>1050</v>
      </c>
      <c r="M1469" t="s">
        <v>1472</v>
      </c>
      <c r="N1469" t="s">
        <v>11</v>
      </c>
      <c r="O1469" s="54">
        <v>0.60340000000000005</v>
      </c>
      <c r="P1469" s="35">
        <f t="shared" si="136"/>
        <v>633.57000000000005</v>
      </c>
      <c r="Q1469" s="10">
        <f t="shared" si="139"/>
        <v>7.3003400000000003</v>
      </c>
      <c r="R1469" s="10">
        <f t="shared" si="140"/>
        <v>8.2699999999999996E-2</v>
      </c>
      <c r="S1469" s="11">
        <f t="shared" si="141"/>
        <v>86.84</v>
      </c>
      <c r="T1469" s="10" t="s">
        <v>349</v>
      </c>
      <c r="U1469" t="s">
        <v>442</v>
      </c>
      <c r="V1469" s="58">
        <v>7.1775000000000002</v>
      </c>
      <c r="W1469" s="38">
        <f t="shared" si="137"/>
        <v>88.271682340647857</v>
      </c>
    </row>
    <row r="1470" spans="1:23">
      <c r="A1470" t="s">
        <v>2566</v>
      </c>
      <c r="B1470" s="20">
        <v>45744</v>
      </c>
      <c r="C1470" s="20">
        <v>45716</v>
      </c>
      <c r="D1470" t="s">
        <v>21</v>
      </c>
      <c r="E1470" t="s">
        <v>22</v>
      </c>
      <c r="F1470" s="19"/>
      <c r="G1470" t="s">
        <v>2999</v>
      </c>
      <c r="H1470" t="s">
        <v>3179</v>
      </c>
      <c r="I1470" t="s">
        <v>3386</v>
      </c>
      <c r="J1470" s="8" t="str">
        <f t="shared" si="138"/>
        <v>FG--</v>
      </c>
      <c r="K1470" t="s">
        <v>10</v>
      </c>
      <c r="L1470" s="54">
        <v>1050</v>
      </c>
      <c r="M1470" t="s">
        <v>1472</v>
      </c>
      <c r="N1470" t="s">
        <v>11</v>
      </c>
      <c r="O1470" s="54">
        <v>0.65839999999999999</v>
      </c>
      <c r="P1470" s="35">
        <f t="shared" si="136"/>
        <v>691.32</v>
      </c>
      <c r="Q1470" s="10">
        <f t="shared" si="139"/>
        <v>7.3003400000000003</v>
      </c>
      <c r="R1470" s="10">
        <f t="shared" si="140"/>
        <v>9.0200000000000002E-2</v>
      </c>
      <c r="S1470" s="11">
        <f t="shared" si="141"/>
        <v>94.71</v>
      </c>
      <c r="T1470" s="10" t="s">
        <v>349</v>
      </c>
      <c r="U1470" t="s">
        <v>64</v>
      </c>
      <c r="V1470" s="58">
        <v>7.1775000000000002</v>
      </c>
      <c r="W1470" s="38">
        <f t="shared" si="137"/>
        <v>96.317659352142101</v>
      </c>
    </row>
    <row r="1471" spans="1:23">
      <c r="A1471" t="s">
        <v>2567</v>
      </c>
      <c r="B1471" s="20">
        <v>45744</v>
      </c>
      <c r="C1471" s="20">
        <v>45716</v>
      </c>
      <c r="D1471" t="s">
        <v>21</v>
      </c>
      <c r="E1471" t="s">
        <v>22</v>
      </c>
      <c r="F1471" s="19"/>
      <c r="G1471" t="s">
        <v>2999</v>
      </c>
      <c r="H1471" t="s">
        <v>3180</v>
      </c>
      <c r="I1471" t="s">
        <v>3387</v>
      </c>
      <c r="J1471" s="8" t="str">
        <f t="shared" si="138"/>
        <v>BRKT</v>
      </c>
      <c r="K1471" t="s">
        <v>10</v>
      </c>
      <c r="L1471" s="54">
        <v>750</v>
      </c>
      <c r="M1471" t="s">
        <v>1472</v>
      </c>
      <c r="N1471" t="s">
        <v>11</v>
      </c>
      <c r="O1471" s="54">
        <v>0.68969999999999998</v>
      </c>
      <c r="P1471" s="35">
        <f t="shared" si="136"/>
        <v>517.28</v>
      </c>
      <c r="Q1471" s="10">
        <f t="shared" si="139"/>
        <v>7.3003400000000003</v>
      </c>
      <c r="R1471" s="10">
        <f t="shared" si="140"/>
        <v>9.4500000000000001E-2</v>
      </c>
      <c r="S1471" s="11">
        <f t="shared" si="141"/>
        <v>70.88</v>
      </c>
      <c r="T1471" s="10" t="s">
        <v>349</v>
      </c>
      <c r="U1471" t="s">
        <v>442</v>
      </c>
      <c r="V1471" s="58">
        <v>7.1775000000000002</v>
      </c>
      <c r="W1471" s="38">
        <f t="shared" si="137"/>
        <v>72.068965517241367</v>
      </c>
    </row>
    <row r="1472" spans="1:23">
      <c r="A1472" t="s">
        <v>2568</v>
      </c>
      <c r="B1472" s="20">
        <v>45744</v>
      </c>
      <c r="C1472" s="20">
        <v>45716</v>
      </c>
      <c r="D1472" t="s">
        <v>21</v>
      </c>
      <c r="E1472" t="s">
        <v>22</v>
      </c>
      <c r="F1472" s="19"/>
      <c r="G1472" t="s">
        <v>2999</v>
      </c>
      <c r="H1472" t="s">
        <v>3181</v>
      </c>
      <c r="I1472" t="s">
        <v>3388</v>
      </c>
      <c r="J1472" s="8" t="str">
        <f t="shared" si="138"/>
        <v>FG--</v>
      </c>
      <c r="K1472" t="s">
        <v>10</v>
      </c>
      <c r="L1472" s="54">
        <v>1000</v>
      </c>
      <c r="M1472" t="s">
        <v>1472</v>
      </c>
      <c r="N1472" t="s">
        <v>11</v>
      </c>
      <c r="O1472" s="54">
        <v>0.64870000000000005</v>
      </c>
      <c r="P1472" s="35">
        <f t="shared" si="136"/>
        <v>648.70000000000005</v>
      </c>
      <c r="Q1472" s="10">
        <f t="shared" si="139"/>
        <v>7.3003400000000003</v>
      </c>
      <c r="R1472" s="10">
        <f t="shared" si="140"/>
        <v>8.8900000000000007E-2</v>
      </c>
      <c r="S1472" s="11">
        <f t="shared" si="141"/>
        <v>88.9</v>
      </c>
      <c r="T1472" s="10" t="s">
        <v>349</v>
      </c>
      <c r="U1472" t="s">
        <v>64</v>
      </c>
      <c r="V1472" s="58">
        <v>7.1775000000000002</v>
      </c>
      <c r="W1472" s="38">
        <f t="shared" si="137"/>
        <v>90.379658655520728</v>
      </c>
    </row>
    <row r="1473" spans="1:23">
      <c r="A1473" t="s">
        <v>2579</v>
      </c>
      <c r="B1473" s="20">
        <v>45744</v>
      </c>
      <c r="C1473" s="20">
        <v>45716</v>
      </c>
      <c r="D1473" t="s">
        <v>235</v>
      </c>
      <c r="E1473" t="s">
        <v>236</v>
      </c>
      <c r="F1473" s="19"/>
      <c r="G1473" t="s">
        <v>3002</v>
      </c>
      <c r="H1473" t="s">
        <v>3183</v>
      </c>
      <c r="I1473" t="s">
        <v>3390</v>
      </c>
      <c r="J1473" s="8" t="str">
        <f t="shared" si="138"/>
        <v>RIV-</v>
      </c>
      <c r="K1473" t="s">
        <v>10</v>
      </c>
      <c r="L1473" s="54">
        <v>2000</v>
      </c>
      <c r="M1473" t="s">
        <v>1472</v>
      </c>
      <c r="N1473" t="s">
        <v>11</v>
      </c>
      <c r="O1473" s="54">
        <v>0.10059999999999999</v>
      </c>
      <c r="P1473" s="35">
        <f t="shared" si="136"/>
        <v>201.2</v>
      </c>
      <c r="Q1473" s="10">
        <f t="shared" si="139"/>
        <v>7.3003400000000003</v>
      </c>
      <c r="R1473" s="10">
        <f t="shared" si="140"/>
        <v>1.38E-2</v>
      </c>
      <c r="S1473" s="11">
        <f t="shared" si="141"/>
        <v>27.6</v>
      </c>
      <c r="T1473" s="10" t="s">
        <v>349</v>
      </c>
      <c r="U1473" t="s">
        <v>132</v>
      </c>
      <c r="V1473" s="58">
        <v>7.1775000000000002</v>
      </c>
      <c r="W1473" s="38">
        <f t="shared" si="137"/>
        <v>28.03204458376872</v>
      </c>
    </row>
    <row r="1474" spans="1:23">
      <c r="A1474" t="s">
        <v>2616</v>
      </c>
      <c r="B1474" s="20">
        <v>45744</v>
      </c>
      <c r="C1474" s="20">
        <v>45720</v>
      </c>
      <c r="D1474" t="s">
        <v>235</v>
      </c>
      <c r="E1474" t="s">
        <v>236</v>
      </c>
      <c r="F1474" s="19"/>
      <c r="G1474" t="s">
        <v>3002</v>
      </c>
      <c r="H1474" t="s">
        <v>1348</v>
      </c>
      <c r="I1474" t="s">
        <v>1349</v>
      </c>
      <c r="J1474" s="8" t="str">
        <f t="shared" si="138"/>
        <v>SCR-</v>
      </c>
      <c r="K1474" t="s">
        <v>10</v>
      </c>
      <c r="L1474" s="54">
        <v>1600</v>
      </c>
      <c r="M1474" t="s">
        <v>1472</v>
      </c>
      <c r="N1474" t="s">
        <v>11</v>
      </c>
      <c r="O1474" s="54">
        <v>0.67030000000000001</v>
      </c>
      <c r="P1474" s="35">
        <f t="shared" ref="P1474:P1537" si="142">ROUND(O1474*L1474,2)</f>
        <v>1072.48</v>
      </c>
      <c r="Q1474" s="10">
        <f t="shared" si="139"/>
        <v>7.3003400000000003</v>
      </c>
      <c r="R1474" s="10">
        <f t="shared" si="140"/>
        <v>9.1800000000000007E-2</v>
      </c>
      <c r="S1474" s="11">
        <f t="shared" si="141"/>
        <v>146.88</v>
      </c>
      <c r="T1474" s="10" t="s">
        <v>349</v>
      </c>
      <c r="U1474" t="s">
        <v>166</v>
      </c>
      <c r="V1474" s="58">
        <v>7.1775000000000002</v>
      </c>
      <c r="W1474" s="38">
        <f t="shared" ref="W1474:W1537" si="143">IF(N1474="CNY",O1474/V1474*L1474,1)</f>
        <v>149.42250087077673</v>
      </c>
    </row>
    <row r="1475" spans="1:23">
      <c r="A1475" t="s">
        <v>2628</v>
      </c>
      <c r="B1475" s="20">
        <v>45744</v>
      </c>
      <c r="C1475" s="20">
        <v>45721</v>
      </c>
      <c r="D1475" t="s">
        <v>21</v>
      </c>
      <c r="E1475" t="s">
        <v>22</v>
      </c>
      <c r="F1475" s="19"/>
      <c r="G1475" t="s">
        <v>2999</v>
      </c>
      <c r="H1475" t="s">
        <v>814</v>
      </c>
      <c r="I1475" t="s">
        <v>815</v>
      </c>
      <c r="J1475" s="8" t="str">
        <f t="shared" si="138"/>
        <v>BRKT</v>
      </c>
      <c r="K1475" t="s">
        <v>10</v>
      </c>
      <c r="L1475" s="54">
        <v>1020</v>
      </c>
      <c r="M1475" t="s">
        <v>1472</v>
      </c>
      <c r="N1475" t="s">
        <v>11</v>
      </c>
      <c r="O1475" s="54">
        <v>0.60570000000000002</v>
      </c>
      <c r="P1475" s="35">
        <f t="shared" si="142"/>
        <v>617.80999999999995</v>
      </c>
      <c r="Q1475" s="10">
        <f t="shared" si="139"/>
        <v>7.3003400000000003</v>
      </c>
      <c r="R1475" s="10">
        <f t="shared" si="140"/>
        <v>8.3000000000000004E-2</v>
      </c>
      <c r="S1475" s="11">
        <f t="shared" si="141"/>
        <v>84.66</v>
      </c>
      <c r="T1475" s="10" t="s">
        <v>349</v>
      </c>
      <c r="U1475" t="s">
        <v>442</v>
      </c>
      <c r="V1475" s="58">
        <v>7.1775000000000002</v>
      </c>
      <c r="W1475" s="38">
        <f t="shared" si="143"/>
        <v>86.07648902821316</v>
      </c>
    </row>
    <row r="1476" spans="1:23">
      <c r="A1476" t="s">
        <v>2629</v>
      </c>
      <c r="B1476" s="20">
        <v>45744</v>
      </c>
      <c r="C1476" s="20">
        <v>45721</v>
      </c>
      <c r="D1476" t="s">
        <v>21</v>
      </c>
      <c r="E1476" t="s">
        <v>22</v>
      </c>
      <c r="F1476" s="19"/>
      <c r="G1476" t="s">
        <v>2999</v>
      </c>
      <c r="H1476" t="s">
        <v>793</v>
      </c>
      <c r="I1476" t="s">
        <v>794</v>
      </c>
      <c r="J1476" s="8" t="str">
        <f t="shared" si="138"/>
        <v>FG--</v>
      </c>
      <c r="K1476" t="s">
        <v>10</v>
      </c>
      <c r="L1476" s="54">
        <v>1010</v>
      </c>
      <c r="M1476" t="s">
        <v>1472</v>
      </c>
      <c r="N1476" t="s">
        <v>11</v>
      </c>
      <c r="O1476" s="54">
        <v>0.62919999999999998</v>
      </c>
      <c r="P1476" s="35">
        <f t="shared" si="142"/>
        <v>635.49</v>
      </c>
      <c r="Q1476" s="10">
        <f t="shared" si="139"/>
        <v>7.3003400000000003</v>
      </c>
      <c r="R1476" s="10">
        <f t="shared" si="140"/>
        <v>8.6199999999999999E-2</v>
      </c>
      <c r="S1476" s="11">
        <f t="shared" si="141"/>
        <v>87.06</v>
      </c>
      <c r="T1476" s="10" t="s">
        <v>349</v>
      </c>
      <c r="U1476" t="s">
        <v>64</v>
      </c>
      <c r="V1476" s="58">
        <v>7.1775000000000002</v>
      </c>
      <c r="W1476" s="38">
        <f t="shared" si="143"/>
        <v>88.53946360153256</v>
      </c>
    </row>
    <row r="1477" spans="1:23">
      <c r="A1477" t="s">
        <v>2630</v>
      </c>
      <c r="B1477" s="20">
        <v>45744</v>
      </c>
      <c r="C1477" s="20">
        <v>45721</v>
      </c>
      <c r="D1477" t="s">
        <v>21</v>
      </c>
      <c r="E1477" t="s">
        <v>22</v>
      </c>
      <c r="F1477" s="19"/>
      <c r="G1477" t="s">
        <v>2999</v>
      </c>
      <c r="H1477" t="s">
        <v>19</v>
      </c>
      <c r="I1477" t="s">
        <v>20</v>
      </c>
      <c r="J1477" s="8" t="str">
        <f t="shared" si="138"/>
        <v>MISC</v>
      </c>
      <c r="K1477" t="s">
        <v>10</v>
      </c>
      <c r="L1477" s="54">
        <v>2100</v>
      </c>
      <c r="M1477" t="s">
        <v>1472</v>
      </c>
      <c r="N1477" t="s">
        <v>11</v>
      </c>
      <c r="O1477" s="54">
        <v>0.24679999999999999</v>
      </c>
      <c r="P1477" s="35">
        <f t="shared" si="142"/>
        <v>518.28</v>
      </c>
      <c r="Q1477" s="10">
        <f t="shared" si="139"/>
        <v>7.3003400000000003</v>
      </c>
      <c r="R1477" s="10">
        <f t="shared" si="140"/>
        <v>3.3799999999999997E-2</v>
      </c>
      <c r="S1477" s="11">
        <f t="shared" si="141"/>
        <v>70.98</v>
      </c>
      <c r="T1477" s="10" t="s">
        <v>349</v>
      </c>
      <c r="U1477" t="s">
        <v>25</v>
      </c>
      <c r="V1477" s="58">
        <v>7.1775000000000002</v>
      </c>
      <c r="W1477" s="38">
        <f t="shared" si="143"/>
        <v>72.208986415882961</v>
      </c>
    </row>
    <row r="1478" spans="1:23">
      <c r="A1478" t="s">
        <v>2639</v>
      </c>
      <c r="B1478" s="20">
        <v>45744</v>
      </c>
      <c r="C1478" s="20">
        <v>45721</v>
      </c>
      <c r="D1478" t="s">
        <v>235</v>
      </c>
      <c r="E1478" t="s">
        <v>236</v>
      </c>
      <c r="F1478" s="19"/>
      <c r="G1478" t="s">
        <v>3021</v>
      </c>
      <c r="H1478" t="s">
        <v>1348</v>
      </c>
      <c r="I1478" t="s">
        <v>1349</v>
      </c>
      <c r="J1478" s="8" t="str">
        <f t="shared" si="138"/>
        <v>SCR-</v>
      </c>
      <c r="K1478" t="s">
        <v>10</v>
      </c>
      <c r="L1478" s="54">
        <v>1500</v>
      </c>
      <c r="M1478" t="s">
        <v>1472</v>
      </c>
      <c r="N1478" t="s">
        <v>11</v>
      </c>
      <c r="O1478" s="54">
        <v>0.67030000000000001</v>
      </c>
      <c r="P1478" s="35">
        <f t="shared" si="142"/>
        <v>1005.45</v>
      </c>
      <c r="Q1478" s="10">
        <f t="shared" si="139"/>
        <v>7.3003400000000003</v>
      </c>
      <c r="R1478" s="10">
        <f t="shared" si="140"/>
        <v>9.1800000000000007E-2</v>
      </c>
      <c r="S1478" s="11">
        <f t="shared" si="141"/>
        <v>137.69999999999999</v>
      </c>
      <c r="T1478" s="10" t="s">
        <v>349</v>
      </c>
      <c r="U1478" t="s">
        <v>166</v>
      </c>
      <c r="V1478" s="58">
        <v>7.1775000000000002</v>
      </c>
      <c r="W1478" s="38">
        <f t="shared" si="143"/>
        <v>140.08359456635318</v>
      </c>
    </row>
    <row r="1479" spans="1:23">
      <c r="A1479" t="s">
        <v>2640</v>
      </c>
      <c r="B1479" s="20">
        <v>45744</v>
      </c>
      <c r="C1479" s="20">
        <v>45721</v>
      </c>
      <c r="D1479" t="s">
        <v>235</v>
      </c>
      <c r="E1479" t="s">
        <v>236</v>
      </c>
      <c r="F1479" s="19"/>
      <c r="G1479" t="s">
        <v>3021</v>
      </c>
      <c r="H1479" t="s">
        <v>239</v>
      </c>
      <c r="I1479" t="s">
        <v>240</v>
      </c>
      <c r="J1479" s="8" t="str">
        <f t="shared" si="138"/>
        <v>RIV-</v>
      </c>
      <c r="K1479" t="s">
        <v>10</v>
      </c>
      <c r="L1479" s="54">
        <v>17200</v>
      </c>
      <c r="M1479" t="s">
        <v>1472</v>
      </c>
      <c r="N1479" t="s">
        <v>11</v>
      </c>
      <c r="O1479" s="54">
        <v>0.16120000000000001</v>
      </c>
      <c r="P1479" s="35">
        <f t="shared" si="142"/>
        <v>2772.64</v>
      </c>
      <c r="Q1479" s="10">
        <f t="shared" si="139"/>
        <v>7.3003400000000003</v>
      </c>
      <c r="R1479" s="10">
        <f t="shared" si="140"/>
        <v>2.2100000000000002E-2</v>
      </c>
      <c r="S1479" s="11">
        <f t="shared" si="141"/>
        <v>380.12</v>
      </c>
      <c r="T1479" s="10" t="s">
        <v>349</v>
      </c>
      <c r="U1479" t="s">
        <v>132</v>
      </c>
      <c r="V1479" s="58">
        <v>7.1775000000000002</v>
      </c>
      <c r="W1479" s="38">
        <f t="shared" si="143"/>
        <v>386.2960640891676</v>
      </c>
    </row>
    <row r="1480" spans="1:23">
      <c r="A1480" t="s">
        <v>2641</v>
      </c>
      <c r="B1480" s="20">
        <v>45744</v>
      </c>
      <c r="C1480" s="20">
        <v>45721</v>
      </c>
      <c r="D1480" t="s">
        <v>235</v>
      </c>
      <c r="E1480" t="s">
        <v>236</v>
      </c>
      <c r="F1480" s="19"/>
      <c r="G1480" t="s">
        <v>3021</v>
      </c>
      <c r="H1480" t="s">
        <v>1361</v>
      </c>
      <c r="I1480" t="s">
        <v>1362</v>
      </c>
      <c r="J1480" s="8" t="str">
        <f t="shared" si="138"/>
        <v>RIV-</v>
      </c>
      <c r="K1480" t="s">
        <v>10</v>
      </c>
      <c r="L1480" s="54">
        <v>10000</v>
      </c>
      <c r="M1480" t="s">
        <v>1472</v>
      </c>
      <c r="N1480" t="s">
        <v>11</v>
      </c>
      <c r="O1480" s="54">
        <v>0.17649999999999999</v>
      </c>
      <c r="P1480" s="35">
        <f t="shared" si="142"/>
        <v>1765</v>
      </c>
      <c r="Q1480" s="10">
        <f t="shared" si="139"/>
        <v>7.3003400000000003</v>
      </c>
      <c r="R1480" s="10">
        <f t="shared" si="140"/>
        <v>2.4199999999999999E-2</v>
      </c>
      <c r="S1480" s="11">
        <f t="shared" si="141"/>
        <v>242</v>
      </c>
      <c r="T1480" s="10" t="s">
        <v>349</v>
      </c>
      <c r="U1480" t="s">
        <v>132</v>
      </c>
      <c r="V1480" s="58">
        <v>7.1775000000000002</v>
      </c>
      <c r="W1480" s="38">
        <f t="shared" si="143"/>
        <v>245.9073493556252</v>
      </c>
    </row>
    <row r="1481" spans="1:23">
      <c r="A1481" t="s">
        <v>2642</v>
      </c>
      <c r="B1481" s="20">
        <v>45744</v>
      </c>
      <c r="C1481" s="20">
        <v>45721</v>
      </c>
      <c r="D1481" t="s">
        <v>235</v>
      </c>
      <c r="E1481" t="s">
        <v>236</v>
      </c>
      <c r="F1481" s="19"/>
      <c r="G1481" t="s">
        <v>3021</v>
      </c>
      <c r="H1481" t="s">
        <v>1344</v>
      </c>
      <c r="I1481" t="s">
        <v>1345</v>
      </c>
      <c r="J1481" s="8" t="str">
        <f t="shared" si="138"/>
        <v>SCR-</v>
      </c>
      <c r="K1481" t="s">
        <v>10</v>
      </c>
      <c r="L1481" s="54">
        <v>3050</v>
      </c>
      <c r="M1481" t="s">
        <v>1472</v>
      </c>
      <c r="N1481" t="s">
        <v>11</v>
      </c>
      <c r="O1481" s="54">
        <v>0.47449999999999998</v>
      </c>
      <c r="P1481" s="35">
        <f t="shared" si="142"/>
        <v>1447.23</v>
      </c>
      <c r="Q1481" s="10">
        <f t="shared" si="139"/>
        <v>7.3003400000000003</v>
      </c>
      <c r="R1481" s="10">
        <f t="shared" si="140"/>
        <v>6.5000000000000002E-2</v>
      </c>
      <c r="S1481" s="11">
        <f t="shared" si="141"/>
        <v>198.25</v>
      </c>
      <c r="T1481" s="10" t="s">
        <v>349</v>
      </c>
      <c r="U1481" t="s">
        <v>166</v>
      </c>
      <c r="V1481" s="58">
        <v>7.1775000000000002</v>
      </c>
      <c r="W1481" s="38">
        <f t="shared" si="143"/>
        <v>201.63357715081852</v>
      </c>
    </row>
    <row r="1482" spans="1:23">
      <c r="A1482" t="s">
        <v>2644</v>
      </c>
      <c r="B1482" s="20">
        <v>45744</v>
      </c>
      <c r="C1482" s="20">
        <v>45721</v>
      </c>
      <c r="D1482" t="s">
        <v>149</v>
      </c>
      <c r="E1482" t="s">
        <v>150</v>
      </c>
      <c r="F1482" s="19"/>
      <c r="G1482" t="s">
        <v>2995</v>
      </c>
      <c r="H1482" t="s">
        <v>781</v>
      </c>
      <c r="I1482" t="s">
        <v>782</v>
      </c>
      <c r="J1482" s="8" t="str">
        <f t="shared" si="138"/>
        <v>GLID</v>
      </c>
      <c r="K1482" t="s">
        <v>10</v>
      </c>
      <c r="L1482" s="54">
        <v>1010</v>
      </c>
      <c r="M1482" t="s">
        <v>1472</v>
      </c>
      <c r="N1482" t="s">
        <v>11</v>
      </c>
      <c r="O1482" s="54">
        <v>3.1166</v>
      </c>
      <c r="P1482" s="35">
        <f t="shared" si="142"/>
        <v>3147.77</v>
      </c>
      <c r="Q1482" s="10">
        <f t="shared" si="139"/>
        <v>7.3003400000000003</v>
      </c>
      <c r="R1482" s="10">
        <f t="shared" si="140"/>
        <v>0.4269</v>
      </c>
      <c r="S1482" s="11">
        <f t="shared" si="141"/>
        <v>431.17</v>
      </c>
      <c r="T1482" s="10" t="s">
        <v>349</v>
      </c>
      <c r="U1482" t="s">
        <v>78</v>
      </c>
      <c r="V1482" s="58">
        <v>7.1775000000000002</v>
      </c>
      <c r="W1482" s="38">
        <f t="shared" si="143"/>
        <v>438.56022291884358</v>
      </c>
    </row>
    <row r="1483" spans="1:23">
      <c r="A1483" t="s">
        <v>2725</v>
      </c>
      <c r="B1483" s="20">
        <v>45744</v>
      </c>
      <c r="C1483" s="20">
        <v>45728</v>
      </c>
      <c r="D1483" t="s">
        <v>235</v>
      </c>
      <c r="E1483" t="s">
        <v>236</v>
      </c>
      <c r="F1483" s="19"/>
      <c r="G1483" t="s">
        <v>3040</v>
      </c>
      <c r="H1483" t="s">
        <v>233</v>
      </c>
      <c r="I1483" t="s">
        <v>234</v>
      </c>
      <c r="J1483" s="8" t="str">
        <f t="shared" si="138"/>
        <v>RIV-</v>
      </c>
      <c r="K1483" t="s">
        <v>10</v>
      </c>
      <c r="L1483" s="54">
        <v>6000</v>
      </c>
      <c r="M1483" t="s">
        <v>1472</v>
      </c>
      <c r="N1483" t="s">
        <v>11</v>
      </c>
      <c r="O1483" s="54">
        <v>4.1599999999999998E-2</v>
      </c>
      <c r="P1483" s="35">
        <f t="shared" si="142"/>
        <v>249.6</v>
      </c>
      <c r="Q1483" s="10">
        <f t="shared" si="139"/>
        <v>7.3003400000000003</v>
      </c>
      <c r="R1483" s="10">
        <f t="shared" si="140"/>
        <v>5.7000000000000002E-3</v>
      </c>
      <c r="S1483" s="11">
        <f t="shared" si="141"/>
        <v>34.200000000000003</v>
      </c>
      <c r="T1483" s="10" t="s">
        <v>349</v>
      </c>
      <c r="U1483" t="s">
        <v>132</v>
      </c>
      <c r="V1483" s="58">
        <v>7.1775000000000002</v>
      </c>
      <c r="W1483" s="38">
        <f t="shared" si="143"/>
        <v>34.775339602925804</v>
      </c>
    </row>
    <row r="1484" spans="1:23">
      <c r="A1484" t="s">
        <v>2726</v>
      </c>
      <c r="B1484" s="20">
        <v>45744</v>
      </c>
      <c r="C1484" s="20">
        <v>45728</v>
      </c>
      <c r="D1484" t="s">
        <v>235</v>
      </c>
      <c r="E1484" t="s">
        <v>236</v>
      </c>
      <c r="F1484" s="19"/>
      <c r="G1484" t="s">
        <v>3040</v>
      </c>
      <c r="H1484" t="s">
        <v>1352</v>
      </c>
      <c r="I1484" t="s">
        <v>1353</v>
      </c>
      <c r="J1484" s="8" t="str">
        <f t="shared" si="138"/>
        <v>RIV-</v>
      </c>
      <c r="K1484" t="s">
        <v>10</v>
      </c>
      <c r="L1484" s="54">
        <v>30000</v>
      </c>
      <c r="M1484" t="s">
        <v>1472</v>
      </c>
      <c r="N1484" t="s">
        <v>11</v>
      </c>
      <c r="O1484" s="54">
        <v>0.1328</v>
      </c>
      <c r="P1484" s="35">
        <f t="shared" si="142"/>
        <v>3984</v>
      </c>
      <c r="Q1484" s="10">
        <f t="shared" si="139"/>
        <v>7.3003400000000003</v>
      </c>
      <c r="R1484" s="10">
        <f t="shared" si="140"/>
        <v>1.8200000000000001E-2</v>
      </c>
      <c r="S1484" s="11">
        <f t="shared" si="141"/>
        <v>546</v>
      </c>
      <c r="T1484" s="10" t="s">
        <v>349</v>
      </c>
      <c r="U1484" t="s">
        <v>132</v>
      </c>
      <c r="V1484" s="58">
        <v>7.1775000000000002</v>
      </c>
      <c r="W1484" s="38">
        <f t="shared" si="143"/>
        <v>555.06792058516191</v>
      </c>
    </row>
    <row r="1485" spans="1:23">
      <c r="A1485" t="s">
        <v>2727</v>
      </c>
      <c r="B1485" s="20">
        <v>45744</v>
      </c>
      <c r="C1485" s="20">
        <v>45728</v>
      </c>
      <c r="D1485" t="s">
        <v>235</v>
      </c>
      <c r="E1485" t="s">
        <v>236</v>
      </c>
      <c r="F1485" s="19"/>
      <c r="G1485" t="s">
        <v>3040</v>
      </c>
      <c r="H1485" t="s">
        <v>1344</v>
      </c>
      <c r="I1485" t="s">
        <v>1345</v>
      </c>
      <c r="J1485" s="8" t="str">
        <f t="shared" si="138"/>
        <v>SCR-</v>
      </c>
      <c r="K1485" t="s">
        <v>10</v>
      </c>
      <c r="L1485" s="54">
        <v>3600</v>
      </c>
      <c r="M1485" t="s">
        <v>1472</v>
      </c>
      <c r="N1485" t="s">
        <v>11</v>
      </c>
      <c r="O1485" s="54">
        <v>0.47449999999999998</v>
      </c>
      <c r="P1485" s="35">
        <f t="shared" si="142"/>
        <v>1708.2</v>
      </c>
      <c r="Q1485" s="10">
        <f t="shared" si="139"/>
        <v>7.3003400000000003</v>
      </c>
      <c r="R1485" s="10">
        <f t="shared" si="140"/>
        <v>6.5000000000000002E-2</v>
      </c>
      <c r="S1485" s="11">
        <f t="shared" si="141"/>
        <v>234</v>
      </c>
      <c r="T1485" s="10" t="s">
        <v>349</v>
      </c>
      <c r="U1485" t="s">
        <v>166</v>
      </c>
      <c r="V1485" s="58">
        <v>7.1775000000000002</v>
      </c>
      <c r="W1485" s="38">
        <f t="shared" si="143"/>
        <v>237.99373040752351</v>
      </c>
    </row>
    <row r="1486" spans="1:23">
      <c r="A1486" t="s">
        <v>2728</v>
      </c>
      <c r="B1486" s="20">
        <v>45744</v>
      </c>
      <c r="C1486" s="20">
        <v>45728</v>
      </c>
      <c r="D1486" t="s">
        <v>235</v>
      </c>
      <c r="E1486" t="s">
        <v>236</v>
      </c>
      <c r="F1486" s="19"/>
      <c r="G1486" t="s">
        <v>3040</v>
      </c>
      <c r="H1486" t="s">
        <v>1348</v>
      </c>
      <c r="I1486" t="s">
        <v>1349</v>
      </c>
      <c r="J1486" s="8" t="str">
        <f t="shared" si="138"/>
        <v>SCR-</v>
      </c>
      <c r="K1486" t="s">
        <v>10</v>
      </c>
      <c r="L1486" s="54">
        <v>3000</v>
      </c>
      <c r="M1486" t="s">
        <v>1472</v>
      </c>
      <c r="N1486" t="s">
        <v>11</v>
      </c>
      <c r="O1486" s="54">
        <v>0.67030000000000001</v>
      </c>
      <c r="P1486" s="35">
        <f t="shared" si="142"/>
        <v>2010.9</v>
      </c>
      <c r="Q1486" s="10">
        <f t="shared" si="139"/>
        <v>7.3003400000000003</v>
      </c>
      <c r="R1486" s="10">
        <f t="shared" si="140"/>
        <v>9.1800000000000007E-2</v>
      </c>
      <c r="S1486" s="11">
        <f t="shared" si="141"/>
        <v>275.39999999999998</v>
      </c>
      <c r="T1486" s="10" t="s">
        <v>349</v>
      </c>
      <c r="U1486" t="s">
        <v>166</v>
      </c>
      <c r="V1486" s="58">
        <v>7.1775000000000002</v>
      </c>
      <c r="W1486" s="38">
        <f t="shared" si="143"/>
        <v>280.16718913270637</v>
      </c>
    </row>
    <row r="1487" spans="1:23">
      <c r="A1487" t="s">
        <v>2755</v>
      </c>
      <c r="B1487" s="20">
        <v>45744</v>
      </c>
      <c r="C1487" s="20">
        <v>45729</v>
      </c>
      <c r="D1487" t="s">
        <v>149</v>
      </c>
      <c r="E1487" t="s">
        <v>150</v>
      </c>
      <c r="F1487" s="19"/>
      <c r="G1487" t="s">
        <v>2995</v>
      </c>
      <c r="H1487" t="s">
        <v>3211</v>
      </c>
      <c r="I1487" t="s">
        <v>3418</v>
      </c>
      <c r="J1487" s="8" t="str">
        <f t="shared" si="138"/>
        <v>GLID</v>
      </c>
      <c r="K1487" t="s">
        <v>10</v>
      </c>
      <c r="L1487" s="54">
        <v>1010</v>
      </c>
      <c r="M1487" t="s">
        <v>1472</v>
      </c>
      <c r="N1487" t="s">
        <v>11</v>
      </c>
      <c r="O1487" s="54">
        <v>5.1798000000000002</v>
      </c>
      <c r="P1487" s="35">
        <f t="shared" si="142"/>
        <v>5231.6000000000004</v>
      </c>
      <c r="Q1487" s="10">
        <f t="shared" si="139"/>
        <v>7.3003400000000003</v>
      </c>
      <c r="R1487" s="10">
        <f t="shared" si="140"/>
        <v>0.70950000000000002</v>
      </c>
      <c r="S1487" s="11">
        <f t="shared" si="141"/>
        <v>716.6</v>
      </c>
      <c r="T1487" s="10" t="s">
        <v>349</v>
      </c>
      <c r="U1487" t="s">
        <v>78</v>
      </c>
      <c r="V1487" s="58">
        <v>7.1775000000000002</v>
      </c>
      <c r="W1487" s="38">
        <f t="shared" si="143"/>
        <v>728.8886102403344</v>
      </c>
    </row>
    <row r="1488" spans="1:23">
      <c r="A1488" t="s">
        <v>2810</v>
      </c>
      <c r="B1488" s="20">
        <v>45744</v>
      </c>
      <c r="C1488" s="20">
        <v>45742</v>
      </c>
      <c r="D1488" t="s">
        <v>2253</v>
      </c>
      <c r="E1488" t="s">
        <v>2254</v>
      </c>
      <c r="F1488" s="19"/>
      <c r="G1488" t="s">
        <v>3056</v>
      </c>
      <c r="H1488" t="s">
        <v>3270</v>
      </c>
      <c r="I1488" t="s">
        <v>3477</v>
      </c>
      <c r="J1488" s="8" t="str">
        <f t="shared" si="138"/>
        <v>MISC</v>
      </c>
      <c r="K1488" t="s">
        <v>10</v>
      </c>
      <c r="L1488" s="54">
        <v>3000</v>
      </c>
      <c r="M1488" t="s">
        <v>186</v>
      </c>
      <c r="N1488" t="s">
        <v>11</v>
      </c>
      <c r="O1488" s="54">
        <v>6.1504000000000003</v>
      </c>
      <c r="P1488" s="35">
        <f t="shared" si="142"/>
        <v>18451.2</v>
      </c>
      <c r="Q1488" s="10">
        <f t="shared" si="139"/>
        <v>7.3003400000000003</v>
      </c>
      <c r="R1488" s="10">
        <f t="shared" si="140"/>
        <v>0.84250000000000003</v>
      </c>
      <c r="S1488" s="11">
        <f t="shared" si="141"/>
        <v>2527.5</v>
      </c>
      <c r="T1488" s="10" t="s">
        <v>349</v>
      </c>
      <c r="U1488" t="s">
        <v>25</v>
      </c>
      <c r="V1488" s="58">
        <v>7.1775000000000002</v>
      </c>
      <c r="W1488" s="38">
        <f t="shared" si="143"/>
        <v>2570.7001044932081</v>
      </c>
    </row>
    <row r="1489" spans="1:23">
      <c r="A1489" t="s">
        <v>2368</v>
      </c>
      <c r="B1489" s="20">
        <v>45747</v>
      </c>
      <c r="C1489" s="20">
        <v>45695</v>
      </c>
      <c r="D1489" t="s">
        <v>651</v>
      </c>
      <c r="E1489" t="s">
        <v>652</v>
      </c>
      <c r="F1489" s="19"/>
      <c r="G1489" t="s">
        <v>2906</v>
      </c>
      <c r="H1489" t="s">
        <v>1760</v>
      </c>
      <c r="I1489" t="s">
        <v>1761</v>
      </c>
      <c r="J1489" s="8" t="str">
        <f t="shared" si="138"/>
        <v>KNOB</v>
      </c>
      <c r="K1489" t="s">
        <v>10</v>
      </c>
      <c r="L1489" s="54">
        <v>2900</v>
      </c>
      <c r="M1489" t="s">
        <v>1472</v>
      </c>
      <c r="N1489" t="s">
        <v>11</v>
      </c>
      <c r="O1489" s="54">
        <v>4.4776999999999996</v>
      </c>
      <c r="P1489" s="35">
        <f t="shared" si="142"/>
        <v>12985.33</v>
      </c>
      <c r="Q1489" s="10">
        <f t="shared" si="139"/>
        <v>7.3003400000000003</v>
      </c>
      <c r="R1489" s="10">
        <f t="shared" si="140"/>
        <v>0.61339999999999995</v>
      </c>
      <c r="S1489" s="11">
        <f t="shared" si="141"/>
        <v>1778.86</v>
      </c>
      <c r="T1489" s="10" t="s">
        <v>349</v>
      </c>
      <c r="U1489" t="s">
        <v>32</v>
      </c>
      <c r="V1489" s="58">
        <v>7.1775000000000002</v>
      </c>
      <c r="W1489" s="38">
        <f t="shared" si="143"/>
        <v>1809.1717171717169</v>
      </c>
    </row>
    <row r="1490" spans="1:23">
      <c r="A1490" t="s">
        <v>2401</v>
      </c>
      <c r="B1490" s="20">
        <v>45747</v>
      </c>
      <c r="C1490" s="20">
        <v>45698</v>
      </c>
      <c r="D1490" t="s">
        <v>925</v>
      </c>
      <c r="E1490" t="s">
        <v>926</v>
      </c>
      <c r="F1490" s="19"/>
      <c r="G1490" t="s">
        <v>2924</v>
      </c>
      <c r="H1490" t="s">
        <v>3099</v>
      </c>
      <c r="I1490" t="s">
        <v>3314</v>
      </c>
      <c r="J1490" s="8" t="str">
        <f t="shared" si="138"/>
        <v>HDL-</v>
      </c>
      <c r="K1490" t="s">
        <v>10</v>
      </c>
      <c r="L1490" s="54">
        <v>520</v>
      </c>
      <c r="M1490" t="s">
        <v>1472</v>
      </c>
      <c r="N1490" t="s">
        <v>11</v>
      </c>
      <c r="O1490" s="54">
        <v>9.6722999999999999</v>
      </c>
      <c r="P1490" s="35">
        <f t="shared" si="142"/>
        <v>5029.6000000000004</v>
      </c>
      <c r="Q1490" s="10">
        <f t="shared" si="139"/>
        <v>7.3003400000000003</v>
      </c>
      <c r="R1490" s="10">
        <f t="shared" si="140"/>
        <v>1.3249</v>
      </c>
      <c r="S1490" s="11">
        <f t="shared" si="141"/>
        <v>688.95</v>
      </c>
      <c r="T1490" s="10" t="s">
        <v>349</v>
      </c>
      <c r="U1490" t="s">
        <v>228</v>
      </c>
      <c r="V1490" s="58">
        <v>7.1775000000000002</v>
      </c>
      <c r="W1490" s="38">
        <f t="shared" si="143"/>
        <v>700.74482758620684</v>
      </c>
    </row>
    <row r="1491" spans="1:23">
      <c r="A1491" t="s">
        <v>2426</v>
      </c>
      <c r="B1491" s="20">
        <v>45747</v>
      </c>
      <c r="C1491" s="20">
        <v>45702</v>
      </c>
      <c r="D1491" t="s">
        <v>651</v>
      </c>
      <c r="E1491" t="s">
        <v>652</v>
      </c>
      <c r="F1491" s="19"/>
      <c r="G1491" t="s">
        <v>2906</v>
      </c>
      <c r="H1491" t="s">
        <v>3115</v>
      </c>
      <c r="I1491" t="s">
        <v>3329</v>
      </c>
      <c r="J1491" s="8" t="str">
        <f t="shared" si="138"/>
        <v>HDL-</v>
      </c>
      <c r="K1491" t="s">
        <v>10</v>
      </c>
      <c r="L1491" s="54">
        <v>1020</v>
      </c>
      <c r="M1491" t="s">
        <v>1472</v>
      </c>
      <c r="N1491" t="s">
        <v>11</v>
      </c>
      <c r="O1491" s="54">
        <v>2.5788000000000002</v>
      </c>
      <c r="P1491" s="35">
        <f t="shared" si="142"/>
        <v>2630.38</v>
      </c>
      <c r="Q1491" s="10">
        <f t="shared" si="139"/>
        <v>7.3003400000000003</v>
      </c>
      <c r="R1491" s="10">
        <f t="shared" si="140"/>
        <v>0.35320000000000001</v>
      </c>
      <c r="S1491" s="11">
        <f t="shared" si="141"/>
        <v>360.26</v>
      </c>
      <c r="T1491" s="10" t="s">
        <v>349</v>
      </c>
      <c r="U1491" t="s">
        <v>228</v>
      </c>
      <c r="V1491" s="58">
        <v>7.1775000000000002</v>
      </c>
      <c r="W1491" s="38">
        <f t="shared" si="143"/>
        <v>366.47523510971791</v>
      </c>
    </row>
    <row r="1492" spans="1:23">
      <c r="A1492" t="s">
        <v>2488</v>
      </c>
      <c r="B1492" s="20">
        <v>45747</v>
      </c>
      <c r="C1492" s="20">
        <v>45712</v>
      </c>
      <c r="D1492" t="s">
        <v>2257</v>
      </c>
      <c r="E1492" t="s">
        <v>2258</v>
      </c>
      <c r="F1492" s="19"/>
      <c r="G1492" t="s">
        <v>2952</v>
      </c>
      <c r="H1492" t="s">
        <v>3148</v>
      </c>
      <c r="I1492" t="s">
        <v>3358</v>
      </c>
      <c r="J1492" s="8" t="str">
        <f t="shared" si="138"/>
        <v>HDL-</v>
      </c>
      <c r="K1492" t="s">
        <v>10</v>
      </c>
      <c r="L1492" s="54">
        <v>1800</v>
      </c>
      <c r="M1492" t="s">
        <v>1472</v>
      </c>
      <c r="N1492" t="s">
        <v>11</v>
      </c>
      <c r="O1492" s="54">
        <v>7.6459999999999999</v>
      </c>
      <c r="P1492" s="35">
        <f t="shared" si="142"/>
        <v>13762.8</v>
      </c>
      <c r="Q1492" s="10">
        <f t="shared" si="139"/>
        <v>7.3003400000000003</v>
      </c>
      <c r="R1492" s="10">
        <f t="shared" si="140"/>
        <v>1.0472999999999999</v>
      </c>
      <c r="S1492" s="11">
        <f t="shared" si="141"/>
        <v>1885.14</v>
      </c>
      <c r="T1492" s="10" t="s">
        <v>349</v>
      </c>
      <c r="U1492" t="s">
        <v>228</v>
      </c>
      <c r="V1492" s="58">
        <v>7.1775000000000002</v>
      </c>
      <c r="W1492" s="38">
        <f t="shared" si="143"/>
        <v>1917.4921630094043</v>
      </c>
    </row>
    <row r="1493" spans="1:23">
      <c r="A1493" t="s">
        <v>2494</v>
      </c>
      <c r="B1493" s="20">
        <v>45747</v>
      </c>
      <c r="C1493" s="20">
        <v>45713</v>
      </c>
      <c r="D1493" t="s">
        <v>2257</v>
      </c>
      <c r="E1493" t="s">
        <v>2258</v>
      </c>
      <c r="F1493" s="19"/>
      <c r="G1493" t="s">
        <v>2952</v>
      </c>
      <c r="H1493" t="s">
        <v>1798</v>
      </c>
      <c r="I1493" t="s">
        <v>1799</v>
      </c>
      <c r="J1493" s="8" t="str">
        <f t="shared" ref="J1493:J1556" si="144">+LEFT(U1493,4)</f>
        <v>HDL-</v>
      </c>
      <c r="K1493" t="s">
        <v>10</v>
      </c>
      <c r="L1493" s="54">
        <v>2200</v>
      </c>
      <c r="M1493" t="s">
        <v>1472</v>
      </c>
      <c r="N1493" t="s">
        <v>11</v>
      </c>
      <c r="O1493" s="54">
        <v>7.4931000000000001</v>
      </c>
      <c r="P1493" s="35">
        <f t="shared" si="142"/>
        <v>16484.82</v>
      </c>
      <c r="Q1493" s="10">
        <f t="shared" ref="Q1493:Q1556" si="145">IF(N1493="HKD",7.8,IF(N1493="CNY",7.30034,1))</f>
        <v>7.3003400000000003</v>
      </c>
      <c r="R1493" s="10">
        <f t="shared" ref="R1493:R1556" si="146">+ROUND(O1493/Q1493,4)</f>
        <v>1.0264</v>
      </c>
      <c r="S1493" s="11">
        <f t="shared" ref="S1493:S1556" si="147">ROUND(R1493*L1493,2)</f>
        <v>2258.08</v>
      </c>
      <c r="T1493" s="10" t="s">
        <v>349</v>
      </c>
      <c r="U1493" t="s">
        <v>228</v>
      </c>
      <c r="V1493" s="58">
        <v>7.1775000000000002</v>
      </c>
      <c r="W1493" s="38">
        <f t="shared" si="143"/>
        <v>2296.7356321839079</v>
      </c>
    </row>
    <row r="1494" spans="1:23">
      <c r="A1494" t="s">
        <v>2505</v>
      </c>
      <c r="B1494" s="20">
        <v>45747</v>
      </c>
      <c r="C1494" s="20">
        <v>45713</v>
      </c>
      <c r="D1494" t="s">
        <v>2257</v>
      </c>
      <c r="E1494" t="s">
        <v>2258</v>
      </c>
      <c r="F1494" s="19"/>
      <c r="G1494" t="s">
        <v>2952</v>
      </c>
      <c r="H1494" t="s">
        <v>3152</v>
      </c>
      <c r="I1494" t="s">
        <v>3362</v>
      </c>
      <c r="J1494" s="8" t="str">
        <f t="shared" si="144"/>
        <v>HDL-</v>
      </c>
      <c r="K1494" t="s">
        <v>10</v>
      </c>
      <c r="L1494" s="54">
        <v>3600</v>
      </c>
      <c r="M1494" t="s">
        <v>1472</v>
      </c>
      <c r="N1494" t="s">
        <v>11</v>
      </c>
      <c r="O1494" s="54">
        <v>7.4931000000000001</v>
      </c>
      <c r="P1494" s="35">
        <f t="shared" si="142"/>
        <v>26975.16</v>
      </c>
      <c r="Q1494" s="10">
        <f t="shared" si="145"/>
        <v>7.3003400000000003</v>
      </c>
      <c r="R1494" s="10">
        <f t="shared" si="146"/>
        <v>1.0264</v>
      </c>
      <c r="S1494" s="11">
        <f t="shared" si="147"/>
        <v>3695.04</v>
      </c>
      <c r="T1494" s="10" t="s">
        <v>349</v>
      </c>
      <c r="U1494" t="s">
        <v>228</v>
      </c>
      <c r="V1494" s="58">
        <v>7.1775000000000002</v>
      </c>
      <c r="W1494" s="38">
        <f t="shared" si="143"/>
        <v>3758.2946708463946</v>
      </c>
    </row>
    <row r="1495" spans="1:23">
      <c r="A1495" t="s">
        <v>2506</v>
      </c>
      <c r="B1495" s="20">
        <v>45747</v>
      </c>
      <c r="C1495" s="20">
        <v>45713</v>
      </c>
      <c r="D1495" t="s">
        <v>2257</v>
      </c>
      <c r="E1495" t="s">
        <v>2258</v>
      </c>
      <c r="F1495" s="19"/>
      <c r="G1495" t="s">
        <v>2952</v>
      </c>
      <c r="H1495" t="s">
        <v>1802</v>
      </c>
      <c r="I1495" t="s">
        <v>1803</v>
      </c>
      <c r="J1495" s="8" t="str">
        <f t="shared" si="144"/>
        <v>HDL-</v>
      </c>
      <c r="K1495" t="s">
        <v>10</v>
      </c>
      <c r="L1495" s="54">
        <v>3550</v>
      </c>
      <c r="M1495" t="s">
        <v>1472</v>
      </c>
      <c r="N1495" t="s">
        <v>11</v>
      </c>
      <c r="O1495" s="54">
        <v>7.4931000000000001</v>
      </c>
      <c r="P1495" s="35">
        <f t="shared" si="142"/>
        <v>26600.51</v>
      </c>
      <c r="Q1495" s="10">
        <f t="shared" si="145"/>
        <v>7.3003400000000003</v>
      </c>
      <c r="R1495" s="10">
        <f t="shared" si="146"/>
        <v>1.0264</v>
      </c>
      <c r="S1495" s="11">
        <f t="shared" si="147"/>
        <v>3643.72</v>
      </c>
      <c r="T1495" s="10" t="s">
        <v>349</v>
      </c>
      <c r="U1495" t="s">
        <v>228</v>
      </c>
      <c r="V1495" s="58">
        <v>7.1775000000000002</v>
      </c>
      <c r="W1495" s="38">
        <f t="shared" si="143"/>
        <v>3706.0961337513058</v>
      </c>
    </row>
    <row r="1496" spans="1:23">
      <c r="A1496" t="s">
        <v>2537</v>
      </c>
      <c r="B1496" s="20">
        <v>45747</v>
      </c>
      <c r="C1496" s="20">
        <v>45714</v>
      </c>
      <c r="D1496" t="s">
        <v>94</v>
      </c>
      <c r="E1496" t="s">
        <v>95</v>
      </c>
      <c r="F1496" s="19"/>
      <c r="G1496" t="s">
        <v>2979</v>
      </c>
      <c r="H1496" t="s">
        <v>3165</v>
      </c>
      <c r="I1496" t="s">
        <v>3375</v>
      </c>
      <c r="J1496" s="8" t="str">
        <f t="shared" si="144"/>
        <v>LID-</v>
      </c>
      <c r="K1496" t="s">
        <v>98</v>
      </c>
      <c r="L1496" s="54">
        <v>1514</v>
      </c>
      <c r="M1496" t="s">
        <v>1472</v>
      </c>
      <c r="N1496" t="s">
        <v>11</v>
      </c>
      <c r="O1496" s="54">
        <v>4.37</v>
      </c>
      <c r="P1496" s="35">
        <f t="shared" si="142"/>
        <v>6616.18</v>
      </c>
      <c r="Q1496" s="10">
        <f t="shared" si="145"/>
        <v>7.3003400000000003</v>
      </c>
      <c r="R1496" s="10">
        <f t="shared" si="146"/>
        <v>0.59860000000000002</v>
      </c>
      <c r="S1496" s="11">
        <f t="shared" si="147"/>
        <v>906.28</v>
      </c>
      <c r="T1496" s="10" t="s">
        <v>349</v>
      </c>
      <c r="U1496" t="s">
        <v>368</v>
      </c>
      <c r="V1496" s="58">
        <v>7.1775000000000002</v>
      </c>
      <c r="W1496" s="38">
        <f t="shared" si="143"/>
        <v>921.79449669104838</v>
      </c>
    </row>
    <row r="1497" spans="1:23">
      <c r="A1497" t="s">
        <v>2540</v>
      </c>
      <c r="B1497" s="20">
        <v>45747</v>
      </c>
      <c r="C1497" s="20">
        <v>45714</v>
      </c>
      <c r="D1497" t="s">
        <v>830</v>
      </c>
      <c r="E1497" t="s">
        <v>831</v>
      </c>
      <c r="F1497" s="19"/>
      <c r="G1497" t="s">
        <v>2986</v>
      </c>
      <c r="H1497" t="s">
        <v>3166</v>
      </c>
      <c r="I1497" t="s">
        <v>3376</v>
      </c>
      <c r="J1497" s="8" t="str">
        <f t="shared" si="144"/>
        <v>LID-</v>
      </c>
      <c r="K1497" t="s">
        <v>98</v>
      </c>
      <c r="L1497" s="54">
        <v>1920</v>
      </c>
      <c r="M1497" t="s">
        <v>1472</v>
      </c>
      <c r="N1497" t="s">
        <v>11</v>
      </c>
      <c r="O1497" s="54">
        <v>4.2</v>
      </c>
      <c r="P1497" s="35">
        <f t="shared" si="142"/>
        <v>8064</v>
      </c>
      <c r="Q1497" s="10">
        <f t="shared" si="145"/>
        <v>7.3003400000000003</v>
      </c>
      <c r="R1497" s="10">
        <f t="shared" si="146"/>
        <v>0.57530000000000003</v>
      </c>
      <c r="S1497" s="11">
        <f t="shared" si="147"/>
        <v>1104.58</v>
      </c>
      <c r="T1497" s="10" t="s">
        <v>349</v>
      </c>
      <c r="U1497" t="s">
        <v>368</v>
      </c>
      <c r="V1497" s="58">
        <v>7.1775000000000002</v>
      </c>
      <c r="W1497" s="38">
        <f t="shared" si="143"/>
        <v>1123.5109717868338</v>
      </c>
    </row>
    <row r="1498" spans="1:23">
      <c r="A1498" t="s">
        <v>2631</v>
      </c>
      <c r="B1498" s="20">
        <v>45747</v>
      </c>
      <c r="C1498" s="20">
        <v>45721</v>
      </c>
      <c r="D1498" t="s">
        <v>651</v>
      </c>
      <c r="E1498" t="s">
        <v>652</v>
      </c>
      <c r="F1498" s="19"/>
      <c r="G1498" t="s">
        <v>3019</v>
      </c>
      <c r="H1498" t="s">
        <v>649</v>
      </c>
      <c r="I1498" t="s">
        <v>650</v>
      </c>
      <c r="J1498" s="8" t="str">
        <f t="shared" si="144"/>
        <v>HDL-</v>
      </c>
      <c r="K1498" t="s">
        <v>10</v>
      </c>
      <c r="L1498" s="54">
        <v>1020</v>
      </c>
      <c r="M1498" t="s">
        <v>1472</v>
      </c>
      <c r="N1498" t="s">
        <v>11</v>
      </c>
      <c r="O1498" s="54">
        <v>1.5</v>
      </c>
      <c r="P1498" s="35">
        <f t="shared" si="142"/>
        <v>1530</v>
      </c>
      <c r="Q1498" s="10">
        <f t="shared" si="145"/>
        <v>7.3003400000000003</v>
      </c>
      <c r="R1498" s="10">
        <f t="shared" si="146"/>
        <v>0.20549999999999999</v>
      </c>
      <c r="S1498" s="11">
        <f t="shared" si="147"/>
        <v>209.61</v>
      </c>
      <c r="T1498" s="10" t="s">
        <v>349</v>
      </c>
      <c r="U1498" t="s">
        <v>228</v>
      </c>
      <c r="V1498" s="58">
        <v>7.1775000000000002</v>
      </c>
      <c r="W1498" s="38">
        <f t="shared" si="143"/>
        <v>213.16614420062695</v>
      </c>
    </row>
    <row r="1499" spans="1:23">
      <c r="A1499" t="s">
        <v>2632</v>
      </c>
      <c r="B1499" s="20">
        <v>45747</v>
      </c>
      <c r="C1499" s="20">
        <v>45721</v>
      </c>
      <c r="D1499" t="s">
        <v>651</v>
      </c>
      <c r="E1499" t="s">
        <v>652</v>
      </c>
      <c r="F1499" s="19"/>
      <c r="G1499" t="s">
        <v>3019</v>
      </c>
      <c r="H1499" t="s">
        <v>3200</v>
      </c>
      <c r="I1499" t="s">
        <v>3407</v>
      </c>
      <c r="J1499" s="8" t="str">
        <f t="shared" si="144"/>
        <v>HDL-</v>
      </c>
      <c r="K1499" t="s">
        <v>10</v>
      </c>
      <c r="L1499" s="54">
        <v>1250</v>
      </c>
      <c r="M1499" t="s">
        <v>1472</v>
      </c>
      <c r="N1499" t="s">
        <v>11</v>
      </c>
      <c r="O1499" s="54">
        <v>2.3879999999999999</v>
      </c>
      <c r="P1499" s="35">
        <f t="shared" si="142"/>
        <v>2985</v>
      </c>
      <c r="Q1499" s="10">
        <f t="shared" si="145"/>
        <v>7.3003400000000003</v>
      </c>
      <c r="R1499" s="10">
        <f t="shared" si="146"/>
        <v>0.3271</v>
      </c>
      <c r="S1499" s="11">
        <f t="shared" si="147"/>
        <v>408.88</v>
      </c>
      <c r="T1499" s="10" t="s">
        <v>349</v>
      </c>
      <c r="U1499" t="s">
        <v>228</v>
      </c>
      <c r="V1499" s="58">
        <v>7.1775000000000002</v>
      </c>
      <c r="W1499" s="38">
        <f t="shared" si="143"/>
        <v>415.88296760710551</v>
      </c>
    </row>
    <row r="1500" spans="1:23">
      <c r="A1500" t="s">
        <v>2692</v>
      </c>
      <c r="B1500" s="20">
        <v>45747</v>
      </c>
      <c r="C1500" s="20">
        <v>45728</v>
      </c>
      <c r="D1500" t="s">
        <v>280</v>
      </c>
      <c r="E1500" t="s">
        <v>281</v>
      </c>
      <c r="F1500" s="19"/>
      <c r="G1500" t="s">
        <v>3032</v>
      </c>
      <c r="H1500" t="s">
        <v>284</v>
      </c>
      <c r="I1500" t="s">
        <v>285</v>
      </c>
      <c r="J1500" s="8" t="str">
        <f t="shared" si="144"/>
        <v>BOX-</v>
      </c>
      <c r="K1500" t="s">
        <v>10</v>
      </c>
      <c r="L1500" s="54">
        <v>3000</v>
      </c>
      <c r="M1500" t="s">
        <v>1472</v>
      </c>
      <c r="N1500" t="s">
        <v>11</v>
      </c>
      <c r="O1500" s="54">
        <v>3.18</v>
      </c>
      <c r="P1500" s="35">
        <f t="shared" si="142"/>
        <v>9540</v>
      </c>
      <c r="Q1500" s="10">
        <f t="shared" si="145"/>
        <v>7.3003400000000003</v>
      </c>
      <c r="R1500" s="10">
        <f t="shared" si="146"/>
        <v>0.43559999999999999</v>
      </c>
      <c r="S1500" s="11">
        <f t="shared" si="147"/>
        <v>1306.8</v>
      </c>
      <c r="T1500" s="10" t="s">
        <v>349</v>
      </c>
      <c r="U1500" t="s">
        <v>1</v>
      </c>
      <c r="V1500" s="58">
        <v>7.1775000000000002</v>
      </c>
      <c r="W1500" s="38">
        <f t="shared" si="143"/>
        <v>1329.153605015674</v>
      </c>
    </row>
    <row r="1501" spans="1:23">
      <c r="A1501" t="s">
        <v>2693</v>
      </c>
      <c r="B1501" s="20">
        <v>45747</v>
      </c>
      <c r="C1501" s="20">
        <v>45728</v>
      </c>
      <c r="D1501" t="s">
        <v>280</v>
      </c>
      <c r="E1501" t="s">
        <v>281</v>
      </c>
      <c r="F1501" s="19"/>
      <c r="G1501" t="s">
        <v>3032</v>
      </c>
      <c r="H1501" t="s">
        <v>278</v>
      </c>
      <c r="I1501" t="s">
        <v>279</v>
      </c>
      <c r="J1501" s="8" t="str">
        <f t="shared" si="144"/>
        <v>BOX-</v>
      </c>
      <c r="K1501" t="s">
        <v>10</v>
      </c>
      <c r="L1501" s="54">
        <v>3000</v>
      </c>
      <c r="M1501" t="s">
        <v>1472</v>
      </c>
      <c r="N1501" t="s">
        <v>11</v>
      </c>
      <c r="O1501" s="54">
        <v>5</v>
      </c>
      <c r="P1501" s="35">
        <f t="shared" si="142"/>
        <v>15000</v>
      </c>
      <c r="Q1501" s="10">
        <f t="shared" si="145"/>
        <v>7.3003400000000003</v>
      </c>
      <c r="R1501" s="10">
        <f t="shared" si="146"/>
        <v>0.68489999999999995</v>
      </c>
      <c r="S1501" s="11">
        <f t="shared" si="147"/>
        <v>2054.6999999999998</v>
      </c>
      <c r="T1501" s="10" t="s">
        <v>349</v>
      </c>
      <c r="U1501" t="s">
        <v>1</v>
      </c>
      <c r="V1501" s="58">
        <v>7.1775000000000002</v>
      </c>
      <c r="W1501" s="38">
        <f t="shared" si="143"/>
        <v>2089.8641588296759</v>
      </c>
    </row>
    <row r="1502" spans="1:23">
      <c r="A1502" t="s">
        <v>2714</v>
      </c>
      <c r="B1502" s="20">
        <v>45747</v>
      </c>
      <c r="C1502" s="20">
        <v>45728</v>
      </c>
      <c r="D1502" t="s">
        <v>651</v>
      </c>
      <c r="E1502" t="s">
        <v>652</v>
      </c>
      <c r="F1502" s="19"/>
      <c r="G1502" t="s">
        <v>3019</v>
      </c>
      <c r="H1502" t="s">
        <v>3200</v>
      </c>
      <c r="I1502" t="s">
        <v>3407</v>
      </c>
      <c r="J1502" s="8" t="str">
        <f t="shared" si="144"/>
        <v>HDL-</v>
      </c>
      <c r="K1502" t="s">
        <v>10</v>
      </c>
      <c r="L1502" s="54">
        <v>3030</v>
      </c>
      <c r="M1502" t="s">
        <v>1472</v>
      </c>
      <c r="N1502" t="s">
        <v>11</v>
      </c>
      <c r="O1502" s="54">
        <v>2.3401999999999998</v>
      </c>
      <c r="P1502" s="35">
        <f t="shared" si="142"/>
        <v>7090.81</v>
      </c>
      <c r="Q1502" s="10">
        <f t="shared" si="145"/>
        <v>7.3003400000000003</v>
      </c>
      <c r="R1502" s="10">
        <f t="shared" si="146"/>
        <v>0.3206</v>
      </c>
      <c r="S1502" s="11">
        <f t="shared" si="147"/>
        <v>971.42</v>
      </c>
      <c r="T1502" s="10" t="s">
        <v>349</v>
      </c>
      <c r="U1502" t="s">
        <v>228</v>
      </c>
      <c r="V1502" s="58">
        <v>7.1775000000000002</v>
      </c>
      <c r="W1502" s="38">
        <f t="shared" si="143"/>
        <v>987.92142110762791</v>
      </c>
    </row>
    <row r="1503" spans="1:23">
      <c r="A1503" t="s">
        <v>2752</v>
      </c>
      <c r="B1503" s="20">
        <v>45747</v>
      </c>
      <c r="C1503" s="20">
        <v>45729</v>
      </c>
      <c r="D1503" t="s">
        <v>651</v>
      </c>
      <c r="E1503" t="s">
        <v>652</v>
      </c>
      <c r="F1503" s="19"/>
      <c r="G1503" t="s">
        <v>2906</v>
      </c>
      <c r="H1503" t="s">
        <v>3116</v>
      </c>
      <c r="I1503" t="s">
        <v>3330</v>
      </c>
      <c r="J1503" s="8" t="str">
        <f t="shared" si="144"/>
        <v>HDL-</v>
      </c>
      <c r="K1503" t="s">
        <v>10</v>
      </c>
      <c r="L1503" s="54">
        <v>1030</v>
      </c>
      <c r="M1503" t="s">
        <v>1472</v>
      </c>
      <c r="N1503" t="s">
        <v>11</v>
      </c>
      <c r="O1503" s="54">
        <v>1.76</v>
      </c>
      <c r="P1503" s="35">
        <f t="shared" si="142"/>
        <v>1812.8</v>
      </c>
      <c r="Q1503" s="10">
        <f t="shared" si="145"/>
        <v>7.3003400000000003</v>
      </c>
      <c r="R1503" s="10">
        <f t="shared" si="146"/>
        <v>0.24110000000000001</v>
      </c>
      <c r="S1503" s="11">
        <f t="shared" si="147"/>
        <v>248.33</v>
      </c>
      <c r="T1503" s="10" t="s">
        <v>349</v>
      </c>
      <c r="U1503" t="s">
        <v>228</v>
      </c>
      <c r="V1503" s="58">
        <v>7.1775000000000002</v>
      </c>
      <c r="W1503" s="38">
        <f t="shared" si="143"/>
        <v>252.56704980842912</v>
      </c>
    </row>
    <row r="1504" spans="1:23" s="15" customFormat="1">
      <c r="A1504" t="s">
        <v>3826</v>
      </c>
      <c r="B1504" s="20">
        <v>45765</v>
      </c>
      <c r="C1504" s="20">
        <v>45675</v>
      </c>
      <c r="D1504" t="s">
        <v>866</v>
      </c>
      <c r="E1504" t="s">
        <v>867</v>
      </c>
      <c r="F1504" s="19"/>
      <c r="G1504" t="s">
        <v>4334</v>
      </c>
      <c r="H1504" t="s">
        <v>870</v>
      </c>
      <c r="I1504" t="s">
        <v>871</v>
      </c>
      <c r="J1504" s="8" t="str">
        <f t="shared" si="144"/>
        <v>ANYD</v>
      </c>
      <c r="K1504" t="s">
        <v>10</v>
      </c>
      <c r="L1504" s="46">
        <v>5000</v>
      </c>
      <c r="M1504" t="s">
        <v>1472</v>
      </c>
      <c r="N1504" t="s">
        <v>11</v>
      </c>
      <c r="O1504" s="49">
        <v>0</v>
      </c>
      <c r="P1504" s="9">
        <f t="shared" si="142"/>
        <v>0</v>
      </c>
      <c r="Q1504" s="10">
        <f t="shared" si="145"/>
        <v>7.3003400000000003</v>
      </c>
      <c r="R1504" s="10">
        <f t="shared" si="146"/>
        <v>0</v>
      </c>
      <c r="S1504" s="11">
        <f t="shared" si="147"/>
        <v>0</v>
      </c>
      <c r="T1504" s="10" t="s">
        <v>349</v>
      </c>
      <c r="U1504" t="s">
        <v>36</v>
      </c>
      <c r="V1504" s="58">
        <v>7.1775000000000002</v>
      </c>
      <c r="W1504" s="38">
        <f t="shared" si="143"/>
        <v>0</v>
      </c>
    </row>
    <row r="1505" spans="1:23" s="15" customFormat="1">
      <c r="A1505" t="s">
        <v>3827</v>
      </c>
      <c r="B1505" s="20">
        <v>45764</v>
      </c>
      <c r="C1505" s="20">
        <v>45706</v>
      </c>
      <c r="D1505" t="s">
        <v>149</v>
      </c>
      <c r="E1505" t="s">
        <v>150</v>
      </c>
      <c r="F1505" s="19"/>
      <c r="G1505" t="s">
        <v>4335</v>
      </c>
      <c r="H1505" t="s">
        <v>79</v>
      </c>
      <c r="I1505" t="s">
        <v>80</v>
      </c>
      <c r="J1505" s="8" t="str">
        <f t="shared" si="144"/>
        <v>ANYD</v>
      </c>
      <c r="K1505" t="s">
        <v>10</v>
      </c>
      <c r="L1505" s="46">
        <v>-350</v>
      </c>
      <c r="M1505" t="s">
        <v>1472</v>
      </c>
      <c r="N1505" t="s">
        <v>11</v>
      </c>
      <c r="O1505" s="49">
        <v>0</v>
      </c>
      <c r="P1505" s="9">
        <f t="shared" si="142"/>
        <v>0</v>
      </c>
      <c r="Q1505" s="10">
        <f t="shared" si="145"/>
        <v>7.3003400000000003</v>
      </c>
      <c r="R1505" s="10">
        <f t="shared" si="146"/>
        <v>0</v>
      </c>
      <c r="S1505" s="11">
        <f t="shared" si="147"/>
        <v>0</v>
      </c>
      <c r="T1505" s="10" t="s">
        <v>349</v>
      </c>
      <c r="U1505" t="s">
        <v>36</v>
      </c>
      <c r="V1505" s="58">
        <v>7.1775000000000002</v>
      </c>
      <c r="W1505" s="38">
        <f t="shared" si="143"/>
        <v>0</v>
      </c>
    </row>
    <row r="1506" spans="1:23" s="15" customFormat="1">
      <c r="A1506" t="s">
        <v>3827</v>
      </c>
      <c r="B1506" s="20">
        <v>45764</v>
      </c>
      <c r="C1506" s="20">
        <v>45706</v>
      </c>
      <c r="D1506" t="s">
        <v>149</v>
      </c>
      <c r="E1506" t="s">
        <v>150</v>
      </c>
      <c r="F1506" s="19"/>
      <c r="G1506" t="s">
        <v>4336</v>
      </c>
      <c r="H1506" t="s">
        <v>79</v>
      </c>
      <c r="I1506" t="s">
        <v>80</v>
      </c>
      <c r="J1506" s="8" t="str">
        <f t="shared" si="144"/>
        <v>ANYD</v>
      </c>
      <c r="K1506" t="s">
        <v>10</v>
      </c>
      <c r="L1506" s="46">
        <v>210</v>
      </c>
      <c r="M1506" t="s">
        <v>1472</v>
      </c>
      <c r="N1506" t="s">
        <v>11</v>
      </c>
      <c r="O1506" s="49">
        <v>0</v>
      </c>
      <c r="P1506" s="9">
        <f t="shared" si="142"/>
        <v>0</v>
      </c>
      <c r="Q1506" s="10">
        <f t="shared" si="145"/>
        <v>7.3003400000000003</v>
      </c>
      <c r="R1506" s="10">
        <f t="shared" si="146"/>
        <v>0</v>
      </c>
      <c r="S1506" s="11">
        <f t="shared" si="147"/>
        <v>0</v>
      </c>
      <c r="T1506" s="10" t="s">
        <v>349</v>
      </c>
      <c r="U1506" t="s">
        <v>36</v>
      </c>
      <c r="V1506" s="58">
        <v>7.1775000000000002</v>
      </c>
      <c r="W1506" s="38">
        <f t="shared" si="143"/>
        <v>0</v>
      </c>
    </row>
    <row r="1507" spans="1:23" s="15" customFormat="1">
      <c r="A1507" t="s">
        <v>3827</v>
      </c>
      <c r="B1507" s="20">
        <v>45764</v>
      </c>
      <c r="C1507" s="20">
        <v>45706</v>
      </c>
      <c r="D1507" t="s">
        <v>149</v>
      </c>
      <c r="E1507" t="s">
        <v>150</v>
      </c>
      <c r="F1507" s="19"/>
      <c r="G1507" t="s">
        <v>4336</v>
      </c>
      <c r="H1507" t="s">
        <v>79</v>
      </c>
      <c r="I1507" t="s">
        <v>80</v>
      </c>
      <c r="J1507" s="8" t="str">
        <f t="shared" si="144"/>
        <v>ANYD</v>
      </c>
      <c r="K1507" t="s">
        <v>10</v>
      </c>
      <c r="L1507" s="46">
        <v>140</v>
      </c>
      <c r="M1507" t="s">
        <v>1472</v>
      </c>
      <c r="N1507" t="s">
        <v>11</v>
      </c>
      <c r="O1507" s="49">
        <v>0</v>
      </c>
      <c r="P1507" s="9">
        <f t="shared" si="142"/>
        <v>0</v>
      </c>
      <c r="Q1507" s="10">
        <f t="shared" si="145"/>
        <v>7.3003400000000003</v>
      </c>
      <c r="R1507" s="10">
        <f t="shared" si="146"/>
        <v>0</v>
      </c>
      <c r="S1507" s="11">
        <f t="shared" si="147"/>
        <v>0</v>
      </c>
      <c r="T1507" s="10" t="s">
        <v>349</v>
      </c>
      <c r="U1507" t="s">
        <v>36</v>
      </c>
      <c r="V1507" s="58">
        <v>7.1775000000000002</v>
      </c>
      <c r="W1507" s="38">
        <f t="shared" si="143"/>
        <v>0</v>
      </c>
    </row>
    <row r="1508" spans="1:23" s="15" customFormat="1">
      <c r="A1508" t="s">
        <v>3828</v>
      </c>
      <c r="B1508" s="20">
        <v>45777</v>
      </c>
      <c r="C1508" s="20">
        <v>45716</v>
      </c>
      <c r="D1508" t="s">
        <v>143</v>
      </c>
      <c r="E1508" t="s">
        <v>144</v>
      </c>
      <c r="F1508" s="19"/>
      <c r="G1508" t="s">
        <v>4337</v>
      </c>
      <c r="H1508" t="s">
        <v>3152</v>
      </c>
      <c r="I1508" t="s">
        <v>3362</v>
      </c>
      <c r="J1508" s="8" t="str">
        <f t="shared" si="144"/>
        <v>HDL-</v>
      </c>
      <c r="K1508" t="s">
        <v>10</v>
      </c>
      <c r="L1508" s="46">
        <v>1200</v>
      </c>
      <c r="M1508" t="s">
        <v>1472</v>
      </c>
      <c r="N1508" t="s">
        <v>11</v>
      </c>
      <c r="O1508" s="49">
        <v>0</v>
      </c>
      <c r="P1508" s="9">
        <f t="shared" si="142"/>
        <v>0</v>
      </c>
      <c r="Q1508" s="10">
        <f t="shared" si="145"/>
        <v>7.3003400000000003</v>
      </c>
      <c r="R1508" s="10">
        <f t="shared" si="146"/>
        <v>0</v>
      </c>
      <c r="S1508" s="11">
        <f t="shared" si="147"/>
        <v>0</v>
      </c>
      <c r="T1508" s="10" t="s">
        <v>349</v>
      </c>
      <c r="U1508" t="s">
        <v>228</v>
      </c>
      <c r="V1508" s="58">
        <v>7.1775000000000002</v>
      </c>
      <c r="W1508" s="38">
        <f t="shared" si="143"/>
        <v>0</v>
      </c>
    </row>
    <row r="1509" spans="1:23" s="15" customFormat="1">
      <c r="A1509" t="s">
        <v>3829</v>
      </c>
      <c r="B1509" s="20">
        <v>45776</v>
      </c>
      <c r="C1509" s="20">
        <v>45727</v>
      </c>
      <c r="D1509" t="s">
        <v>149</v>
      </c>
      <c r="E1509" t="s">
        <v>150</v>
      </c>
      <c r="F1509" s="19"/>
      <c r="G1509" t="s">
        <v>4338</v>
      </c>
      <c r="H1509" t="s">
        <v>79</v>
      </c>
      <c r="I1509" t="s">
        <v>80</v>
      </c>
      <c r="J1509" s="8" t="str">
        <f t="shared" si="144"/>
        <v>ANYD</v>
      </c>
      <c r="K1509" t="s">
        <v>10</v>
      </c>
      <c r="L1509" s="46">
        <v>-1028</v>
      </c>
      <c r="M1509" t="s">
        <v>1472</v>
      </c>
      <c r="N1509" t="s">
        <v>11</v>
      </c>
      <c r="O1509" s="49">
        <v>0</v>
      </c>
      <c r="P1509" s="9">
        <f t="shared" si="142"/>
        <v>0</v>
      </c>
      <c r="Q1509" s="10">
        <f t="shared" si="145"/>
        <v>7.3003400000000003</v>
      </c>
      <c r="R1509" s="10">
        <f t="shared" si="146"/>
        <v>0</v>
      </c>
      <c r="S1509" s="11">
        <f t="shared" si="147"/>
        <v>0</v>
      </c>
      <c r="T1509" s="10" t="s">
        <v>349</v>
      </c>
      <c r="U1509" t="s">
        <v>36</v>
      </c>
      <c r="V1509" s="58">
        <v>7.1775000000000002</v>
      </c>
      <c r="W1509" s="38">
        <f t="shared" si="143"/>
        <v>0</v>
      </c>
    </row>
    <row r="1510" spans="1:23" s="15" customFormat="1">
      <c r="A1510" t="s">
        <v>3829</v>
      </c>
      <c r="B1510" s="20">
        <v>45769</v>
      </c>
      <c r="C1510" s="20">
        <v>45727</v>
      </c>
      <c r="D1510" t="s">
        <v>149</v>
      </c>
      <c r="E1510" t="s">
        <v>150</v>
      </c>
      <c r="F1510" s="19"/>
      <c r="G1510" t="s">
        <v>4339</v>
      </c>
      <c r="H1510" t="s">
        <v>79</v>
      </c>
      <c r="I1510" t="s">
        <v>80</v>
      </c>
      <c r="J1510" s="8" t="str">
        <f t="shared" si="144"/>
        <v>ANYD</v>
      </c>
      <c r="K1510" t="s">
        <v>10</v>
      </c>
      <c r="L1510" s="46">
        <v>1028</v>
      </c>
      <c r="M1510" t="s">
        <v>1472</v>
      </c>
      <c r="N1510" t="s">
        <v>11</v>
      </c>
      <c r="O1510" s="49">
        <v>0</v>
      </c>
      <c r="P1510" s="9">
        <f t="shared" si="142"/>
        <v>0</v>
      </c>
      <c r="Q1510" s="10">
        <f t="shared" si="145"/>
        <v>7.3003400000000003</v>
      </c>
      <c r="R1510" s="10">
        <f t="shared" si="146"/>
        <v>0</v>
      </c>
      <c r="S1510" s="11">
        <f t="shared" si="147"/>
        <v>0</v>
      </c>
      <c r="T1510" s="10" t="s">
        <v>349</v>
      </c>
      <c r="U1510" t="s">
        <v>36</v>
      </c>
      <c r="V1510" s="58">
        <v>7.1775000000000002</v>
      </c>
      <c r="W1510" s="38">
        <f t="shared" si="143"/>
        <v>0</v>
      </c>
    </row>
    <row r="1511" spans="1:23" s="15" customFormat="1">
      <c r="A1511" t="s">
        <v>3830</v>
      </c>
      <c r="B1511" s="20">
        <v>45758</v>
      </c>
      <c r="C1511" s="20">
        <v>45729</v>
      </c>
      <c r="D1511" t="s">
        <v>709</v>
      </c>
      <c r="E1511" t="s">
        <v>710</v>
      </c>
      <c r="F1511" s="19"/>
      <c r="G1511" t="s">
        <v>4340</v>
      </c>
      <c r="H1511" t="s">
        <v>3492</v>
      </c>
      <c r="I1511" t="s">
        <v>3493</v>
      </c>
      <c r="J1511" s="8" t="str">
        <f t="shared" si="144"/>
        <v>HDL-</v>
      </c>
      <c r="K1511" t="s">
        <v>10</v>
      </c>
      <c r="L1511" s="46">
        <v>1030</v>
      </c>
      <c r="M1511" t="s">
        <v>1472</v>
      </c>
      <c r="N1511" t="s">
        <v>11</v>
      </c>
      <c r="O1511" s="49">
        <v>0</v>
      </c>
      <c r="P1511" s="9">
        <f t="shared" si="142"/>
        <v>0</v>
      </c>
      <c r="Q1511" s="10">
        <f t="shared" si="145"/>
        <v>7.3003400000000003</v>
      </c>
      <c r="R1511" s="10">
        <f t="shared" si="146"/>
        <v>0</v>
      </c>
      <c r="S1511" s="11">
        <f t="shared" si="147"/>
        <v>0</v>
      </c>
      <c r="T1511" s="10" t="s">
        <v>349</v>
      </c>
      <c r="U1511" t="s">
        <v>228</v>
      </c>
      <c r="V1511" s="58">
        <v>7.1775000000000002</v>
      </c>
      <c r="W1511" s="38">
        <f t="shared" si="143"/>
        <v>0</v>
      </c>
    </row>
    <row r="1512" spans="1:23" s="15" customFormat="1">
      <c r="A1512" t="s">
        <v>3831</v>
      </c>
      <c r="B1512" s="20">
        <v>45762</v>
      </c>
      <c r="C1512" s="20">
        <v>45713</v>
      </c>
      <c r="D1512" t="s">
        <v>169</v>
      </c>
      <c r="E1512" t="s">
        <v>170</v>
      </c>
      <c r="F1512" s="19"/>
      <c r="G1512" t="s">
        <v>4341</v>
      </c>
      <c r="H1512" t="s">
        <v>3494</v>
      </c>
      <c r="I1512" t="s">
        <v>3495</v>
      </c>
      <c r="J1512" s="8" t="str">
        <f t="shared" si="144"/>
        <v>STKR</v>
      </c>
      <c r="K1512" t="s">
        <v>10</v>
      </c>
      <c r="L1512" s="46">
        <v>3600</v>
      </c>
      <c r="M1512" t="s">
        <v>1472</v>
      </c>
      <c r="N1512" t="s">
        <v>11</v>
      </c>
      <c r="O1512" s="49">
        <v>0.03</v>
      </c>
      <c r="P1512" s="9">
        <f t="shared" si="142"/>
        <v>108</v>
      </c>
      <c r="Q1512" s="10">
        <f t="shared" si="145"/>
        <v>7.3003400000000003</v>
      </c>
      <c r="R1512" s="10">
        <f t="shared" si="146"/>
        <v>4.1000000000000003E-3</v>
      </c>
      <c r="S1512" s="11">
        <f t="shared" si="147"/>
        <v>14.76</v>
      </c>
      <c r="T1512" s="10" t="s">
        <v>349</v>
      </c>
      <c r="U1512" t="s">
        <v>18</v>
      </c>
      <c r="V1512" s="58">
        <v>7.1775000000000002</v>
      </c>
      <c r="W1512" s="38">
        <f t="shared" si="143"/>
        <v>15.047021943573666</v>
      </c>
    </row>
    <row r="1513" spans="1:23" s="15" customFormat="1">
      <c r="A1513" t="s">
        <v>3832</v>
      </c>
      <c r="B1513" s="20">
        <v>45762</v>
      </c>
      <c r="C1513" s="20">
        <v>45713</v>
      </c>
      <c r="D1513" t="s">
        <v>169</v>
      </c>
      <c r="E1513" t="s">
        <v>170</v>
      </c>
      <c r="F1513" s="19"/>
      <c r="G1513" t="s">
        <v>4341</v>
      </c>
      <c r="H1513" t="s">
        <v>3494</v>
      </c>
      <c r="I1513" t="s">
        <v>3495</v>
      </c>
      <c r="J1513" s="8" t="str">
        <f t="shared" si="144"/>
        <v>STKR</v>
      </c>
      <c r="K1513" t="s">
        <v>10</v>
      </c>
      <c r="L1513" s="46">
        <v>50</v>
      </c>
      <c r="M1513" t="s">
        <v>1472</v>
      </c>
      <c r="N1513" t="s">
        <v>11</v>
      </c>
      <c r="O1513" s="49">
        <v>0.03</v>
      </c>
      <c r="P1513" s="9">
        <f t="shared" si="142"/>
        <v>1.5</v>
      </c>
      <c r="Q1513" s="10">
        <f t="shared" si="145"/>
        <v>7.3003400000000003</v>
      </c>
      <c r="R1513" s="10">
        <f t="shared" si="146"/>
        <v>4.1000000000000003E-3</v>
      </c>
      <c r="S1513" s="11">
        <f t="shared" si="147"/>
        <v>0.21</v>
      </c>
      <c r="T1513" s="10" t="s">
        <v>349</v>
      </c>
      <c r="U1513" t="s">
        <v>18</v>
      </c>
      <c r="V1513" s="58">
        <v>7.1775000000000002</v>
      </c>
      <c r="W1513" s="38">
        <f t="shared" si="143"/>
        <v>0.2089864158829676</v>
      </c>
    </row>
    <row r="1514" spans="1:23" s="15" customFormat="1">
      <c r="A1514" t="s">
        <v>3833</v>
      </c>
      <c r="B1514" s="20">
        <v>45762</v>
      </c>
      <c r="C1514" s="20">
        <v>45744</v>
      </c>
      <c r="D1514" t="s">
        <v>169</v>
      </c>
      <c r="E1514" t="s">
        <v>170</v>
      </c>
      <c r="F1514" s="19"/>
      <c r="G1514" t="s">
        <v>4342</v>
      </c>
      <c r="H1514" t="s">
        <v>1136</v>
      </c>
      <c r="I1514" t="s">
        <v>1137</v>
      </c>
      <c r="J1514" s="8" t="str">
        <f t="shared" si="144"/>
        <v>STKR</v>
      </c>
      <c r="K1514" t="s">
        <v>10</v>
      </c>
      <c r="L1514" s="46">
        <v>900</v>
      </c>
      <c r="M1514" t="s">
        <v>1472</v>
      </c>
      <c r="N1514" t="s">
        <v>11</v>
      </c>
      <c r="O1514" s="49">
        <v>0.03</v>
      </c>
      <c r="P1514" s="9">
        <f t="shared" si="142"/>
        <v>27</v>
      </c>
      <c r="Q1514" s="10">
        <f t="shared" si="145"/>
        <v>7.3003400000000003</v>
      </c>
      <c r="R1514" s="10">
        <f t="shared" si="146"/>
        <v>4.1000000000000003E-3</v>
      </c>
      <c r="S1514" s="11">
        <f t="shared" si="147"/>
        <v>3.69</v>
      </c>
      <c r="T1514" s="10" t="s">
        <v>349</v>
      </c>
      <c r="U1514" t="s">
        <v>18</v>
      </c>
      <c r="V1514" s="58">
        <v>7.1775000000000002</v>
      </c>
      <c r="W1514" s="38">
        <f t="shared" si="143"/>
        <v>3.7617554858934166</v>
      </c>
    </row>
    <row r="1515" spans="1:23" s="15" customFormat="1">
      <c r="A1515" t="s">
        <v>3834</v>
      </c>
      <c r="B1515" s="20">
        <v>45764</v>
      </c>
      <c r="C1515" s="20">
        <v>45755</v>
      </c>
      <c r="D1515" t="s">
        <v>169</v>
      </c>
      <c r="E1515" t="s">
        <v>170</v>
      </c>
      <c r="F1515" s="19"/>
      <c r="G1515" t="s">
        <v>4343</v>
      </c>
      <c r="H1515" t="s">
        <v>619</v>
      </c>
      <c r="I1515" t="s">
        <v>620</v>
      </c>
      <c r="J1515" s="8" t="str">
        <f t="shared" si="144"/>
        <v>STKR</v>
      </c>
      <c r="K1515" t="s">
        <v>10</v>
      </c>
      <c r="L1515" s="46">
        <v>4030</v>
      </c>
      <c r="M1515" t="s">
        <v>1472</v>
      </c>
      <c r="N1515" t="s">
        <v>11</v>
      </c>
      <c r="O1515" s="49">
        <v>0.03</v>
      </c>
      <c r="P1515" s="9">
        <f t="shared" si="142"/>
        <v>120.9</v>
      </c>
      <c r="Q1515" s="10">
        <f t="shared" si="145"/>
        <v>7.3003400000000003</v>
      </c>
      <c r="R1515" s="10">
        <f t="shared" si="146"/>
        <v>4.1000000000000003E-3</v>
      </c>
      <c r="S1515" s="11">
        <f t="shared" si="147"/>
        <v>16.52</v>
      </c>
      <c r="T1515" s="10" t="s">
        <v>349</v>
      </c>
      <c r="U1515" t="s">
        <v>18</v>
      </c>
      <c r="V1515" s="58">
        <v>7.1775000000000002</v>
      </c>
      <c r="W1515" s="38">
        <f t="shared" si="143"/>
        <v>16.844305120167189</v>
      </c>
    </row>
    <row r="1516" spans="1:23" s="15" customFormat="1">
      <c r="A1516" t="s">
        <v>3835</v>
      </c>
      <c r="B1516" s="20">
        <v>45764</v>
      </c>
      <c r="C1516" s="20">
        <v>45755</v>
      </c>
      <c r="D1516" t="s">
        <v>169</v>
      </c>
      <c r="E1516" t="s">
        <v>170</v>
      </c>
      <c r="F1516" s="19"/>
      <c r="G1516" t="s">
        <v>4343</v>
      </c>
      <c r="H1516" t="s">
        <v>615</v>
      </c>
      <c r="I1516" t="s">
        <v>616</v>
      </c>
      <c r="J1516" s="8" t="str">
        <f t="shared" si="144"/>
        <v>STKR</v>
      </c>
      <c r="K1516" t="s">
        <v>10</v>
      </c>
      <c r="L1516" s="46">
        <v>4030</v>
      </c>
      <c r="M1516" t="s">
        <v>1472</v>
      </c>
      <c r="N1516" t="s">
        <v>11</v>
      </c>
      <c r="O1516" s="49">
        <v>0.03</v>
      </c>
      <c r="P1516" s="9">
        <f t="shared" si="142"/>
        <v>120.9</v>
      </c>
      <c r="Q1516" s="10">
        <f t="shared" si="145"/>
        <v>7.3003400000000003</v>
      </c>
      <c r="R1516" s="10">
        <f t="shared" si="146"/>
        <v>4.1000000000000003E-3</v>
      </c>
      <c r="S1516" s="11">
        <f t="shared" si="147"/>
        <v>16.52</v>
      </c>
      <c r="T1516" s="10" t="s">
        <v>349</v>
      </c>
      <c r="U1516" t="s">
        <v>18</v>
      </c>
      <c r="V1516" s="58">
        <v>7.1775000000000002</v>
      </c>
      <c r="W1516" s="38">
        <f t="shared" si="143"/>
        <v>16.844305120167189</v>
      </c>
    </row>
    <row r="1517" spans="1:23" s="15" customFormat="1">
      <c r="A1517" t="s">
        <v>3836</v>
      </c>
      <c r="B1517" s="20">
        <v>45769</v>
      </c>
      <c r="C1517" s="20">
        <v>45755</v>
      </c>
      <c r="D1517" t="s">
        <v>169</v>
      </c>
      <c r="E1517" t="s">
        <v>170</v>
      </c>
      <c r="F1517" s="19"/>
      <c r="G1517" t="s">
        <v>4344</v>
      </c>
      <c r="H1517" t="s">
        <v>1561</v>
      </c>
      <c r="I1517" t="s">
        <v>1562</v>
      </c>
      <c r="J1517" s="8" t="str">
        <f t="shared" si="144"/>
        <v>STKR</v>
      </c>
      <c r="K1517" t="s">
        <v>10</v>
      </c>
      <c r="L1517" s="46">
        <v>5000</v>
      </c>
      <c r="M1517" t="s">
        <v>1472</v>
      </c>
      <c r="N1517" t="s">
        <v>11</v>
      </c>
      <c r="O1517" s="49">
        <v>3.2000000000000001E-2</v>
      </c>
      <c r="P1517" s="9">
        <f t="shared" si="142"/>
        <v>160</v>
      </c>
      <c r="Q1517" s="10">
        <f t="shared" si="145"/>
        <v>7.3003400000000003</v>
      </c>
      <c r="R1517" s="10">
        <f t="shared" si="146"/>
        <v>4.4000000000000003E-3</v>
      </c>
      <c r="S1517" s="11">
        <f t="shared" si="147"/>
        <v>22</v>
      </c>
      <c r="T1517" s="10" t="s">
        <v>349</v>
      </c>
      <c r="U1517" t="s">
        <v>18</v>
      </c>
      <c r="V1517" s="58">
        <v>7.1775000000000002</v>
      </c>
      <c r="W1517" s="38">
        <f t="shared" si="143"/>
        <v>22.291884360849881</v>
      </c>
    </row>
    <row r="1518" spans="1:23" s="15" customFormat="1">
      <c r="A1518" t="s">
        <v>3837</v>
      </c>
      <c r="B1518" s="20">
        <v>45754</v>
      </c>
      <c r="C1518" s="20">
        <v>45728</v>
      </c>
      <c r="D1518" t="s">
        <v>169</v>
      </c>
      <c r="E1518" t="s">
        <v>170</v>
      </c>
      <c r="F1518" s="19"/>
      <c r="G1518" t="s">
        <v>3016</v>
      </c>
      <c r="H1518" t="s">
        <v>1129</v>
      </c>
      <c r="I1518" t="s">
        <v>1130</v>
      </c>
      <c r="J1518" s="8" t="str">
        <f t="shared" si="144"/>
        <v>STKR</v>
      </c>
      <c r="K1518" t="s">
        <v>10</v>
      </c>
      <c r="L1518" s="46">
        <v>3000</v>
      </c>
      <c r="M1518" t="s">
        <v>1472</v>
      </c>
      <c r="N1518" t="s">
        <v>11</v>
      </c>
      <c r="O1518" s="49">
        <v>3.4200000000000001E-2</v>
      </c>
      <c r="P1518" s="9">
        <f t="shared" si="142"/>
        <v>102.6</v>
      </c>
      <c r="Q1518" s="10">
        <f t="shared" si="145"/>
        <v>7.3003400000000003</v>
      </c>
      <c r="R1518" s="10">
        <f t="shared" si="146"/>
        <v>4.7000000000000002E-3</v>
      </c>
      <c r="S1518" s="11">
        <f t="shared" si="147"/>
        <v>14.1</v>
      </c>
      <c r="T1518" s="10" t="s">
        <v>349</v>
      </c>
      <c r="U1518" t="s">
        <v>18</v>
      </c>
      <c r="V1518" s="58">
        <v>7.1775000000000002</v>
      </c>
      <c r="W1518" s="38">
        <f t="shared" si="143"/>
        <v>14.294670846394984</v>
      </c>
    </row>
    <row r="1519" spans="1:23" s="15" customFormat="1">
      <c r="A1519" t="s">
        <v>3838</v>
      </c>
      <c r="B1519" s="20">
        <v>45771</v>
      </c>
      <c r="C1519" s="20">
        <v>45769</v>
      </c>
      <c r="D1519" t="s">
        <v>545</v>
      </c>
      <c r="E1519" t="s">
        <v>546</v>
      </c>
      <c r="F1519" s="19"/>
      <c r="G1519" t="s">
        <v>4345</v>
      </c>
      <c r="H1519" t="s">
        <v>557</v>
      </c>
      <c r="I1519" t="s">
        <v>558</v>
      </c>
      <c r="J1519" s="8" t="str">
        <f t="shared" si="144"/>
        <v>WHR-</v>
      </c>
      <c r="K1519" t="s">
        <v>10</v>
      </c>
      <c r="L1519" s="46">
        <v>14400</v>
      </c>
      <c r="M1519" t="s">
        <v>1472</v>
      </c>
      <c r="N1519" t="s">
        <v>11</v>
      </c>
      <c r="O1519" s="49">
        <v>3.9800000000000002E-2</v>
      </c>
      <c r="P1519" s="9">
        <f t="shared" si="142"/>
        <v>573.12</v>
      </c>
      <c r="Q1519" s="10">
        <f t="shared" si="145"/>
        <v>7.3003400000000003</v>
      </c>
      <c r="R1519" s="10">
        <f t="shared" si="146"/>
        <v>5.4999999999999997E-3</v>
      </c>
      <c r="S1519" s="11">
        <f t="shared" si="147"/>
        <v>79.2</v>
      </c>
      <c r="T1519" s="10" t="s">
        <v>349</v>
      </c>
      <c r="U1519" t="s">
        <v>248</v>
      </c>
      <c r="V1519" s="58">
        <v>7.1775000000000002</v>
      </c>
      <c r="W1519" s="38">
        <f t="shared" si="143"/>
        <v>79.849529780564268</v>
      </c>
    </row>
    <row r="1520" spans="1:23" s="15" customFormat="1">
      <c r="A1520" t="s">
        <v>3839</v>
      </c>
      <c r="B1520" s="20">
        <v>45761</v>
      </c>
      <c r="C1520" s="20">
        <v>45744</v>
      </c>
      <c r="D1520" t="s">
        <v>235</v>
      </c>
      <c r="E1520" t="s">
        <v>236</v>
      </c>
      <c r="F1520" s="19"/>
      <c r="G1520" t="s">
        <v>4346</v>
      </c>
      <c r="H1520" t="s">
        <v>233</v>
      </c>
      <c r="I1520" t="s">
        <v>234</v>
      </c>
      <c r="J1520" s="8" t="str">
        <f t="shared" si="144"/>
        <v>RIV-</v>
      </c>
      <c r="K1520" t="s">
        <v>10</v>
      </c>
      <c r="L1520" s="46">
        <v>33500</v>
      </c>
      <c r="M1520" t="s">
        <v>1472</v>
      </c>
      <c r="N1520" t="s">
        <v>11</v>
      </c>
      <c r="O1520" s="49">
        <v>4.0800000000000003E-2</v>
      </c>
      <c r="P1520" s="9">
        <f t="shared" si="142"/>
        <v>1366.8</v>
      </c>
      <c r="Q1520" s="10">
        <f t="shared" si="145"/>
        <v>7.3003400000000003</v>
      </c>
      <c r="R1520" s="10">
        <f t="shared" si="146"/>
        <v>5.5999999999999999E-3</v>
      </c>
      <c r="S1520" s="11">
        <f t="shared" si="147"/>
        <v>187.6</v>
      </c>
      <c r="T1520" s="10" t="s">
        <v>349</v>
      </c>
      <c r="U1520" t="s">
        <v>132</v>
      </c>
      <c r="V1520" s="58">
        <v>7.1775000000000002</v>
      </c>
      <c r="W1520" s="38">
        <f t="shared" si="143"/>
        <v>190.42842215256007</v>
      </c>
    </row>
    <row r="1521" spans="1:23" s="15" customFormat="1">
      <c r="A1521" t="s">
        <v>3840</v>
      </c>
      <c r="B1521" s="20">
        <v>45771</v>
      </c>
      <c r="C1521" s="20">
        <v>45763</v>
      </c>
      <c r="D1521" t="s">
        <v>545</v>
      </c>
      <c r="E1521" t="s">
        <v>546</v>
      </c>
      <c r="F1521" s="19"/>
      <c r="G1521" t="s">
        <v>4345</v>
      </c>
      <c r="H1521" t="s">
        <v>563</v>
      </c>
      <c r="I1521" t="s">
        <v>564</v>
      </c>
      <c r="J1521" s="8" t="str">
        <f t="shared" si="144"/>
        <v>WHR-</v>
      </c>
      <c r="K1521" t="s">
        <v>10</v>
      </c>
      <c r="L1521" s="46">
        <v>2100</v>
      </c>
      <c r="M1521" t="s">
        <v>1472</v>
      </c>
      <c r="N1521" t="s">
        <v>11</v>
      </c>
      <c r="O1521" s="49">
        <v>4.1000000000000002E-2</v>
      </c>
      <c r="P1521" s="9">
        <f t="shared" si="142"/>
        <v>86.1</v>
      </c>
      <c r="Q1521" s="10">
        <f t="shared" si="145"/>
        <v>7.3003400000000003</v>
      </c>
      <c r="R1521" s="10">
        <f t="shared" si="146"/>
        <v>5.5999999999999999E-3</v>
      </c>
      <c r="S1521" s="11">
        <f t="shared" si="147"/>
        <v>11.76</v>
      </c>
      <c r="T1521" s="10" t="s">
        <v>349</v>
      </c>
      <c r="U1521" t="s">
        <v>248</v>
      </c>
      <c r="V1521" s="58">
        <v>7.1775000000000002</v>
      </c>
      <c r="W1521" s="38">
        <f t="shared" si="143"/>
        <v>11.995820271682341</v>
      </c>
    </row>
    <row r="1522" spans="1:23" s="15" customFormat="1">
      <c r="A1522" t="s">
        <v>3841</v>
      </c>
      <c r="B1522" s="20">
        <v>45771</v>
      </c>
      <c r="C1522" s="20">
        <v>45765</v>
      </c>
      <c r="D1522" t="s">
        <v>545</v>
      </c>
      <c r="E1522" t="s">
        <v>546</v>
      </c>
      <c r="F1522" s="19"/>
      <c r="G1522" t="s">
        <v>4345</v>
      </c>
      <c r="H1522" t="s">
        <v>563</v>
      </c>
      <c r="I1522" t="s">
        <v>564</v>
      </c>
      <c r="J1522" s="8" t="str">
        <f t="shared" si="144"/>
        <v>WHR-</v>
      </c>
      <c r="K1522" t="s">
        <v>10</v>
      </c>
      <c r="L1522" s="46">
        <v>2300</v>
      </c>
      <c r="M1522" t="s">
        <v>1472</v>
      </c>
      <c r="N1522" t="s">
        <v>11</v>
      </c>
      <c r="O1522" s="49">
        <v>4.1000000000000002E-2</v>
      </c>
      <c r="P1522" s="9">
        <f t="shared" si="142"/>
        <v>94.3</v>
      </c>
      <c r="Q1522" s="10">
        <f t="shared" si="145"/>
        <v>7.3003400000000003</v>
      </c>
      <c r="R1522" s="10">
        <f t="shared" si="146"/>
        <v>5.5999999999999999E-3</v>
      </c>
      <c r="S1522" s="11">
        <f t="shared" si="147"/>
        <v>12.88</v>
      </c>
      <c r="T1522" s="10" t="s">
        <v>349</v>
      </c>
      <c r="U1522" t="s">
        <v>248</v>
      </c>
      <c r="V1522" s="58">
        <v>7.1775000000000002</v>
      </c>
      <c r="W1522" s="38">
        <f t="shared" si="143"/>
        <v>13.138279345175896</v>
      </c>
    </row>
    <row r="1523" spans="1:23" s="15" customFormat="1">
      <c r="A1523" t="s">
        <v>3842</v>
      </c>
      <c r="B1523" s="20">
        <v>45771</v>
      </c>
      <c r="C1523" s="20">
        <v>45768</v>
      </c>
      <c r="D1523" t="s">
        <v>545</v>
      </c>
      <c r="E1523" t="s">
        <v>546</v>
      </c>
      <c r="F1523" s="19"/>
      <c r="G1523" t="s">
        <v>4345</v>
      </c>
      <c r="H1523" t="s">
        <v>563</v>
      </c>
      <c r="I1523" t="s">
        <v>564</v>
      </c>
      <c r="J1523" s="8" t="str">
        <f t="shared" si="144"/>
        <v>WHR-</v>
      </c>
      <c r="K1523" t="s">
        <v>10</v>
      </c>
      <c r="L1523" s="46">
        <v>2000</v>
      </c>
      <c r="M1523" t="s">
        <v>1472</v>
      </c>
      <c r="N1523" t="s">
        <v>11</v>
      </c>
      <c r="O1523" s="49">
        <v>4.1000000000000002E-2</v>
      </c>
      <c r="P1523" s="9">
        <f t="shared" si="142"/>
        <v>82</v>
      </c>
      <c r="Q1523" s="10">
        <f t="shared" si="145"/>
        <v>7.3003400000000003</v>
      </c>
      <c r="R1523" s="10">
        <f t="shared" si="146"/>
        <v>5.5999999999999999E-3</v>
      </c>
      <c r="S1523" s="11">
        <f t="shared" si="147"/>
        <v>11.2</v>
      </c>
      <c r="T1523" s="10" t="s">
        <v>349</v>
      </c>
      <c r="U1523" t="s">
        <v>248</v>
      </c>
      <c r="V1523" s="58">
        <v>7.1775000000000002</v>
      </c>
      <c r="W1523" s="38">
        <f t="shared" si="143"/>
        <v>11.424590734935562</v>
      </c>
    </row>
    <row r="1524" spans="1:23" s="15" customFormat="1">
      <c r="A1524" t="s">
        <v>3843</v>
      </c>
      <c r="B1524" s="20">
        <v>45761</v>
      </c>
      <c r="C1524" s="20">
        <v>45750</v>
      </c>
      <c r="D1524" t="s">
        <v>235</v>
      </c>
      <c r="E1524" t="s">
        <v>236</v>
      </c>
      <c r="F1524" s="19"/>
      <c r="G1524" t="s">
        <v>4346</v>
      </c>
      <c r="H1524" t="s">
        <v>233</v>
      </c>
      <c r="I1524" t="s">
        <v>234</v>
      </c>
      <c r="J1524" s="8" t="str">
        <f t="shared" si="144"/>
        <v>RIV-</v>
      </c>
      <c r="K1524" t="s">
        <v>10</v>
      </c>
      <c r="L1524" s="46">
        <v>15000</v>
      </c>
      <c r="M1524" t="s">
        <v>1472</v>
      </c>
      <c r="N1524" t="s">
        <v>11</v>
      </c>
      <c r="O1524" s="49">
        <v>4.1599999999999998E-2</v>
      </c>
      <c r="P1524" s="9">
        <f t="shared" si="142"/>
        <v>624</v>
      </c>
      <c r="Q1524" s="10">
        <f t="shared" si="145"/>
        <v>7.3003400000000003</v>
      </c>
      <c r="R1524" s="10">
        <f t="shared" si="146"/>
        <v>5.7000000000000002E-3</v>
      </c>
      <c r="S1524" s="11">
        <f t="shared" si="147"/>
        <v>85.5</v>
      </c>
      <c r="T1524" s="10" t="s">
        <v>349</v>
      </c>
      <c r="U1524" t="s">
        <v>132</v>
      </c>
      <c r="V1524" s="58">
        <v>7.1775000000000002</v>
      </c>
      <c r="W1524" s="38">
        <f t="shared" si="143"/>
        <v>86.938349007314514</v>
      </c>
    </row>
    <row r="1525" spans="1:23" s="15" customFormat="1">
      <c r="A1525" t="s">
        <v>3844</v>
      </c>
      <c r="B1525" s="20">
        <v>45762</v>
      </c>
      <c r="C1525" s="20">
        <v>45744</v>
      </c>
      <c r="D1525" t="s">
        <v>169</v>
      </c>
      <c r="E1525" t="s">
        <v>170</v>
      </c>
      <c r="F1525" s="19"/>
      <c r="G1525" t="s">
        <v>4347</v>
      </c>
      <c r="H1525" t="s">
        <v>3496</v>
      </c>
      <c r="I1525" t="s">
        <v>3497</v>
      </c>
      <c r="J1525" s="8" t="str">
        <f t="shared" si="144"/>
        <v>STKR</v>
      </c>
      <c r="K1525" t="s">
        <v>10</v>
      </c>
      <c r="L1525" s="46">
        <v>1010</v>
      </c>
      <c r="M1525" t="s">
        <v>1472</v>
      </c>
      <c r="N1525" t="s">
        <v>11</v>
      </c>
      <c r="O1525" s="49">
        <v>4.2000000000000003E-2</v>
      </c>
      <c r="P1525" s="9">
        <f t="shared" si="142"/>
        <v>42.42</v>
      </c>
      <c r="Q1525" s="10">
        <f t="shared" si="145"/>
        <v>7.3003400000000003</v>
      </c>
      <c r="R1525" s="10">
        <f t="shared" si="146"/>
        <v>5.7999999999999996E-3</v>
      </c>
      <c r="S1525" s="11">
        <f t="shared" si="147"/>
        <v>5.86</v>
      </c>
      <c r="T1525" s="10" t="s">
        <v>349</v>
      </c>
      <c r="U1525" t="s">
        <v>18</v>
      </c>
      <c r="V1525" s="58">
        <v>7.1775000000000002</v>
      </c>
      <c r="W1525" s="38">
        <f t="shared" si="143"/>
        <v>5.910135841170324</v>
      </c>
    </row>
    <row r="1526" spans="1:23" s="15" customFormat="1">
      <c r="A1526" t="s">
        <v>3845</v>
      </c>
      <c r="B1526" s="20">
        <v>45769</v>
      </c>
      <c r="C1526" s="20">
        <v>45757</v>
      </c>
      <c r="D1526" t="s">
        <v>169</v>
      </c>
      <c r="E1526" t="s">
        <v>170</v>
      </c>
      <c r="F1526" s="19"/>
      <c r="G1526" t="s">
        <v>4344</v>
      </c>
      <c r="H1526" t="s">
        <v>619</v>
      </c>
      <c r="I1526" t="s">
        <v>620</v>
      </c>
      <c r="J1526" s="8" t="str">
        <f t="shared" si="144"/>
        <v>STKR</v>
      </c>
      <c r="K1526" t="s">
        <v>10</v>
      </c>
      <c r="L1526" s="46">
        <v>200</v>
      </c>
      <c r="M1526" t="s">
        <v>1472</v>
      </c>
      <c r="N1526" t="s">
        <v>11</v>
      </c>
      <c r="O1526" s="49">
        <v>4.2000000000000003E-2</v>
      </c>
      <c r="P1526" s="9">
        <f t="shared" si="142"/>
        <v>8.4</v>
      </c>
      <c r="Q1526" s="10">
        <f t="shared" si="145"/>
        <v>7.3003400000000003</v>
      </c>
      <c r="R1526" s="10">
        <f t="shared" si="146"/>
        <v>5.7999999999999996E-3</v>
      </c>
      <c r="S1526" s="11">
        <f t="shared" si="147"/>
        <v>1.1599999999999999</v>
      </c>
      <c r="T1526" s="10" t="s">
        <v>349</v>
      </c>
      <c r="U1526" t="s">
        <v>18</v>
      </c>
      <c r="V1526" s="58">
        <v>7.1775000000000002</v>
      </c>
      <c r="W1526" s="38">
        <f t="shared" si="143"/>
        <v>1.1703239289446186</v>
      </c>
    </row>
    <row r="1527" spans="1:23" s="15" customFormat="1">
      <c r="A1527" t="s">
        <v>3846</v>
      </c>
      <c r="B1527" s="20">
        <v>45769</v>
      </c>
      <c r="C1527" s="20">
        <v>45757</v>
      </c>
      <c r="D1527" t="s">
        <v>169</v>
      </c>
      <c r="E1527" t="s">
        <v>170</v>
      </c>
      <c r="F1527" s="19"/>
      <c r="G1527" t="s">
        <v>4344</v>
      </c>
      <c r="H1527" t="s">
        <v>615</v>
      </c>
      <c r="I1527" t="s">
        <v>616</v>
      </c>
      <c r="J1527" s="8" t="str">
        <f t="shared" si="144"/>
        <v>STKR</v>
      </c>
      <c r="K1527" t="s">
        <v>10</v>
      </c>
      <c r="L1527" s="46">
        <v>200</v>
      </c>
      <c r="M1527" t="s">
        <v>1472</v>
      </c>
      <c r="N1527" t="s">
        <v>11</v>
      </c>
      <c r="O1527" s="49">
        <v>4.2000000000000003E-2</v>
      </c>
      <c r="P1527" s="9">
        <f t="shared" si="142"/>
        <v>8.4</v>
      </c>
      <c r="Q1527" s="10">
        <f t="shared" si="145"/>
        <v>7.3003400000000003</v>
      </c>
      <c r="R1527" s="10">
        <f t="shared" si="146"/>
        <v>5.7999999999999996E-3</v>
      </c>
      <c r="S1527" s="11">
        <f t="shared" si="147"/>
        <v>1.1599999999999999</v>
      </c>
      <c r="T1527" s="10" t="s">
        <v>349</v>
      </c>
      <c r="U1527" t="s">
        <v>18</v>
      </c>
      <c r="V1527" s="58">
        <v>7.1775000000000002</v>
      </c>
      <c r="W1527" s="38">
        <f t="shared" si="143"/>
        <v>1.1703239289446186</v>
      </c>
    </row>
    <row r="1528" spans="1:23" s="15" customFormat="1">
      <c r="A1528" t="s">
        <v>3847</v>
      </c>
      <c r="B1528" s="20">
        <v>45771</v>
      </c>
      <c r="C1528" s="20">
        <v>45763</v>
      </c>
      <c r="D1528" t="s">
        <v>545</v>
      </c>
      <c r="E1528" t="s">
        <v>546</v>
      </c>
      <c r="F1528" s="19"/>
      <c r="G1528" t="s">
        <v>4345</v>
      </c>
      <c r="H1528" t="s">
        <v>543</v>
      </c>
      <c r="I1528" t="s">
        <v>544</v>
      </c>
      <c r="J1528" s="8" t="str">
        <f t="shared" si="144"/>
        <v>WHR-</v>
      </c>
      <c r="K1528" t="s">
        <v>10</v>
      </c>
      <c r="L1528" s="46">
        <v>10000</v>
      </c>
      <c r="M1528" t="s">
        <v>1472</v>
      </c>
      <c r="N1528" t="s">
        <v>11</v>
      </c>
      <c r="O1528" s="49">
        <v>4.2999999999999997E-2</v>
      </c>
      <c r="P1528" s="9">
        <f t="shared" si="142"/>
        <v>430</v>
      </c>
      <c r="Q1528" s="10">
        <f t="shared" si="145"/>
        <v>7.3003400000000003</v>
      </c>
      <c r="R1528" s="10">
        <f t="shared" si="146"/>
        <v>5.8999999999999999E-3</v>
      </c>
      <c r="S1528" s="11">
        <f t="shared" si="147"/>
        <v>59</v>
      </c>
      <c r="T1528" s="10" t="s">
        <v>349</v>
      </c>
      <c r="U1528" t="s">
        <v>248</v>
      </c>
      <c r="V1528" s="58">
        <v>7.1775000000000002</v>
      </c>
      <c r="W1528" s="38">
        <f t="shared" si="143"/>
        <v>59.909439219784034</v>
      </c>
    </row>
    <row r="1529" spans="1:23" s="15" customFormat="1">
      <c r="A1529" t="s">
        <v>3848</v>
      </c>
      <c r="B1529" s="20">
        <v>45771</v>
      </c>
      <c r="C1529" s="20">
        <v>45765</v>
      </c>
      <c r="D1529" t="s">
        <v>545</v>
      </c>
      <c r="E1529" t="s">
        <v>546</v>
      </c>
      <c r="F1529" s="19"/>
      <c r="G1529" t="s">
        <v>4345</v>
      </c>
      <c r="H1529" t="s">
        <v>543</v>
      </c>
      <c r="I1529" t="s">
        <v>544</v>
      </c>
      <c r="J1529" s="8" t="str">
        <f t="shared" si="144"/>
        <v>WHR-</v>
      </c>
      <c r="K1529" t="s">
        <v>10</v>
      </c>
      <c r="L1529" s="46">
        <v>6500</v>
      </c>
      <c r="M1529" t="s">
        <v>1472</v>
      </c>
      <c r="N1529" t="s">
        <v>11</v>
      </c>
      <c r="O1529" s="49">
        <v>4.2999999999999997E-2</v>
      </c>
      <c r="P1529" s="9">
        <f t="shared" si="142"/>
        <v>279.5</v>
      </c>
      <c r="Q1529" s="10">
        <f t="shared" si="145"/>
        <v>7.3003400000000003</v>
      </c>
      <c r="R1529" s="10">
        <f t="shared" si="146"/>
        <v>5.8999999999999999E-3</v>
      </c>
      <c r="S1529" s="11">
        <f t="shared" si="147"/>
        <v>38.35</v>
      </c>
      <c r="T1529" s="10" t="s">
        <v>349</v>
      </c>
      <c r="U1529" t="s">
        <v>248</v>
      </c>
      <c r="V1529" s="58">
        <v>7.1775000000000002</v>
      </c>
      <c r="W1529" s="38">
        <f t="shared" si="143"/>
        <v>38.941135492859623</v>
      </c>
    </row>
    <row r="1530" spans="1:23" s="15" customFormat="1">
      <c r="A1530" t="s">
        <v>3849</v>
      </c>
      <c r="B1530" s="20">
        <v>45763</v>
      </c>
      <c r="C1530" s="20">
        <v>45755</v>
      </c>
      <c r="D1530" t="s">
        <v>101</v>
      </c>
      <c r="E1530" t="s">
        <v>102</v>
      </c>
      <c r="F1530" s="19"/>
      <c r="G1530" t="s">
        <v>4348</v>
      </c>
      <c r="H1530" t="s">
        <v>111</v>
      </c>
      <c r="I1530" t="s">
        <v>112</v>
      </c>
      <c r="J1530" s="8" t="str">
        <f t="shared" si="144"/>
        <v>STKR</v>
      </c>
      <c r="K1530" t="s">
        <v>10</v>
      </c>
      <c r="L1530" s="46">
        <v>3020</v>
      </c>
      <c r="M1530" t="s">
        <v>1472</v>
      </c>
      <c r="N1530" t="s">
        <v>11</v>
      </c>
      <c r="O1530" s="49">
        <v>0.05</v>
      </c>
      <c r="P1530" s="9">
        <f t="shared" si="142"/>
        <v>151</v>
      </c>
      <c r="Q1530" s="10">
        <f t="shared" si="145"/>
        <v>7.3003400000000003</v>
      </c>
      <c r="R1530" s="10">
        <f t="shared" si="146"/>
        <v>6.7999999999999996E-3</v>
      </c>
      <c r="S1530" s="11">
        <f t="shared" si="147"/>
        <v>20.54</v>
      </c>
      <c r="T1530" s="10" t="s">
        <v>349</v>
      </c>
      <c r="U1530" t="s">
        <v>18</v>
      </c>
      <c r="V1530" s="58">
        <v>7.1775000000000002</v>
      </c>
      <c r="W1530" s="38">
        <f t="shared" si="143"/>
        <v>21.037965865552074</v>
      </c>
    </row>
    <row r="1531" spans="1:23" s="15" customFormat="1">
      <c r="A1531" t="s">
        <v>3850</v>
      </c>
      <c r="B1531" s="20">
        <v>45763</v>
      </c>
      <c r="C1531" s="20">
        <v>45755</v>
      </c>
      <c r="D1531" t="s">
        <v>101</v>
      </c>
      <c r="E1531" t="s">
        <v>102</v>
      </c>
      <c r="F1531" s="19"/>
      <c r="G1531" t="s">
        <v>4348</v>
      </c>
      <c r="H1531" t="s">
        <v>108</v>
      </c>
      <c r="I1531" t="s">
        <v>109</v>
      </c>
      <c r="J1531" s="8" t="str">
        <f t="shared" si="144"/>
        <v>STKR</v>
      </c>
      <c r="K1531" t="s">
        <v>10</v>
      </c>
      <c r="L1531" s="46">
        <v>3020</v>
      </c>
      <c r="M1531" t="s">
        <v>1472</v>
      </c>
      <c r="N1531" t="s">
        <v>11</v>
      </c>
      <c r="O1531" s="49">
        <v>0.05</v>
      </c>
      <c r="P1531" s="9">
        <f t="shared" si="142"/>
        <v>151</v>
      </c>
      <c r="Q1531" s="10">
        <f t="shared" si="145"/>
        <v>7.3003400000000003</v>
      </c>
      <c r="R1531" s="10">
        <f t="shared" si="146"/>
        <v>6.7999999999999996E-3</v>
      </c>
      <c r="S1531" s="11">
        <f t="shared" si="147"/>
        <v>20.54</v>
      </c>
      <c r="T1531" s="10" t="s">
        <v>349</v>
      </c>
      <c r="U1531" t="s">
        <v>18</v>
      </c>
      <c r="V1531" s="58">
        <v>7.1775000000000002</v>
      </c>
      <c r="W1531" s="38">
        <f t="shared" si="143"/>
        <v>21.037965865552074</v>
      </c>
    </row>
    <row r="1532" spans="1:23" s="15" customFormat="1">
      <c r="A1532" t="s">
        <v>3851</v>
      </c>
      <c r="B1532" s="20">
        <v>45763</v>
      </c>
      <c r="C1532" s="20">
        <v>45758</v>
      </c>
      <c r="D1532" t="s">
        <v>101</v>
      </c>
      <c r="E1532" t="s">
        <v>102</v>
      </c>
      <c r="F1532" s="19"/>
      <c r="G1532" t="s">
        <v>4348</v>
      </c>
      <c r="H1532" t="s">
        <v>3498</v>
      </c>
      <c r="I1532" t="s">
        <v>3499</v>
      </c>
      <c r="J1532" s="8" t="str">
        <f t="shared" si="144"/>
        <v>STKR</v>
      </c>
      <c r="K1532" t="s">
        <v>10</v>
      </c>
      <c r="L1532" s="46">
        <v>510</v>
      </c>
      <c r="M1532" t="s">
        <v>1472</v>
      </c>
      <c r="N1532" t="s">
        <v>11</v>
      </c>
      <c r="O1532" s="49">
        <v>0.05</v>
      </c>
      <c r="P1532" s="9">
        <f t="shared" si="142"/>
        <v>25.5</v>
      </c>
      <c r="Q1532" s="10">
        <f t="shared" si="145"/>
        <v>7.3003400000000003</v>
      </c>
      <c r="R1532" s="10">
        <f t="shared" si="146"/>
        <v>6.7999999999999996E-3</v>
      </c>
      <c r="S1532" s="11">
        <f t="shared" si="147"/>
        <v>3.47</v>
      </c>
      <c r="T1532" s="10" t="s">
        <v>349</v>
      </c>
      <c r="U1532" t="s">
        <v>18</v>
      </c>
      <c r="V1532" s="58">
        <v>7.1775000000000002</v>
      </c>
      <c r="W1532" s="38">
        <f t="shared" si="143"/>
        <v>3.5527690700104495</v>
      </c>
    </row>
    <row r="1533" spans="1:23" s="15" customFormat="1">
      <c r="A1533" t="s">
        <v>3852</v>
      </c>
      <c r="B1533" s="20">
        <v>45763</v>
      </c>
      <c r="C1533" s="20">
        <v>45758</v>
      </c>
      <c r="D1533" t="s">
        <v>101</v>
      </c>
      <c r="E1533" t="s">
        <v>102</v>
      </c>
      <c r="F1533" s="19"/>
      <c r="G1533" t="s">
        <v>4348</v>
      </c>
      <c r="H1533" t="s">
        <v>3500</v>
      </c>
      <c r="I1533" t="s">
        <v>3501</v>
      </c>
      <c r="J1533" s="8" t="str">
        <f t="shared" si="144"/>
        <v>STKR</v>
      </c>
      <c r="K1533" t="s">
        <v>10</v>
      </c>
      <c r="L1533" s="46">
        <v>2020</v>
      </c>
      <c r="M1533" t="s">
        <v>1472</v>
      </c>
      <c r="N1533" t="s">
        <v>11</v>
      </c>
      <c r="O1533" s="49">
        <v>0.05</v>
      </c>
      <c r="P1533" s="9">
        <f t="shared" si="142"/>
        <v>101</v>
      </c>
      <c r="Q1533" s="10">
        <f t="shared" si="145"/>
        <v>7.3003400000000003</v>
      </c>
      <c r="R1533" s="10">
        <f t="shared" si="146"/>
        <v>6.7999999999999996E-3</v>
      </c>
      <c r="S1533" s="11">
        <f t="shared" si="147"/>
        <v>13.74</v>
      </c>
      <c r="T1533" s="10" t="s">
        <v>349</v>
      </c>
      <c r="U1533" t="s">
        <v>18</v>
      </c>
      <c r="V1533" s="58">
        <v>7.1775000000000002</v>
      </c>
      <c r="W1533" s="38">
        <f t="shared" si="143"/>
        <v>14.071752002786486</v>
      </c>
    </row>
    <row r="1534" spans="1:23" s="15" customFormat="1">
      <c r="A1534" t="s">
        <v>3853</v>
      </c>
      <c r="B1534" s="20">
        <v>45763</v>
      </c>
      <c r="C1534" s="20">
        <v>45762</v>
      </c>
      <c r="D1534" t="s">
        <v>101</v>
      </c>
      <c r="E1534" t="s">
        <v>102</v>
      </c>
      <c r="F1534" s="19"/>
      <c r="G1534" t="s">
        <v>4349</v>
      </c>
      <c r="H1534" t="s">
        <v>3502</v>
      </c>
      <c r="I1534" t="s">
        <v>3503</v>
      </c>
      <c r="J1534" s="8" t="str">
        <f t="shared" si="144"/>
        <v>STKR</v>
      </c>
      <c r="K1534" t="s">
        <v>10</v>
      </c>
      <c r="L1534" s="46">
        <v>1110</v>
      </c>
      <c r="M1534" t="s">
        <v>1472</v>
      </c>
      <c r="N1534" t="s">
        <v>11</v>
      </c>
      <c r="O1534" s="49">
        <v>0.05</v>
      </c>
      <c r="P1534" s="9">
        <f t="shared" si="142"/>
        <v>55.5</v>
      </c>
      <c r="Q1534" s="10">
        <f t="shared" si="145"/>
        <v>7.3003400000000003</v>
      </c>
      <c r="R1534" s="10">
        <f t="shared" si="146"/>
        <v>6.7999999999999996E-3</v>
      </c>
      <c r="S1534" s="11">
        <f t="shared" si="147"/>
        <v>7.55</v>
      </c>
      <c r="T1534" s="10" t="s">
        <v>349</v>
      </c>
      <c r="U1534" t="s">
        <v>18</v>
      </c>
      <c r="V1534" s="58">
        <v>7.1775000000000002</v>
      </c>
      <c r="W1534" s="38">
        <f t="shared" si="143"/>
        <v>7.7324973876698015</v>
      </c>
    </row>
    <row r="1535" spans="1:23" s="15" customFormat="1">
      <c r="A1535" t="s">
        <v>3854</v>
      </c>
      <c r="B1535" s="20">
        <v>45763</v>
      </c>
      <c r="C1535" s="20">
        <v>45762</v>
      </c>
      <c r="D1535" t="s">
        <v>101</v>
      </c>
      <c r="E1535" t="s">
        <v>102</v>
      </c>
      <c r="F1535" s="19"/>
      <c r="G1535" t="s">
        <v>4349</v>
      </c>
      <c r="H1535" t="s">
        <v>3504</v>
      </c>
      <c r="I1535" t="s">
        <v>3505</v>
      </c>
      <c r="J1535" s="8" t="str">
        <f t="shared" si="144"/>
        <v>STKR</v>
      </c>
      <c r="K1535" t="s">
        <v>10</v>
      </c>
      <c r="L1535" s="46">
        <v>1410</v>
      </c>
      <c r="M1535" t="s">
        <v>1472</v>
      </c>
      <c r="N1535" t="s">
        <v>11</v>
      </c>
      <c r="O1535" s="49">
        <v>0.05</v>
      </c>
      <c r="P1535" s="9">
        <f t="shared" si="142"/>
        <v>70.5</v>
      </c>
      <c r="Q1535" s="10">
        <f t="shared" si="145"/>
        <v>7.3003400000000003</v>
      </c>
      <c r="R1535" s="10">
        <f t="shared" si="146"/>
        <v>6.7999999999999996E-3</v>
      </c>
      <c r="S1535" s="11">
        <f t="shared" si="147"/>
        <v>9.59</v>
      </c>
      <c r="T1535" s="10" t="s">
        <v>349</v>
      </c>
      <c r="U1535" t="s">
        <v>18</v>
      </c>
      <c r="V1535" s="58">
        <v>7.1775000000000002</v>
      </c>
      <c r="W1535" s="38">
        <f t="shared" si="143"/>
        <v>9.8223615464994776</v>
      </c>
    </row>
    <row r="1536" spans="1:23" s="15" customFormat="1">
      <c r="A1536" t="s">
        <v>3855</v>
      </c>
      <c r="B1536" s="20">
        <v>45763</v>
      </c>
      <c r="C1536" s="20">
        <v>45762</v>
      </c>
      <c r="D1536" t="s">
        <v>101</v>
      </c>
      <c r="E1536" t="s">
        <v>102</v>
      </c>
      <c r="F1536" s="19"/>
      <c r="G1536" t="s">
        <v>4349</v>
      </c>
      <c r="H1536" t="s">
        <v>3506</v>
      </c>
      <c r="I1536" t="s">
        <v>3507</v>
      </c>
      <c r="J1536" s="8" t="str">
        <f t="shared" si="144"/>
        <v>STKR</v>
      </c>
      <c r="K1536" t="s">
        <v>10</v>
      </c>
      <c r="L1536" s="46">
        <v>1110</v>
      </c>
      <c r="M1536" t="s">
        <v>1472</v>
      </c>
      <c r="N1536" t="s">
        <v>11</v>
      </c>
      <c r="O1536" s="49">
        <v>0.05</v>
      </c>
      <c r="P1536" s="9">
        <f t="shared" si="142"/>
        <v>55.5</v>
      </c>
      <c r="Q1536" s="10">
        <f t="shared" si="145"/>
        <v>7.3003400000000003</v>
      </c>
      <c r="R1536" s="10">
        <f t="shared" si="146"/>
        <v>6.7999999999999996E-3</v>
      </c>
      <c r="S1536" s="11">
        <f t="shared" si="147"/>
        <v>7.55</v>
      </c>
      <c r="T1536" s="10" t="s">
        <v>349</v>
      </c>
      <c r="U1536" t="s">
        <v>18</v>
      </c>
      <c r="V1536" s="58">
        <v>7.1775000000000002</v>
      </c>
      <c r="W1536" s="38">
        <f t="shared" si="143"/>
        <v>7.7324973876698015</v>
      </c>
    </row>
    <row r="1537" spans="1:23" s="15" customFormat="1">
      <c r="A1537" t="s">
        <v>3856</v>
      </c>
      <c r="B1537" s="20">
        <v>45763</v>
      </c>
      <c r="C1537" s="20">
        <v>45762</v>
      </c>
      <c r="D1537" t="s">
        <v>101</v>
      </c>
      <c r="E1537" t="s">
        <v>102</v>
      </c>
      <c r="F1537" s="19"/>
      <c r="G1537" t="s">
        <v>4349</v>
      </c>
      <c r="H1537" t="s">
        <v>3508</v>
      </c>
      <c r="I1537" t="s">
        <v>3509</v>
      </c>
      <c r="J1537" s="8" t="str">
        <f t="shared" si="144"/>
        <v>STKR</v>
      </c>
      <c r="K1537" t="s">
        <v>10</v>
      </c>
      <c r="L1537" s="46">
        <v>1010</v>
      </c>
      <c r="M1537" t="s">
        <v>1472</v>
      </c>
      <c r="N1537" t="s">
        <v>11</v>
      </c>
      <c r="O1537" s="49">
        <v>0.05</v>
      </c>
      <c r="P1537" s="9">
        <f t="shared" si="142"/>
        <v>50.5</v>
      </c>
      <c r="Q1537" s="10">
        <f t="shared" si="145"/>
        <v>7.3003400000000003</v>
      </c>
      <c r="R1537" s="10">
        <f t="shared" si="146"/>
        <v>6.7999999999999996E-3</v>
      </c>
      <c r="S1537" s="11">
        <f t="shared" si="147"/>
        <v>6.87</v>
      </c>
      <c r="T1537" s="10" t="s">
        <v>349</v>
      </c>
      <c r="U1537" t="s">
        <v>18</v>
      </c>
      <c r="V1537" s="58">
        <v>7.1775000000000002</v>
      </c>
      <c r="W1537" s="38">
        <f t="shared" si="143"/>
        <v>7.0358760013932429</v>
      </c>
    </row>
    <row r="1538" spans="1:23" s="15" customFormat="1">
      <c r="A1538" t="s">
        <v>3857</v>
      </c>
      <c r="B1538" s="20">
        <v>45763</v>
      </c>
      <c r="C1538" s="20">
        <v>45762</v>
      </c>
      <c r="D1538" t="s">
        <v>101</v>
      </c>
      <c r="E1538" t="s">
        <v>102</v>
      </c>
      <c r="F1538" s="19"/>
      <c r="G1538" t="s">
        <v>4349</v>
      </c>
      <c r="H1538" t="s">
        <v>3510</v>
      </c>
      <c r="I1538" t="s">
        <v>3511</v>
      </c>
      <c r="J1538" s="8" t="str">
        <f t="shared" si="144"/>
        <v>STKR</v>
      </c>
      <c r="K1538" t="s">
        <v>10</v>
      </c>
      <c r="L1538" s="46">
        <v>1110</v>
      </c>
      <c r="M1538" t="s">
        <v>1472</v>
      </c>
      <c r="N1538" t="s">
        <v>11</v>
      </c>
      <c r="O1538" s="49">
        <v>0.05</v>
      </c>
      <c r="P1538" s="9">
        <f t="shared" ref="P1538:P1601" si="148">ROUND(O1538*L1538,2)</f>
        <v>55.5</v>
      </c>
      <c r="Q1538" s="10">
        <f t="shared" si="145"/>
        <v>7.3003400000000003</v>
      </c>
      <c r="R1538" s="10">
        <f t="shared" si="146"/>
        <v>6.7999999999999996E-3</v>
      </c>
      <c r="S1538" s="11">
        <f t="shared" si="147"/>
        <v>7.55</v>
      </c>
      <c r="T1538" s="10" t="s">
        <v>349</v>
      </c>
      <c r="U1538" t="s">
        <v>18</v>
      </c>
      <c r="V1538" s="58">
        <v>7.1775000000000002</v>
      </c>
      <c r="W1538" s="38">
        <f t="shared" ref="W1538:W1601" si="149">IF(N1538="CNY",O1538/V1538*L1538,1)</f>
        <v>7.7324973876698015</v>
      </c>
    </row>
    <row r="1539" spans="1:23" s="15" customFormat="1">
      <c r="A1539" t="s">
        <v>3858</v>
      </c>
      <c r="B1539" s="20">
        <v>45754</v>
      </c>
      <c r="C1539" s="20">
        <v>45742</v>
      </c>
      <c r="D1539" t="s">
        <v>806</v>
      </c>
      <c r="E1539" t="s">
        <v>807</v>
      </c>
      <c r="F1539" s="19"/>
      <c r="G1539" t="s">
        <v>4350</v>
      </c>
      <c r="H1539" t="s">
        <v>1567</v>
      </c>
      <c r="I1539" t="s">
        <v>1568</v>
      </c>
      <c r="J1539" s="8" t="str">
        <f t="shared" si="144"/>
        <v>BAG-</v>
      </c>
      <c r="K1539" t="s">
        <v>10</v>
      </c>
      <c r="L1539" s="46">
        <v>5000</v>
      </c>
      <c r="M1539" t="s">
        <v>1472</v>
      </c>
      <c r="N1539" t="s">
        <v>11</v>
      </c>
      <c r="O1539" s="49">
        <v>5.2999999999999999E-2</v>
      </c>
      <c r="P1539" s="9">
        <f t="shared" si="148"/>
        <v>265</v>
      </c>
      <c r="Q1539" s="10">
        <f t="shared" si="145"/>
        <v>7.3003400000000003</v>
      </c>
      <c r="R1539" s="10">
        <f t="shared" si="146"/>
        <v>7.3000000000000001E-3</v>
      </c>
      <c r="S1539" s="11">
        <f t="shared" si="147"/>
        <v>36.5</v>
      </c>
      <c r="T1539" s="10" t="s">
        <v>349</v>
      </c>
      <c r="U1539" t="s">
        <v>810</v>
      </c>
      <c r="V1539" s="58">
        <v>7.1775000000000002</v>
      </c>
      <c r="W1539" s="38">
        <f t="shared" si="149"/>
        <v>36.920933472657609</v>
      </c>
    </row>
    <row r="1540" spans="1:23" s="15" customFormat="1">
      <c r="A1540" t="s">
        <v>3859</v>
      </c>
      <c r="B1540" s="20">
        <v>45769</v>
      </c>
      <c r="C1540" s="20">
        <v>45744</v>
      </c>
      <c r="D1540" t="s">
        <v>169</v>
      </c>
      <c r="E1540" t="s">
        <v>170</v>
      </c>
      <c r="F1540" s="19"/>
      <c r="G1540" t="s">
        <v>4344</v>
      </c>
      <c r="H1540" t="s">
        <v>3512</v>
      </c>
      <c r="I1540" t="s">
        <v>3513</v>
      </c>
      <c r="J1540" s="8" t="str">
        <f t="shared" si="144"/>
        <v>STKR</v>
      </c>
      <c r="K1540" t="s">
        <v>10</v>
      </c>
      <c r="L1540" s="46">
        <v>510</v>
      </c>
      <c r="M1540" t="s">
        <v>1472</v>
      </c>
      <c r="N1540" t="s">
        <v>11</v>
      </c>
      <c r="O1540" s="49">
        <v>0.06</v>
      </c>
      <c r="P1540" s="9">
        <f t="shared" si="148"/>
        <v>30.6</v>
      </c>
      <c r="Q1540" s="10">
        <f t="shared" si="145"/>
        <v>7.3003400000000003</v>
      </c>
      <c r="R1540" s="10">
        <f t="shared" si="146"/>
        <v>8.2000000000000007E-3</v>
      </c>
      <c r="S1540" s="11">
        <f t="shared" si="147"/>
        <v>4.18</v>
      </c>
      <c r="T1540" s="10" t="s">
        <v>349</v>
      </c>
      <c r="U1540" t="s">
        <v>18</v>
      </c>
      <c r="V1540" s="58">
        <v>7.1775000000000002</v>
      </c>
      <c r="W1540" s="38">
        <f t="shared" si="149"/>
        <v>4.2633228840125383</v>
      </c>
    </row>
    <row r="1541" spans="1:23" s="15" customFormat="1">
      <c r="A1541" t="s">
        <v>3860</v>
      </c>
      <c r="B1541" s="20">
        <v>45769</v>
      </c>
      <c r="C1541" s="20">
        <v>45744</v>
      </c>
      <c r="D1541" t="s">
        <v>169</v>
      </c>
      <c r="E1541" t="s">
        <v>170</v>
      </c>
      <c r="F1541" s="19"/>
      <c r="G1541" t="s">
        <v>4344</v>
      </c>
      <c r="H1541" t="s">
        <v>3514</v>
      </c>
      <c r="I1541" t="s">
        <v>3515</v>
      </c>
      <c r="J1541" s="8" t="str">
        <f t="shared" si="144"/>
        <v>STKR</v>
      </c>
      <c r="K1541" t="s">
        <v>10</v>
      </c>
      <c r="L1541" s="46">
        <v>510</v>
      </c>
      <c r="M1541" t="s">
        <v>1472</v>
      </c>
      <c r="N1541" t="s">
        <v>11</v>
      </c>
      <c r="O1541" s="49">
        <v>0.06</v>
      </c>
      <c r="P1541" s="9">
        <f t="shared" si="148"/>
        <v>30.6</v>
      </c>
      <c r="Q1541" s="10">
        <f t="shared" si="145"/>
        <v>7.3003400000000003</v>
      </c>
      <c r="R1541" s="10">
        <f t="shared" si="146"/>
        <v>8.2000000000000007E-3</v>
      </c>
      <c r="S1541" s="11">
        <f t="shared" si="147"/>
        <v>4.18</v>
      </c>
      <c r="T1541" s="10" t="s">
        <v>349</v>
      </c>
      <c r="U1541" t="s">
        <v>18</v>
      </c>
      <c r="V1541" s="58">
        <v>7.1775000000000002</v>
      </c>
      <c r="W1541" s="38">
        <f t="shared" si="149"/>
        <v>4.2633228840125383</v>
      </c>
    </row>
    <row r="1542" spans="1:23" s="15" customFormat="1">
      <c r="A1542" t="s">
        <v>3861</v>
      </c>
      <c r="B1542" s="20">
        <v>45758</v>
      </c>
      <c r="C1542" s="20">
        <v>45748</v>
      </c>
      <c r="D1542" t="s">
        <v>806</v>
      </c>
      <c r="E1542" t="s">
        <v>807</v>
      </c>
      <c r="F1542" s="19"/>
      <c r="G1542" t="s">
        <v>4351</v>
      </c>
      <c r="H1542" t="s">
        <v>3516</v>
      </c>
      <c r="I1542" t="s">
        <v>3517</v>
      </c>
      <c r="J1542" s="8" t="str">
        <f t="shared" si="144"/>
        <v>BAG-</v>
      </c>
      <c r="K1542" t="s">
        <v>10</v>
      </c>
      <c r="L1542" s="46">
        <v>5000</v>
      </c>
      <c r="M1542" t="s">
        <v>1472</v>
      </c>
      <c r="N1542" t="s">
        <v>11</v>
      </c>
      <c r="O1542" s="49">
        <v>0.06</v>
      </c>
      <c r="P1542" s="9">
        <f t="shared" si="148"/>
        <v>300</v>
      </c>
      <c r="Q1542" s="10">
        <f t="shared" si="145"/>
        <v>7.3003400000000003</v>
      </c>
      <c r="R1542" s="10">
        <f t="shared" si="146"/>
        <v>8.2000000000000007E-3</v>
      </c>
      <c r="S1542" s="11">
        <f t="shared" si="147"/>
        <v>41</v>
      </c>
      <c r="T1542" s="10" t="s">
        <v>349</v>
      </c>
      <c r="U1542" t="s">
        <v>810</v>
      </c>
      <c r="V1542" s="58">
        <v>7.1775000000000002</v>
      </c>
      <c r="W1542" s="38">
        <f t="shared" si="149"/>
        <v>41.797283176593517</v>
      </c>
    </row>
    <row r="1543" spans="1:23" s="15" customFormat="1">
      <c r="A1543" t="s">
        <v>3862</v>
      </c>
      <c r="B1543" s="20">
        <v>45771</v>
      </c>
      <c r="C1543" s="20">
        <v>45768</v>
      </c>
      <c r="D1543" t="s">
        <v>545</v>
      </c>
      <c r="E1543" t="s">
        <v>546</v>
      </c>
      <c r="F1543" s="19"/>
      <c r="G1543" t="s">
        <v>4345</v>
      </c>
      <c r="H1543" t="s">
        <v>939</v>
      </c>
      <c r="I1543" t="s">
        <v>940</v>
      </c>
      <c r="J1543" s="8" t="str">
        <f t="shared" si="144"/>
        <v>WHR-</v>
      </c>
      <c r="K1543" t="s">
        <v>10</v>
      </c>
      <c r="L1543" s="46">
        <v>2000</v>
      </c>
      <c r="M1543" t="s">
        <v>1472</v>
      </c>
      <c r="N1543" t="s">
        <v>11</v>
      </c>
      <c r="O1543" s="49">
        <v>6.2E-2</v>
      </c>
      <c r="P1543" s="9">
        <f t="shared" si="148"/>
        <v>124</v>
      </c>
      <c r="Q1543" s="10">
        <f t="shared" si="145"/>
        <v>7.3003400000000003</v>
      </c>
      <c r="R1543" s="10">
        <f t="shared" si="146"/>
        <v>8.5000000000000006E-3</v>
      </c>
      <c r="S1543" s="11">
        <f t="shared" si="147"/>
        <v>17</v>
      </c>
      <c r="T1543" s="10" t="s">
        <v>349</v>
      </c>
      <c r="U1543" t="s">
        <v>248</v>
      </c>
      <c r="V1543" s="58">
        <v>7.1775000000000002</v>
      </c>
      <c r="W1543" s="38">
        <f t="shared" si="149"/>
        <v>17.276210379658654</v>
      </c>
    </row>
    <row r="1544" spans="1:23" s="15" customFormat="1">
      <c r="A1544" t="s">
        <v>3863</v>
      </c>
      <c r="B1544" s="20">
        <v>45775</v>
      </c>
      <c r="C1544" s="20">
        <v>45737</v>
      </c>
      <c r="D1544" t="s">
        <v>128</v>
      </c>
      <c r="E1544" t="s">
        <v>129</v>
      </c>
      <c r="F1544" s="19"/>
      <c r="G1544" t="s">
        <v>4352</v>
      </c>
      <c r="H1544" t="s">
        <v>3090</v>
      </c>
      <c r="I1544" t="s">
        <v>3306</v>
      </c>
      <c r="J1544" s="8" t="str">
        <f t="shared" si="144"/>
        <v>RIV-</v>
      </c>
      <c r="K1544" t="s">
        <v>10</v>
      </c>
      <c r="L1544" s="46">
        <v>7200</v>
      </c>
      <c r="M1544" t="s">
        <v>1472</v>
      </c>
      <c r="N1544" t="s">
        <v>11</v>
      </c>
      <c r="O1544" s="49">
        <v>6.2199999999999998E-2</v>
      </c>
      <c r="P1544" s="9">
        <f t="shared" si="148"/>
        <v>447.84</v>
      </c>
      <c r="Q1544" s="10">
        <f t="shared" si="145"/>
        <v>7.3003400000000003</v>
      </c>
      <c r="R1544" s="10">
        <f t="shared" si="146"/>
        <v>8.5000000000000006E-3</v>
      </c>
      <c r="S1544" s="11">
        <f t="shared" si="147"/>
        <v>61.2</v>
      </c>
      <c r="T1544" s="10" t="s">
        <v>349</v>
      </c>
      <c r="U1544" t="s">
        <v>132</v>
      </c>
      <c r="V1544" s="58">
        <v>7.1775000000000002</v>
      </c>
      <c r="W1544" s="38">
        <f t="shared" si="149"/>
        <v>62.3949843260188</v>
      </c>
    </row>
    <row r="1545" spans="1:23" s="15" customFormat="1">
      <c r="A1545" t="s">
        <v>3864</v>
      </c>
      <c r="B1545" s="20">
        <v>45758</v>
      </c>
      <c r="C1545" s="20">
        <v>45742</v>
      </c>
      <c r="D1545" t="s">
        <v>806</v>
      </c>
      <c r="E1545" t="s">
        <v>807</v>
      </c>
      <c r="F1545" s="19"/>
      <c r="G1545" t="s">
        <v>4353</v>
      </c>
      <c r="H1545" t="s">
        <v>3518</v>
      </c>
      <c r="I1545" t="s">
        <v>3519</v>
      </c>
      <c r="J1545" s="8" t="str">
        <f t="shared" si="144"/>
        <v>BAG-</v>
      </c>
      <c r="K1545" t="s">
        <v>10</v>
      </c>
      <c r="L1545" s="46">
        <v>5000</v>
      </c>
      <c r="M1545" t="s">
        <v>1472</v>
      </c>
      <c r="N1545" t="s">
        <v>11</v>
      </c>
      <c r="O1545" s="49">
        <v>6.7000000000000004E-2</v>
      </c>
      <c r="P1545" s="9">
        <f t="shared" si="148"/>
        <v>335</v>
      </c>
      <c r="Q1545" s="10">
        <f t="shared" si="145"/>
        <v>7.3003400000000003</v>
      </c>
      <c r="R1545" s="10">
        <f t="shared" si="146"/>
        <v>9.1999999999999998E-3</v>
      </c>
      <c r="S1545" s="11">
        <f t="shared" si="147"/>
        <v>46</v>
      </c>
      <c r="T1545" s="10" t="s">
        <v>349</v>
      </c>
      <c r="U1545" t="s">
        <v>810</v>
      </c>
      <c r="V1545" s="58">
        <v>7.1775000000000002</v>
      </c>
      <c r="W1545" s="38">
        <f t="shared" si="149"/>
        <v>46.673632880529432</v>
      </c>
    </row>
    <row r="1546" spans="1:23" s="15" customFormat="1">
      <c r="A1546" t="s">
        <v>3865</v>
      </c>
      <c r="B1546" s="20">
        <v>45758</v>
      </c>
      <c r="C1546" s="20">
        <v>45748</v>
      </c>
      <c r="D1546" t="s">
        <v>806</v>
      </c>
      <c r="E1546" t="s">
        <v>807</v>
      </c>
      <c r="F1546" s="19"/>
      <c r="G1546" t="s">
        <v>4351</v>
      </c>
      <c r="H1546" t="s">
        <v>3518</v>
      </c>
      <c r="I1546" t="s">
        <v>3519</v>
      </c>
      <c r="J1546" s="8" t="str">
        <f t="shared" si="144"/>
        <v>BAG-</v>
      </c>
      <c r="K1546" t="s">
        <v>10</v>
      </c>
      <c r="L1546" s="46">
        <v>5000</v>
      </c>
      <c r="M1546" t="s">
        <v>1472</v>
      </c>
      <c r="N1546" t="s">
        <v>11</v>
      </c>
      <c r="O1546" s="49">
        <v>6.7000000000000004E-2</v>
      </c>
      <c r="P1546" s="9">
        <f t="shared" si="148"/>
        <v>335</v>
      </c>
      <c r="Q1546" s="10">
        <f t="shared" si="145"/>
        <v>7.3003400000000003</v>
      </c>
      <c r="R1546" s="10">
        <f t="shared" si="146"/>
        <v>9.1999999999999998E-3</v>
      </c>
      <c r="S1546" s="11">
        <f t="shared" si="147"/>
        <v>46</v>
      </c>
      <c r="T1546" s="10" t="s">
        <v>349</v>
      </c>
      <c r="U1546" t="s">
        <v>810</v>
      </c>
      <c r="V1546" s="58">
        <v>7.1775000000000002</v>
      </c>
      <c r="W1546" s="38">
        <f t="shared" si="149"/>
        <v>46.673632880529432</v>
      </c>
    </row>
    <row r="1547" spans="1:23" s="15" customFormat="1">
      <c r="A1547" t="s">
        <v>3866</v>
      </c>
      <c r="B1547" s="20">
        <v>45765</v>
      </c>
      <c r="C1547" s="20">
        <v>45695</v>
      </c>
      <c r="D1547" t="s">
        <v>162</v>
      </c>
      <c r="E1547" t="s">
        <v>163</v>
      </c>
      <c r="F1547" s="19"/>
      <c r="G1547" t="s">
        <v>4354</v>
      </c>
      <c r="H1547" t="s">
        <v>592</v>
      </c>
      <c r="I1547" t="s">
        <v>593</v>
      </c>
      <c r="J1547" s="8" t="str">
        <f t="shared" si="144"/>
        <v>SCR-</v>
      </c>
      <c r="K1547" t="s">
        <v>10</v>
      </c>
      <c r="L1547" s="46">
        <v>6200</v>
      </c>
      <c r="M1547" t="s">
        <v>1472</v>
      </c>
      <c r="N1547" t="s">
        <v>11</v>
      </c>
      <c r="O1547" s="49">
        <v>7.0000000000000007E-2</v>
      </c>
      <c r="P1547" s="9">
        <f t="shared" si="148"/>
        <v>434</v>
      </c>
      <c r="Q1547" s="10">
        <f t="shared" si="145"/>
        <v>7.3003400000000003</v>
      </c>
      <c r="R1547" s="10">
        <f t="shared" si="146"/>
        <v>9.5999999999999992E-3</v>
      </c>
      <c r="S1547" s="11">
        <f t="shared" si="147"/>
        <v>59.52</v>
      </c>
      <c r="T1547" s="10" t="s">
        <v>349</v>
      </c>
      <c r="U1547" t="s">
        <v>166</v>
      </c>
      <c r="V1547" s="58">
        <v>7.1775000000000002</v>
      </c>
      <c r="W1547" s="38">
        <f t="shared" si="149"/>
        <v>60.46673632880529</v>
      </c>
    </row>
    <row r="1548" spans="1:23" s="15" customFormat="1">
      <c r="A1548" t="s">
        <v>3867</v>
      </c>
      <c r="B1548" s="20">
        <v>45750</v>
      </c>
      <c r="C1548" s="20">
        <v>45744</v>
      </c>
      <c r="D1548" t="s">
        <v>162</v>
      </c>
      <c r="E1548" t="s">
        <v>163</v>
      </c>
      <c r="F1548" s="19"/>
      <c r="G1548" t="s">
        <v>4355</v>
      </c>
      <c r="H1548" t="s">
        <v>592</v>
      </c>
      <c r="I1548" t="s">
        <v>593</v>
      </c>
      <c r="J1548" s="8" t="str">
        <f t="shared" si="144"/>
        <v>SCR-</v>
      </c>
      <c r="K1548" t="s">
        <v>10</v>
      </c>
      <c r="L1548" s="46">
        <v>3100</v>
      </c>
      <c r="M1548" t="s">
        <v>1472</v>
      </c>
      <c r="N1548" t="s">
        <v>11</v>
      </c>
      <c r="O1548" s="49">
        <v>7.0000000000000007E-2</v>
      </c>
      <c r="P1548" s="9">
        <f t="shared" si="148"/>
        <v>217</v>
      </c>
      <c r="Q1548" s="10">
        <f t="shared" si="145"/>
        <v>7.3003400000000003</v>
      </c>
      <c r="R1548" s="10">
        <f t="shared" si="146"/>
        <v>9.5999999999999992E-3</v>
      </c>
      <c r="S1548" s="11">
        <f t="shared" si="147"/>
        <v>29.76</v>
      </c>
      <c r="T1548" s="10" t="s">
        <v>349</v>
      </c>
      <c r="U1548" t="s">
        <v>166</v>
      </c>
      <c r="V1548" s="58">
        <v>7.1775000000000002</v>
      </c>
      <c r="W1548" s="38">
        <f t="shared" si="149"/>
        <v>30.233368164402645</v>
      </c>
    </row>
    <row r="1549" spans="1:23" s="15" customFormat="1">
      <c r="A1549" t="s">
        <v>3868</v>
      </c>
      <c r="B1549" s="20">
        <v>45775</v>
      </c>
      <c r="C1549" s="20">
        <v>45769</v>
      </c>
      <c r="D1549" t="s">
        <v>162</v>
      </c>
      <c r="E1549" t="s">
        <v>163</v>
      </c>
      <c r="F1549" s="19"/>
      <c r="G1549" t="s">
        <v>4356</v>
      </c>
      <c r="H1549" t="s">
        <v>592</v>
      </c>
      <c r="I1549" t="s">
        <v>593</v>
      </c>
      <c r="J1549" s="8" t="str">
        <f t="shared" si="144"/>
        <v>SCR-</v>
      </c>
      <c r="K1549" t="s">
        <v>10</v>
      </c>
      <c r="L1549" s="46">
        <v>3800</v>
      </c>
      <c r="M1549" t="s">
        <v>1472</v>
      </c>
      <c r="N1549" t="s">
        <v>11</v>
      </c>
      <c r="O1549" s="49">
        <v>7.0000000000000007E-2</v>
      </c>
      <c r="P1549" s="9">
        <f t="shared" si="148"/>
        <v>266</v>
      </c>
      <c r="Q1549" s="10">
        <f t="shared" si="145"/>
        <v>7.3003400000000003</v>
      </c>
      <c r="R1549" s="10">
        <f t="shared" si="146"/>
        <v>9.5999999999999992E-3</v>
      </c>
      <c r="S1549" s="11">
        <f t="shared" si="147"/>
        <v>36.479999999999997</v>
      </c>
      <c r="T1549" s="10" t="s">
        <v>349</v>
      </c>
      <c r="U1549" t="s">
        <v>166</v>
      </c>
      <c r="V1549" s="58">
        <v>7.1775000000000002</v>
      </c>
      <c r="W1549" s="38">
        <f t="shared" si="149"/>
        <v>37.060257749912921</v>
      </c>
    </row>
    <row r="1550" spans="1:23" s="15" customFormat="1">
      <c r="A1550" t="s">
        <v>3869</v>
      </c>
      <c r="B1550" s="20">
        <v>45762</v>
      </c>
      <c r="C1550" s="20">
        <v>45737</v>
      </c>
      <c r="D1550" t="s">
        <v>128</v>
      </c>
      <c r="E1550" t="s">
        <v>129</v>
      </c>
      <c r="F1550" s="19"/>
      <c r="G1550" t="s">
        <v>4357</v>
      </c>
      <c r="H1550" t="s">
        <v>954</v>
      </c>
      <c r="I1550" t="s">
        <v>955</v>
      </c>
      <c r="J1550" s="8" t="str">
        <f t="shared" si="144"/>
        <v>RIV-</v>
      </c>
      <c r="K1550" t="s">
        <v>10</v>
      </c>
      <c r="L1550" s="46">
        <v>1000</v>
      </c>
      <c r="M1550" t="s">
        <v>1472</v>
      </c>
      <c r="N1550" t="s">
        <v>11</v>
      </c>
      <c r="O1550" s="49">
        <v>7.0099999999999996E-2</v>
      </c>
      <c r="P1550" s="9">
        <f t="shared" si="148"/>
        <v>70.099999999999994</v>
      </c>
      <c r="Q1550" s="10">
        <f t="shared" si="145"/>
        <v>7.3003400000000003</v>
      </c>
      <c r="R1550" s="10">
        <f t="shared" si="146"/>
        <v>9.5999999999999992E-3</v>
      </c>
      <c r="S1550" s="11">
        <f t="shared" si="147"/>
        <v>9.6</v>
      </c>
      <c r="T1550" s="10" t="s">
        <v>349</v>
      </c>
      <c r="U1550" t="s">
        <v>132</v>
      </c>
      <c r="V1550" s="58">
        <v>7.1775000000000002</v>
      </c>
      <c r="W1550" s="38">
        <f t="shared" si="149"/>
        <v>9.7666318355973516</v>
      </c>
    </row>
    <row r="1551" spans="1:23" s="15" customFormat="1">
      <c r="A1551" t="s">
        <v>3870</v>
      </c>
      <c r="B1551" s="20">
        <v>45762</v>
      </c>
      <c r="C1551" s="20">
        <v>45744</v>
      </c>
      <c r="D1551" t="s">
        <v>128</v>
      </c>
      <c r="E1551" t="s">
        <v>129</v>
      </c>
      <c r="F1551" s="19"/>
      <c r="G1551" t="s">
        <v>4357</v>
      </c>
      <c r="H1551" t="s">
        <v>954</v>
      </c>
      <c r="I1551" t="s">
        <v>955</v>
      </c>
      <c r="J1551" s="8" t="str">
        <f t="shared" si="144"/>
        <v>RIV-</v>
      </c>
      <c r="K1551" t="s">
        <v>10</v>
      </c>
      <c r="L1551" s="46">
        <v>6000</v>
      </c>
      <c r="M1551" t="s">
        <v>1472</v>
      </c>
      <c r="N1551" t="s">
        <v>11</v>
      </c>
      <c r="O1551" s="49">
        <v>7.0099999999999996E-2</v>
      </c>
      <c r="P1551" s="9">
        <f t="shared" si="148"/>
        <v>420.6</v>
      </c>
      <c r="Q1551" s="10">
        <f t="shared" si="145"/>
        <v>7.3003400000000003</v>
      </c>
      <c r="R1551" s="10">
        <f t="shared" si="146"/>
        <v>9.5999999999999992E-3</v>
      </c>
      <c r="S1551" s="11">
        <f t="shared" si="147"/>
        <v>57.6</v>
      </c>
      <c r="T1551" s="10" t="s">
        <v>349</v>
      </c>
      <c r="U1551" t="s">
        <v>132</v>
      </c>
      <c r="V1551" s="58">
        <v>7.1775000000000002</v>
      </c>
      <c r="W1551" s="38">
        <f t="shared" si="149"/>
        <v>58.59979101358411</v>
      </c>
    </row>
    <row r="1552" spans="1:23" s="15" customFormat="1">
      <c r="A1552" t="s">
        <v>3871</v>
      </c>
      <c r="B1552" s="20">
        <v>45772</v>
      </c>
      <c r="C1552" s="20">
        <v>45755</v>
      </c>
      <c r="D1552" t="s">
        <v>806</v>
      </c>
      <c r="E1552" t="s">
        <v>807</v>
      </c>
      <c r="F1552" s="19"/>
      <c r="G1552" t="s">
        <v>4358</v>
      </c>
      <c r="H1552" t="s">
        <v>3520</v>
      </c>
      <c r="I1552" t="s">
        <v>3521</v>
      </c>
      <c r="J1552" s="8" t="str">
        <f t="shared" si="144"/>
        <v>BAG-</v>
      </c>
      <c r="K1552" t="s">
        <v>10</v>
      </c>
      <c r="L1552" s="46">
        <v>5000</v>
      </c>
      <c r="M1552" t="s">
        <v>1472</v>
      </c>
      <c r="N1552" t="s">
        <v>11</v>
      </c>
      <c r="O1552" s="49">
        <v>7.4999999999999997E-2</v>
      </c>
      <c r="P1552" s="9">
        <f t="shared" si="148"/>
        <v>375</v>
      </c>
      <c r="Q1552" s="10">
        <f t="shared" si="145"/>
        <v>7.3003400000000003</v>
      </c>
      <c r="R1552" s="10">
        <f t="shared" si="146"/>
        <v>1.03E-2</v>
      </c>
      <c r="S1552" s="11">
        <f t="shared" si="147"/>
        <v>51.5</v>
      </c>
      <c r="T1552" s="10" t="s">
        <v>349</v>
      </c>
      <c r="U1552" t="s">
        <v>810</v>
      </c>
      <c r="V1552" s="58">
        <v>7.1775000000000002</v>
      </c>
      <c r="W1552" s="38">
        <f t="shared" si="149"/>
        <v>52.246603970741901</v>
      </c>
    </row>
    <row r="1553" spans="1:23" s="15" customFormat="1">
      <c r="A1553" t="s">
        <v>3872</v>
      </c>
      <c r="B1553" s="20">
        <v>45758</v>
      </c>
      <c r="C1553" s="20">
        <v>45742</v>
      </c>
      <c r="D1553" t="s">
        <v>806</v>
      </c>
      <c r="E1553" t="s">
        <v>807</v>
      </c>
      <c r="F1553" s="19"/>
      <c r="G1553" t="s">
        <v>4353</v>
      </c>
      <c r="H1553" t="s">
        <v>3522</v>
      </c>
      <c r="I1553" t="s">
        <v>3523</v>
      </c>
      <c r="J1553" s="8" t="str">
        <f t="shared" si="144"/>
        <v>BAG-</v>
      </c>
      <c r="K1553" t="s">
        <v>10</v>
      </c>
      <c r="L1553" s="46">
        <v>2000</v>
      </c>
      <c r="M1553" t="s">
        <v>1472</v>
      </c>
      <c r="N1553" t="s">
        <v>11</v>
      </c>
      <c r="O1553" s="49">
        <v>7.8799999999999995E-2</v>
      </c>
      <c r="P1553" s="9">
        <f t="shared" si="148"/>
        <v>157.6</v>
      </c>
      <c r="Q1553" s="10">
        <f t="shared" si="145"/>
        <v>7.3003400000000003</v>
      </c>
      <c r="R1553" s="10">
        <f t="shared" si="146"/>
        <v>1.0800000000000001E-2</v>
      </c>
      <c r="S1553" s="11">
        <f t="shared" si="147"/>
        <v>21.6</v>
      </c>
      <c r="T1553" s="10" t="s">
        <v>349</v>
      </c>
      <c r="U1553" t="s">
        <v>810</v>
      </c>
      <c r="V1553" s="58">
        <v>7.1775000000000002</v>
      </c>
      <c r="W1553" s="38">
        <f t="shared" si="149"/>
        <v>21.957506095437129</v>
      </c>
    </row>
    <row r="1554" spans="1:23" s="15" customFormat="1">
      <c r="A1554" t="s">
        <v>3873</v>
      </c>
      <c r="B1554" s="20">
        <v>45758</v>
      </c>
      <c r="C1554" s="20">
        <v>45742</v>
      </c>
      <c r="D1554" t="s">
        <v>806</v>
      </c>
      <c r="E1554" t="s">
        <v>807</v>
      </c>
      <c r="F1554" s="19"/>
      <c r="G1554" t="s">
        <v>4351</v>
      </c>
      <c r="H1554" t="s">
        <v>3524</v>
      </c>
      <c r="I1554" t="s">
        <v>3525</v>
      </c>
      <c r="J1554" s="8" t="str">
        <f t="shared" si="144"/>
        <v>BAG-</v>
      </c>
      <c r="K1554" t="s">
        <v>10</v>
      </c>
      <c r="L1554" s="46">
        <v>2000</v>
      </c>
      <c r="M1554" t="s">
        <v>1472</v>
      </c>
      <c r="N1554" t="s">
        <v>11</v>
      </c>
      <c r="O1554" s="49">
        <v>0.08</v>
      </c>
      <c r="P1554" s="9">
        <f t="shared" si="148"/>
        <v>160</v>
      </c>
      <c r="Q1554" s="10">
        <f t="shared" si="145"/>
        <v>7.3003400000000003</v>
      </c>
      <c r="R1554" s="10">
        <f t="shared" si="146"/>
        <v>1.0999999999999999E-2</v>
      </c>
      <c r="S1554" s="11">
        <f t="shared" si="147"/>
        <v>22</v>
      </c>
      <c r="T1554" s="10" t="s">
        <v>349</v>
      </c>
      <c r="U1554" t="s">
        <v>810</v>
      </c>
      <c r="V1554" s="58">
        <v>7.1775000000000002</v>
      </c>
      <c r="W1554" s="38">
        <f t="shared" si="149"/>
        <v>22.291884360849878</v>
      </c>
    </row>
    <row r="1555" spans="1:23" s="15" customFormat="1">
      <c r="A1555" t="s">
        <v>3874</v>
      </c>
      <c r="B1555" s="20">
        <v>45754</v>
      </c>
      <c r="C1555" s="20">
        <v>45742</v>
      </c>
      <c r="D1555" t="s">
        <v>806</v>
      </c>
      <c r="E1555" t="s">
        <v>807</v>
      </c>
      <c r="F1555" s="19"/>
      <c r="G1555" t="s">
        <v>4350</v>
      </c>
      <c r="H1555" t="s">
        <v>817</v>
      </c>
      <c r="I1555" t="s">
        <v>818</v>
      </c>
      <c r="J1555" s="8" t="str">
        <f t="shared" si="144"/>
        <v>BAG-</v>
      </c>
      <c r="K1555" t="s">
        <v>10</v>
      </c>
      <c r="L1555" s="46">
        <v>1000</v>
      </c>
      <c r="M1555" t="s">
        <v>1472</v>
      </c>
      <c r="N1555" t="s">
        <v>11</v>
      </c>
      <c r="O1555" s="49">
        <v>8.5000000000000006E-2</v>
      </c>
      <c r="P1555" s="9">
        <f t="shared" si="148"/>
        <v>85</v>
      </c>
      <c r="Q1555" s="10">
        <f t="shared" si="145"/>
        <v>7.3003400000000003</v>
      </c>
      <c r="R1555" s="10">
        <f t="shared" si="146"/>
        <v>1.1599999999999999E-2</v>
      </c>
      <c r="S1555" s="11">
        <f t="shared" si="147"/>
        <v>11.6</v>
      </c>
      <c r="T1555" s="10" t="s">
        <v>349</v>
      </c>
      <c r="U1555" t="s">
        <v>810</v>
      </c>
      <c r="V1555" s="58">
        <v>7.1775000000000002</v>
      </c>
      <c r="W1555" s="38">
        <f t="shared" si="149"/>
        <v>11.842563566701498</v>
      </c>
    </row>
    <row r="1556" spans="1:23" s="15" customFormat="1">
      <c r="A1556" t="s">
        <v>3875</v>
      </c>
      <c r="B1556" s="20">
        <v>45758</v>
      </c>
      <c r="C1556" s="20">
        <v>45742</v>
      </c>
      <c r="D1556" t="s">
        <v>806</v>
      </c>
      <c r="E1556" t="s">
        <v>807</v>
      </c>
      <c r="F1556" s="19"/>
      <c r="G1556" t="s">
        <v>4351</v>
      </c>
      <c r="H1556" t="s">
        <v>3214</v>
      </c>
      <c r="I1556" t="s">
        <v>3421</v>
      </c>
      <c r="J1556" s="8" t="str">
        <f t="shared" si="144"/>
        <v>BAG-</v>
      </c>
      <c r="K1556" t="s">
        <v>10</v>
      </c>
      <c r="L1556" s="46">
        <v>5000</v>
      </c>
      <c r="M1556" t="s">
        <v>1472</v>
      </c>
      <c r="N1556" t="s">
        <v>11</v>
      </c>
      <c r="O1556" s="49">
        <v>8.7999999999999995E-2</v>
      </c>
      <c r="P1556" s="9">
        <f t="shared" si="148"/>
        <v>440</v>
      </c>
      <c r="Q1556" s="10">
        <f t="shared" si="145"/>
        <v>7.3003400000000003</v>
      </c>
      <c r="R1556" s="10">
        <f t="shared" si="146"/>
        <v>1.21E-2</v>
      </c>
      <c r="S1556" s="11">
        <f t="shared" si="147"/>
        <v>60.5</v>
      </c>
      <c r="T1556" s="10" t="s">
        <v>349</v>
      </c>
      <c r="U1556" t="s">
        <v>810</v>
      </c>
      <c r="V1556" s="58">
        <v>7.1775000000000002</v>
      </c>
      <c r="W1556" s="38">
        <f t="shared" si="149"/>
        <v>61.302681992337156</v>
      </c>
    </row>
    <row r="1557" spans="1:23" s="15" customFormat="1">
      <c r="A1557" t="s">
        <v>3875</v>
      </c>
      <c r="B1557" s="20">
        <v>45754</v>
      </c>
      <c r="C1557" s="20">
        <v>45742</v>
      </c>
      <c r="D1557" t="s">
        <v>806</v>
      </c>
      <c r="E1557" t="s">
        <v>807</v>
      </c>
      <c r="F1557" s="19"/>
      <c r="G1557" t="s">
        <v>4350</v>
      </c>
      <c r="H1557" t="s">
        <v>3214</v>
      </c>
      <c r="I1557" t="s">
        <v>3421</v>
      </c>
      <c r="J1557" s="8" t="str">
        <f t="shared" ref="J1557:J1620" si="150">+LEFT(U1557,4)</f>
        <v>BAG-</v>
      </c>
      <c r="K1557" t="s">
        <v>10</v>
      </c>
      <c r="L1557" s="46">
        <v>15000</v>
      </c>
      <c r="M1557" t="s">
        <v>1472</v>
      </c>
      <c r="N1557" t="s">
        <v>11</v>
      </c>
      <c r="O1557" s="49">
        <v>8.7999999999999995E-2</v>
      </c>
      <c r="P1557" s="9">
        <f t="shared" si="148"/>
        <v>1320</v>
      </c>
      <c r="Q1557" s="10">
        <f t="shared" ref="Q1557:Q1620" si="151">IF(N1557="HKD",7.8,IF(N1557="CNY",7.30034,1))</f>
        <v>7.3003400000000003</v>
      </c>
      <c r="R1557" s="10">
        <f t="shared" ref="R1557:R1620" si="152">+ROUND(O1557/Q1557,4)</f>
        <v>1.21E-2</v>
      </c>
      <c r="S1557" s="11">
        <f t="shared" ref="S1557:S1620" si="153">ROUND(R1557*L1557,2)</f>
        <v>181.5</v>
      </c>
      <c r="T1557" s="10" t="s">
        <v>349</v>
      </c>
      <c r="U1557" t="s">
        <v>810</v>
      </c>
      <c r="V1557" s="58">
        <v>7.1775000000000002</v>
      </c>
      <c r="W1557" s="38">
        <f t="shared" si="149"/>
        <v>183.90804597701148</v>
      </c>
    </row>
    <row r="1558" spans="1:23" s="15" customFormat="1">
      <c r="A1558" t="s">
        <v>3876</v>
      </c>
      <c r="B1558" s="20">
        <v>45772</v>
      </c>
      <c r="C1558" s="20">
        <v>45755</v>
      </c>
      <c r="D1558" t="s">
        <v>806</v>
      </c>
      <c r="E1558" t="s">
        <v>807</v>
      </c>
      <c r="F1558" s="19"/>
      <c r="G1558" t="s">
        <v>4358</v>
      </c>
      <c r="H1558" t="s">
        <v>3214</v>
      </c>
      <c r="I1558" t="s">
        <v>3421</v>
      </c>
      <c r="J1558" s="8" t="str">
        <f t="shared" si="150"/>
        <v>BAG-</v>
      </c>
      <c r="K1558" t="s">
        <v>10</v>
      </c>
      <c r="L1558" s="46">
        <v>10000</v>
      </c>
      <c r="M1558" t="s">
        <v>1472</v>
      </c>
      <c r="N1558" t="s">
        <v>11</v>
      </c>
      <c r="O1558" s="49">
        <v>8.7999999999999995E-2</v>
      </c>
      <c r="P1558" s="9">
        <f t="shared" si="148"/>
        <v>880</v>
      </c>
      <c r="Q1558" s="10">
        <f t="shared" si="151"/>
        <v>7.3003400000000003</v>
      </c>
      <c r="R1558" s="10">
        <f t="shared" si="152"/>
        <v>1.21E-2</v>
      </c>
      <c r="S1558" s="11">
        <f t="shared" si="153"/>
        <v>121</v>
      </c>
      <c r="T1558" s="10" t="s">
        <v>349</v>
      </c>
      <c r="U1558" t="s">
        <v>810</v>
      </c>
      <c r="V1558" s="58">
        <v>7.1775000000000002</v>
      </c>
      <c r="W1558" s="38">
        <f t="shared" si="149"/>
        <v>122.60536398467431</v>
      </c>
    </row>
    <row r="1559" spans="1:23" s="15" customFormat="1">
      <c r="A1559" t="s">
        <v>3877</v>
      </c>
      <c r="B1559" s="20">
        <v>45772</v>
      </c>
      <c r="C1559" s="20">
        <v>45761</v>
      </c>
      <c r="D1559" t="s">
        <v>806</v>
      </c>
      <c r="E1559" t="s">
        <v>807</v>
      </c>
      <c r="F1559" s="19"/>
      <c r="G1559" t="s">
        <v>4358</v>
      </c>
      <c r="H1559" t="s">
        <v>3214</v>
      </c>
      <c r="I1559" t="s">
        <v>3421</v>
      </c>
      <c r="J1559" s="8" t="str">
        <f t="shared" si="150"/>
        <v>BAG-</v>
      </c>
      <c r="K1559" t="s">
        <v>10</v>
      </c>
      <c r="L1559" s="46">
        <v>20000</v>
      </c>
      <c r="M1559" t="s">
        <v>1472</v>
      </c>
      <c r="N1559" t="s">
        <v>11</v>
      </c>
      <c r="O1559" s="49">
        <v>8.7999999999999995E-2</v>
      </c>
      <c r="P1559" s="9">
        <f t="shared" si="148"/>
        <v>1760</v>
      </c>
      <c r="Q1559" s="10">
        <f t="shared" si="151"/>
        <v>7.3003400000000003</v>
      </c>
      <c r="R1559" s="10">
        <f t="shared" si="152"/>
        <v>1.21E-2</v>
      </c>
      <c r="S1559" s="11">
        <f t="shared" si="153"/>
        <v>242</v>
      </c>
      <c r="T1559" s="10" t="s">
        <v>349</v>
      </c>
      <c r="U1559" t="s">
        <v>810</v>
      </c>
      <c r="V1559" s="58">
        <v>7.1775000000000002</v>
      </c>
      <c r="W1559" s="38">
        <f t="shared" si="149"/>
        <v>245.21072796934862</v>
      </c>
    </row>
    <row r="1560" spans="1:23" s="15" customFormat="1">
      <c r="A1560" t="s">
        <v>2761</v>
      </c>
      <c r="B1560" s="20">
        <v>45761</v>
      </c>
      <c r="C1560" s="20">
        <v>45730</v>
      </c>
      <c r="D1560" t="s">
        <v>806</v>
      </c>
      <c r="E1560" t="s">
        <v>807</v>
      </c>
      <c r="F1560" s="19"/>
      <c r="G1560" t="s">
        <v>4359</v>
      </c>
      <c r="H1560" t="s">
        <v>3250</v>
      </c>
      <c r="I1560" t="s">
        <v>3457</v>
      </c>
      <c r="J1560" s="8" t="str">
        <f t="shared" si="150"/>
        <v>BAG-</v>
      </c>
      <c r="K1560" t="s">
        <v>10</v>
      </c>
      <c r="L1560" s="46">
        <v>10000</v>
      </c>
      <c r="M1560" t="s">
        <v>1472</v>
      </c>
      <c r="N1560" t="s">
        <v>11</v>
      </c>
      <c r="O1560" s="49">
        <v>9.6000000000000002E-2</v>
      </c>
      <c r="P1560" s="9">
        <f t="shared" si="148"/>
        <v>960</v>
      </c>
      <c r="Q1560" s="10">
        <f t="shared" si="151"/>
        <v>7.3003400000000003</v>
      </c>
      <c r="R1560" s="10">
        <f t="shared" si="152"/>
        <v>1.32E-2</v>
      </c>
      <c r="S1560" s="11">
        <f t="shared" si="153"/>
        <v>132</v>
      </c>
      <c r="T1560" s="10" t="s">
        <v>349</v>
      </c>
      <c r="U1560" t="s">
        <v>810</v>
      </c>
      <c r="V1560" s="58">
        <v>7.1775000000000002</v>
      </c>
      <c r="W1560" s="38">
        <f t="shared" si="149"/>
        <v>133.75130616509927</v>
      </c>
    </row>
    <row r="1561" spans="1:23" s="15" customFormat="1">
      <c r="A1561" t="s">
        <v>2761</v>
      </c>
      <c r="B1561" s="20">
        <v>45758</v>
      </c>
      <c r="C1561" s="20">
        <v>45730</v>
      </c>
      <c r="D1561" t="s">
        <v>806</v>
      </c>
      <c r="E1561" t="s">
        <v>807</v>
      </c>
      <c r="F1561" s="19"/>
      <c r="G1561" t="s">
        <v>4360</v>
      </c>
      <c r="H1561" t="s">
        <v>3250</v>
      </c>
      <c r="I1561" t="s">
        <v>3457</v>
      </c>
      <c r="J1561" s="8" t="str">
        <f t="shared" si="150"/>
        <v>BAG-</v>
      </c>
      <c r="K1561" t="s">
        <v>10</v>
      </c>
      <c r="L1561" s="46">
        <v>-10000</v>
      </c>
      <c r="M1561" t="s">
        <v>1472</v>
      </c>
      <c r="N1561" t="s">
        <v>11</v>
      </c>
      <c r="O1561" s="49">
        <v>9.6000000000000002E-2</v>
      </c>
      <c r="P1561" s="9">
        <f t="shared" si="148"/>
        <v>-960</v>
      </c>
      <c r="Q1561" s="10">
        <f t="shared" si="151"/>
        <v>7.3003400000000003</v>
      </c>
      <c r="R1561" s="10">
        <f t="shared" si="152"/>
        <v>1.32E-2</v>
      </c>
      <c r="S1561" s="11">
        <f t="shared" si="153"/>
        <v>-132</v>
      </c>
      <c r="T1561" s="10" t="s">
        <v>349</v>
      </c>
      <c r="U1561" t="s">
        <v>810</v>
      </c>
      <c r="V1561" s="58">
        <v>7.1775000000000002</v>
      </c>
      <c r="W1561" s="38">
        <f t="shared" si="149"/>
        <v>-133.75130616509927</v>
      </c>
    </row>
    <row r="1562" spans="1:23" s="15" customFormat="1">
      <c r="A1562" t="s">
        <v>3878</v>
      </c>
      <c r="B1562" s="20">
        <v>45758</v>
      </c>
      <c r="C1562" s="20">
        <v>45716</v>
      </c>
      <c r="D1562" t="s">
        <v>128</v>
      </c>
      <c r="E1562" t="s">
        <v>129</v>
      </c>
      <c r="F1562" s="19"/>
      <c r="G1562" t="s">
        <v>4361</v>
      </c>
      <c r="H1562" t="s">
        <v>1587</v>
      </c>
      <c r="I1562" t="s">
        <v>1588</v>
      </c>
      <c r="J1562" s="8" t="str">
        <f t="shared" si="150"/>
        <v>RIV-</v>
      </c>
      <c r="K1562" t="s">
        <v>10</v>
      </c>
      <c r="L1562" s="46">
        <v>5000</v>
      </c>
      <c r="M1562" t="s">
        <v>1472</v>
      </c>
      <c r="N1562" t="s">
        <v>11</v>
      </c>
      <c r="O1562" s="49">
        <v>9.6100000000000005E-2</v>
      </c>
      <c r="P1562" s="9">
        <f t="shared" si="148"/>
        <v>480.5</v>
      </c>
      <c r="Q1562" s="10">
        <f t="shared" si="151"/>
        <v>7.3003400000000003</v>
      </c>
      <c r="R1562" s="10">
        <f t="shared" si="152"/>
        <v>1.32E-2</v>
      </c>
      <c r="S1562" s="11">
        <f t="shared" si="153"/>
        <v>66</v>
      </c>
      <c r="T1562" s="10" t="s">
        <v>349</v>
      </c>
      <c r="U1562" t="s">
        <v>132</v>
      </c>
      <c r="V1562" s="58">
        <v>7.1775000000000002</v>
      </c>
      <c r="W1562" s="38">
        <f t="shared" si="149"/>
        <v>66.945315221177296</v>
      </c>
    </row>
    <row r="1563" spans="1:23" s="15" customFormat="1">
      <c r="A1563" t="s">
        <v>3879</v>
      </c>
      <c r="B1563" s="20">
        <v>45758</v>
      </c>
      <c r="C1563" s="20">
        <v>45729</v>
      </c>
      <c r="D1563" t="s">
        <v>128</v>
      </c>
      <c r="E1563" t="s">
        <v>129</v>
      </c>
      <c r="F1563" s="19"/>
      <c r="G1563" t="s">
        <v>4361</v>
      </c>
      <c r="H1563" t="s">
        <v>1587</v>
      </c>
      <c r="I1563" t="s">
        <v>1588</v>
      </c>
      <c r="J1563" s="8" t="str">
        <f t="shared" si="150"/>
        <v>RIV-</v>
      </c>
      <c r="K1563" t="s">
        <v>10</v>
      </c>
      <c r="L1563" s="46">
        <v>3200</v>
      </c>
      <c r="M1563" t="s">
        <v>1472</v>
      </c>
      <c r="N1563" t="s">
        <v>11</v>
      </c>
      <c r="O1563" s="49">
        <v>9.6100000000000005E-2</v>
      </c>
      <c r="P1563" s="9">
        <f t="shared" si="148"/>
        <v>307.52</v>
      </c>
      <c r="Q1563" s="10">
        <f t="shared" si="151"/>
        <v>7.3003400000000003</v>
      </c>
      <c r="R1563" s="10">
        <f t="shared" si="152"/>
        <v>1.32E-2</v>
      </c>
      <c r="S1563" s="11">
        <f t="shared" si="153"/>
        <v>42.24</v>
      </c>
      <c r="T1563" s="10" t="s">
        <v>349</v>
      </c>
      <c r="U1563" t="s">
        <v>132</v>
      </c>
      <c r="V1563" s="58">
        <v>7.1775000000000002</v>
      </c>
      <c r="W1563" s="38">
        <f t="shared" si="149"/>
        <v>42.845001741553467</v>
      </c>
    </row>
    <row r="1564" spans="1:23" s="15" customFormat="1">
      <c r="A1564" t="s">
        <v>3880</v>
      </c>
      <c r="B1564" s="20">
        <v>45758</v>
      </c>
      <c r="C1564" s="20">
        <v>45729</v>
      </c>
      <c r="D1564" t="s">
        <v>128</v>
      </c>
      <c r="E1564" t="s">
        <v>129</v>
      </c>
      <c r="F1564" s="19"/>
      <c r="G1564" t="s">
        <v>4361</v>
      </c>
      <c r="H1564" t="s">
        <v>1587</v>
      </c>
      <c r="I1564" t="s">
        <v>1588</v>
      </c>
      <c r="J1564" s="8" t="str">
        <f t="shared" si="150"/>
        <v>RIV-</v>
      </c>
      <c r="K1564" t="s">
        <v>10</v>
      </c>
      <c r="L1564" s="46">
        <v>7200</v>
      </c>
      <c r="M1564" t="s">
        <v>1472</v>
      </c>
      <c r="N1564" t="s">
        <v>11</v>
      </c>
      <c r="O1564" s="49">
        <v>9.6100000000000005E-2</v>
      </c>
      <c r="P1564" s="9">
        <f t="shared" si="148"/>
        <v>691.92</v>
      </c>
      <c r="Q1564" s="10">
        <f t="shared" si="151"/>
        <v>7.3003400000000003</v>
      </c>
      <c r="R1564" s="10">
        <f t="shared" si="152"/>
        <v>1.32E-2</v>
      </c>
      <c r="S1564" s="11">
        <f t="shared" si="153"/>
        <v>95.04</v>
      </c>
      <c r="T1564" s="10" t="s">
        <v>349</v>
      </c>
      <c r="U1564" t="s">
        <v>132</v>
      </c>
      <c r="V1564" s="58">
        <v>7.1775000000000002</v>
      </c>
      <c r="W1564" s="38">
        <f t="shared" si="149"/>
        <v>96.4012539184953</v>
      </c>
    </row>
    <row r="1565" spans="1:23" s="15" customFormat="1">
      <c r="A1565" t="s">
        <v>3881</v>
      </c>
      <c r="B1565" s="20">
        <v>45762</v>
      </c>
      <c r="C1565" s="20">
        <v>45737</v>
      </c>
      <c r="D1565" t="s">
        <v>128</v>
      </c>
      <c r="E1565" t="s">
        <v>129</v>
      </c>
      <c r="F1565" s="19"/>
      <c r="G1565" t="s">
        <v>4357</v>
      </c>
      <c r="H1565" t="s">
        <v>1587</v>
      </c>
      <c r="I1565" t="s">
        <v>1588</v>
      </c>
      <c r="J1565" s="8" t="str">
        <f t="shared" si="150"/>
        <v>RIV-</v>
      </c>
      <c r="K1565" t="s">
        <v>10</v>
      </c>
      <c r="L1565" s="46">
        <v>2000</v>
      </c>
      <c r="M1565" t="s">
        <v>1472</v>
      </c>
      <c r="N1565" t="s">
        <v>11</v>
      </c>
      <c r="O1565" s="49">
        <v>9.6100000000000005E-2</v>
      </c>
      <c r="P1565" s="9">
        <f t="shared" si="148"/>
        <v>192.2</v>
      </c>
      <c r="Q1565" s="10">
        <f t="shared" si="151"/>
        <v>7.3003400000000003</v>
      </c>
      <c r="R1565" s="10">
        <f t="shared" si="152"/>
        <v>1.32E-2</v>
      </c>
      <c r="S1565" s="11">
        <f t="shared" si="153"/>
        <v>26.4</v>
      </c>
      <c r="T1565" s="10" t="s">
        <v>349</v>
      </c>
      <c r="U1565" t="s">
        <v>132</v>
      </c>
      <c r="V1565" s="58">
        <v>7.1775000000000002</v>
      </c>
      <c r="W1565" s="38">
        <f t="shared" si="149"/>
        <v>26.778126088470916</v>
      </c>
    </row>
    <row r="1566" spans="1:23" s="15" customFormat="1">
      <c r="A1566" t="s">
        <v>3882</v>
      </c>
      <c r="B1566" s="20">
        <v>45758</v>
      </c>
      <c r="C1566" s="20">
        <v>45742</v>
      </c>
      <c r="D1566" t="s">
        <v>806</v>
      </c>
      <c r="E1566" t="s">
        <v>807</v>
      </c>
      <c r="F1566" s="19"/>
      <c r="G1566" t="s">
        <v>4353</v>
      </c>
      <c r="H1566" t="s">
        <v>3215</v>
      </c>
      <c r="I1566" t="s">
        <v>3422</v>
      </c>
      <c r="J1566" s="8" t="str">
        <f t="shared" si="150"/>
        <v>BAG-</v>
      </c>
      <c r="K1566" t="s">
        <v>10</v>
      </c>
      <c r="L1566" s="46">
        <v>1300</v>
      </c>
      <c r="M1566" t="s">
        <v>1472</v>
      </c>
      <c r="N1566" t="s">
        <v>11</v>
      </c>
      <c r="O1566" s="49">
        <v>0.1</v>
      </c>
      <c r="P1566" s="9">
        <f t="shared" si="148"/>
        <v>130</v>
      </c>
      <c r="Q1566" s="10">
        <f t="shared" si="151"/>
        <v>7.3003400000000003</v>
      </c>
      <c r="R1566" s="10">
        <f t="shared" si="152"/>
        <v>1.37E-2</v>
      </c>
      <c r="S1566" s="11">
        <f t="shared" si="153"/>
        <v>17.809999999999999</v>
      </c>
      <c r="T1566" s="10" t="s">
        <v>349</v>
      </c>
      <c r="U1566" t="s">
        <v>810</v>
      </c>
      <c r="V1566" s="58">
        <v>7.1775000000000002</v>
      </c>
      <c r="W1566" s="38">
        <f t="shared" si="149"/>
        <v>18.112156043190527</v>
      </c>
    </row>
    <row r="1567" spans="1:23" s="15" customFormat="1">
      <c r="A1567" t="s">
        <v>3882</v>
      </c>
      <c r="B1567" s="20">
        <v>45755</v>
      </c>
      <c r="C1567" s="20">
        <v>45742</v>
      </c>
      <c r="D1567" t="s">
        <v>806</v>
      </c>
      <c r="E1567" t="s">
        <v>807</v>
      </c>
      <c r="F1567" s="19"/>
      <c r="G1567" t="s">
        <v>4362</v>
      </c>
      <c r="H1567" t="s">
        <v>3215</v>
      </c>
      <c r="I1567" t="s">
        <v>3422</v>
      </c>
      <c r="J1567" s="8" t="str">
        <f t="shared" si="150"/>
        <v>BAG-</v>
      </c>
      <c r="K1567" t="s">
        <v>10</v>
      </c>
      <c r="L1567" s="46">
        <v>7000</v>
      </c>
      <c r="M1567" t="s">
        <v>1472</v>
      </c>
      <c r="N1567" t="s">
        <v>11</v>
      </c>
      <c r="O1567" s="49">
        <v>0.1</v>
      </c>
      <c r="P1567" s="9">
        <f t="shared" si="148"/>
        <v>700</v>
      </c>
      <c r="Q1567" s="10">
        <f t="shared" si="151"/>
        <v>7.3003400000000003</v>
      </c>
      <c r="R1567" s="10">
        <f t="shared" si="152"/>
        <v>1.37E-2</v>
      </c>
      <c r="S1567" s="11">
        <f t="shared" si="153"/>
        <v>95.9</v>
      </c>
      <c r="T1567" s="10" t="s">
        <v>349</v>
      </c>
      <c r="U1567" t="s">
        <v>810</v>
      </c>
      <c r="V1567" s="58">
        <v>7.1775000000000002</v>
      </c>
      <c r="W1567" s="38">
        <f t="shared" si="149"/>
        <v>97.526994078718218</v>
      </c>
    </row>
    <row r="1568" spans="1:23" s="15" customFormat="1">
      <c r="A1568" t="s">
        <v>3882</v>
      </c>
      <c r="B1568" s="20">
        <v>45754</v>
      </c>
      <c r="C1568" s="20">
        <v>45742</v>
      </c>
      <c r="D1568" t="s">
        <v>806</v>
      </c>
      <c r="E1568" t="s">
        <v>807</v>
      </c>
      <c r="F1568" s="19"/>
      <c r="G1568" t="s">
        <v>4350</v>
      </c>
      <c r="H1568" t="s">
        <v>3215</v>
      </c>
      <c r="I1568" t="s">
        <v>3422</v>
      </c>
      <c r="J1568" s="8" t="str">
        <f t="shared" si="150"/>
        <v>BAG-</v>
      </c>
      <c r="K1568" t="s">
        <v>10</v>
      </c>
      <c r="L1568" s="46">
        <v>11700</v>
      </c>
      <c r="M1568" t="s">
        <v>1472</v>
      </c>
      <c r="N1568" t="s">
        <v>11</v>
      </c>
      <c r="O1568" s="49">
        <v>0.1</v>
      </c>
      <c r="P1568" s="9">
        <f t="shared" si="148"/>
        <v>1170</v>
      </c>
      <c r="Q1568" s="10">
        <f t="shared" si="151"/>
        <v>7.3003400000000003</v>
      </c>
      <c r="R1568" s="10">
        <f t="shared" si="152"/>
        <v>1.37E-2</v>
      </c>
      <c r="S1568" s="11">
        <f t="shared" si="153"/>
        <v>160.29</v>
      </c>
      <c r="T1568" s="10" t="s">
        <v>349</v>
      </c>
      <c r="U1568" t="s">
        <v>810</v>
      </c>
      <c r="V1568" s="58">
        <v>7.1775000000000002</v>
      </c>
      <c r="W1568" s="38">
        <f t="shared" si="149"/>
        <v>163.00940438871473</v>
      </c>
    </row>
    <row r="1569" spans="1:23" s="15" customFormat="1">
      <c r="A1569" t="s">
        <v>3883</v>
      </c>
      <c r="B1569" s="20">
        <v>45772</v>
      </c>
      <c r="C1569" s="20">
        <v>45761</v>
      </c>
      <c r="D1569" t="s">
        <v>806</v>
      </c>
      <c r="E1569" t="s">
        <v>807</v>
      </c>
      <c r="F1569" s="19"/>
      <c r="G1569" t="s">
        <v>4358</v>
      </c>
      <c r="H1569" t="s">
        <v>3215</v>
      </c>
      <c r="I1569" t="s">
        <v>3422</v>
      </c>
      <c r="J1569" s="8" t="str">
        <f t="shared" si="150"/>
        <v>BAG-</v>
      </c>
      <c r="K1569" t="s">
        <v>10</v>
      </c>
      <c r="L1569" s="46">
        <v>18900</v>
      </c>
      <c r="M1569" t="s">
        <v>1472</v>
      </c>
      <c r="N1569" t="s">
        <v>11</v>
      </c>
      <c r="O1569" s="49">
        <v>0.1</v>
      </c>
      <c r="P1569" s="9">
        <f t="shared" si="148"/>
        <v>1890</v>
      </c>
      <c r="Q1569" s="10">
        <f t="shared" si="151"/>
        <v>7.3003400000000003</v>
      </c>
      <c r="R1569" s="10">
        <f t="shared" si="152"/>
        <v>1.37E-2</v>
      </c>
      <c r="S1569" s="11">
        <f t="shared" si="153"/>
        <v>258.93</v>
      </c>
      <c r="T1569" s="10" t="s">
        <v>349</v>
      </c>
      <c r="U1569" t="s">
        <v>810</v>
      </c>
      <c r="V1569" s="58">
        <v>7.1775000000000002</v>
      </c>
      <c r="W1569" s="38">
        <f t="shared" si="149"/>
        <v>263.32288401253919</v>
      </c>
    </row>
    <row r="1570" spans="1:23" s="15" customFormat="1">
      <c r="A1570" t="s">
        <v>3884</v>
      </c>
      <c r="B1570" s="20">
        <v>45771</v>
      </c>
      <c r="C1570" s="20">
        <v>45756</v>
      </c>
      <c r="D1570" t="s">
        <v>545</v>
      </c>
      <c r="E1570" t="s">
        <v>546</v>
      </c>
      <c r="F1570" s="19"/>
      <c r="G1570" t="s">
        <v>4345</v>
      </c>
      <c r="H1570" t="s">
        <v>245</v>
      </c>
      <c r="I1570" t="s">
        <v>246</v>
      </c>
      <c r="J1570" s="8" t="str">
        <f t="shared" si="150"/>
        <v>WHR-</v>
      </c>
      <c r="K1570" t="s">
        <v>10</v>
      </c>
      <c r="L1570" s="46">
        <v>16000</v>
      </c>
      <c r="M1570" t="s">
        <v>1472</v>
      </c>
      <c r="N1570" t="s">
        <v>11</v>
      </c>
      <c r="O1570" s="49">
        <v>0.108</v>
      </c>
      <c r="P1570" s="9">
        <f t="shared" si="148"/>
        <v>1728</v>
      </c>
      <c r="Q1570" s="10">
        <f t="shared" si="151"/>
        <v>7.3003400000000003</v>
      </c>
      <c r="R1570" s="10">
        <f t="shared" si="152"/>
        <v>1.4800000000000001E-2</v>
      </c>
      <c r="S1570" s="11">
        <f t="shared" si="153"/>
        <v>236.8</v>
      </c>
      <c r="T1570" s="10" t="s">
        <v>349</v>
      </c>
      <c r="U1570" t="s">
        <v>248</v>
      </c>
      <c r="V1570" s="58">
        <v>7.1775000000000002</v>
      </c>
      <c r="W1570" s="38">
        <f t="shared" si="149"/>
        <v>240.75235109717869</v>
      </c>
    </row>
    <row r="1571" spans="1:23" s="15" customFormat="1">
      <c r="A1571" t="s">
        <v>3885</v>
      </c>
      <c r="B1571" s="20">
        <v>45771</v>
      </c>
      <c r="C1571" s="20">
        <v>45765</v>
      </c>
      <c r="D1571" t="s">
        <v>545</v>
      </c>
      <c r="E1571" t="s">
        <v>546</v>
      </c>
      <c r="F1571" s="19"/>
      <c r="G1571" t="s">
        <v>4345</v>
      </c>
      <c r="H1571" t="s">
        <v>245</v>
      </c>
      <c r="I1571" t="s">
        <v>246</v>
      </c>
      <c r="J1571" s="8" t="str">
        <f t="shared" si="150"/>
        <v>WHR-</v>
      </c>
      <c r="K1571" t="s">
        <v>10</v>
      </c>
      <c r="L1571" s="46">
        <v>8500</v>
      </c>
      <c r="M1571" t="s">
        <v>1472</v>
      </c>
      <c r="N1571" t="s">
        <v>11</v>
      </c>
      <c r="O1571" s="49">
        <v>0.108</v>
      </c>
      <c r="P1571" s="9">
        <f t="shared" si="148"/>
        <v>918</v>
      </c>
      <c r="Q1571" s="10">
        <f t="shared" si="151"/>
        <v>7.3003400000000003</v>
      </c>
      <c r="R1571" s="10">
        <f t="shared" si="152"/>
        <v>1.4800000000000001E-2</v>
      </c>
      <c r="S1571" s="11">
        <f t="shared" si="153"/>
        <v>125.8</v>
      </c>
      <c r="T1571" s="10" t="s">
        <v>349</v>
      </c>
      <c r="U1571" t="s">
        <v>248</v>
      </c>
      <c r="V1571" s="58">
        <v>7.1775000000000002</v>
      </c>
      <c r="W1571" s="38">
        <f t="shared" si="149"/>
        <v>127.89968652037618</v>
      </c>
    </row>
    <row r="1572" spans="1:23" s="15" customFormat="1">
      <c r="A1572" t="s">
        <v>3886</v>
      </c>
      <c r="B1572" s="20">
        <v>45765</v>
      </c>
      <c r="C1572" s="20">
        <v>45744</v>
      </c>
      <c r="D1572" t="s">
        <v>162</v>
      </c>
      <c r="E1572" t="s">
        <v>163</v>
      </c>
      <c r="F1572" s="19"/>
      <c r="G1572" t="s">
        <v>4354</v>
      </c>
      <c r="H1572" t="s">
        <v>3526</v>
      </c>
      <c r="I1572" t="s">
        <v>3527</v>
      </c>
      <c r="J1572" s="8" t="str">
        <f t="shared" si="150"/>
        <v>SCR-</v>
      </c>
      <c r="K1572" t="s">
        <v>10</v>
      </c>
      <c r="L1572" s="46">
        <v>2050</v>
      </c>
      <c r="M1572" t="s">
        <v>1472</v>
      </c>
      <c r="N1572" t="s">
        <v>11</v>
      </c>
      <c r="O1572" s="49">
        <v>0.109</v>
      </c>
      <c r="P1572" s="9">
        <f t="shared" si="148"/>
        <v>223.45</v>
      </c>
      <c r="Q1572" s="10">
        <f t="shared" si="151"/>
        <v>7.3003400000000003</v>
      </c>
      <c r="R1572" s="10">
        <f t="shared" si="152"/>
        <v>1.49E-2</v>
      </c>
      <c r="S1572" s="11">
        <f t="shared" si="153"/>
        <v>30.55</v>
      </c>
      <c r="T1572" s="10" t="s">
        <v>349</v>
      </c>
      <c r="U1572" t="s">
        <v>166</v>
      </c>
      <c r="V1572" s="58">
        <v>7.1775000000000002</v>
      </c>
      <c r="W1572" s="38">
        <f t="shared" si="149"/>
        <v>31.132009752699407</v>
      </c>
    </row>
    <row r="1573" spans="1:23" s="15" customFormat="1">
      <c r="A1573" t="s">
        <v>3887</v>
      </c>
      <c r="B1573" s="20">
        <v>45763</v>
      </c>
      <c r="C1573" s="20">
        <v>45729</v>
      </c>
      <c r="D1573" t="s">
        <v>143</v>
      </c>
      <c r="E1573" t="s">
        <v>144</v>
      </c>
      <c r="F1573" s="19"/>
      <c r="G1573" t="s">
        <v>4363</v>
      </c>
      <c r="H1573" t="s">
        <v>245</v>
      </c>
      <c r="I1573" t="s">
        <v>246</v>
      </c>
      <c r="J1573" s="8" t="str">
        <f t="shared" si="150"/>
        <v>WHR-</v>
      </c>
      <c r="K1573" t="s">
        <v>10</v>
      </c>
      <c r="L1573" s="46">
        <v>8600</v>
      </c>
      <c r="M1573" t="s">
        <v>1472</v>
      </c>
      <c r="N1573" t="s">
        <v>11</v>
      </c>
      <c r="O1573" s="49">
        <v>0.1096</v>
      </c>
      <c r="P1573" s="9">
        <f t="shared" si="148"/>
        <v>942.56</v>
      </c>
      <c r="Q1573" s="10">
        <f t="shared" si="151"/>
        <v>7.3003400000000003</v>
      </c>
      <c r="R1573" s="10">
        <f t="shared" si="152"/>
        <v>1.4999999999999999E-2</v>
      </c>
      <c r="S1573" s="11">
        <f t="shared" si="153"/>
        <v>129</v>
      </c>
      <c r="T1573" s="10" t="s">
        <v>349</v>
      </c>
      <c r="U1573" t="s">
        <v>248</v>
      </c>
      <c r="V1573" s="58">
        <v>7.1775000000000002</v>
      </c>
      <c r="W1573" s="38">
        <f t="shared" si="149"/>
        <v>131.32149076976663</v>
      </c>
    </row>
    <row r="1574" spans="1:23" s="15" customFormat="1">
      <c r="A1574" t="s">
        <v>3888</v>
      </c>
      <c r="B1574" s="20">
        <v>45763</v>
      </c>
      <c r="C1574" s="20">
        <v>45737</v>
      </c>
      <c r="D1574" t="s">
        <v>143</v>
      </c>
      <c r="E1574" t="s">
        <v>144</v>
      </c>
      <c r="F1574" s="19"/>
      <c r="G1574" t="s">
        <v>4363</v>
      </c>
      <c r="H1574" t="s">
        <v>245</v>
      </c>
      <c r="I1574" t="s">
        <v>246</v>
      </c>
      <c r="J1574" s="8" t="str">
        <f t="shared" si="150"/>
        <v>WHR-</v>
      </c>
      <c r="K1574" t="s">
        <v>10</v>
      </c>
      <c r="L1574" s="46">
        <v>2000</v>
      </c>
      <c r="M1574" t="s">
        <v>1472</v>
      </c>
      <c r="N1574" t="s">
        <v>11</v>
      </c>
      <c r="O1574" s="49">
        <v>0.1096</v>
      </c>
      <c r="P1574" s="9">
        <f t="shared" si="148"/>
        <v>219.2</v>
      </c>
      <c r="Q1574" s="10">
        <f t="shared" si="151"/>
        <v>7.3003400000000003</v>
      </c>
      <c r="R1574" s="10">
        <f t="shared" si="152"/>
        <v>1.4999999999999999E-2</v>
      </c>
      <c r="S1574" s="11">
        <f t="shared" si="153"/>
        <v>30</v>
      </c>
      <c r="T1574" s="10" t="s">
        <v>349</v>
      </c>
      <c r="U1574" t="s">
        <v>248</v>
      </c>
      <c r="V1574" s="58">
        <v>7.1775000000000002</v>
      </c>
      <c r="W1574" s="38">
        <f t="shared" si="149"/>
        <v>30.539881574364333</v>
      </c>
    </row>
    <row r="1575" spans="1:23" s="15" customFormat="1">
      <c r="A1575" t="s">
        <v>3889</v>
      </c>
      <c r="B1575" s="20">
        <v>45763</v>
      </c>
      <c r="C1575" s="20">
        <v>45744</v>
      </c>
      <c r="D1575" t="s">
        <v>101</v>
      </c>
      <c r="E1575" t="s">
        <v>102</v>
      </c>
      <c r="F1575" s="19"/>
      <c r="G1575" t="s">
        <v>4348</v>
      </c>
      <c r="H1575" t="s">
        <v>3528</v>
      </c>
      <c r="I1575" t="s">
        <v>3529</v>
      </c>
      <c r="J1575" s="8" t="str">
        <f t="shared" si="150"/>
        <v>STKR</v>
      </c>
      <c r="K1575" t="s">
        <v>10</v>
      </c>
      <c r="L1575" s="46">
        <v>1010</v>
      </c>
      <c r="M1575" t="s">
        <v>1472</v>
      </c>
      <c r="N1575" t="s">
        <v>11</v>
      </c>
      <c r="O1575" s="49">
        <v>0.11</v>
      </c>
      <c r="P1575" s="9">
        <f t="shared" si="148"/>
        <v>111.1</v>
      </c>
      <c r="Q1575" s="10">
        <f t="shared" si="151"/>
        <v>7.3003400000000003</v>
      </c>
      <c r="R1575" s="10">
        <f t="shared" si="152"/>
        <v>1.5100000000000001E-2</v>
      </c>
      <c r="S1575" s="11">
        <f t="shared" si="153"/>
        <v>15.25</v>
      </c>
      <c r="T1575" s="10" t="s">
        <v>349</v>
      </c>
      <c r="U1575" t="s">
        <v>18</v>
      </c>
      <c r="V1575" s="58">
        <v>7.1775000000000002</v>
      </c>
      <c r="W1575" s="38">
        <f t="shared" si="149"/>
        <v>15.478927203065133</v>
      </c>
    </row>
    <row r="1576" spans="1:23" s="15" customFormat="1">
      <c r="A1576" t="s">
        <v>3890</v>
      </c>
      <c r="B1576" s="20">
        <v>45761</v>
      </c>
      <c r="C1576" s="20">
        <v>45755</v>
      </c>
      <c r="D1576" t="s">
        <v>806</v>
      </c>
      <c r="E1576" t="s">
        <v>807</v>
      </c>
      <c r="F1576" s="19"/>
      <c r="G1576" t="s">
        <v>4359</v>
      </c>
      <c r="H1576" t="s">
        <v>3251</v>
      </c>
      <c r="I1576" t="s">
        <v>3458</v>
      </c>
      <c r="J1576" s="8" t="str">
        <f t="shared" si="150"/>
        <v>BAG-</v>
      </c>
      <c r="K1576" t="s">
        <v>10</v>
      </c>
      <c r="L1576" s="46">
        <v>5000</v>
      </c>
      <c r="M1576" t="s">
        <v>1472</v>
      </c>
      <c r="N1576" t="s">
        <v>11</v>
      </c>
      <c r="O1576" s="49">
        <v>0.113</v>
      </c>
      <c r="P1576" s="9">
        <f t="shared" si="148"/>
        <v>565</v>
      </c>
      <c r="Q1576" s="10">
        <f t="shared" si="151"/>
        <v>7.3003400000000003</v>
      </c>
      <c r="R1576" s="10">
        <f t="shared" si="152"/>
        <v>1.55E-2</v>
      </c>
      <c r="S1576" s="11">
        <f t="shared" si="153"/>
        <v>77.5</v>
      </c>
      <c r="T1576" s="10" t="s">
        <v>349</v>
      </c>
      <c r="U1576" t="s">
        <v>810</v>
      </c>
      <c r="V1576" s="58">
        <v>7.1775000000000002</v>
      </c>
      <c r="W1576" s="38">
        <f t="shared" si="149"/>
        <v>78.718216649251119</v>
      </c>
    </row>
    <row r="1577" spans="1:23" s="15" customFormat="1">
      <c r="A1577" t="s">
        <v>3891</v>
      </c>
      <c r="B1577" s="20">
        <v>45750</v>
      </c>
      <c r="C1577" s="20">
        <v>45744</v>
      </c>
      <c r="D1577" t="s">
        <v>162</v>
      </c>
      <c r="E1577" t="s">
        <v>163</v>
      </c>
      <c r="F1577" s="19"/>
      <c r="G1577" t="s">
        <v>4355</v>
      </c>
      <c r="H1577" t="s">
        <v>573</v>
      </c>
      <c r="I1577" t="s">
        <v>574</v>
      </c>
      <c r="J1577" s="8" t="str">
        <f t="shared" si="150"/>
        <v>SCR-</v>
      </c>
      <c r="K1577" t="s">
        <v>10</v>
      </c>
      <c r="L1577" s="46">
        <v>1100</v>
      </c>
      <c r="M1577" t="s">
        <v>1472</v>
      </c>
      <c r="N1577" t="s">
        <v>11</v>
      </c>
      <c r="O1577" s="49">
        <v>0.11700000000000001</v>
      </c>
      <c r="P1577" s="9">
        <f t="shared" si="148"/>
        <v>128.69999999999999</v>
      </c>
      <c r="Q1577" s="10">
        <f t="shared" si="151"/>
        <v>7.3003400000000003</v>
      </c>
      <c r="R1577" s="10">
        <f t="shared" si="152"/>
        <v>1.6E-2</v>
      </c>
      <c r="S1577" s="11">
        <f t="shared" si="153"/>
        <v>17.600000000000001</v>
      </c>
      <c r="T1577" s="10" t="s">
        <v>349</v>
      </c>
      <c r="U1577" t="s">
        <v>166</v>
      </c>
      <c r="V1577" s="58">
        <v>7.1775000000000002</v>
      </c>
      <c r="W1577" s="38">
        <f t="shared" si="149"/>
        <v>17.931034482758623</v>
      </c>
    </row>
    <row r="1578" spans="1:23" s="15" customFormat="1">
      <c r="A1578" t="s">
        <v>3892</v>
      </c>
      <c r="B1578" s="20">
        <v>45749</v>
      </c>
      <c r="C1578" s="20">
        <v>45737</v>
      </c>
      <c r="D1578" t="s">
        <v>569</v>
      </c>
      <c r="E1578" t="s">
        <v>570</v>
      </c>
      <c r="F1578" s="19"/>
      <c r="G1578" t="s">
        <v>4364</v>
      </c>
      <c r="H1578" t="s">
        <v>1412</v>
      </c>
      <c r="I1578" t="s">
        <v>1413</v>
      </c>
      <c r="J1578" s="8" t="str">
        <f t="shared" si="150"/>
        <v>WHR-</v>
      </c>
      <c r="K1578" t="s">
        <v>10</v>
      </c>
      <c r="L1578" s="46">
        <v>3000</v>
      </c>
      <c r="M1578" t="s">
        <v>1472</v>
      </c>
      <c r="N1578" t="s">
        <v>11</v>
      </c>
      <c r="O1578" s="49">
        <v>0.1176</v>
      </c>
      <c r="P1578" s="9">
        <f t="shared" si="148"/>
        <v>352.8</v>
      </c>
      <c r="Q1578" s="10">
        <f t="shared" si="151"/>
        <v>7.3003400000000003</v>
      </c>
      <c r="R1578" s="10">
        <f t="shared" si="152"/>
        <v>1.61E-2</v>
      </c>
      <c r="S1578" s="11">
        <f t="shared" si="153"/>
        <v>48.3</v>
      </c>
      <c r="T1578" s="10" t="s">
        <v>349</v>
      </c>
      <c r="U1578" t="s">
        <v>248</v>
      </c>
      <c r="V1578" s="58">
        <v>7.1775000000000002</v>
      </c>
      <c r="W1578" s="38">
        <f t="shared" si="149"/>
        <v>49.153605015673982</v>
      </c>
    </row>
    <row r="1579" spans="1:23" s="15" customFormat="1">
      <c r="A1579" t="s">
        <v>3893</v>
      </c>
      <c r="B1579" s="20">
        <v>45763</v>
      </c>
      <c r="C1579" s="20">
        <v>45750</v>
      </c>
      <c r="D1579" t="s">
        <v>569</v>
      </c>
      <c r="E1579" t="s">
        <v>570</v>
      </c>
      <c r="F1579" s="19"/>
      <c r="G1579" t="s">
        <v>4365</v>
      </c>
      <c r="H1579" t="s">
        <v>1412</v>
      </c>
      <c r="I1579" t="s">
        <v>1413</v>
      </c>
      <c r="J1579" s="8" t="str">
        <f t="shared" si="150"/>
        <v>WHR-</v>
      </c>
      <c r="K1579" t="s">
        <v>10</v>
      </c>
      <c r="L1579" s="46">
        <v>1200</v>
      </c>
      <c r="M1579" t="s">
        <v>1472</v>
      </c>
      <c r="N1579" t="s">
        <v>11</v>
      </c>
      <c r="O1579" s="49">
        <v>0.12</v>
      </c>
      <c r="P1579" s="9">
        <f t="shared" si="148"/>
        <v>144</v>
      </c>
      <c r="Q1579" s="10">
        <f t="shared" si="151"/>
        <v>7.3003400000000003</v>
      </c>
      <c r="R1579" s="10">
        <f t="shared" si="152"/>
        <v>1.6400000000000001E-2</v>
      </c>
      <c r="S1579" s="11">
        <f t="shared" si="153"/>
        <v>19.68</v>
      </c>
      <c r="T1579" s="10" t="s">
        <v>349</v>
      </c>
      <c r="U1579" t="s">
        <v>248</v>
      </c>
      <c r="V1579" s="58">
        <v>7.1775000000000002</v>
      </c>
      <c r="W1579" s="38">
        <f t="shared" si="149"/>
        <v>20.062695924764888</v>
      </c>
    </row>
    <row r="1580" spans="1:23" s="15" customFormat="1">
      <c r="A1580" t="s">
        <v>3894</v>
      </c>
      <c r="B1580" s="20">
        <v>45764</v>
      </c>
      <c r="C1580" s="20">
        <v>45755</v>
      </c>
      <c r="D1580" t="s">
        <v>169</v>
      </c>
      <c r="E1580" t="s">
        <v>170</v>
      </c>
      <c r="F1580" s="19"/>
      <c r="G1580" t="s">
        <v>4366</v>
      </c>
      <c r="H1580" t="s">
        <v>3158</v>
      </c>
      <c r="I1580" t="s">
        <v>3368</v>
      </c>
      <c r="J1580" s="8" t="str">
        <f t="shared" si="150"/>
        <v>PAP-</v>
      </c>
      <c r="K1580" t="s">
        <v>10</v>
      </c>
      <c r="L1580" s="46">
        <v>6000</v>
      </c>
      <c r="M1580" t="s">
        <v>1472</v>
      </c>
      <c r="N1580" t="s">
        <v>11</v>
      </c>
      <c r="O1580" s="49">
        <v>0.12</v>
      </c>
      <c r="P1580" s="9">
        <f t="shared" si="148"/>
        <v>720</v>
      </c>
      <c r="Q1580" s="10">
        <f t="shared" si="151"/>
        <v>7.3003400000000003</v>
      </c>
      <c r="R1580" s="10">
        <f t="shared" si="152"/>
        <v>1.6400000000000001E-2</v>
      </c>
      <c r="S1580" s="11">
        <f t="shared" si="153"/>
        <v>98.4</v>
      </c>
      <c r="T1580" s="10" t="s">
        <v>349</v>
      </c>
      <c r="U1580" t="s">
        <v>1094</v>
      </c>
      <c r="V1580" s="58">
        <v>7.1775000000000002</v>
      </c>
      <c r="W1580" s="38">
        <f t="shared" si="149"/>
        <v>100.31347962382443</v>
      </c>
    </row>
    <row r="1581" spans="1:23" s="15" customFormat="1">
      <c r="A1581" t="s">
        <v>3895</v>
      </c>
      <c r="B1581" s="20">
        <v>45754</v>
      </c>
      <c r="C1581" s="20">
        <v>45742</v>
      </c>
      <c r="D1581" t="s">
        <v>806</v>
      </c>
      <c r="E1581" t="s">
        <v>807</v>
      </c>
      <c r="F1581" s="19"/>
      <c r="G1581" t="s">
        <v>4350</v>
      </c>
      <c r="H1581" t="s">
        <v>3253</v>
      </c>
      <c r="I1581" t="s">
        <v>3460</v>
      </c>
      <c r="J1581" s="8" t="str">
        <f t="shared" si="150"/>
        <v>BAG-</v>
      </c>
      <c r="K1581" t="s">
        <v>10</v>
      </c>
      <c r="L1581" s="46">
        <v>1000</v>
      </c>
      <c r="M1581" t="s">
        <v>1472</v>
      </c>
      <c r="N1581" t="s">
        <v>11</v>
      </c>
      <c r="O1581" s="49">
        <v>0.13</v>
      </c>
      <c r="P1581" s="9">
        <f t="shared" si="148"/>
        <v>130</v>
      </c>
      <c r="Q1581" s="10">
        <f t="shared" si="151"/>
        <v>7.3003400000000003</v>
      </c>
      <c r="R1581" s="10">
        <f t="shared" si="152"/>
        <v>1.78E-2</v>
      </c>
      <c r="S1581" s="11">
        <f t="shared" si="153"/>
        <v>17.8</v>
      </c>
      <c r="T1581" s="10" t="s">
        <v>349</v>
      </c>
      <c r="U1581" t="s">
        <v>810</v>
      </c>
      <c r="V1581" s="58">
        <v>7.1775000000000002</v>
      </c>
      <c r="W1581" s="38">
        <f t="shared" si="149"/>
        <v>18.112156043190524</v>
      </c>
    </row>
    <row r="1582" spans="1:23" s="15" customFormat="1">
      <c r="A1582" t="s">
        <v>3896</v>
      </c>
      <c r="B1582" s="20">
        <v>45758</v>
      </c>
      <c r="C1582" s="20">
        <v>45742</v>
      </c>
      <c r="D1582" t="s">
        <v>806</v>
      </c>
      <c r="E1582" t="s">
        <v>807</v>
      </c>
      <c r="F1582" s="19"/>
      <c r="G1582" t="s">
        <v>4353</v>
      </c>
      <c r="H1582" t="s">
        <v>3216</v>
      </c>
      <c r="I1582" t="s">
        <v>3423</v>
      </c>
      <c r="J1582" s="8" t="str">
        <f t="shared" si="150"/>
        <v>BAG-</v>
      </c>
      <c r="K1582" t="s">
        <v>10</v>
      </c>
      <c r="L1582" s="46">
        <v>8000</v>
      </c>
      <c r="M1582" t="s">
        <v>1472</v>
      </c>
      <c r="N1582" t="s">
        <v>11</v>
      </c>
      <c r="O1582" s="49">
        <v>0.13</v>
      </c>
      <c r="P1582" s="9">
        <f t="shared" si="148"/>
        <v>1040</v>
      </c>
      <c r="Q1582" s="10">
        <f t="shared" si="151"/>
        <v>7.3003400000000003</v>
      </c>
      <c r="R1582" s="10">
        <f t="shared" si="152"/>
        <v>1.78E-2</v>
      </c>
      <c r="S1582" s="11">
        <f t="shared" si="153"/>
        <v>142.4</v>
      </c>
      <c r="T1582" s="10" t="s">
        <v>349</v>
      </c>
      <c r="U1582" t="s">
        <v>810</v>
      </c>
      <c r="V1582" s="58">
        <v>7.1775000000000002</v>
      </c>
      <c r="W1582" s="38">
        <f t="shared" si="149"/>
        <v>144.89724834552419</v>
      </c>
    </row>
    <row r="1583" spans="1:23" s="15" customFormat="1">
      <c r="A1583" t="s">
        <v>3896</v>
      </c>
      <c r="B1583" s="20">
        <v>45755</v>
      </c>
      <c r="C1583" s="20">
        <v>45742</v>
      </c>
      <c r="D1583" t="s">
        <v>806</v>
      </c>
      <c r="E1583" t="s">
        <v>807</v>
      </c>
      <c r="F1583" s="19"/>
      <c r="G1583" t="s">
        <v>4362</v>
      </c>
      <c r="H1583" t="s">
        <v>3216</v>
      </c>
      <c r="I1583" t="s">
        <v>3423</v>
      </c>
      <c r="J1583" s="8" t="str">
        <f t="shared" si="150"/>
        <v>BAG-</v>
      </c>
      <c r="K1583" t="s">
        <v>10</v>
      </c>
      <c r="L1583" s="46">
        <v>12000</v>
      </c>
      <c r="M1583" t="s">
        <v>1472</v>
      </c>
      <c r="N1583" t="s">
        <v>11</v>
      </c>
      <c r="O1583" s="49">
        <v>0.13</v>
      </c>
      <c r="P1583" s="9">
        <f t="shared" si="148"/>
        <v>1560</v>
      </c>
      <c r="Q1583" s="10">
        <f t="shared" si="151"/>
        <v>7.3003400000000003</v>
      </c>
      <c r="R1583" s="10">
        <f t="shared" si="152"/>
        <v>1.78E-2</v>
      </c>
      <c r="S1583" s="11">
        <f t="shared" si="153"/>
        <v>213.6</v>
      </c>
      <c r="T1583" s="10" t="s">
        <v>349</v>
      </c>
      <c r="U1583" t="s">
        <v>810</v>
      </c>
      <c r="V1583" s="58">
        <v>7.1775000000000002</v>
      </c>
      <c r="W1583" s="38">
        <f t="shared" si="149"/>
        <v>217.34587251828628</v>
      </c>
    </row>
    <row r="1584" spans="1:23" s="15" customFormat="1">
      <c r="A1584" t="s">
        <v>3897</v>
      </c>
      <c r="B1584" s="20">
        <v>45775</v>
      </c>
      <c r="C1584" s="20">
        <v>45761</v>
      </c>
      <c r="D1584" t="s">
        <v>806</v>
      </c>
      <c r="E1584" t="s">
        <v>807</v>
      </c>
      <c r="F1584" s="19"/>
      <c r="G1584" t="s">
        <v>4367</v>
      </c>
      <c r="H1584" t="s">
        <v>3216</v>
      </c>
      <c r="I1584" t="s">
        <v>3423</v>
      </c>
      <c r="J1584" s="8" t="str">
        <f t="shared" si="150"/>
        <v>BAG-</v>
      </c>
      <c r="K1584" t="s">
        <v>10</v>
      </c>
      <c r="L1584" s="46">
        <v>30000</v>
      </c>
      <c r="M1584" t="s">
        <v>1472</v>
      </c>
      <c r="N1584" t="s">
        <v>11</v>
      </c>
      <c r="O1584" s="49">
        <v>0.13</v>
      </c>
      <c r="P1584" s="9">
        <f t="shared" si="148"/>
        <v>3900</v>
      </c>
      <c r="Q1584" s="10">
        <f t="shared" si="151"/>
        <v>7.3003400000000003</v>
      </c>
      <c r="R1584" s="10">
        <f t="shared" si="152"/>
        <v>1.78E-2</v>
      </c>
      <c r="S1584" s="11">
        <f t="shared" si="153"/>
        <v>534</v>
      </c>
      <c r="T1584" s="10" t="s">
        <v>349</v>
      </c>
      <c r="U1584" t="s">
        <v>810</v>
      </c>
      <c r="V1584" s="58">
        <v>7.1775000000000002</v>
      </c>
      <c r="W1584" s="38">
        <f t="shared" si="149"/>
        <v>543.36468129571574</v>
      </c>
    </row>
    <row r="1585" spans="1:23" s="15" customFormat="1">
      <c r="A1585" t="s">
        <v>3898</v>
      </c>
      <c r="B1585" s="20">
        <v>45754</v>
      </c>
      <c r="C1585" s="20">
        <v>45729</v>
      </c>
      <c r="D1585" t="s">
        <v>235</v>
      </c>
      <c r="E1585" t="s">
        <v>236</v>
      </c>
      <c r="F1585" s="19"/>
      <c r="G1585" t="s">
        <v>4368</v>
      </c>
      <c r="H1585" t="s">
        <v>1352</v>
      </c>
      <c r="I1585" t="s">
        <v>1353</v>
      </c>
      <c r="J1585" s="8" t="str">
        <f t="shared" si="150"/>
        <v>RIV-</v>
      </c>
      <c r="K1585" t="s">
        <v>10</v>
      </c>
      <c r="L1585" s="46">
        <v>87000</v>
      </c>
      <c r="M1585" t="s">
        <v>1472</v>
      </c>
      <c r="N1585" t="s">
        <v>11</v>
      </c>
      <c r="O1585" s="49">
        <v>0.13150000000000001</v>
      </c>
      <c r="P1585" s="9">
        <f t="shared" si="148"/>
        <v>11440.5</v>
      </c>
      <c r="Q1585" s="10">
        <f t="shared" si="151"/>
        <v>7.3003400000000003</v>
      </c>
      <c r="R1585" s="10">
        <f t="shared" si="152"/>
        <v>1.7999999999999999E-2</v>
      </c>
      <c r="S1585" s="11">
        <f t="shared" si="153"/>
        <v>1566</v>
      </c>
      <c r="T1585" s="10" t="s">
        <v>349</v>
      </c>
      <c r="U1585" t="s">
        <v>132</v>
      </c>
      <c r="V1585" s="58">
        <v>7.1775000000000002</v>
      </c>
      <c r="W1585" s="38">
        <f t="shared" si="149"/>
        <v>1593.939393939394</v>
      </c>
    </row>
    <row r="1586" spans="1:23" s="15" customFormat="1">
      <c r="A1586" t="s">
        <v>3899</v>
      </c>
      <c r="B1586" s="20">
        <v>45776</v>
      </c>
      <c r="C1586" s="20">
        <v>45744</v>
      </c>
      <c r="D1586" t="s">
        <v>235</v>
      </c>
      <c r="E1586" t="s">
        <v>236</v>
      </c>
      <c r="F1586" s="19"/>
      <c r="G1586" t="s">
        <v>4369</v>
      </c>
      <c r="H1586" t="s">
        <v>1352</v>
      </c>
      <c r="I1586" t="s">
        <v>1353</v>
      </c>
      <c r="J1586" s="8" t="str">
        <f t="shared" si="150"/>
        <v>RIV-</v>
      </c>
      <c r="K1586" t="s">
        <v>10</v>
      </c>
      <c r="L1586" s="46">
        <v>111000</v>
      </c>
      <c r="M1586" t="s">
        <v>1472</v>
      </c>
      <c r="N1586" t="s">
        <v>11</v>
      </c>
      <c r="O1586" s="49">
        <v>0.13150000000000001</v>
      </c>
      <c r="P1586" s="9">
        <f t="shared" si="148"/>
        <v>14596.5</v>
      </c>
      <c r="Q1586" s="10">
        <f t="shared" si="151"/>
        <v>7.3003400000000003</v>
      </c>
      <c r="R1586" s="10">
        <f t="shared" si="152"/>
        <v>1.7999999999999999E-2</v>
      </c>
      <c r="S1586" s="11">
        <f t="shared" si="153"/>
        <v>1998</v>
      </c>
      <c r="T1586" s="10" t="s">
        <v>349</v>
      </c>
      <c r="U1586" t="s">
        <v>132</v>
      </c>
      <c r="V1586" s="58">
        <v>7.1775000000000002</v>
      </c>
      <c r="W1586" s="38">
        <f t="shared" si="149"/>
        <v>2033.6468129571576</v>
      </c>
    </row>
    <row r="1587" spans="1:23" s="15" customFormat="1">
      <c r="A1587" t="s">
        <v>3899</v>
      </c>
      <c r="B1587" s="20">
        <v>45772</v>
      </c>
      <c r="C1587" s="20">
        <v>45744</v>
      </c>
      <c r="D1587" t="s">
        <v>235</v>
      </c>
      <c r="E1587" t="s">
        <v>236</v>
      </c>
      <c r="F1587" s="19"/>
      <c r="G1587" t="s">
        <v>4370</v>
      </c>
      <c r="H1587" t="s">
        <v>1352</v>
      </c>
      <c r="I1587" t="s">
        <v>1353</v>
      </c>
      <c r="J1587" s="8" t="str">
        <f t="shared" si="150"/>
        <v>RIV-</v>
      </c>
      <c r="K1587" t="s">
        <v>10</v>
      </c>
      <c r="L1587" s="46">
        <v>60000</v>
      </c>
      <c r="M1587" t="s">
        <v>1472</v>
      </c>
      <c r="N1587" t="s">
        <v>11</v>
      </c>
      <c r="O1587" s="49">
        <v>0.13150000000000001</v>
      </c>
      <c r="P1587" s="9">
        <f t="shared" si="148"/>
        <v>7890</v>
      </c>
      <c r="Q1587" s="10">
        <f t="shared" si="151"/>
        <v>7.3003400000000003</v>
      </c>
      <c r="R1587" s="10">
        <f t="shared" si="152"/>
        <v>1.7999999999999999E-2</v>
      </c>
      <c r="S1587" s="11">
        <f t="shared" si="153"/>
        <v>1080</v>
      </c>
      <c r="T1587" s="10" t="s">
        <v>349</v>
      </c>
      <c r="U1587" t="s">
        <v>132</v>
      </c>
      <c r="V1587" s="58">
        <v>7.1775000000000002</v>
      </c>
      <c r="W1587" s="38">
        <f t="shared" si="149"/>
        <v>1099.2685475444096</v>
      </c>
    </row>
    <row r="1588" spans="1:23" s="15" customFormat="1">
      <c r="A1588" t="s">
        <v>3900</v>
      </c>
      <c r="B1588" s="20">
        <v>45758</v>
      </c>
      <c r="C1588" s="20">
        <v>45742</v>
      </c>
      <c r="D1588" t="s">
        <v>806</v>
      </c>
      <c r="E1588" t="s">
        <v>807</v>
      </c>
      <c r="F1588" s="19"/>
      <c r="G1588" t="s">
        <v>4351</v>
      </c>
      <c r="H1588" t="s">
        <v>3530</v>
      </c>
      <c r="I1588" t="s">
        <v>3531</v>
      </c>
      <c r="J1588" s="8" t="str">
        <f t="shared" si="150"/>
        <v>BAG-</v>
      </c>
      <c r="K1588" t="s">
        <v>10</v>
      </c>
      <c r="L1588" s="46">
        <v>1000</v>
      </c>
      <c r="M1588" t="s">
        <v>1472</v>
      </c>
      <c r="N1588" t="s">
        <v>11</v>
      </c>
      <c r="O1588" s="49">
        <v>0.14000000000000001</v>
      </c>
      <c r="P1588" s="9">
        <f t="shared" si="148"/>
        <v>140</v>
      </c>
      <c r="Q1588" s="10">
        <f t="shared" si="151"/>
        <v>7.3003400000000003</v>
      </c>
      <c r="R1588" s="10">
        <f t="shared" si="152"/>
        <v>1.9199999999999998E-2</v>
      </c>
      <c r="S1588" s="11">
        <f t="shared" si="153"/>
        <v>19.2</v>
      </c>
      <c r="T1588" s="10" t="s">
        <v>349</v>
      </c>
      <c r="U1588" t="s">
        <v>810</v>
      </c>
      <c r="V1588" s="58">
        <v>7.1775000000000002</v>
      </c>
      <c r="W1588" s="38">
        <f t="shared" si="149"/>
        <v>19.505398815743643</v>
      </c>
    </row>
    <row r="1589" spans="1:23" s="15" customFormat="1">
      <c r="A1589" t="s">
        <v>3901</v>
      </c>
      <c r="B1589" s="20">
        <v>45772</v>
      </c>
      <c r="C1589" s="20">
        <v>45742</v>
      </c>
      <c r="D1589" t="s">
        <v>806</v>
      </c>
      <c r="E1589" t="s">
        <v>807</v>
      </c>
      <c r="F1589" s="19"/>
      <c r="G1589" t="s">
        <v>4358</v>
      </c>
      <c r="H1589" t="s">
        <v>3217</v>
      </c>
      <c r="I1589" t="s">
        <v>3424</v>
      </c>
      <c r="J1589" s="8" t="str">
        <f t="shared" si="150"/>
        <v>BAG-</v>
      </c>
      <c r="K1589" t="s">
        <v>10</v>
      </c>
      <c r="L1589" s="46">
        <v>500</v>
      </c>
      <c r="M1589" t="s">
        <v>1472</v>
      </c>
      <c r="N1589" t="s">
        <v>11</v>
      </c>
      <c r="O1589" s="49">
        <v>0.14000000000000001</v>
      </c>
      <c r="P1589" s="9">
        <f t="shared" si="148"/>
        <v>70</v>
      </c>
      <c r="Q1589" s="10">
        <f t="shared" si="151"/>
        <v>7.3003400000000003</v>
      </c>
      <c r="R1589" s="10">
        <f t="shared" si="152"/>
        <v>1.9199999999999998E-2</v>
      </c>
      <c r="S1589" s="11">
        <f t="shared" si="153"/>
        <v>9.6</v>
      </c>
      <c r="T1589" s="10" t="s">
        <v>349</v>
      </c>
      <c r="U1589" t="s">
        <v>810</v>
      </c>
      <c r="V1589" s="58">
        <v>7.1775000000000002</v>
      </c>
      <c r="W1589" s="38">
        <f t="shared" si="149"/>
        <v>9.7526994078718214</v>
      </c>
    </row>
    <row r="1590" spans="1:23" s="15" customFormat="1">
      <c r="A1590" t="s">
        <v>3901</v>
      </c>
      <c r="B1590" s="20">
        <v>45758</v>
      </c>
      <c r="C1590" s="20">
        <v>45742</v>
      </c>
      <c r="D1590" t="s">
        <v>806</v>
      </c>
      <c r="E1590" t="s">
        <v>807</v>
      </c>
      <c r="F1590" s="19"/>
      <c r="G1590" t="s">
        <v>4353</v>
      </c>
      <c r="H1590" t="s">
        <v>3217</v>
      </c>
      <c r="I1590" t="s">
        <v>3424</v>
      </c>
      <c r="J1590" s="8" t="str">
        <f t="shared" si="150"/>
        <v>BAG-</v>
      </c>
      <c r="K1590" t="s">
        <v>10</v>
      </c>
      <c r="L1590" s="46">
        <v>9500</v>
      </c>
      <c r="M1590" t="s">
        <v>1472</v>
      </c>
      <c r="N1590" t="s">
        <v>11</v>
      </c>
      <c r="O1590" s="49">
        <v>0.14000000000000001</v>
      </c>
      <c r="P1590" s="9">
        <f t="shared" si="148"/>
        <v>1330</v>
      </c>
      <c r="Q1590" s="10">
        <f t="shared" si="151"/>
        <v>7.3003400000000003</v>
      </c>
      <c r="R1590" s="10">
        <f t="shared" si="152"/>
        <v>1.9199999999999998E-2</v>
      </c>
      <c r="S1590" s="11">
        <f t="shared" si="153"/>
        <v>182.4</v>
      </c>
      <c r="T1590" s="10" t="s">
        <v>349</v>
      </c>
      <c r="U1590" t="s">
        <v>810</v>
      </c>
      <c r="V1590" s="58">
        <v>7.1775000000000002</v>
      </c>
      <c r="W1590" s="38">
        <f t="shared" si="149"/>
        <v>185.30128874956461</v>
      </c>
    </row>
    <row r="1591" spans="1:23" s="15" customFormat="1">
      <c r="A1591" t="s">
        <v>3902</v>
      </c>
      <c r="B1591" s="20">
        <v>45772</v>
      </c>
      <c r="C1591" s="20">
        <v>45755</v>
      </c>
      <c r="D1591" t="s">
        <v>806</v>
      </c>
      <c r="E1591" t="s">
        <v>807</v>
      </c>
      <c r="F1591" s="19"/>
      <c r="G1591" t="s">
        <v>4358</v>
      </c>
      <c r="H1591" t="s">
        <v>3217</v>
      </c>
      <c r="I1591" t="s">
        <v>3424</v>
      </c>
      <c r="J1591" s="8" t="str">
        <f t="shared" si="150"/>
        <v>BAG-</v>
      </c>
      <c r="K1591" t="s">
        <v>10</v>
      </c>
      <c r="L1591" s="46">
        <v>10000</v>
      </c>
      <c r="M1591" t="s">
        <v>1472</v>
      </c>
      <c r="N1591" t="s">
        <v>11</v>
      </c>
      <c r="O1591" s="49">
        <v>0.14000000000000001</v>
      </c>
      <c r="P1591" s="9">
        <f t="shared" si="148"/>
        <v>1400</v>
      </c>
      <c r="Q1591" s="10">
        <f t="shared" si="151"/>
        <v>7.3003400000000003</v>
      </c>
      <c r="R1591" s="10">
        <f t="shared" si="152"/>
        <v>1.9199999999999998E-2</v>
      </c>
      <c r="S1591" s="11">
        <f t="shared" si="153"/>
        <v>192</v>
      </c>
      <c r="T1591" s="10" t="s">
        <v>349</v>
      </c>
      <c r="U1591" t="s">
        <v>810</v>
      </c>
      <c r="V1591" s="58">
        <v>7.1775000000000002</v>
      </c>
      <c r="W1591" s="38">
        <f t="shared" si="149"/>
        <v>195.05398815743644</v>
      </c>
    </row>
    <row r="1592" spans="1:23" s="15" customFormat="1">
      <c r="A1592" t="s">
        <v>3903</v>
      </c>
      <c r="B1592" s="20">
        <v>45769</v>
      </c>
      <c r="C1592" s="20">
        <v>45755</v>
      </c>
      <c r="D1592" t="s">
        <v>169</v>
      </c>
      <c r="E1592" t="s">
        <v>170</v>
      </c>
      <c r="F1592" s="19"/>
      <c r="G1592" t="s">
        <v>4371</v>
      </c>
      <c r="H1592" t="s">
        <v>3256</v>
      </c>
      <c r="I1592" t="s">
        <v>3463</v>
      </c>
      <c r="J1592" s="8" t="str">
        <f t="shared" si="150"/>
        <v>PAP-</v>
      </c>
      <c r="K1592" t="s">
        <v>10</v>
      </c>
      <c r="L1592" s="46">
        <v>17000</v>
      </c>
      <c r="M1592" t="s">
        <v>1472</v>
      </c>
      <c r="N1592" t="s">
        <v>11</v>
      </c>
      <c r="O1592" s="49">
        <v>0.14000000000000001</v>
      </c>
      <c r="P1592" s="9">
        <f t="shared" si="148"/>
        <v>2380</v>
      </c>
      <c r="Q1592" s="10">
        <f t="shared" si="151"/>
        <v>7.3003400000000003</v>
      </c>
      <c r="R1592" s="10">
        <f t="shared" si="152"/>
        <v>1.9199999999999998E-2</v>
      </c>
      <c r="S1592" s="11">
        <f t="shared" si="153"/>
        <v>326.39999999999998</v>
      </c>
      <c r="T1592" s="10" t="s">
        <v>349</v>
      </c>
      <c r="U1592" t="s">
        <v>1094</v>
      </c>
      <c r="V1592" s="58">
        <v>7.1775000000000002</v>
      </c>
      <c r="W1592" s="38">
        <f t="shared" si="149"/>
        <v>331.59177986764195</v>
      </c>
    </row>
    <row r="1593" spans="1:23" s="15" customFormat="1">
      <c r="A1593" t="s">
        <v>3904</v>
      </c>
      <c r="B1593" s="20">
        <v>45754</v>
      </c>
      <c r="C1593" s="20">
        <v>45728</v>
      </c>
      <c r="D1593" t="s">
        <v>235</v>
      </c>
      <c r="E1593" t="s">
        <v>236</v>
      </c>
      <c r="F1593" s="19"/>
      <c r="G1593" t="s">
        <v>4372</v>
      </c>
      <c r="H1593" t="s">
        <v>3532</v>
      </c>
      <c r="I1593" t="s">
        <v>3533</v>
      </c>
      <c r="J1593" s="8" t="str">
        <f t="shared" si="150"/>
        <v>RIV-</v>
      </c>
      <c r="K1593" t="s">
        <v>10</v>
      </c>
      <c r="L1593" s="46">
        <v>3200</v>
      </c>
      <c r="M1593" t="s">
        <v>1472</v>
      </c>
      <c r="N1593" t="s">
        <v>11</v>
      </c>
      <c r="O1593" s="49">
        <v>0.1477</v>
      </c>
      <c r="P1593" s="9">
        <f t="shared" si="148"/>
        <v>472.64</v>
      </c>
      <c r="Q1593" s="10">
        <f t="shared" si="151"/>
        <v>7.3003400000000003</v>
      </c>
      <c r="R1593" s="10">
        <f t="shared" si="152"/>
        <v>2.0199999999999999E-2</v>
      </c>
      <c r="S1593" s="11">
        <f t="shared" si="153"/>
        <v>64.64</v>
      </c>
      <c r="T1593" s="10" t="s">
        <v>349</v>
      </c>
      <c r="U1593" t="s">
        <v>132</v>
      </c>
      <c r="V1593" s="58">
        <v>7.1775000000000002</v>
      </c>
      <c r="W1593" s="38">
        <f t="shared" si="149"/>
        <v>65.850226401950536</v>
      </c>
    </row>
    <row r="1594" spans="1:23" s="15" customFormat="1">
      <c r="A1594" t="s">
        <v>3905</v>
      </c>
      <c r="B1594" s="20">
        <v>45748</v>
      </c>
      <c r="C1594" s="20">
        <v>45721</v>
      </c>
      <c r="D1594" t="s">
        <v>169</v>
      </c>
      <c r="E1594" t="s">
        <v>170</v>
      </c>
      <c r="F1594" s="19"/>
      <c r="G1594" t="s">
        <v>4373</v>
      </c>
      <c r="H1594" t="s">
        <v>3534</v>
      </c>
      <c r="I1594" t="s">
        <v>3535</v>
      </c>
      <c r="J1594" s="8" t="str">
        <f t="shared" si="150"/>
        <v>STKR</v>
      </c>
      <c r="K1594" t="s">
        <v>10</v>
      </c>
      <c r="L1594" s="46">
        <v>550</v>
      </c>
      <c r="M1594" t="s">
        <v>1472</v>
      </c>
      <c r="N1594" t="s">
        <v>11</v>
      </c>
      <c r="O1594" s="49">
        <v>0.15</v>
      </c>
      <c r="P1594" s="9">
        <f t="shared" si="148"/>
        <v>82.5</v>
      </c>
      <c r="Q1594" s="10">
        <f t="shared" si="151"/>
        <v>7.3003400000000003</v>
      </c>
      <c r="R1594" s="10">
        <f t="shared" si="152"/>
        <v>2.0500000000000001E-2</v>
      </c>
      <c r="S1594" s="11">
        <f t="shared" si="153"/>
        <v>11.28</v>
      </c>
      <c r="T1594" s="10" t="s">
        <v>349</v>
      </c>
      <c r="U1594" t="s">
        <v>18</v>
      </c>
      <c r="V1594" s="58">
        <v>7.1775000000000002</v>
      </c>
      <c r="W1594" s="38">
        <f t="shared" si="149"/>
        <v>11.494252873563219</v>
      </c>
    </row>
    <row r="1595" spans="1:23" s="15" customFormat="1">
      <c r="A1595" t="s">
        <v>3906</v>
      </c>
      <c r="B1595" s="20">
        <v>45748</v>
      </c>
      <c r="C1595" s="20">
        <v>45721</v>
      </c>
      <c r="D1595" t="s">
        <v>169</v>
      </c>
      <c r="E1595" t="s">
        <v>170</v>
      </c>
      <c r="F1595" s="19"/>
      <c r="G1595" t="s">
        <v>4373</v>
      </c>
      <c r="H1595" t="s">
        <v>3536</v>
      </c>
      <c r="I1595" t="s">
        <v>3537</v>
      </c>
      <c r="J1595" s="8" t="str">
        <f t="shared" si="150"/>
        <v>STKR</v>
      </c>
      <c r="K1595" t="s">
        <v>10</v>
      </c>
      <c r="L1595" s="46">
        <v>500</v>
      </c>
      <c r="M1595" t="s">
        <v>1472</v>
      </c>
      <c r="N1595" t="s">
        <v>11</v>
      </c>
      <c r="O1595" s="49">
        <v>0.15</v>
      </c>
      <c r="P1595" s="9">
        <f t="shared" si="148"/>
        <v>75</v>
      </c>
      <c r="Q1595" s="10">
        <f t="shared" si="151"/>
        <v>7.3003400000000003</v>
      </c>
      <c r="R1595" s="10">
        <f t="shared" si="152"/>
        <v>2.0500000000000001E-2</v>
      </c>
      <c r="S1595" s="11">
        <f t="shared" si="153"/>
        <v>10.25</v>
      </c>
      <c r="T1595" s="10" t="s">
        <v>349</v>
      </c>
      <c r="U1595" t="s">
        <v>18</v>
      </c>
      <c r="V1595" s="58">
        <v>7.1775000000000002</v>
      </c>
      <c r="W1595" s="38">
        <f t="shared" si="149"/>
        <v>10.449320794148381</v>
      </c>
    </row>
    <row r="1596" spans="1:23" s="15" customFormat="1">
      <c r="A1596" t="s">
        <v>3907</v>
      </c>
      <c r="B1596" s="20">
        <v>45748</v>
      </c>
      <c r="C1596" s="20">
        <v>45721</v>
      </c>
      <c r="D1596" t="s">
        <v>169</v>
      </c>
      <c r="E1596" t="s">
        <v>170</v>
      </c>
      <c r="F1596" s="19"/>
      <c r="G1596" t="s">
        <v>4373</v>
      </c>
      <c r="H1596" t="s">
        <v>3538</v>
      </c>
      <c r="I1596" t="s">
        <v>3539</v>
      </c>
      <c r="J1596" s="8" t="str">
        <f t="shared" si="150"/>
        <v>STKR</v>
      </c>
      <c r="K1596" t="s">
        <v>10</v>
      </c>
      <c r="L1596" s="46">
        <v>400</v>
      </c>
      <c r="M1596" t="s">
        <v>1472</v>
      </c>
      <c r="N1596" t="s">
        <v>11</v>
      </c>
      <c r="O1596" s="49">
        <v>0.15</v>
      </c>
      <c r="P1596" s="9">
        <f t="shared" si="148"/>
        <v>60</v>
      </c>
      <c r="Q1596" s="10">
        <f t="shared" si="151"/>
        <v>7.3003400000000003</v>
      </c>
      <c r="R1596" s="10">
        <f t="shared" si="152"/>
        <v>2.0500000000000001E-2</v>
      </c>
      <c r="S1596" s="11">
        <f t="shared" si="153"/>
        <v>8.1999999999999993</v>
      </c>
      <c r="T1596" s="10" t="s">
        <v>349</v>
      </c>
      <c r="U1596" t="s">
        <v>18</v>
      </c>
      <c r="V1596" s="58">
        <v>7.1775000000000002</v>
      </c>
      <c r="W1596" s="38">
        <f t="shared" si="149"/>
        <v>8.3594566353187041</v>
      </c>
    </row>
    <row r="1597" spans="1:23" s="15" customFormat="1">
      <c r="A1597" t="s">
        <v>3908</v>
      </c>
      <c r="B1597" s="20">
        <v>45748</v>
      </c>
      <c r="C1597" s="20">
        <v>45728</v>
      </c>
      <c r="D1597" t="s">
        <v>169</v>
      </c>
      <c r="E1597" t="s">
        <v>170</v>
      </c>
      <c r="F1597" s="19"/>
      <c r="G1597" t="s">
        <v>4373</v>
      </c>
      <c r="H1597" t="s">
        <v>3540</v>
      </c>
      <c r="I1597" t="s">
        <v>3541</v>
      </c>
      <c r="J1597" s="8" t="str">
        <f t="shared" si="150"/>
        <v>STKR</v>
      </c>
      <c r="K1597" t="s">
        <v>10</v>
      </c>
      <c r="L1597" s="46">
        <v>460</v>
      </c>
      <c r="M1597" t="s">
        <v>1472</v>
      </c>
      <c r="N1597" t="s">
        <v>11</v>
      </c>
      <c r="O1597" s="49">
        <v>0.15</v>
      </c>
      <c r="P1597" s="9">
        <f t="shared" si="148"/>
        <v>69</v>
      </c>
      <c r="Q1597" s="10">
        <f t="shared" si="151"/>
        <v>7.3003400000000003</v>
      </c>
      <c r="R1597" s="10">
        <f t="shared" si="152"/>
        <v>2.0500000000000001E-2</v>
      </c>
      <c r="S1597" s="11">
        <f t="shared" si="153"/>
        <v>9.43</v>
      </c>
      <c r="T1597" s="10" t="s">
        <v>349</v>
      </c>
      <c r="U1597" t="s">
        <v>18</v>
      </c>
      <c r="V1597" s="58">
        <v>7.1775000000000002</v>
      </c>
      <c r="W1597" s="38">
        <f t="shared" si="149"/>
        <v>9.6133751306165109</v>
      </c>
    </row>
    <row r="1598" spans="1:23" s="15" customFormat="1">
      <c r="A1598" t="s">
        <v>3909</v>
      </c>
      <c r="B1598" s="20">
        <v>45748</v>
      </c>
      <c r="C1598" s="20">
        <v>45728</v>
      </c>
      <c r="D1598" t="s">
        <v>169</v>
      </c>
      <c r="E1598" t="s">
        <v>170</v>
      </c>
      <c r="F1598" s="19"/>
      <c r="G1598" t="s">
        <v>4373</v>
      </c>
      <c r="H1598" t="s">
        <v>3542</v>
      </c>
      <c r="I1598" t="s">
        <v>3543</v>
      </c>
      <c r="J1598" s="8" t="str">
        <f t="shared" si="150"/>
        <v>STKR</v>
      </c>
      <c r="K1598" t="s">
        <v>10</v>
      </c>
      <c r="L1598" s="46">
        <v>460</v>
      </c>
      <c r="M1598" t="s">
        <v>1472</v>
      </c>
      <c r="N1598" t="s">
        <v>11</v>
      </c>
      <c r="O1598" s="49">
        <v>0.15</v>
      </c>
      <c r="P1598" s="9">
        <f t="shared" si="148"/>
        <v>69</v>
      </c>
      <c r="Q1598" s="10">
        <f t="shared" si="151"/>
        <v>7.3003400000000003</v>
      </c>
      <c r="R1598" s="10">
        <f t="shared" si="152"/>
        <v>2.0500000000000001E-2</v>
      </c>
      <c r="S1598" s="11">
        <f t="shared" si="153"/>
        <v>9.43</v>
      </c>
      <c r="T1598" s="10" t="s">
        <v>349</v>
      </c>
      <c r="U1598" t="s">
        <v>18</v>
      </c>
      <c r="V1598" s="58">
        <v>7.1775000000000002</v>
      </c>
      <c r="W1598" s="38">
        <f t="shared" si="149"/>
        <v>9.6133751306165109</v>
      </c>
    </row>
    <row r="1599" spans="1:23" s="15" customFormat="1">
      <c r="A1599" t="s">
        <v>3910</v>
      </c>
      <c r="B1599" s="20">
        <v>45765</v>
      </c>
      <c r="C1599" s="20">
        <v>45706</v>
      </c>
      <c r="D1599" t="s">
        <v>162</v>
      </c>
      <c r="E1599" t="s">
        <v>163</v>
      </c>
      <c r="F1599" s="19"/>
      <c r="G1599" t="s">
        <v>4354</v>
      </c>
      <c r="H1599" t="s">
        <v>587</v>
      </c>
      <c r="I1599" t="s">
        <v>588</v>
      </c>
      <c r="J1599" s="8" t="str">
        <f t="shared" si="150"/>
        <v>SCR-</v>
      </c>
      <c r="K1599" t="s">
        <v>10</v>
      </c>
      <c r="L1599" s="46">
        <v>6500</v>
      </c>
      <c r="M1599" t="s">
        <v>1472</v>
      </c>
      <c r="N1599" t="s">
        <v>11</v>
      </c>
      <c r="O1599" s="49">
        <v>0.153</v>
      </c>
      <c r="P1599" s="9">
        <f t="shared" si="148"/>
        <v>994.5</v>
      </c>
      <c r="Q1599" s="10">
        <f t="shared" si="151"/>
        <v>7.3003400000000003</v>
      </c>
      <c r="R1599" s="10">
        <f t="shared" si="152"/>
        <v>2.1000000000000001E-2</v>
      </c>
      <c r="S1599" s="11">
        <f t="shared" si="153"/>
        <v>136.5</v>
      </c>
      <c r="T1599" s="10" t="s">
        <v>349</v>
      </c>
      <c r="U1599" t="s">
        <v>166</v>
      </c>
      <c r="V1599" s="58">
        <v>7.1775000000000002</v>
      </c>
      <c r="W1599" s="38">
        <f t="shared" si="149"/>
        <v>138.5579937304075</v>
      </c>
    </row>
    <row r="1600" spans="1:23" s="15" customFormat="1">
      <c r="A1600" t="s">
        <v>3911</v>
      </c>
      <c r="B1600" s="20">
        <v>45765</v>
      </c>
      <c r="C1600" s="20">
        <v>45729</v>
      </c>
      <c r="D1600" t="s">
        <v>162</v>
      </c>
      <c r="E1600" t="s">
        <v>163</v>
      </c>
      <c r="F1600" s="19"/>
      <c r="G1600" t="s">
        <v>4354</v>
      </c>
      <c r="H1600" t="s">
        <v>587</v>
      </c>
      <c r="I1600" t="s">
        <v>588</v>
      </c>
      <c r="J1600" s="8" t="str">
        <f t="shared" si="150"/>
        <v>SCR-</v>
      </c>
      <c r="K1600" t="s">
        <v>10</v>
      </c>
      <c r="L1600" s="46">
        <v>1150</v>
      </c>
      <c r="M1600" t="s">
        <v>1472</v>
      </c>
      <c r="N1600" t="s">
        <v>11</v>
      </c>
      <c r="O1600" s="49">
        <v>0.153</v>
      </c>
      <c r="P1600" s="9">
        <f t="shared" si="148"/>
        <v>175.95</v>
      </c>
      <c r="Q1600" s="10">
        <f t="shared" si="151"/>
        <v>7.3003400000000003</v>
      </c>
      <c r="R1600" s="10">
        <f t="shared" si="152"/>
        <v>2.1000000000000001E-2</v>
      </c>
      <c r="S1600" s="11">
        <f t="shared" si="153"/>
        <v>24.15</v>
      </c>
      <c r="T1600" s="10" t="s">
        <v>349</v>
      </c>
      <c r="U1600" t="s">
        <v>166</v>
      </c>
      <c r="V1600" s="58">
        <v>7.1775000000000002</v>
      </c>
      <c r="W1600" s="38">
        <f t="shared" si="149"/>
        <v>24.514106583072099</v>
      </c>
    </row>
    <row r="1601" spans="1:23" s="15" customFormat="1">
      <c r="A1601" t="s">
        <v>3912</v>
      </c>
      <c r="B1601" s="20">
        <v>45762</v>
      </c>
      <c r="C1601" s="20">
        <v>45744</v>
      </c>
      <c r="D1601" t="s">
        <v>169</v>
      </c>
      <c r="E1601" t="s">
        <v>170</v>
      </c>
      <c r="F1601" s="19"/>
      <c r="G1601" t="s">
        <v>4342</v>
      </c>
      <c r="H1601" t="s">
        <v>3544</v>
      </c>
      <c r="I1601" t="s">
        <v>3545</v>
      </c>
      <c r="J1601" s="8" t="str">
        <f t="shared" si="150"/>
        <v>STKR</v>
      </c>
      <c r="K1601" t="s">
        <v>10</v>
      </c>
      <c r="L1601" s="46">
        <v>2020</v>
      </c>
      <c r="M1601" t="s">
        <v>1472</v>
      </c>
      <c r="N1601" t="s">
        <v>11</v>
      </c>
      <c r="O1601" s="49">
        <v>0.16</v>
      </c>
      <c r="P1601" s="9">
        <f t="shared" si="148"/>
        <v>323.2</v>
      </c>
      <c r="Q1601" s="10">
        <f t="shared" si="151"/>
        <v>7.3003400000000003</v>
      </c>
      <c r="R1601" s="10">
        <f t="shared" si="152"/>
        <v>2.1899999999999999E-2</v>
      </c>
      <c r="S1601" s="11">
        <f t="shared" si="153"/>
        <v>44.24</v>
      </c>
      <c r="T1601" s="10" t="s">
        <v>349</v>
      </c>
      <c r="U1601" t="s">
        <v>18</v>
      </c>
      <c r="V1601" s="58">
        <v>7.1775000000000002</v>
      </c>
      <c r="W1601" s="38">
        <f t="shared" si="149"/>
        <v>45.029606408916756</v>
      </c>
    </row>
    <row r="1602" spans="1:23" s="15" customFormat="1">
      <c r="A1602" t="s">
        <v>3913</v>
      </c>
      <c r="B1602" s="20">
        <v>45754</v>
      </c>
      <c r="C1602" s="20">
        <v>45723</v>
      </c>
      <c r="D1602" t="s">
        <v>235</v>
      </c>
      <c r="E1602" t="s">
        <v>236</v>
      </c>
      <c r="F1602" s="19"/>
      <c r="G1602" t="s">
        <v>4372</v>
      </c>
      <c r="H1602" t="s">
        <v>239</v>
      </c>
      <c r="I1602" t="s">
        <v>240</v>
      </c>
      <c r="J1602" s="8" t="str">
        <f t="shared" si="150"/>
        <v>RIV-</v>
      </c>
      <c r="K1602" t="s">
        <v>10</v>
      </c>
      <c r="L1602" s="46">
        <v>7000</v>
      </c>
      <c r="M1602" t="s">
        <v>1472</v>
      </c>
      <c r="N1602" t="s">
        <v>11</v>
      </c>
      <c r="O1602" s="49">
        <v>0.16120000000000001</v>
      </c>
      <c r="P1602" s="9">
        <f t="shared" ref="P1602:P1665" si="154">ROUND(O1602*L1602,2)</f>
        <v>1128.4000000000001</v>
      </c>
      <c r="Q1602" s="10">
        <f t="shared" si="151"/>
        <v>7.3003400000000003</v>
      </c>
      <c r="R1602" s="10">
        <f t="shared" si="152"/>
        <v>2.2100000000000002E-2</v>
      </c>
      <c r="S1602" s="11">
        <f t="shared" si="153"/>
        <v>154.69999999999999</v>
      </c>
      <c r="T1602" s="10" t="s">
        <v>349</v>
      </c>
      <c r="U1602" t="s">
        <v>132</v>
      </c>
      <c r="V1602" s="58">
        <v>7.1775000000000002</v>
      </c>
      <c r="W1602" s="38">
        <f t="shared" ref="W1602:W1665" si="155">IF(N1602="CNY",O1602/V1602*L1602,1)</f>
        <v>157.21351445489378</v>
      </c>
    </row>
    <row r="1603" spans="1:23" s="15" customFormat="1">
      <c r="A1603" t="s">
        <v>3914</v>
      </c>
      <c r="B1603" s="20">
        <v>45768</v>
      </c>
      <c r="C1603" s="20">
        <v>45744</v>
      </c>
      <c r="D1603" t="s">
        <v>21</v>
      </c>
      <c r="E1603" t="s">
        <v>22</v>
      </c>
      <c r="F1603" s="19"/>
      <c r="G1603" t="s">
        <v>4374</v>
      </c>
      <c r="H1603" t="s">
        <v>824</v>
      </c>
      <c r="I1603" t="s">
        <v>825</v>
      </c>
      <c r="J1603" s="8" t="str">
        <f t="shared" si="150"/>
        <v>BRKT</v>
      </c>
      <c r="K1603" t="s">
        <v>10</v>
      </c>
      <c r="L1603" s="46">
        <v>1000</v>
      </c>
      <c r="M1603" t="s">
        <v>1472</v>
      </c>
      <c r="N1603" t="s">
        <v>11</v>
      </c>
      <c r="O1603" s="49">
        <v>0.17269999999999999</v>
      </c>
      <c r="P1603" s="9">
        <f t="shared" si="154"/>
        <v>172.7</v>
      </c>
      <c r="Q1603" s="10">
        <f t="shared" si="151"/>
        <v>7.3003400000000003</v>
      </c>
      <c r="R1603" s="10">
        <f t="shared" si="152"/>
        <v>2.3699999999999999E-2</v>
      </c>
      <c r="S1603" s="11">
        <f t="shared" si="153"/>
        <v>23.7</v>
      </c>
      <c r="T1603" s="10" t="s">
        <v>349</v>
      </c>
      <c r="U1603" t="s">
        <v>442</v>
      </c>
      <c r="V1603" s="58">
        <v>7.1775000000000002</v>
      </c>
      <c r="W1603" s="38">
        <f t="shared" si="155"/>
        <v>24.061302681992334</v>
      </c>
    </row>
    <row r="1604" spans="1:23" s="15" customFormat="1">
      <c r="A1604" t="s">
        <v>3915</v>
      </c>
      <c r="B1604" s="20">
        <v>45754</v>
      </c>
      <c r="C1604" s="20">
        <v>45729</v>
      </c>
      <c r="D1604" t="s">
        <v>235</v>
      </c>
      <c r="E1604" t="s">
        <v>236</v>
      </c>
      <c r="F1604" s="19"/>
      <c r="G1604" t="s">
        <v>4368</v>
      </c>
      <c r="H1604" t="s">
        <v>1361</v>
      </c>
      <c r="I1604" t="s">
        <v>1362</v>
      </c>
      <c r="J1604" s="8" t="str">
        <f t="shared" si="150"/>
        <v>RIV-</v>
      </c>
      <c r="K1604" t="s">
        <v>10</v>
      </c>
      <c r="L1604" s="46">
        <v>20000</v>
      </c>
      <c r="M1604" t="s">
        <v>1472</v>
      </c>
      <c r="N1604" t="s">
        <v>11</v>
      </c>
      <c r="O1604" s="49">
        <v>0.17299999999999999</v>
      </c>
      <c r="P1604" s="9">
        <f t="shared" si="154"/>
        <v>3460</v>
      </c>
      <c r="Q1604" s="10">
        <f t="shared" si="151"/>
        <v>7.3003400000000003</v>
      </c>
      <c r="R1604" s="10">
        <f t="shared" si="152"/>
        <v>2.3699999999999999E-2</v>
      </c>
      <c r="S1604" s="11">
        <f t="shared" si="153"/>
        <v>474</v>
      </c>
      <c r="T1604" s="10" t="s">
        <v>349</v>
      </c>
      <c r="U1604" t="s">
        <v>132</v>
      </c>
      <c r="V1604" s="58">
        <v>7.1775000000000002</v>
      </c>
      <c r="W1604" s="38">
        <f t="shared" si="155"/>
        <v>482.06199930337851</v>
      </c>
    </row>
    <row r="1605" spans="1:23" s="15" customFormat="1">
      <c r="A1605" t="s">
        <v>3916</v>
      </c>
      <c r="B1605" s="20">
        <v>45776</v>
      </c>
      <c r="C1605" s="20">
        <v>45769</v>
      </c>
      <c r="D1605" t="s">
        <v>235</v>
      </c>
      <c r="E1605" t="s">
        <v>236</v>
      </c>
      <c r="F1605" s="19"/>
      <c r="G1605" t="s">
        <v>4369</v>
      </c>
      <c r="H1605" t="s">
        <v>1361</v>
      </c>
      <c r="I1605" t="s">
        <v>1362</v>
      </c>
      <c r="J1605" s="8" t="str">
        <f t="shared" si="150"/>
        <v>RIV-</v>
      </c>
      <c r="K1605" t="s">
        <v>10</v>
      </c>
      <c r="L1605" s="46">
        <v>37000</v>
      </c>
      <c r="M1605" t="s">
        <v>1472</v>
      </c>
      <c r="N1605" t="s">
        <v>11</v>
      </c>
      <c r="O1605" s="49">
        <v>0.17299999999999999</v>
      </c>
      <c r="P1605" s="9">
        <f t="shared" si="154"/>
        <v>6401</v>
      </c>
      <c r="Q1605" s="10">
        <f t="shared" si="151"/>
        <v>7.3003400000000003</v>
      </c>
      <c r="R1605" s="10">
        <f t="shared" si="152"/>
        <v>2.3699999999999999E-2</v>
      </c>
      <c r="S1605" s="11">
        <f t="shared" si="153"/>
        <v>876.9</v>
      </c>
      <c r="T1605" s="10" t="s">
        <v>349</v>
      </c>
      <c r="U1605" t="s">
        <v>132</v>
      </c>
      <c r="V1605" s="58">
        <v>7.1775000000000002</v>
      </c>
      <c r="W1605" s="38">
        <f t="shared" si="155"/>
        <v>891.81469871125034</v>
      </c>
    </row>
    <row r="1606" spans="1:23" s="15" customFormat="1">
      <c r="A1606" t="s">
        <v>3917</v>
      </c>
      <c r="B1606" s="20">
        <v>45754</v>
      </c>
      <c r="C1606" s="20">
        <v>45737</v>
      </c>
      <c r="D1606" t="s">
        <v>235</v>
      </c>
      <c r="E1606" t="s">
        <v>236</v>
      </c>
      <c r="F1606" s="19"/>
      <c r="G1606" t="s">
        <v>4372</v>
      </c>
      <c r="H1606" t="s">
        <v>1361</v>
      </c>
      <c r="I1606" t="s">
        <v>1362</v>
      </c>
      <c r="J1606" s="8" t="str">
        <f t="shared" si="150"/>
        <v>RIV-</v>
      </c>
      <c r="K1606" t="s">
        <v>10</v>
      </c>
      <c r="L1606" s="46">
        <v>2000</v>
      </c>
      <c r="M1606" t="s">
        <v>1472</v>
      </c>
      <c r="N1606" t="s">
        <v>11</v>
      </c>
      <c r="O1606" s="49">
        <v>0.17649999999999999</v>
      </c>
      <c r="P1606" s="9">
        <f t="shared" si="154"/>
        <v>353</v>
      </c>
      <c r="Q1606" s="10">
        <f t="shared" si="151"/>
        <v>7.3003400000000003</v>
      </c>
      <c r="R1606" s="10">
        <f t="shared" si="152"/>
        <v>2.4199999999999999E-2</v>
      </c>
      <c r="S1606" s="11">
        <f t="shared" si="153"/>
        <v>48.4</v>
      </c>
      <c r="T1606" s="10" t="s">
        <v>349</v>
      </c>
      <c r="U1606" t="s">
        <v>132</v>
      </c>
      <c r="V1606" s="58">
        <v>7.1775000000000002</v>
      </c>
      <c r="W1606" s="38">
        <f t="shared" si="155"/>
        <v>49.181469871125039</v>
      </c>
    </row>
    <row r="1607" spans="1:23" s="15" customFormat="1">
      <c r="A1607" t="s">
        <v>3918</v>
      </c>
      <c r="B1607" s="20">
        <v>45754</v>
      </c>
      <c r="C1607" s="20">
        <v>45742</v>
      </c>
      <c r="D1607" t="s">
        <v>806</v>
      </c>
      <c r="E1607" t="s">
        <v>807</v>
      </c>
      <c r="F1607" s="19"/>
      <c r="G1607" t="s">
        <v>4350</v>
      </c>
      <c r="H1607" t="s">
        <v>1609</v>
      </c>
      <c r="I1607" t="s">
        <v>1610</v>
      </c>
      <c r="J1607" s="8" t="str">
        <f t="shared" si="150"/>
        <v>BAG-</v>
      </c>
      <c r="K1607" t="s">
        <v>10</v>
      </c>
      <c r="L1607" s="46">
        <v>700</v>
      </c>
      <c r="M1607" t="s">
        <v>1472</v>
      </c>
      <c r="N1607" t="s">
        <v>11</v>
      </c>
      <c r="O1607" s="49">
        <v>0.185</v>
      </c>
      <c r="P1607" s="9">
        <f t="shared" si="154"/>
        <v>129.5</v>
      </c>
      <c r="Q1607" s="10">
        <f t="shared" si="151"/>
        <v>7.3003400000000003</v>
      </c>
      <c r="R1607" s="10">
        <f t="shared" si="152"/>
        <v>2.53E-2</v>
      </c>
      <c r="S1607" s="11">
        <f t="shared" si="153"/>
        <v>17.71</v>
      </c>
      <c r="T1607" s="10" t="s">
        <v>349</v>
      </c>
      <c r="U1607" t="s">
        <v>810</v>
      </c>
      <c r="V1607" s="58">
        <v>7.1775000000000002</v>
      </c>
      <c r="W1607" s="38">
        <f t="shared" si="155"/>
        <v>18.042493904562868</v>
      </c>
    </row>
    <row r="1608" spans="1:23" s="15" customFormat="1">
      <c r="A1608" t="s">
        <v>3919</v>
      </c>
      <c r="B1608" s="20">
        <v>45758</v>
      </c>
      <c r="C1608" s="20">
        <v>45742</v>
      </c>
      <c r="D1608" t="s">
        <v>806</v>
      </c>
      <c r="E1608" t="s">
        <v>807</v>
      </c>
      <c r="F1608" s="19"/>
      <c r="G1608" t="s">
        <v>4353</v>
      </c>
      <c r="H1608" t="s">
        <v>3248</v>
      </c>
      <c r="I1608" t="s">
        <v>3455</v>
      </c>
      <c r="J1608" s="8" t="str">
        <f t="shared" si="150"/>
        <v>BAG-</v>
      </c>
      <c r="K1608" t="s">
        <v>10</v>
      </c>
      <c r="L1608" s="46">
        <v>10000</v>
      </c>
      <c r="M1608" t="s">
        <v>1472</v>
      </c>
      <c r="N1608" t="s">
        <v>11</v>
      </c>
      <c r="O1608" s="49">
        <v>0.185</v>
      </c>
      <c r="P1608" s="9">
        <f t="shared" si="154"/>
        <v>1850</v>
      </c>
      <c r="Q1608" s="10">
        <f t="shared" si="151"/>
        <v>7.3003400000000003</v>
      </c>
      <c r="R1608" s="10">
        <f t="shared" si="152"/>
        <v>2.53E-2</v>
      </c>
      <c r="S1608" s="11">
        <f t="shared" si="153"/>
        <v>253</v>
      </c>
      <c r="T1608" s="10" t="s">
        <v>349</v>
      </c>
      <c r="U1608" t="s">
        <v>810</v>
      </c>
      <c r="V1608" s="58">
        <v>7.1775000000000002</v>
      </c>
      <c r="W1608" s="38">
        <f t="shared" si="155"/>
        <v>257.7499129223267</v>
      </c>
    </row>
    <row r="1609" spans="1:23" s="15" customFormat="1">
      <c r="A1609" t="s">
        <v>3920</v>
      </c>
      <c r="B1609" s="20">
        <v>45772</v>
      </c>
      <c r="C1609" s="20">
        <v>45748</v>
      </c>
      <c r="D1609" t="s">
        <v>806</v>
      </c>
      <c r="E1609" t="s">
        <v>807</v>
      </c>
      <c r="F1609" s="19"/>
      <c r="G1609" t="s">
        <v>4358</v>
      </c>
      <c r="H1609" t="s">
        <v>3248</v>
      </c>
      <c r="I1609" t="s">
        <v>3455</v>
      </c>
      <c r="J1609" s="8" t="str">
        <f t="shared" si="150"/>
        <v>BAG-</v>
      </c>
      <c r="K1609" t="s">
        <v>10</v>
      </c>
      <c r="L1609" s="46">
        <v>400</v>
      </c>
      <c r="M1609" t="s">
        <v>1472</v>
      </c>
      <c r="N1609" t="s">
        <v>11</v>
      </c>
      <c r="O1609" s="49">
        <v>0.185</v>
      </c>
      <c r="P1609" s="9">
        <f t="shared" si="154"/>
        <v>74</v>
      </c>
      <c r="Q1609" s="10">
        <f t="shared" si="151"/>
        <v>7.3003400000000003</v>
      </c>
      <c r="R1609" s="10">
        <f t="shared" si="152"/>
        <v>2.53E-2</v>
      </c>
      <c r="S1609" s="11">
        <f t="shared" si="153"/>
        <v>10.119999999999999</v>
      </c>
      <c r="T1609" s="10" t="s">
        <v>349</v>
      </c>
      <c r="U1609" t="s">
        <v>810</v>
      </c>
      <c r="V1609" s="58">
        <v>7.1775000000000002</v>
      </c>
      <c r="W1609" s="38">
        <f t="shared" si="155"/>
        <v>10.309996516893067</v>
      </c>
    </row>
    <row r="1610" spans="1:23" s="15" customFormat="1">
      <c r="A1610" t="s">
        <v>3920</v>
      </c>
      <c r="B1610" s="20">
        <v>45758</v>
      </c>
      <c r="C1610" s="20">
        <v>45748</v>
      </c>
      <c r="D1610" t="s">
        <v>806</v>
      </c>
      <c r="E1610" t="s">
        <v>807</v>
      </c>
      <c r="F1610" s="19"/>
      <c r="G1610" t="s">
        <v>4351</v>
      </c>
      <c r="H1610" t="s">
        <v>3248</v>
      </c>
      <c r="I1610" t="s">
        <v>3455</v>
      </c>
      <c r="J1610" s="8" t="str">
        <f t="shared" si="150"/>
        <v>BAG-</v>
      </c>
      <c r="K1610" t="s">
        <v>10</v>
      </c>
      <c r="L1610" s="46">
        <v>9600</v>
      </c>
      <c r="M1610" t="s">
        <v>1472</v>
      </c>
      <c r="N1610" t="s">
        <v>11</v>
      </c>
      <c r="O1610" s="49">
        <v>0.185</v>
      </c>
      <c r="P1610" s="9">
        <f t="shared" si="154"/>
        <v>1776</v>
      </c>
      <c r="Q1610" s="10">
        <f t="shared" si="151"/>
        <v>7.3003400000000003</v>
      </c>
      <c r="R1610" s="10">
        <f t="shared" si="152"/>
        <v>2.53E-2</v>
      </c>
      <c r="S1610" s="11">
        <f t="shared" si="153"/>
        <v>242.88</v>
      </c>
      <c r="T1610" s="10" t="s">
        <v>349</v>
      </c>
      <c r="U1610" t="s">
        <v>810</v>
      </c>
      <c r="V1610" s="58">
        <v>7.1775000000000002</v>
      </c>
      <c r="W1610" s="38">
        <f t="shared" si="155"/>
        <v>247.43991640543362</v>
      </c>
    </row>
    <row r="1611" spans="1:23" s="15" customFormat="1">
      <c r="A1611" t="s">
        <v>3921</v>
      </c>
      <c r="B1611" s="20">
        <v>45754</v>
      </c>
      <c r="C1611" s="20">
        <v>45729</v>
      </c>
      <c r="D1611" t="s">
        <v>235</v>
      </c>
      <c r="E1611" t="s">
        <v>236</v>
      </c>
      <c r="F1611" s="19"/>
      <c r="G1611" t="s">
        <v>4368</v>
      </c>
      <c r="H1611" t="s">
        <v>242</v>
      </c>
      <c r="I1611" t="s">
        <v>243</v>
      </c>
      <c r="J1611" s="8" t="str">
        <f t="shared" si="150"/>
        <v>RIV-</v>
      </c>
      <c r="K1611" t="s">
        <v>10</v>
      </c>
      <c r="L1611" s="46">
        <v>12300</v>
      </c>
      <c r="M1611" t="s">
        <v>1472</v>
      </c>
      <c r="N1611" t="s">
        <v>11</v>
      </c>
      <c r="O1611" s="49">
        <v>0.1865</v>
      </c>
      <c r="P1611" s="9">
        <f t="shared" si="154"/>
        <v>2293.9499999999998</v>
      </c>
      <c r="Q1611" s="10">
        <f t="shared" si="151"/>
        <v>7.3003400000000003</v>
      </c>
      <c r="R1611" s="10">
        <f t="shared" si="152"/>
        <v>2.5499999999999998E-2</v>
      </c>
      <c r="S1611" s="11">
        <f t="shared" si="153"/>
        <v>313.64999999999998</v>
      </c>
      <c r="T1611" s="10" t="s">
        <v>349</v>
      </c>
      <c r="U1611" t="s">
        <v>132</v>
      </c>
      <c r="V1611" s="58">
        <v>7.1775000000000002</v>
      </c>
      <c r="W1611" s="38">
        <f t="shared" si="155"/>
        <v>319.60292580982235</v>
      </c>
    </row>
    <row r="1612" spans="1:23" s="15" customFormat="1">
      <c r="A1612" t="s">
        <v>3922</v>
      </c>
      <c r="B1612" s="20">
        <v>45754</v>
      </c>
      <c r="C1612" s="20">
        <v>45744</v>
      </c>
      <c r="D1612" t="s">
        <v>235</v>
      </c>
      <c r="E1612" t="s">
        <v>236</v>
      </c>
      <c r="F1612" s="19"/>
      <c r="G1612" t="s">
        <v>4372</v>
      </c>
      <c r="H1612" t="s">
        <v>242</v>
      </c>
      <c r="I1612" t="s">
        <v>243</v>
      </c>
      <c r="J1612" s="8" t="str">
        <f t="shared" si="150"/>
        <v>RIV-</v>
      </c>
      <c r="K1612" t="s">
        <v>10</v>
      </c>
      <c r="L1612" s="46">
        <v>5000</v>
      </c>
      <c r="M1612" t="s">
        <v>1472</v>
      </c>
      <c r="N1612" t="s">
        <v>11</v>
      </c>
      <c r="O1612" s="49">
        <v>0.1865</v>
      </c>
      <c r="P1612" s="9">
        <f t="shared" si="154"/>
        <v>932.5</v>
      </c>
      <c r="Q1612" s="10">
        <f t="shared" si="151"/>
        <v>7.3003400000000003</v>
      </c>
      <c r="R1612" s="10">
        <f t="shared" si="152"/>
        <v>2.5499999999999998E-2</v>
      </c>
      <c r="S1612" s="11">
        <f t="shared" si="153"/>
        <v>127.5</v>
      </c>
      <c r="T1612" s="10" t="s">
        <v>349</v>
      </c>
      <c r="U1612" t="s">
        <v>132</v>
      </c>
      <c r="V1612" s="58">
        <v>7.1775000000000002</v>
      </c>
      <c r="W1612" s="38">
        <f t="shared" si="155"/>
        <v>129.9198885405782</v>
      </c>
    </row>
    <row r="1613" spans="1:23" s="15" customFormat="1">
      <c r="A1613" t="s">
        <v>3923</v>
      </c>
      <c r="B1613" s="20">
        <v>45776</v>
      </c>
      <c r="C1613" s="20">
        <v>45756</v>
      </c>
      <c r="D1613" t="s">
        <v>235</v>
      </c>
      <c r="E1613" t="s">
        <v>236</v>
      </c>
      <c r="F1613" s="19"/>
      <c r="G1613" t="s">
        <v>4369</v>
      </c>
      <c r="H1613" t="s">
        <v>242</v>
      </c>
      <c r="I1613" t="s">
        <v>243</v>
      </c>
      <c r="J1613" s="8" t="str">
        <f t="shared" si="150"/>
        <v>RIV-</v>
      </c>
      <c r="K1613" t="s">
        <v>10</v>
      </c>
      <c r="L1613" s="46">
        <v>3350</v>
      </c>
      <c r="M1613" t="s">
        <v>1472</v>
      </c>
      <c r="N1613" t="s">
        <v>11</v>
      </c>
      <c r="O1613" s="49">
        <v>0.1865</v>
      </c>
      <c r="P1613" s="9">
        <f t="shared" si="154"/>
        <v>624.78</v>
      </c>
      <c r="Q1613" s="10">
        <f t="shared" si="151"/>
        <v>7.3003400000000003</v>
      </c>
      <c r="R1613" s="10">
        <f t="shared" si="152"/>
        <v>2.5499999999999998E-2</v>
      </c>
      <c r="S1613" s="11">
        <f t="shared" si="153"/>
        <v>85.43</v>
      </c>
      <c r="T1613" s="10" t="s">
        <v>349</v>
      </c>
      <c r="U1613" t="s">
        <v>132</v>
      </c>
      <c r="V1613" s="58">
        <v>7.1775000000000002</v>
      </c>
      <c r="W1613" s="38">
        <f t="shared" si="155"/>
        <v>87.046325322187386</v>
      </c>
    </row>
    <row r="1614" spans="1:23" s="15" customFormat="1">
      <c r="A1614" t="s">
        <v>3924</v>
      </c>
      <c r="B1614" s="20">
        <v>45757</v>
      </c>
      <c r="C1614" s="20">
        <v>45744</v>
      </c>
      <c r="D1614" t="s">
        <v>28</v>
      </c>
      <c r="E1614" t="s">
        <v>29</v>
      </c>
      <c r="F1614" s="19"/>
      <c r="G1614" t="s">
        <v>4375</v>
      </c>
      <c r="H1614" t="s">
        <v>1175</v>
      </c>
      <c r="I1614" t="s">
        <v>1176</v>
      </c>
      <c r="J1614" s="8" t="str">
        <f t="shared" si="150"/>
        <v>MISC</v>
      </c>
      <c r="K1614" t="s">
        <v>10</v>
      </c>
      <c r="L1614" s="46">
        <v>500</v>
      </c>
      <c r="M1614" t="s">
        <v>1472</v>
      </c>
      <c r="N1614" t="s">
        <v>11</v>
      </c>
      <c r="O1614" s="49">
        <v>0.18720000000000001</v>
      </c>
      <c r="P1614" s="9">
        <f t="shared" si="154"/>
        <v>93.6</v>
      </c>
      <c r="Q1614" s="10">
        <f t="shared" si="151"/>
        <v>7.3003400000000003</v>
      </c>
      <c r="R1614" s="10">
        <f t="shared" si="152"/>
        <v>2.5600000000000001E-2</v>
      </c>
      <c r="S1614" s="11">
        <f t="shared" si="153"/>
        <v>12.8</v>
      </c>
      <c r="T1614" s="10" t="s">
        <v>349</v>
      </c>
      <c r="U1614" t="s">
        <v>25</v>
      </c>
      <c r="V1614" s="58">
        <v>7.1775000000000002</v>
      </c>
      <c r="W1614" s="38">
        <f t="shared" si="155"/>
        <v>13.040752351097177</v>
      </c>
    </row>
    <row r="1615" spans="1:23" s="15" customFormat="1">
      <c r="A1615" t="s">
        <v>3925</v>
      </c>
      <c r="B1615" s="20">
        <v>45754</v>
      </c>
      <c r="C1615" s="20">
        <v>45742</v>
      </c>
      <c r="D1615" t="s">
        <v>806</v>
      </c>
      <c r="E1615" t="s">
        <v>807</v>
      </c>
      <c r="F1615" s="19"/>
      <c r="G1615" t="s">
        <v>4350</v>
      </c>
      <c r="H1615" t="s">
        <v>3546</v>
      </c>
      <c r="I1615" t="s">
        <v>3547</v>
      </c>
      <c r="J1615" s="8" t="str">
        <f t="shared" si="150"/>
        <v>BAG-</v>
      </c>
      <c r="K1615" t="s">
        <v>10</v>
      </c>
      <c r="L1615" s="46">
        <v>5000</v>
      </c>
      <c r="M1615" t="s">
        <v>1472</v>
      </c>
      <c r="N1615" t="s">
        <v>11</v>
      </c>
      <c r="O1615" s="49">
        <v>0.2</v>
      </c>
      <c r="P1615" s="9">
        <f t="shared" si="154"/>
        <v>1000</v>
      </c>
      <c r="Q1615" s="10">
        <f t="shared" si="151"/>
        <v>7.3003400000000003</v>
      </c>
      <c r="R1615" s="10">
        <f t="shared" si="152"/>
        <v>2.7400000000000001E-2</v>
      </c>
      <c r="S1615" s="11">
        <f t="shared" si="153"/>
        <v>137</v>
      </c>
      <c r="T1615" s="10" t="s">
        <v>349</v>
      </c>
      <c r="U1615" t="s">
        <v>810</v>
      </c>
      <c r="V1615" s="58">
        <v>7.1775000000000002</v>
      </c>
      <c r="W1615" s="38">
        <f t="shared" si="155"/>
        <v>139.32427725531173</v>
      </c>
    </row>
    <row r="1616" spans="1:23" s="15" customFormat="1">
      <c r="A1616" t="s">
        <v>3926</v>
      </c>
      <c r="B1616" s="20">
        <v>45754</v>
      </c>
      <c r="C1616" s="20">
        <v>45744</v>
      </c>
      <c r="D1616" t="s">
        <v>169</v>
      </c>
      <c r="E1616" t="s">
        <v>170</v>
      </c>
      <c r="F1616" s="19"/>
      <c r="G1616" t="s">
        <v>4376</v>
      </c>
      <c r="H1616" t="s">
        <v>3548</v>
      </c>
      <c r="I1616" t="s">
        <v>3549</v>
      </c>
      <c r="J1616" s="8" t="str">
        <f t="shared" si="150"/>
        <v>PAP-</v>
      </c>
      <c r="K1616" t="s">
        <v>10</v>
      </c>
      <c r="L1616" s="46">
        <v>7000</v>
      </c>
      <c r="M1616" t="s">
        <v>1472</v>
      </c>
      <c r="N1616" t="s">
        <v>11</v>
      </c>
      <c r="O1616" s="49">
        <v>0.2</v>
      </c>
      <c r="P1616" s="9">
        <f t="shared" si="154"/>
        <v>1400</v>
      </c>
      <c r="Q1616" s="10">
        <f t="shared" si="151"/>
        <v>7.3003400000000003</v>
      </c>
      <c r="R1616" s="10">
        <f t="shared" si="152"/>
        <v>2.7400000000000001E-2</v>
      </c>
      <c r="S1616" s="11">
        <f t="shared" si="153"/>
        <v>191.8</v>
      </c>
      <c r="T1616" s="10" t="s">
        <v>349</v>
      </c>
      <c r="U1616" t="s">
        <v>1094</v>
      </c>
      <c r="V1616" s="58">
        <v>7.1775000000000002</v>
      </c>
      <c r="W1616" s="38">
        <f t="shared" si="155"/>
        <v>195.05398815743644</v>
      </c>
    </row>
    <row r="1617" spans="1:23" s="15" customFormat="1">
      <c r="A1617" t="s">
        <v>3927</v>
      </c>
      <c r="B1617" s="20">
        <v>45758</v>
      </c>
      <c r="C1617" s="20">
        <v>45748</v>
      </c>
      <c r="D1617" t="s">
        <v>806</v>
      </c>
      <c r="E1617" t="s">
        <v>807</v>
      </c>
      <c r="F1617" s="19"/>
      <c r="G1617" t="s">
        <v>4351</v>
      </c>
      <c r="H1617" t="s">
        <v>3546</v>
      </c>
      <c r="I1617" t="s">
        <v>3547</v>
      </c>
      <c r="J1617" s="8" t="str">
        <f t="shared" si="150"/>
        <v>BAG-</v>
      </c>
      <c r="K1617" t="s">
        <v>10</v>
      </c>
      <c r="L1617" s="46">
        <v>5000</v>
      </c>
      <c r="M1617" t="s">
        <v>1472</v>
      </c>
      <c r="N1617" t="s">
        <v>11</v>
      </c>
      <c r="O1617" s="49">
        <v>0.2</v>
      </c>
      <c r="P1617" s="9">
        <f t="shared" si="154"/>
        <v>1000</v>
      </c>
      <c r="Q1617" s="10">
        <f t="shared" si="151"/>
        <v>7.3003400000000003</v>
      </c>
      <c r="R1617" s="10">
        <f t="shared" si="152"/>
        <v>2.7400000000000001E-2</v>
      </c>
      <c r="S1617" s="11">
        <f t="shared" si="153"/>
        <v>137</v>
      </c>
      <c r="T1617" s="10" t="s">
        <v>349</v>
      </c>
      <c r="U1617" t="s">
        <v>810</v>
      </c>
      <c r="V1617" s="58">
        <v>7.1775000000000002</v>
      </c>
      <c r="W1617" s="38">
        <f t="shared" si="155"/>
        <v>139.32427725531173</v>
      </c>
    </row>
    <row r="1618" spans="1:23" s="15" customFormat="1">
      <c r="A1618" t="s">
        <v>3928</v>
      </c>
      <c r="B1618" s="20">
        <v>45761</v>
      </c>
      <c r="C1618" s="20">
        <v>45755</v>
      </c>
      <c r="D1618" t="s">
        <v>806</v>
      </c>
      <c r="E1618" t="s">
        <v>807</v>
      </c>
      <c r="F1618" s="19"/>
      <c r="G1618" t="s">
        <v>4359</v>
      </c>
      <c r="H1618" t="s">
        <v>3550</v>
      </c>
      <c r="I1618" t="s">
        <v>3551</v>
      </c>
      <c r="J1618" s="8" t="str">
        <f t="shared" si="150"/>
        <v>BAG-</v>
      </c>
      <c r="K1618" t="s">
        <v>10</v>
      </c>
      <c r="L1618" s="46">
        <v>2000</v>
      </c>
      <c r="M1618" t="s">
        <v>1472</v>
      </c>
      <c r="N1618" t="s">
        <v>11</v>
      </c>
      <c r="O1618" s="49">
        <v>0.21</v>
      </c>
      <c r="P1618" s="9">
        <f t="shared" si="154"/>
        <v>420</v>
      </c>
      <c r="Q1618" s="10">
        <f t="shared" si="151"/>
        <v>7.3003400000000003</v>
      </c>
      <c r="R1618" s="10">
        <f t="shared" si="152"/>
        <v>2.8799999999999999E-2</v>
      </c>
      <c r="S1618" s="11">
        <f t="shared" si="153"/>
        <v>57.6</v>
      </c>
      <c r="T1618" s="10" t="s">
        <v>349</v>
      </c>
      <c r="U1618" t="s">
        <v>810</v>
      </c>
      <c r="V1618" s="58">
        <v>7.1775000000000002</v>
      </c>
      <c r="W1618" s="38">
        <f t="shared" si="155"/>
        <v>58.516196447230925</v>
      </c>
    </row>
    <row r="1619" spans="1:23" s="15" customFormat="1">
      <c r="A1619" t="s">
        <v>3929</v>
      </c>
      <c r="B1619" s="20">
        <v>45754</v>
      </c>
      <c r="C1619" s="20">
        <v>45742</v>
      </c>
      <c r="D1619" t="s">
        <v>806</v>
      </c>
      <c r="E1619" t="s">
        <v>807</v>
      </c>
      <c r="F1619" s="19"/>
      <c r="G1619" t="s">
        <v>4350</v>
      </c>
      <c r="H1619" t="s">
        <v>1611</v>
      </c>
      <c r="I1619" t="s">
        <v>1612</v>
      </c>
      <c r="J1619" s="8" t="str">
        <f t="shared" si="150"/>
        <v>BAG-</v>
      </c>
      <c r="K1619" t="s">
        <v>10</v>
      </c>
      <c r="L1619" s="46">
        <v>1500</v>
      </c>
      <c r="M1619" t="s">
        <v>1472</v>
      </c>
      <c r="N1619" t="s">
        <v>11</v>
      </c>
      <c r="O1619" s="49">
        <v>0.22</v>
      </c>
      <c r="P1619" s="9">
        <f t="shared" si="154"/>
        <v>330</v>
      </c>
      <c r="Q1619" s="10">
        <f t="shared" si="151"/>
        <v>7.3003400000000003</v>
      </c>
      <c r="R1619" s="10">
        <f t="shared" si="152"/>
        <v>3.0099999999999998E-2</v>
      </c>
      <c r="S1619" s="11">
        <f t="shared" si="153"/>
        <v>45.15</v>
      </c>
      <c r="T1619" s="10" t="s">
        <v>349</v>
      </c>
      <c r="U1619" t="s">
        <v>810</v>
      </c>
      <c r="V1619" s="58">
        <v>7.1775000000000002</v>
      </c>
      <c r="W1619" s="38">
        <f t="shared" si="155"/>
        <v>45.977011494252871</v>
      </c>
    </row>
    <row r="1620" spans="1:23" s="15" customFormat="1">
      <c r="A1620" t="s">
        <v>3930</v>
      </c>
      <c r="B1620" s="20">
        <v>45748</v>
      </c>
      <c r="C1620" s="20">
        <v>45730</v>
      </c>
      <c r="D1620" t="s">
        <v>169</v>
      </c>
      <c r="E1620" t="s">
        <v>170</v>
      </c>
      <c r="F1620" s="19"/>
      <c r="G1620" t="s">
        <v>4377</v>
      </c>
      <c r="H1620" t="s">
        <v>3552</v>
      </c>
      <c r="I1620" t="s">
        <v>3553</v>
      </c>
      <c r="J1620" s="8" t="str">
        <f t="shared" si="150"/>
        <v>PAP-</v>
      </c>
      <c r="K1620" t="s">
        <v>10</v>
      </c>
      <c r="L1620" s="46">
        <v>12000</v>
      </c>
      <c r="M1620" t="s">
        <v>1472</v>
      </c>
      <c r="N1620" t="s">
        <v>11</v>
      </c>
      <c r="O1620" s="49">
        <v>0.23</v>
      </c>
      <c r="P1620" s="9">
        <f t="shared" si="154"/>
        <v>2760</v>
      </c>
      <c r="Q1620" s="10">
        <f t="shared" si="151"/>
        <v>7.3003400000000003</v>
      </c>
      <c r="R1620" s="10">
        <f t="shared" si="152"/>
        <v>3.15E-2</v>
      </c>
      <c r="S1620" s="11">
        <f t="shared" si="153"/>
        <v>378</v>
      </c>
      <c r="T1620" s="10" t="s">
        <v>349</v>
      </c>
      <c r="U1620" t="s">
        <v>1094</v>
      </c>
      <c r="V1620" s="58">
        <v>7.1775000000000002</v>
      </c>
      <c r="W1620" s="38">
        <f t="shared" si="155"/>
        <v>384.53500522466038</v>
      </c>
    </row>
    <row r="1621" spans="1:23" s="15" customFormat="1">
      <c r="A1621" t="s">
        <v>3931</v>
      </c>
      <c r="B1621" s="20">
        <v>45762</v>
      </c>
      <c r="C1621" s="20">
        <v>45744</v>
      </c>
      <c r="D1621" t="s">
        <v>169</v>
      </c>
      <c r="E1621" t="s">
        <v>170</v>
      </c>
      <c r="F1621" s="19"/>
      <c r="G1621" t="s">
        <v>4378</v>
      </c>
      <c r="H1621" t="s">
        <v>1098</v>
      </c>
      <c r="I1621" t="s">
        <v>1099</v>
      </c>
      <c r="J1621" s="8" t="str">
        <f t="shared" ref="J1621:J1684" si="156">+LEFT(U1621,4)</f>
        <v>PAP-</v>
      </c>
      <c r="K1621" t="s">
        <v>10</v>
      </c>
      <c r="L1621" s="46">
        <v>18000</v>
      </c>
      <c r="M1621" t="s">
        <v>1472</v>
      </c>
      <c r="N1621" t="s">
        <v>11</v>
      </c>
      <c r="O1621" s="49">
        <v>0.23</v>
      </c>
      <c r="P1621" s="9">
        <f t="shared" si="154"/>
        <v>4140</v>
      </c>
      <c r="Q1621" s="10">
        <f t="shared" ref="Q1621:Q1684" si="157">IF(N1621="HKD",7.8,IF(N1621="CNY",7.30034,1))</f>
        <v>7.3003400000000003</v>
      </c>
      <c r="R1621" s="10">
        <f t="shared" ref="R1621:R1684" si="158">+ROUND(O1621/Q1621,4)</f>
        <v>3.15E-2</v>
      </c>
      <c r="S1621" s="11">
        <f t="shared" ref="S1621:S1684" si="159">ROUND(R1621*L1621,2)</f>
        <v>567</v>
      </c>
      <c r="T1621" s="10" t="s">
        <v>349</v>
      </c>
      <c r="U1621" t="s">
        <v>1094</v>
      </c>
      <c r="V1621" s="58">
        <v>7.1775000000000002</v>
      </c>
      <c r="W1621" s="38">
        <f t="shared" si="155"/>
        <v>576.80250783699057</v>
      </c>
    </row>
    <row r="1622" spans="1:23" s="15" customFormat="1">
      <c r="A1622" t="s">
        <v>3932</v>
      </c>
      <c r="B1622" s="20">
        <v>45769</v>
      </c>
      <c r="C1622" s="20">
        <v>45755</v>
      </c>
      <c r="D1622" t="s">
        <v>169</v>
      </c>
      <c r="E1622" t="s">
        <v>170</v>
      </c>
      <c r="F1622" s="19"/>
      <c r="G1622" t="s">
        <v>4371</v>
      </c>
      <c r="H1622" t="s">
        <v>3552</v>
      </c>
      <c r="I1622" t="s">
        <v>3553</v>
      </c>
      <c r="J1622" s="8" t="str">
        <f t="shared" si="156"/>
        <v>PAP-</v>
      </c>
      <c r="K1622" t="s">
        <v>10</v>
      </c>
      <c r="L1622" s="46">
        <v>12000</v>
      </c>
      <c r="M1622" t="s">
        <v>1472</v>
      </c>
      <c r="N1622" t="s">
        <v>11</v>
      </c>
      <c r="O1622" s="49">
        <v>0.23</v>
      </c>
      <c r="P1622" s="9">
        <f t="shared" si="154"/>
        <v>2760</v>
      </c>
      <c r="Q1622" s="10">
        <f t="shared" si="157"/>
        <v>7.3003400000000003</v>
      </c>
      <c r="R1622" s="10">
        <f t="shared" si="158"/>
        <v>3.15E-2</v>
      </c>
      <c r="S1622" s="11">
        <f t="shared" si="159"/>
        <v>378</v>
      </c>
      <c r="T1622" s="10" t="s">
        <v>349</v>
      </c>
      <c r="U1622" t="s">
        <v>1094</v>
      </c>
      <c r="V1622" s="58">
        <v>7.1775000000000002</v>
      </c>
      <c r="W1622" s="38">
        <f t="shared" si="155"/>
        <v>384.53500522466038</v>
      </c>
    </row>
    <row r="1623" spans="1:23" s="15" customFormat="1">
      <c r="A1623" t="s">
        <v>3933</v>
      </c>
      <c r="B1623" s="20">
        <v>45758</v>
      </c>
      <c r="C1623" s="20">
        <v>45742</v>
      </c>
      <c r="D1623" t="s">
        <v>806</v>
      </c>
      <c r="E1623" t="s">
        <v>807</v>
      </c>
      <c r="F1623" s="19"/>
      <c r="G1623" t="s">
        <v>4351</v>
      </c>
      <c r="H1623" t="s">
        <v>3554</v>
      </c>
      <c r="I1623" t="s">
        <v>3555</v>
      </c>
      <c r="J1623" s="8" t="str">
        <f t="shared" si="156"/>
        <v>BAG-</v>
      </c>
      <c r="K1623" t="s">
        <v>10</v>
      </c>
      <c r="L1623" s="46">
        <v>1000</v>
      </c>
      <c r="M1623" t="s">
        <v>1472</v>
      </c>
      <c r="N1623" t="s">
        <v>11</v>
      </c>
      <c r="O1623" s="49">
        <v>0.23699999999999999</v>
      </c>
      <c r="P1623" s="9">
        <f t="shared" si="154"/>
        <v>237</v>
      </c>
      <c r="Q1623" s="10">
        <f t="shared" si="157"/>
        <v>7.3003400000000003</v>
      </c>
      <c r="R1623" s="10">
        <f t="shared" si="158"/>
        <v>3.2500000000000001E-2</v>
      </c>
      <c r="S1623" s="11">
        <f t="shared" si="159"/>
        <v>32.5</v>
      </c>
      <c r="T1623" s="10" t="s">
        <v>349</v>
      </c>
      <c r="U1623" t="s">
        <v>810</v>
      </c>
      <c r="V1623" s="58">
        <v>7.1775000000000002</v>
      </c>
      <c r="W1623" s="38">
        <f t="shared" si="155"/>
        <v>33.01985370950888</v>
      </c>
    </row>
    <row r="1624" spans="1:23" s="15" customFormat="1">
      <c r="A1624" t="s">
        <v>3934</v>
      </c>
      <c r="B1624" s="20">
        <v>45772</v>
      </c>
      <c r="C1624" s="20">
        <v>45755</v>
      </c>
      <c r="D1624" t="s">
        <v>806</v>
      </c>
      <c r="E1624" t="s">
        <v>807</v>
      </c>
      <c r="F1624" s="19"/>
      <c r="G1624" t="s">
        <v>4358</v>
      </c>
      <c r="H1624" t="s">
        <v>3556</v>
      </c>
      <c r="I1624" t="s">
        <v>3557</v>
      </c>
      <c r="J1624" s="8" t="str">
        <f t="shared" si="156"/>
        <v>BAG-</v>
      </c>
      <c r="K1624" t="s">
        <v>10</v>
      </c>
      <c r="L1624" s="46">
        <v>5000</v>
      </c>
      <c r="M1624" t="s">
        <v>1472</v>
      </c>
      <c r="N1624" t="s">
        <v>11</v>
      </c>
      <c r="O1624" s="49">
        <v>0.23699999999999999</v>
      </c>
      <c r="P1624" s="9">
        <f t="shared" si="154"/>
        <v>1185</v>
      </c>
      <c r="Q1624" s="10">
        <f t="shared" si="157"/>
        <v>7.3003400000000003</v>
      </c>
      <c r="R1624" s="10">
        <f t="shared" si="158"/>
        <v>3.2500000000000001E-2</v>
      </c>
      <c r="S1624" s="11">
        <f t="shared" si="159"/>
        <v>162.5</v>
      </c>
      <c r="T1624" s="10" t="s">
        <v>349</v>
      </c>
      <c r="U1624" t="s">
        <v>810</v>
      </c>
      <c r="V1624" s="58">
        <v>7.1775000000000002</v>
      </c>
      <c r="W1624" s="38">
        <f t="shared" si="155"/>
        <v>165.0992685475444</v>
      </c>
    </row>
    <row r="1625" spans="1:23" s="15" customFormat="1">
      <c r="A1625" t="s">
        <v>3935</v>
      </c>
      <c r="B1625" s="20">
        <v>45762</v>
      </c>
      <c r="C1625" s="20">
        <v>45744</v>
      </c>
      <c r="D1625" t="s">
        <v>169</v>
      </c>
      <c r="E1625" t="s">
        <v>170</v>
      </c>
      <c r="F1625" s="19"/>
      <c r="G1625" t="s">
        <v>4379</v>
      </c>
      <c r="H1625" t="s">
        <v>3558</v>
      </c>
      <c r="I1625" t="s">
        <v>3559</v>
      </c>
      <c r="J1625" s="8" t="str">
        <f t="shared" si="156"/>
        <v>PAP-</v>
      </c>
      <c r="K1625" t="s">
        <v>10</v>
      </c>
      <c r="L1625" s="46">
        <v>4000</v>
      </c>
      <c r="M1625" t="s">
        <v>1472</v>
      </c>
      <c r="N1625" t="s">
        <v>11</v>
      </c>
      <c r="O1625" s="49">
        <v>0.24</v>
      </c>
      <c r="P1625" s="9">
        <f t="shared" si="154"/>
        <v>960</v>
      </c>
      <c r="Q1625" s="10">
        <f t="shared" si="157"/>
        <v>7.3003400000000003</v>
      </c>
      <c r="R1625" s="10">
        <f t="shared" si="158"/>
        <v>3.2899999999999999E-2</v>
      </c>
      <c r="S1625" s="11">
        <f t="shared" si="159"/>
        <v>131.6</v>
      </c>
      <c r="T1625" s="10" t="s">
        <v>349</v>
      </c>
      <c r="U1625" t="s">
        <v>1094</v>
      </c>
      <c r="V1625" s="58">
        <v>7.1775000000000002</v>
      </c>
      <c r="W1625" s="38">
        <f t="shared" si="155"/>
        <v>133.75130616509927</v>
      </c>
    </row>
    <row r="1626" spans="1:23" s="15" customFormat="1">
      <c r="A1626" t="s">
        <v>3935</v>
      </c>
      <c r="B1626" s="20">
        <v>45762</v>
      </c>
      <c r="C1626" s="20">
        <v>45744</v>
      </c>
      <c r="D1626" t="s">
        <v>169</v>
      </c>
      <c r="E1626" t="s">
        <v>170</v>
      </c>
      <c r="F1626" s="19"/>
      <c r="G1626" t="s">
        <v>4379</v>
      </c>
      <c r="H1626" t="s">
        <v>3558</v>
      </c>
      <c r="I1626" t="s">
        <v>3559</v>
      </c>
      <c r="J1626" s="8" t="str">
        <f t="shared" si="156"/>
        <v>PAP-</v>
      </c>
      <c r="K1626" t="s">
        <v>10</v>
      </c>
      <c r="L1626" s="46">
        <v>2000</v>
      </c>
      <c r="M1626" t="s">
        <v>1472</v>
      </c>
      <c r="N1626" t="s">
        <v>11</v>
      </c>
      <c r="O1626" s="49">
        <v>0.24</v>
      </c>
      <c r="P1626" s="9">
        <f t="shared" si="154"/>
        <v>480</v>
      </c>
      <c r="Q1626" s="10">
        <f t="shared" si="157"/>
        <v>7.3003400000000003</v>
      </c>
      <c r="R1626" s="10">
        <f t="shared" si="158"/>
        <v>3.2899999999999999E-2</v>
      </c>
      <c r="S1626" s="11">
        <f t="shared" si="159"/>
        <v>65.8</v>
      </c>
      <c r="T1626" s="10" t="s">
        <v>349</v>
      </c>
      <c r="U1626" t="s">
        <v>1094</v>
      </c>
      <c r="V1626" s="58">
        <v>7.1775000000000002</v>
      </c>
      <c r="W1626" s="38">
        <f t="shared" si="155"/>
        <v>66.875653082549633</v>
      </c>
    </row>
    <row r="1627" spans="1:23" s="15" customFormat="1">
      <c r="A1627" t="s">
        <v>3936</v>
      </c>
      <c r="B1627" s="20">
        <v>45754</v>
      </c>
      <c r="C1627" s="20">
        <v>45728</v>
      </c>
      <c r="D1627" t="s">
        <v>169</v>
      </c>
      <c r="E1627" t="s">
        <v>170</v>
      </c>
      <c r="F1627" s="19"/>
      <c r="G1627" t="s">
        <v>4380</v>
      </c>
      <c r="H1627" t="s">
        <v>3560</v>
      </c>
      <c r="I1627" t="s">
        <v>3561</v>
      </c>
      <c r="J1627" s="8" t="str">
        <f t="shared" si="156"/>
        <v>U&amp;C-</v>
      </c>
      <c r="K1627" t="s">
        <v>10</v>
      </c>
      <c r="L1627" s="46">
        <v>5530</v>
      </c>
      <c r="M1627" t="s">
        <v>1472</v>
      </c>
      <c r="N1627" t="s">
        <v>11</v>
      </c>
      <c r="O1627" s="49">
        <v>0.248</v>
      </c>
      <c r="P1627" s="9">
        <f t="shared" si="154"/>
        <v>1371.44</v>
      </c>
      <c r="Q1627" s="10">
        <f t="shared" si="157"/>
        <v>7.3003400000000003</v>
      </c>
      <c r="R1627" s="10">
        <f t="shared" si="158"/>
        <v>3.4000000000000002E-2</v>
      </c>
      <c r="S1627" s="11">
        <f t="shared" si="159"/>
        <v>188.02</v>
      </c>
      <c r="T1627" s="10" t="s">
        <v>349</v>
      </c>
      <c r="U1627" t="s">
        <v>177</v>
      </c>
      <c r="V1627" s="58">
        <v>7.1775000000000002</v>
      </c>
      <c r="W1627" s="38">
        <f t="shared" si="155"/>
        <v>191.07488679902474</v>
      </c>
    </row>
    <row r="1628" spans="1:23" s="15" customFormat="1">
      <c r="A1628" t="s">
        <v>3937</v>
      </c>
      <c r="B1628" s="20">
        <v>45748</v>
      </c>
      <c r="C1628" s="20">
        <v>45728</v>
      </c>
      <c r="D1628" t="s">
        <v>169</v>
      </c>
      <c r="E1628" t="s">
        <v>170</v>
      </c>
      <c r="F1628" s="19"/>
      <c r="G1628" t="s">
        <v>4377</v>
      </c>
      <c r="H1628" t="s">
        <v>3159</v>
      </c>
      <c r="I1628" t="s">
        <v>3369</v>
      </c>
      <c r="J1628" s="8" t="str">
        <f t="shared" si="156"/>
        <v>U&amp;C-</v>
      </c>
      <c r="K1628" t="s">
        <v>10</v>
      </c>
      <c r="L1628" s="46">
        <v>6100</v>
      </c>
      <c r="M1628" t="s">
        <v>1472</v>
      </c>
      <c r="N1628" t="s">
        <v>11</v>
      </c>
      <c r="O1628" s="49">
        <v>0.252</v>
      </c>
      <c r="P1628" s="9">
        <f t="shared" si="154"/>
        <v>1537.2</v>
      </c>
      <c r="Q1628" s="10">
        <f t="shared" si="157"/>
        <v>7.3003400000000003</v>
      </c>
      <c r="R1628" s="10">
        <f t="shared" si="158"/>
        <v>3.4500000000000003E-2</v>
      </c>
      <c r="S1628" s="11">
        <f t="shared" si="159"/>
        <v>210.45</v>
      </c>
      <c r="T1628" s="10" t="s">
        <v>349</v>
      </c>
      <c r="U1628" t="s">
        <v>177</v>
      </c>
      <c r="V1628" s="58">
        <v>7.1775000000000002</v>
      </c>
      <c r="W1628" s="38">
        <f t="shared" si="155"/>
        <v>214.16927899686522</v>
      </c>
    </row>
    <row r="1629" spans="1:23" s="15" customFormat="1">
      <c r="A1629" t="s">
        <v>3938</v>
      </c>
      <c r="B1629" s="20">
        <v>45769</v>
      </c>
      <c r="C1629" s="20">
        <v>45755</v>
      </c>
      <c r="D1629" t="s">
        <v>169</v>
      </c>
      <c r="E1629" t="s">
        <v>170</v>
      </c>
      <c r="F1629" s="19"/>
      <c r="G1629" t="s">
        <v>4381</v>
      </c>
      <c r="H1629" t="s">
        <v>3159</v>
      </c>
      <c r="I1629" t="s">
        <v>3369</v>
      </c>
      <c r="J1629" s="8" t="str">
        <f t="shared" si="156"/>
        <v>U&amp;C-</v>
      </c>
      <c r="K1629" t="s">
        <v>10</v>
      </c>
      <c r="L1629" s="46">
        <v>8050</v>
      </c>
      <c r="M1629" t="s">
        <v>1472</v>
      </c>
      <c r="N1629" t="s">
        <v>11</v>
      </c>
      <c r="O1629" s="49">
        <v>0.252</v>
      </c>
      <c r="P1629" s="9">
        <f t="shared" si="154"/>
        <v>2028.6</v>
      </c>
      <c r="Q1629" s="10">
        <f t="shared" si="157"/>
        <v>7.3003400000000003</v>
      </c>
      <c r="R1629" s="10">
        <f t="shared" si="158"/>
        <v>3.4500000000000003E-2</v>
      </c>
      <c r="S1629" s="11">
        <f t="shared" si="159"/>
        <v>277.73</v>
      </c>
      <c r="T1629" s="10" t="s">
        <v>349</v>
      </c>
      <c r="U1629" t="s">
        <v>177</v>
      </c>
      <c r="V1629" s="58">
        <v>7.1775000000000002</v>
      </c>
      <c r="W1629" s="38">
        <f t="shared" si="155"/>
        <v>282.63322884012541</v>
      </c>
    </row>
    <row r="1630" spans="1:23" s="15" customFormat="1">
      <c r="A1630" t="s">
        <v>3939</v>
      </c>
      <c r="B1630" s="20">
        <v>45758</v>
      </c>
      <c r="C1630" s="20">
        <v>45742</v>
      </c>
      <c r="D1630" t="s">
        <v>806</v>
      </c>
      <c r="E1630" t="s">
        <v>807</v>
      </c>
      <c r="F1630" s="19"/>
      <c r="G1630" t="s">
        <v>4353</v>
      </c>
      <c r="H1630" t="s">
        <v>3562</v>
      </c>
      <c r="I1630" t="s">
        <v>3563</v>
      </c>
      <c r="J1630" s="8" t="str">
        <f t="shared" si="156"/>
        <v>BAG-</v>
      </c>
      <c r="K1630" t="s">
        <v>10</v>
      </c>
      <c r="L1630" s="46">
        <v>1300</v>
      </c>
      <c r="M1630" t="s">
        <v>1472</v>
      </c>
      <c r="N1630" t="s">
        <v>11</v>
      </c>
      <c r="O1630" s="49">
        <v>0.26</v>
      </c>
      <c r="P1630" s="9">
        <f t="shared" si="154"/>
        <v>338</v>
      </c>
      <c r="Q1630" s="10">
        <f t="shared" si="157"/>
        <v>7.3003400000000003</v>
      </c>
      <c r="R1630" s="10">
        <f t="shared" si="158"/>
        <v>3.56E-2</v>
      </c>
      <c r="S1630" s="11">
        <f t="shared" si="159"/>
        <v>46.28</v>
      </c>
      <c r="T1630" s="10" t="s">
        <v>349</v>
      </c>
      <c r="U1630" t="s">
        <v>810</v>
      </c>
      <c r="V1630" s="58">
        <v>7.1775000000000002</v>
      </c>
      <c r="W1630" s="38">
        <f t="shared" si="155"/>
        <v>47.091605712295362</v>
      </c>
    </row>
    <row r="1631" spans="1:23" s="15" customFormat="1">
      <c r="A1631" t="s">
        <v>3939</v>
      </c>
      <c r="B1631" s="20">
        <v>45754</v>
      </c>
      <c r="C1631" s="20">
        <v>45742</v>
      </c>
      <c r="D1631" t="s">
        <v>806</v>
      </c>
      <c r="E1631" t="s">
        <v>807</v>
      </c>
      <c r="F1631" s="19"/>
      <c r="G1631" t="s">
        <v>4350</v>
      </c>
      <c r="H1631" t="s">
        <v>3562</v>
      </c>
      <c r="I1631" t="s">
        <v>3563</v>
      </c>
      <c r="J1631" s="8" t="str">
        <f t="shared" si="156"/>
        <v>BAG-</v>
      </c>
      <c r="K1631" t="s">
        <v>10</v>
      </c>
      <c r="L1631" s="46">
        <v>2700</v>
      </c>
      <c r="M1631" t="s">
        <v>1472</v>
      </c>
      <c r="N1631" t="s">
        <v>11</v>
      </c>
      <c r="O1631" s="49">
        <v>0.26</v>
      </c>
      <c r="P1631" s="9">
        <f t="shared" si="154"/>
        <v>702</v>
      </c>
      <c r="Q1631" s="10">
        <f t="shared" si="157"/>
        <v>7.3003400000000003</v>
      </c>
      <c r="R1631" s="10">
        <f t="shared" si="158"/>
        <v>3.56E-2</v>
      </c>
      <c r="S1631" s="11">
        <f t="shared" si="159"/>
        <v>96.12</v>
      </c>
      <c r="T1631" s="10" t="s">
        <v>349</v>
      </c>
      <c r="U1631" t="s">
        <v>810</v>
      </c>
      <c r="V1631" s="58">
        <v>7.1775000000000002</v>
      </c>
      <c r="W1631" s="38">
        <f t="shared" si="155"/>
        <v>97.805642633228828</v>
      </c>
    </row>
    <row r="1632" spans="1:23" s="15" customFormat="1">
      <c r="A1632" t="s">
        <v>3940</v>
      </c>
      <c r="B1632" s="20">
        <v>45772</v>
      </c>
      <c r="C1632" s="20">
        <v>45755</v>
      </c>
      <c r="D1632" t="s">
        <v>806</v>
      </c>
      <c r="E1632" t="s">
        <v>807</v>
      </c>
      <c r="F1632" s="19"/>
      <c r="G1632" t="s">
        <v>4358</v>
      </c>
      <c r="H1632" t="s">
        <v>3562</v>
      </c>
      <c r="I1632" t="s">
        <v>3563</v>
      </c>
      <c r="J1632" s="8" t="str">
        <f t="shared" si="156"/>
        <v>BAG-</v>
      </c>
      <c r="K1632" t="s">
        <v>10</v>
      </c>
      <c r="L1632" s="46">
        <v>1270</v>
      </c>
      <c r="M1632" t="s">
        <v>1472</v>
      </c>
      <c r="N1632" t="s">
        <v>11</v>
      </c>
      <c r="O1632" s="49">
        <v>0.26</v>
      </c>
      <c r="P1632" s="9">
        <f t="shared" si="154"/>
        <v>330.2</v>
      </c>
      <c r="Q1632" s="10">
        <f t="shared" si="157"/>
        <v>7.3003400000000003</v>
      </c>
      <c r="R1632" s="10">
        <f t="shared" si="158"/>
        <v>3.56E-2</v>
      </c>
      <c r="S1632" s="11">
        <f t="shared" si="159"/>
        <v>45.21</v>
      </c>
      <c r="T1632" s="10" t="s">
        <v>349</v>
      </c>
      <c r="U1632" t="s">
        <v>810</v>
      </c>
      <c r="V1632" s="58">
        <v>7.1775000000000002</v>
      </c>
      <c r="W1632" s="38">
        <f t="shared" si="155"/>
        <v>46.004876349703935</v>
      </c>
    </row>
    <row r="1633" spans="1:23" s="15" customFormat="1">
      <c r="A1633" t="s">
        <v>3941</v>
      </c>
      <c r="B1633" s="20">
        <v>45762</v>
      </c>
      <c r="C1633" s="20">
        <v>45744</v>
      </c>
      <c r="D1633" t="s">
        <v>169</v>
      </c>
      <c r="E1633" t="s">
        <v>170</v>
      </c>
      <c r="F1633" s="19"/>
      <c r="G1633" t="s">
        <v>4382</v>
      </c>
      <c r="H1633" t="s">
        <v>3564</v>
      </c>
      <c r="I1633" t="s">
        <v>3565</v>
      </c>
      <c r="J1633" s="8" t="str">
        <f t="shared" si="156"/>
        <v>WACD</v>
      </c>
      <c r="K1633" t="s">
        <v>10</v>
      </c>
      <c r="L1633" s="46">
        <v>1010</v>
      </c>
      <c r="M1633" t="s">
        <v>1472</v>
      </c>
      <c r="N1633" t="s">
        <v>11</v>
      </c>
      <c r="O1633" s="49">
        <v>0.26500000000000001</v>
      </c>
      <c r="P1633" s="9">
        <f t="shared" si="154"/>
        <v>267.64999999999998</v>
      </c>
      <c r="Q1633" s="10">
        <f t="shared" si="157"/>
        <v>7.3003400000000003</v>
      </c>
      <c r="R1633" s="10">
        <f t="shared" si="158"/>
        <v>3.6299999999999999E-2</v>
      </c>
      <c r="S1633" s="11">
        <f t="shared" si="159"/>
        <v>36.659999999999997</v>
      </c>
      <c r="T1633" s="10" t="s">
        <v>349</v>
      </c>
      <c r="U1633" t="s">
        <v>635</v>
      </c>
      <c r="V1633" s="58">
        <v>7.1775000000000002</v>
      </c>
      <c r="W1633" s="38">
        <f t="shared" si="155"/>
        <v>37.290142807384186</v>
      </c>
    </row>
    <row r="1634" spans="1:23" s="15" customFormat="1">
      <c r="A1634" t="s">
        <v>3942</v>
      </c>
      <c r="B1634" s="20">
        <v>45762</v>
      </c>
      <c r="C1634" s="20">
        <v>45744</v>
      </c>
      <c r="D1634" t="s">
        <v>169</v>
      </c>
      <c r="E1634" t="s">
        <v>170</v>
      </c>
      <c r="F1634" s="19"/>
      <c r="G1634" t="s">
        <v>4382</v>
      </c>
      <c r="H1634" t="s">
        <v>3566</v>
      </c>
      <c r="I1634" t="s">
        <v>3567</v>
      </c>
      <c r="J1634" s="8" t="str">
        <f t="shared" si="156"/>
        <v>U&amp;C-</v>
      </c>
      <c r="K1634" t="s">
        <v>10</v>
      </c>
      <c r="L1634" s="46">
        <v>1010</v>
      </c>
      <c r="M1634" t="s">
        <v>1472</v>
      </c>
      <c r="N1634" t="s">
        <v>11</v>
      </c>
      <c r="O1634" s="49">
        <v>0.26700000000000002</v>
      </c>
      <c r="P1634" s="9">
        <f t="shared" si="154"/>
        <v>269.67</v>
      </c>
      <c r="Q1634" s="10">
        <f t="shared" si="157"/>
        <v>7.3003400000000003</v>
      </c>
      <c r="R1634" s="10">
        <f t="shared" si="158"/>
        <v>3.6600000000000001E-2</v>
      </c>
      <c r="S1634" s="11">
        <f t="shared" si="159"/>
        <v>36.97</v>
      </c>
      <c r="T1634" s="10" t="s">
        <v>349</v>
      </c>
      <c r="U1634" t="s">
        <v>177</v>
      </c>
      <c r="V1634" s="58">
        <v>7.1775000000000002</v>
      </c>
      <c r="W1634" s="38">
        <f t="shared" si="155"/>
        <v>37.571577847439919</v>
      </c>
    </row>
    <row r="1635" spans="1:23" s="15" customFormat="1">
      <c r="A1635" t="s">
        <v>3943</v>
      </c>
      <c r="B1635" s="20">
        <v>45769</v>
      </c>
      <c r="C1635" s="20">
        <v>45728</v>
      </c>
      <c r="D1635" t="s">
        <v>169</v>
      </c>
      <c r="E1635" t="s">
        <v>170</v>
      </c>
      <c r="F1635" s="19"/>
      <c r="G1635" t="s">
        <v>4383</v>
      </c>
      <c r="H1635" t="s">
        <v>3568</v>
      </c>
      <c r="I1635" t="s">
        <v>1620</v>
      </c>
      <c r="J1635" s="8" t="str">
        <f t="shared" si="156"/>
        <v>U&amp;C-</v>
      </c>
      <c r="K1635" t="s">
        <v>10</v>
      </c>
      <c r="L1635" s="46">
        <v>1010</v>
      </c>
      <c r="M1635" t="s">
        <v>1472</v>
      </c>
      <c r="N1635" t="s">
        <v>11</v>
      </c>
      <c r="O1635" s="49">
        <v>0.27500000000000002</v>
      </c>
      <c r="P1635" s="9">
        <f t="shared" si="154"/>
        <v>277.75</v>
      </c>
      <c r="Q1635" s="10">
        <f t="shared" si="157"/>
        <v>7.3003400000000003</v>
      </c>
      <c r="R1635" s="10">
        <f t="shared" si="158"/>
        <v>3.7699999999999997E-2</v>
      </c>
      <c r="S1635" s="11">
        <f t="shared" si="159"/>
        <v>38.08</v>
      </c>
      <c r="T1635" s="10" t="s">
        <v>349</v>
      </c>
      <c r="U1635" t="s">
        <v>177</v>
      </c>
      <c r="V1635" s="58">
        <v>7.1775000000000002</v>
      </c>
      <c r="W1635" s="38">
        <f t="shared" si="155"/>
        <v>38.697318007662837</v>
      </c>
    </row>
    <row r="1636" spans="1:23" s="15" customFormat="1">
      <c r="A1636" t="s">
        <v>3944</v>
      </c>
      <c r="B1636" s="20">
        <v>45762</v>
      </c>
      <c r="C1636" s="20">
        <v>45744</v>
      </c>
      <c r="D1636" t="s">
        <v>169</v>
      </c>
      <c r="E1636" t="s">
        <v>170</v>
      </c>
      <c r="F1636" s="19"/>
      <c r="G1636" t="s">
        <v>4384</v>
      </c>
      <c r="H1636" t="s">
        <v>1619</v>
      </c>
      <c r="I1636" t="s">
        <v>1620</v>
      </c>
      <c r="J1636" s="8" t="str">
        <f t="shared" si="156"/>
        <v>U&amp;C-</v>
      </c>
      <c r="K1636" t="s">
        <v>10</v>
      </c>
      <c r="L1636" s="46">
        <v>3520</v>
      </c>
      <c r="M1636" t="s">
        <v>1472</v>
      </c>
      <c r="N1636" t="s">
        <v>11</v>
      </c>
      <c r="O1636" s="49">
        <v>0.27500000000000002</v>
      </c>
      <c r="P1636" s="9">
        <f t="shared" si="154"/>
        <v>968</v>
      </c>
      <c r="Q1636" s="10">
        <f t="shared" si="157"/>
        <v>7.3003400000000003</v>
      </c>
      <c r="R1636" s="10">
        <f t="shared" si="158"/>
        <v>3.7699999999999997E-2</v>
      </c>
      <c r="S1636" s="11">
        <f t="shared" si="159"/>
        <v>132.69999999999999</v>
      </c>
      <c r="T1636" s="10" t="s">
        <v>349</v>
      </c>
      <c r="U1636" t="s">
        <v>177</v>
      </c>
      <c r="V1636" s="58">
        <v>7.1775000000000002</v>
      </c>
      <c r="W1636" s="38">
        <f t="shared" si="155"/>
        <v>134.86590038314176</v>
      </c>
    </row>
    <row r="1637" spans="1:23" s="15" customFormat="1">
      <c r="A1637" t="s">
        <v>3945</v>
      </c>
      <c r="B1637" s="20">
        <v>45754</v>
      </c>
      <c r="C1637" s="20">
        <v>45728</v>
      </c>
      <c r="D1637" t="s">
        <v>169</v>
      </c>
      <c r="E1637" t="s">
        <v>170</v>
      </c>
      <c r="F1637" s="19"/>
      <c r="G1637" t="s">
        <v>4385</v>
      </c>
      <c r="H1637" t="s">
        <v>3094</v>
      </c>
      <c r="I1637" t="s">
        <v>1628</v>
      </c>
      <c r="J1637" s="8" t="str">
        <f t="shared" si="156"/>
        <v>WACD</v>
      </c>
      <c r="K1637" t="s">
        <v>10</v>
      </c>
      <c r="L1637" s="46">
        <v>4150</v>
      </c>
      <c r="M1637" t="s">
        <v>1472</v>
      </c>
      <c r="N1637" t="s">
        <v>11</v>
      </c>
      <c r="O1637" s="49">
        <v>0.28899999999999998</v>
      </c>
      <c r="P1637" s="9">
        <f t="shared" si="154"/>
        <v>1199.3499999999999</v>
      </c>
      <c r="Q1637" s="10">
        <f t="shared" si="157"/>
        <v>7.3003400000000003</v>
      </c>
      <c r="R1637" s="10">
        <f t="shared" si="158"/>
        <v>3.9600000000000003E-2</v>
      </c>
      <c r="S1637" s="11">
        <f t="shared" si="159"/>
        <v>164.34</v>
      </c>
      <c r="T1637" s="10" t="s">
        <v>349</v>
      </c>
      <c r="U1637" t="s">
        <v>635</v>
      </c>
      <c r="V1637" s="58">
        <v>7.1775000000000002</v>
      </c>
      <c r="W1637" s="38">
        <f t="shared" si="155"/>
        <v>167.09857192615812</v>
      </c>
    </row>
    <row r="1638" spans="1:23" s="15" customFormat="1">
      <c r="A1638" t="s">
        <v>3946</v>
      </c>
      <c r="B1638" s="20">
        <v>45762</v>
      </c>
      <c r="C1638" s="20">
        <v>45744</v>
      </c>
      <c r="D1638" t="s">
        <v>169</v>
      </c>
      <c r="E1638" t="s">
        <v>170</v>
      </c>
      <c r="F1638" s="19"/>
      <c r="G1638" t="s">
        <v>4378</v>
      </c>
      <c r="H1638" t="s">
        <v>1095</v>
      </c>
      <c r="I1638" t="s">
        <v>1096</v>
      </c>
      <c r="J1638" s="8" t="str">
        <f t="shared" si="156"/>
        <v>PAP-</v>
      </c>
      <c r="K1638" t="s">
        <v>10</v>
      </c>
      <c r="L1638" s="46">
        <v>27000</v>
      </c>
      <c r="M1638" t="s">
        <v>1472</v>
      </c>
      <c r="N1638" t="s">
        <v>11</v>
      </c>
      <c r="O1638" s="49">
        <v>0.28999999999999998</v>
      </c>
      <c r="P1638" s="9">
        <f t="shared" si="154"/>
        <v>7830</v>
      </c>
      <c r="Q1638" s="10">
        <f t="shared" si="157"/>
        <v>7.3003400000000003</v>
      </c>
      <c r="R1638" s="10">
        <f t="shared" si="158"/>
        <v>3.9699999999999999E-2</v>
      </c>
      <c r="S1638" s="11">
        <f t="shared" si="159"/>
        <v>1071.9000000000001</v>
      </c>
      <c r="T1638" s="10" t="s">
        <v>349</v>
      </c>
      <c r="U1638" t="s">
        <v>1094</v>
      </c>
      <c r="V1638" s="58">
        <v>7.1775000000000002</v>
      </c>
      <c r="W1638" s="38">
        <f t="shared" si="155"/>
        <v>1090.9090909090908</v>
      </c>
    </row>
    <row r="1639" spans="1:23" s="15" customFormat="1">
      <c r="A1639" t="s">
        <v>3947</v>
      </c>
      <c r="B1639" s="20">
        <v>45758</v>
      </c>
      <c r="C1639" s="20">
        <v>45742</v>
      </c>
      <c r="D1639" t="s">
        <v>806</v>
      </c>
      <c r="E1639" t="s">
        <v>807</v>
      </c>
      <c r="F1639" s="19"/>
      <c r="G1639" t="s">
        <v>4353</v>
      </c>
      <c r="H1639" t="s">
        <v>3569</v>
      </c>
      <c r="I1639" t="s">
        <v>3570</v>
      </c>
      <c r="J1639" s="8" t="str">
        <f t="shared" si="156"/>
        <v>BAG-</v>
      </c>
      <c r="K1639" t="s">
        <v>10</v>
      </c>
      <c r="L1639" s="46">
        <v>2000</v>
      </c>
      <c r="M1639" t="s">
        <v>1472</v>
      </c>
      <c r="N1639" t="s">
        <v>11</v>
      </c>
      <c r="O1639" s="49">
        <v>0.32</v>
      </c>
      <c r="P1639" s="9">
        <f t="shared" si="154"/>
        <v>640</v>
      </c>
      <c r="Q1639" s="10">
        <f t="shared" si="157"/>
        <v>7.3003400000000003</v>
      </c>
      <c r="R1639" s="10">
        <f t="shared" si="158"/>
        <v>4.3799999999999999E-2</v>
      </c>
      <c r="S1639" s="11">
        <f t="shared" si="159"/>
        <v>87.6</v>
      </c>
      <c r="T1639" s="10" t="s">
        <v>349</v>
      </c>
      <c r="U1639" t="s">
        <v>810</v>
      </c>
      <c r="V1639" s="58">
        <v>7.1775000000000002</v>
      </c>
      <c r="W1639" s="38">
        <f t="shared" si="155"/>
        <v>89.16753744339951</v>
      </c>
    </row>
    <row r="1640" spans="1:23" s="15" customFormat="1">
      <c r="A1640" t="s">
        <v>3948</v>
      </c>
      <c r="B1640" s="20">
        <v>45772</v>
      </c>
      <c r="C1640" s="20">
        <v>45755</v>
      </c>
      <c r="D1640" t="s">
        <v>806</v>
      </c>
      <c r="E1640" t="s">
        <v>807</v>
      </c>
      <c r="F1640" s="19"/>
      <c r="G1640" t="s">
        <v>4358</v>
      </c>
      <c r="H1640" t="s">
        <v>3571</v>
      </c>
      <c r="I1640" t="s">
        <v>3572</v>
      </c>
      <c r="J1640" s="8" t="str">
        <f t="shared" si="156"/>
        <v>BAG-</v>
      </c>
      <c r="K1640" t="s">
        <v>10</v>
      </c>
      <c r="L1640" s="46">
        <v>1000</v>
      </c>
      <c r="M1640" t="s">
        <v>1472</v>
      </c>
      <c r="N1640" t="s">
        <v>11</v>
      </c>
      <c r="O1640" s="49">
        <v>0.34499999999999997</v>
      </c>
      <c r="P1640" s="9">
        <f t="shared" si="154"/>
        <v>345</v>
      </c>
      <c r="Q1640" s="10">
        <f t="shared" si="157"/>
        <v>7.3003400000000003</v>
      </c>
      <c r="R1640" s="10">
        <f t="shared" si="158"/>
        <v>4.7300000000000002E-2</v>
      </c>
      <c r="S1640" s="11">
        <f t="shared" si="159"/>
        <v>47.3</v>
      </c>
      <c r="T1640" s="10" t="s">
        <v>349</v>
      </c>
      <c r="U1640" t="s">
        <v>810</v>
      </c>
      <c r="V1640" s="58">
        <v>7.1775000000000002</v>
      </c>
      <c r="W1640" s="38">
        <f t="shared" si="155"/>
        <v>48.066875653082541</v>
      </c>
    </row>
    <row r="1641" spans="1:23" s="15" customFormat="1">
      <c r="A1641" t="s">
        <v>3949</v>
      </c>
      <c r="B1641" s="20">
        <v>45754</v>
      </c>
      <c r="C1641" s="20">
        <v>45744</v>
      </c>
      <c r="D1641" t="s">
        <v>169</v>
      </c>
      <c r="E1641" t="s">
        <v>170</v>
      </c>
      <c r="F1641" s="19"/>
      <c r="G1641" t="s">
        <v>4385</v>
      </c>
      <c r="H1641" t="s">
        <v>3573</v>
      </c>
      <c r="I1641" t="s">
        <v>3574</v>
      </c>
      <c r="J1641" s="8" t="str">
        <f t="shared" si="156"/>
        <v>U&amp;C-</v>
      </c>
      <c r="K1641" t="s">
        <v>10</v>
      </c>
      <c r="L1641" s="46">
        <v>3520</v>
      </c>
      <c r="M1641" t="s">
        <v>1472</v>
      </c>
      <c r="N1641" t="s">
        <v>11</v>
      </c>
      <c r="O1641" s="49">
        <v>0.38400000000000001</v>
      </c>
      <c r="P1641" s="9">
        <f t="shared" si="154"/>
        <v>1351.68</v>
      </c>
      <c r="Q1641" s="10">
        <f t="shared" si="157"/>
        <v>7.3003400000000003</v>
      </c>
      <c r="R1641" s="10">
        <f t="shared" si="158"/>
        <v>5.2600000000000001E-2</v>
      </c>
      <c r="S1641" s="11">
        <f t="shared" si="159"/>
        <v>185.15</v>
      </c>
      <c r="T1641" s="10" t="s">
        <v>349</v>
      </c>
      <c r="U1641" t="s">
        <v>177</v>
      </c>
      <c r="V1641" s="58">
        <v>7.1775000000000002</v>
      </c>
      <c r="W1641" s="38">
        <f t="shared" si="155"/>
        <v>188.32183908045977</v>
      </c>
    </row>
    <row r="1642" spans="1:23" s="15" customFormat="1">
      <c r="A1642" t="s">
        <v>3950</v>
      </c>
      <c r="B1642" s="20">
        <v>45758</v>
      </c>
      <c r="C1642" s="20">
        <v>45729</v>
      </c>
      <c r="D1642" t="s">
        <v>709</v>
      </c>
      <c r="E1642" t="s">
        <v>710</v>
      </c>
      <c r="F1642" s="19"/>
      <c r="G1642" t="s">
        <v>4340</v>
      </c>
      <c r="H1642" t="s">
        <v>1282</v>
      </c>
      <c r="I1642" t="s">
        <v>1283</v>
      </c>
      <c r="J1642" s="8" t="str">
        <f t="shared" si="156"/>
        <v>MISC</v>
      </c>
      <c r="K1642" t="s">
        <v>10</v>
      </c>
      <c r="L1642" s="46">
        <v>1000</v>
      </c>
      <c r="M1642" t="s">
        <v>1472</v>
      </c>
      <c r="N1642" t="s">
        <v>11</v>
      </c>
      <c r="O1642" s="49">
        <v>0.39100000000000001</v>
      </c>
      <c r="P1642" s="9">
        <f t="shared" si="154"/>
        <v>391</v>
      </c>
      <c r="Q1642" s="10">
        <f t="shared" si="157"/>
        <v>7.3003400000000003</v>
      </c>
      <c r="R1642" s="10">
        <f t="shared" si="158"/>
        <v>5.3600000000000002E-2</v>
      </c>
      <c r="S1642" s="11">
        <f t="shared" si="159"/>
        <v>53.6</v>
      </c>
      <c r="T1642" s="10" t="s">
        <v>349</v>
      </c>
      <c r="U1642" t="s">
        <v>25</v>
      </c>
      <c r="V1642" s="58">
        <v>7.1775000000000002</v>
      </c>
      <c r="W1642" s="38">
        <f t="shared" si="155"/>
        <v>54.475792406826884</v>
      </c>
    </row>
    <row r="1643" spans="1:23" s="15" customFormat="1">
      <c r="A1643" t="s">
        <v>3951</v>
      </c>
      <c r="B1643" s="20">
        <v>45762</v>
      </c>
      <c r="C1643" s="20">
        <v>45744</v>
      </c>
      <c r="D1643" t="s">
        <v>169</v>
      </c>
      <c r="E1643" t="s">
        <v>170</v>
      </c>
      <c r="F1643" s="19"/>
      <c r="G1643" t="s">
        <v>4382</v>
      </c>
      <c r="H1643" t="s">
        <v>3094</v>
      </c>
      <c r="I1643" t="s">
        <v>1628</v>
      </c>
      <c r="J1643" s="8" t="str">
        <f t="shared" si="156"/>
        <v>WACD</v>
      </c>
      <c r="K1643" t="s">
        <v>10</v>
      </c>
      <c r="L1643" s="46">
        <v>2500</v>
      </c>
      <c r="M1643" t="s">
        <v>1472</v>
      </c>
      <c r="N1643" t="s">
        <v>11</v>
      </c>
      <c r="O1643" s="49">
        <v>0.39200000000000002</v>
      </c>
      <c r="P1643" s="9">
        <f t="shared" si="154"/>
        <v>980</v>
      </c>
      <c r="Q1643" s="10">
        <f t="shared" si="157"/>
        <v>7.3003400000000003</v>
      </c>
      <c r="R1643" s="10">
        <f t="shared" si="158"/>
        <v>5.3699999999999998E-2</v>
      </c>
      <c r="S1643" s="11">
        <f t="shared" si="159"/>
        <v>134.25</v>
      </c>
      <c r="T1643" s="10" t="s">
        <v>349</v>
      </c>
      <c r="U1643" t="s">
        <v>635</v>
      </c>
      <c r="V1643" s="58">
        <v>7.1775000000000002</v>
      </c>
      <c r="W1643" s="38">
        <f t="shared" si="155"/>
        <v>136.53779171020551</v>
      </c>
    </row>
    <row r="1644" spans="1:23" s="15" customFormat="1">
      <c r="A1644" t="s">
        <v>3952</v>
      </c>
      <c r="B1644" s="20">
        <v>45758</v>
      </c>
      <c r="C1644" s="20">
        <v>45742</v>
      </c>
      <c r="D1644" t="s">
        <v>806</v>
      </c>
      <c r="E1644" t="s">
        <v>807</v>
      </c>
      <c r="F1644" s="19"/>
      <c r="G1644" t="s">
        <v>4351</v>
      </c>
      <c r="H1644" t="s">
        <v>3575</v>
      </c>
      <c r="I1644" t="s">
        <v>3576</v>
      </c>
      <c r="J1644" s="8" t="str">
        <f t="shared" si="156"/>
        <v>BAG-</v>
      </c>
      <c r="K1644" t="s">
        <v>10</v>
      </c>
      <c r="L1644" s="46">
        <v>1100</v>
      </c>
      <c r="M1644" t="s">
        <v>1472</v>
      </c>
      <c r="N1644" t="s">
        <v>11</v>
      </c>
      <c r="O1644" s="49">
        <v>0.41599999999999998</v>
      </c>
      <c r="P1644" s="9">
        <f t="shared" si="154"/>
        <v>457.6</v>
      </c>
      <c r="Q1644" s="10">
        <f t="shared" si="157"/>
        <v>7.3003400000000003</v>
      </c>
      <c r="R1644" s="10">
        <f t="shared" si="158"/>
        <v>5.7000000000000002E-2</v>
      </c>
      <c r="S1644" s="11">
        <f t="shared" si="159"/>
        <v>62.7</v>
      </c>
      <c r="T1644" s="10" t="s">
        <v>349</v>
      </c>
      <c r="U1644" t="s">
        <v>810</v>
      </c>
      <c r="V1644" s="58">
        <v>7.1775000000000002</v>
      </c>
      <c r="W1644" s="38">
        <f t="shared" si="155"/>
        <v>63.754789272030642</v>
      </c>
    </row>
    <row r="1645" spans="1:23" s="15" customFormat="1">
      <c r="A1645" t="s">
        <v>3953</v>
      </c>
      <c r="B1645" s="20">
        <v>45776</v>
      </c>
      <c r="C1645" s="20">
        <v>45758</v>
      </c>
      <c r="D1645" t="s">
        <v>569</v>
      </c>
      <c r="E1645" t="s">
        <v>570</v>
      </c>
      <c r="F1645" s="19"/>
      <c r="G1645" t="s">
        <v>4386</v>
      </c>
      <c r="H1645" t="s">
        <v>3577</v>
      </c>
      <c r="I1645" t="s">
        <v>3578</v>
      </c>
      <c r="J1645" s="8" t="str">
        <f t="shared" si="156"/>
        <v>WHR-</v>
      </c>
      <c r="K1645" t="s">
        <v>10</v>
      </c>
      <c r="L1645" s="46">
        <v>520</v>
      </c>
      <c r="M1645" t="s">
        <v>1472</v>
      </c>
      <c r="N1645" t="s">
        <v>11</v>
      </c>
      <c r="O1645" s="49">
        <v>0.43</v>
      </c>
      <c r="P1645" s="9">
        <f t="shared" si="154"/>
        <v>223.6</v>
      </c>
      <c r="Q1645" s="10">
        <f t="shared" si="157"/>
        <v>7.3003400000000003</v>
      </c>
      <c r="R1645" s="10">
        <f t="shared" si="158"/>
        <v>5.8900000000000001E-2</v>
      </c>
      <c r="S1645" s="11">
        <f t="shared" si="159"/>
        <v>30.63</v>
      </c>
      <c r="T1645" s="10" t="s">
        <v>349</v>
      </c>
      <c r="U1645" t="s">
        <v>248</v>
      </c>
      <c r="V1645" s="58">
        <v>7.1775000000000002</v>
      </c>
      <c r="W1645" s="38">
        <f t="shared" si="155"/>
        <v>31.152908394287703</v>
      </c>
    </row>
    <row r="1646" spans="1:23" s="15" customFormat="1">
      <c r="A1646" t="s">
        <v>3954</v>
      </c>
      <c r="B1646" s="20">
        <v>45768</v>
      </c>
      <c r="C1646" s="20">
        <v>45750</v>
      </c>
      <c r="D1646" t="s">
        <v>235</v>
      </c>
      <c r="E1646" t="s">
        <v>236</v>
      </c>
      <c r="F1646" s="19"/>
      <c r="G1646" t="s">
        <v>4387</v>
      </c>
      <c r="H1646" t="s">
        <v>1344</v>
      </c>
      <c r="I1646" t="s">
        <v>1345</v>
      </c>
      <c r="J1646" s="8" t="str">
        <f t="shared" si="156"/>
        <v>SCR-</v>
      </c>
      <c r="K1646" t="s">
        <v>10</v>
      </c>
      <c r="L1646" s="46">
        <v>12800</v>
      </c>
      <c r="M1646" t="s">
        <v>1472</v>
      </c>
      <c r="N1646" t="s">
        <v>11</v>
      </c>
      <c r="O1646" s="49">
        <v>0.47449999999999998</v>
      </c>
      <c r="P1646" s="9">
        <f t="shared" si="154"/>
        <v>6073.6</v>
      </c>
      <c r="Q1646" s="10">
        <f t="shared" si="157"/>
        <v>7.3003400000000003</v>
      </c>
      <c r="R1646" s="10">
        <f t="shared" si="158"/>
        <v>6.5000000000000002E-2</v>
      </c>
      <c r="S1646" s="11">
        <f t="shared" si="159"/>
        <v>832</v>
      </c>
      <c r="T1646" s="10" t="s">
        <v>349</v>
      </c>
      <c r="U1646" t="s">
        <v>166</v>
      </c>
      <c r="V1646" s="58">
        <v>7.1775000000000002</v>
      </c>
      <c r="W1646" s="38">
        <f t="shared" si="155"/>
        <v>846.19993033786136</v>
      </c>
    </row>
    <row r="1647" spans="1:23" s="15" customFormat="1">
      <c r="A1647" t="s">
        <v>3955</v>
      </c>
      <c r="B1647" s="20">
        <v>45777</v>
      </c>
      <c r="C1647" s="20">
        <v>45705</v>
      </c>
      <c r="D1647" t="s">
        <v>2817</v>
      </c>
      <c r="E1647" t="s">
        <v>2818</v>
      </c>
      <c r="F1647" s="19"/>
      <c r="G1647" t="s">
        <v>4388</v>
      </c>
      <c r="H1647" t="s">
        <v>3579</v>
      </c>
      <c r="I1647" t="s">
        <v>3580</v>
      </c>
      <c r="J1647" s="8" t="str">
        <f t="shared" si="156"/>
        <v>ALM-</v>
      </c>
      <c r="K1647" t="s">
        <v>10</v>
      </c>
      <c r="L1647" s="46">
        <v>3800</v>
      </c>
      <c r="M1647" t="s">
        <v>1472</v>
      </c>
      <c r="N1647" t="s">
        <v>2246</v>
      </c>
      <c r="O1647" s="49">
        <v>0.5</v>
      </c>
      <c r="P1647" s="9">
        <f t="shared" si="154"/>
        <v>1900</v>
      </c>
      <c r="Q1647" s="10">
        <f t="shared" si="157"/>
        <v>1</v>
      </c>
      <c r="R1647" s="10">
        <f t="shared" si="158"/>
        <v>0.5</v>
      </c>
      <c r="S1647" s="11">
        <f t="shared" si="159"/>
        <v>1900</v>
      </c>
      <c r="T1647" s="10" t="s">
        <v>349</v>
      </c>
      <c r="U1647" t="s">
        <v>191</v>
      </c>
      <c r="V1647" s="58">
        <v>7.1775000000000002</v>
      </c>
      <c r="W1647" s="38">
        <f t="shared" si="155"/>
        <v>1</v>
      </c>
    </row>
    <row r="1648" spans="1:23" s="15" customFormat="1">
      <c r="A1648" t="s">
        <v>3956</v>
      </c>
      <c r="B1648" s="20">
        <v>45754</v>
      </c>
      <c r="C1648" s="20">
        <v>45721</v>
      </c>
      <c r="D1648" t="s">
        <v>128</v>
      </c>
      <c r="E1648" t="s">
        <v>129</v>
      </c>
      <c r="F1648" s="19"/>
      <c r="G1648" t="s">
        <v>4389</v>
      </c>
      <c r="H1648" t="s">
        <v>3581</v>
      </c>
      <c r="I1648" t="s">
        <v>3582</v>
      </c>
      <c r="J1648" s="8" t="str">
        <f t="shared" si="156"/>
        <v>BRKT</v>
      </c>
      <c r="K1648" t="s">
        <v>10</v>
      </c>
      <c r="L1648" s="46">
        <v>1550</v>
      </c>
      <c r="M1648" t="s">
        <v>1472</v>
      </c>
      <c r="N1648" t="s">
        <v>11</v>
      </c>
      <c r="O1648" s="49">
        <v>0.55230000000000001</v>
      </c>
      <c r="P1648" s="9">
        <f t="shared" si="154"/>
        <v>856.07</v>
      </c>
      <c r="Q1648" s="10">
        <f t="shared" si="157"/>
        <v>7.3003400000000003</v>
      </c>
      <c r="R1648" s="10">
        <f t="shared" si="158"/>
        <v>7.5700000000000003E-2</v>
      </c>
      <c r="S1648" s="11">
        <f t="shared" si="159"/>
        <v>117.34</v>
      </c>
      <c r="T1648" s="10" t="s">
        <v>349</v>
      </c>
      <c r="U1648" t="s">
        <v>442</v>
      </c>
      <c r="V1648" s="58">
        <v>7.1775000000000002</v>
      </c>
      <c r="W1648" s="38">
        <f t="shared" si="155"/>
        <v>119.27063740856845</v>
      </c>
    </row>
    <row r="1649" spans="1:23" s="15" customFormat="1">
      <c r="A1649" t="s">
        <v>3957</v>
      </c>
      <c r="B1649" s="20">
        <v>45754</v>
      </c>
      <c r="C1649" s="20">
        <v>45729</v>
      </c>
      <c r="D1649" t="s">
        <v>709</v>
      </c>
      <c r="E1649" t="s">
        <v>710</v>
      </c>
      <c r="F1649" s="19"/>
      <c r="G1649" t="s">
        <v>4390</v>
      </c>
      <c r="H1649" t="s">
        <v>726</v>
      </c>
      <c r="I1649" t="s">
        <v>727</v>
      </c>
      <c r="J1649" s="8" t="str">
        <f t="shared" si="156"/>
        <v>KNOB</v>
      </c>
      <c r="K1649" t="s">
        <v>10</v>
      </c>
      <c r="L1649" s="46">
        <v>770</v>
      </c>
      <c r="M1649" t="s">
        <v>1472</v>
      </c>
      <c r="N1649" t="s">
        <v>11</v>
      </c>
      <c r="O1649" s="49">
        <v>0.56669999999999998</v>
      </c>
      <c r="P1649" s="9">
        <f t="shared" si="154"/>
        <v>436.36</v>
      </c>
      <c r="Q1649" s="10">
        <f t="shared" si="157"/>
        <v>7.3003400000000003</v>
      </c>
      <c r="R1649" s="10">
        <f t="shared" si="158"/>
        <v>7.7600000000000002E-2</v>
      </c>
      <c r="S1649" s="11">
        <f t="shared" si="159"/>
        <v>59.75</v>
      </c>
      <c r="T1649" s="10" t="s">
        <v>349</v>
      </c>
      <c r="U1649" t="s">
        <v>32</v>
      </c>
      <c r="V1649" s="58">
        <v>7.1775000000000002</v>
      </c>
      <c r="W1649" s="38">
        <f t="shared" si="155"/>
        <v>60.795402298850568</v>
      </c>
    </row>
    <row r="1650" spans="1:23" s="15" customFormat="1">
      <c r="A1650" t="s">
        <v>3958</v>
      </c>
      <c r="B1650" s="20">
        <v>45768</v>
      </c>
      <c r="C1650" s="20">
        <v>45750</v>
      </c>
      <c r="D1650" t="s">
        <v>28</v>
      </c>
      <c r="E1650" t="s">
        <v>29</v>
      </c>
      <c r="F1650" s="19"/>
      <c r="G1650" t="s">
        <v>4391</v>
      </c>
      <c r="H1650" t="s">
        <v>1149</v>
      </c>
      <c r="I1650" t="s">
        <v>1150</v>
      </c>
      <c r="J1650" s="8" t="str">
        <f t="shared" si="156"/>
        <v>BRKT</v>
      </c>
      <c r="K1650" t="s">
        <v>10</v>
      </c>
      <c r="L1650" s="46">
        <v>4020</v>
      </c>
      <c r="M1650" t="s">
        <v>1472</v>
      </c>
      <c r="N1650" t="s">
        <v>11</v>
      </c>
      <c r="O1650" s="49">
        <v>0.57750000000000001</v>
      </c>
      <c r="P1650" s="9">
        <f t="shared" si="154"/>
        <v>2321.5500000000002</v>
      </c>
      <c r="Q1650" s="10">
        <f t="shared" si="157"/>
        <v>7.3003400000000003</v>
      </c>
      <c r="R1650" s="10">
        <f t="shared" si="158"/>
        <v>7.9100000000000004E-2</v>
      </c>
      <c r="S1650" s="11">
        <f t="shared" si="159"/>
        <v>317.98</v>
      </c>
      <c r="T1650" s="10" t="s">
        <v>349</v>
      </c>
      <c r="U1650" t="s">
        <v>442</v>
      </c>
      <c r="V1650" s="58">
        <v>7.1775000000000002</v>
      </c>
      <c r="W1650" s="38">
        <f t="shared" si="155"/>
        <v>323.44827586206895</v>
      </c>
    </row>
    <row r="1651" spans="1:23" s="15" customFormat="1">
      <c r="A1651" t="s">
        <v>3959</v>
      </c>
      <c r="B1651" s="20">
        <v>45761</v>
      </c>
      <c r="C1651" s="20">
        <v>45744</v>
      </c>
      <c r="D1651" t="s">
        <v>21</v>
      </c>
      <c r="E1651" t="s">
        <v>22</v>
      </c>
      <c r="F1651" s="19"/>
      <c r="G1651" t="s">
        <v>4392</v>
      </c>
      <c r="H1651" t="s">
        <v>1448</v>
      </c>
      <c r="I1651" t="s">
        <v>1449</v>
      </c>
      <c r="J1651" s="8" t="str">
        <f t="shared" si="156"/>
        <v>BRKT</v>
      </c>
      <c r="K1651" t="s">
        <v>10</v>
      </c>
      <c r="L1651" s="46">
        <v>1030</v>
      </c>
      <c r="M1651" t="s">
        <v>1472</v>
      </c>
      <c r="N1651" t="s">
        <v>11</v>
      </c>
      <c r="O1651" s="49">
        <v>0.57969999999999999</v>
      </c>
      <c r="P1651" s="9">
        <f t="shared" si="154"/>
        <v>597.09</v>
      </c>
      <c r="Q1651" s="10">
        <f t="shared" si="157"/>
        <v>7.3003400000000003</v>
      </c>
      <c r="R1651" s="10">
        <f t="shared" si="158"/>
        <v>7.9399999999999998E-2</v>
      </c>
      <c r="S1651" s="11">
        <f t="shared" si="159"/>
        <v>81.78</v>
      </c>
      <c r="T1651" s="10" t="s">
        <v>349</v>
      </c>
      <c r="U1651" t="s">
        <v>442</v>
      </c>
      <c r="V1651" s="58">
        <v>7.1775000000000002</v>
      </c>
      <c r="W1651" s="38">
        <f t="shared" si="155"/>
        <v>83.189272030651338</v>
      </c>
    </row>
    <row r="1652" spans="1:23" s="15" customFormat="1">
      <c r="A1652" t="s">
        <v>3960</v>
      </c>
      <c r="B1652" s="20">
        <v>45750</v>
      </c>
      <c r="C1652" s="20">
        <v>45729</v>
      </c>
      <c r="D1652" t="s">
        <v>21</v>
      </c>
      <c r="E1652" t="s">
        <v>22</v>
      </c>
      <c r="F1652" s="19"/>
      <c r="G1652" t="s">
        <v>4393</v>
      </c>
      <c r="H1652" t="s">
        <v>3583</v>
      </c>
      <c r="I1652" t="s">
        <v>3584</v>
      </c>
      <c r="J1652" s="8" t="str">
        <f t="shared" si="156"/>
        <v>BRKT</v>
      </c>
      <c r="K1652" t="s">
        <v>10</v>
      </c>
      <c r="L1652" s="46">
        <v>2050</v>
      </c>
      <c r="M1652" t="s">
        <v>1472</v>
      </c>
      <c r="N1652" t="s">
        <v>11</v>
      </c>
      <c r="O1652" s="49">
        <v>0.59130000000000005</v>
      </c>
      <c r="P1652" s="9">
        <f t="shared" si="154"/>
        <v>1212.17</v>
      </c>
      <c r="Q1652" s="10">
        <f t="shared" si="157"/>
        <v>7.3003400000000003</v>
      </c>
      <c r="R1652" s="10">
        <f t="shared" si="158"/>
        <v>8.1000000000000003E-2</v>
      </c>
      <c r="S1652" s="11">
        <f t="shared" si="159"/>
        <v>166.05</v>
      </c>
      <c r="T1652" s="10" t="s">
        <v>349</v>
      </c>
      <c r="U1652" t="s">
        <v>442</v>
      </c>
      <c r="V1652" s="58">
        <v>7.1775000000000002</v>
      </c>
      <c r="W1652" s="38">
        <f t="shared" si="155"/>
        <v>168.88401253918497</v>
      </c>
    </row>
    <row r="1653" spans="1:23" s="15" customFormat="1">
      <c r="A1653" t="s">
        <v>3961</v>
      </c>
      <c r="B1653" s="20">
        <v>45757</v>
      </c>
      <c r="C1653" s="20">
        <v>45750</v>
      </c>
      <c r="D1653" t="s">
        <v>28</v>
      </c>
      <c r="E1653" t="s">
        <v>29</v>
      </c>
      <c r="F1653" s="19"/>
      <c r="G1653" t="s">
        <v>4375</v>
      </c>
      <c r="H1653" t="s">
        <v>1145</v>
      </c>
      <c r="I1653" t="s">
        <v>1146</v>
      </c>
      <c r="J1653" s="8" t="str">
        <f t="shared" si="156"/>
        <v>BRKT</v>
      </c>
      <c r="K1653" t="s">
        <v>10</v>
      </c>
      <c r="L1653" s="46">
        <v>4040</v>
      </c>
      <c r="M1653" t="s">
        <v>1472</v>
      </c>
      <c r="N1653" t="s">
        <v>11</v>
      </c>
      <c r="O1653" s="49">
        <v>0.59809999999999997</v>
      </c>
      <c r="P1653" s="9">
        <f t="shared" si="154"/>
        <v>2416.3200000000002</v>
      </c>
      <c r="Q1653" s="10">
        <f t="shared" si="157"/>
        <v>7.3003400000000003</v>
      </c>
      <c r="R1653" s="10">
        <f t="shared" si="158"/>
        <v>8.1900000000000001E-2</v>
      </c>
      <c r="S1653" s="11">
        <f t="shared" si="159"/>
        <v>330.88</v>
      </c>
      <c r="T1653" s="10" t="s">
        <v>349</v>
      </c>
      <c r="U1653" t="s">
        <v>442</v>
      </c>
      <c r="V1653" s="58">
        <v>7.1775000000000002</v>
      </c>
      <c r="W1653" s="38">
        <f t="shared" si="155"/>
        <v>336.65259491466389</v>
      </c>
    </row>
    <row r="1654" spans="1:23" s="15" customFormat="1">
      <c r="A1654" t="s">
        <v>3962</v>
      </c>
      <c r="B1654" s="20">
        <v>45750</v>
      </c>
      <c r="C1654" s="20">
        <v>45729</v>
      </c>
      <c r="D1654" t="s">
        <v>21</v>
      </c>
      <c r="E1654" t="s">
        <v>22</v>
      </c>
      <c r="F1654" s="19"/>
      <c r="G1654" t="s">
        <v>4393</v>
      </c>
      <c r="H1654" t="s">
        <v>1441</v>
      </c>
      <c r="I1654" t="s">
        <v>1442</v>
      </c>
      <c r="J1654" s="8" t="str">
        <f t="shared" si="156"/>
        <v>BRKT</v>
      </c>
      <c r="K1654" t="s">
        <v>10</v>
      </c>
      <c r="L1654" s="46">
        <v>500</v>
      </c>
      <c r="M1654" t="s">
        <v>1472</v>
      </c>
      <c r="N1654" t="s">
        <v>11</v>
      </c>
      <c r="O1654" s="49">
        <v>0.60340000000000005</v>
      </c>
      <c r="P1654" s="9">
        <f t="shared" si="154"/>
        <v>301.7</v>
      </c>
      <c r="Q1654" s="10">
        <f t="shared" si="157"/>
        <v>7.3003400000000003</v>
      </c>
      <c r="R1654" s="10">
        <f t="shared" si="158"/>
        <v>8.2699999999999996E-2</v>
      </c>
      <c r="S1654" s="11">
        <f t="shared" si="159"/>
        <v>41.35</v>
      </c>
      <c r="T1654" s="10" t="s">
        <v>349</v>
      </c>
      <c r="U1654" t="s">
        <v>442</v>
      </c>
      <c r="V1654" s="58">
        <v>7.1775000000000002</v>
      </c>
      <c r="W1654" s="38">
        <f t="shared" si="155"/>
        <v>42.034134447927549</v>
      </c>
    </row>
    <row r="1655" spans="1:23" s="15" customFormat="1">
      <c r="A1655" t="s">
        <v>3963</v>
      </c>
      <c r="B1655" s="20">
        <v>45757</v>
      </c>
      <c r="C1655" s="20">
        <v>45744</v>
      </c>
      <c r="D1655" t="s">
        <v>28</v>
      </c>
      <c r="E1655" t="s">
        <v>29</v>
      </c>
      <c r="F1655" s="19"/>
      <c r="G1655" t="s">
        <v>4375</v>
      </c>
      <c r="H1655" t="s">
        <v>3585</v>
      </c>
      <c r="I1655" t="s">
        <v>3586</v>
      </c>
      <c r="J1655" s="8" t="str">
        <f t="shared" si="156"/>
        <v>BRKT</v>
      </c>
      <c r="K1655" t="s">
        <v>10</v>
      </c>
      <c r="L1655" s="46">
        <v>2030</v>
      </c>
      <c r="M1655" t="s">
        <v>1472</v>
      </c>
      <c r="N1655" t="s">
        <v>11</v>
      </c>
      <c r="O1655" s="49">
        <v>0.63560000000000005</v>
      </c>
      <c r="P1655" s="9">
        <f t="shared" si="154"/>
        <v>1290.27</v>
      </c>
      <c r="Q1655" s="10">
        <f t="shared" si="157"/>
        <v>7.3003400000000003</v>
      </c>
      <c r="R1655" s="10">
        <f t="shared" si="158"/>
        <v>8.7099999999999997E-2</v>
      </c>
      <c r="S1655" s="11">
        <f t="shared" si="159"/>
        <v>176.81</v>
      </c>
      <c r="T1655" s="10" t="s">
        <v>349</v>
      </c>
      <c r="U1655" t="s">
        <v>442</v>
      </c>
      <c r="V1655" s="58">
        <v>7.1775000000000002</v>
      </c>
      <c r="W1655" s="38">
        <f t="shared" si="155"/>
        <v>179.76565656565657</v>
      </c>
    </row>
    <row r="1656" spans="1:23" s="15" customFormat="1">
      <c r="A1656" t="s">
        <v>3964</v>
      </c>
      <c r="B1656" s="20">
        <v>45750</v>
      </c>
      <c r="C1656" s="20">
        <v>45729</v>
      </c>
      <c r="D1656" t="s">
        <v>21</v>
      </c>
      <c r="E1656" t="s">
        <v>22</v>
      </c>
      <c r="F1656" s="19"/>
      <c r="G1656" t="s">
        <v>4393</v>
      </c>
      <c r="H1656" t="s">
        <v>3587</v>
      </c>
      <c r="I1656" t="s">
        <v>3588</v>
      </c>
      <c r="J1656" s="8" t="str">
        <f t="shared" si="156"/>
        <v>FG--</v>
      </c>
      <c r="K1656" t="s">
        <v>10</v>
      </c>
      <c r="L1656" s="46">
        <v>2050</v>
      </c>
      <c r="M1656" t="s">
        <v>1472</v>
      </c>
      <c r="N1656" t="s">
        <v>11</v>
      </c>
      <c r="O1656" s="49">
        <v>0.6452</v>
      </c>
      <c r="P1656" s="9">
        <f t="shared" si="154"/>
        <v>1322.66</v>
      </c>
      <c r="Q1656" s="10">
        <f t="shared" si="157"/>
        <v>7.3003400000000003</v>
      </c>
      <c r="R1656" s="10">
        <f t="shared" si="158"/>
        <v>8.8400000000000006E-2</v>
      </c>
      <c r="S1656" s="11">
        <f t="shared" si="159"/>
        <v>181.22</v>
      </c>
      <c r="T1656" s="10" t="s">
        <v>349</v>
      </c>
      <c r="U1656" t="s">
        <v>64</v>
      </c>
      <c r="V1656" s="58">
        <v>7.1775000000000002</v>
      </c>
      <c r="W1656" s="38">
        <f t="shared" si="155"/>
        <v>184.27864855451062</v>
      </c>
    </row>
    <row r="1657" spans="1:23" s="15" customFormat="1">
      <c r="A1657" t="s">
        <v>3965</v>
      </c>
      <c r="B1657" s="20">
        <v>45757</v>
      </c>
      <c r="C1657" s="20">
        <v>45744</v>
      </c>
      <c r="D1657" t="s">
        <v>28</v>
      </c>
      <c r="E1657" t="s">
        <v>29</v>
      </c>
      <c r="F1657" s="19"/>
      <c r="G1657" t="s">
        <v>4375</v>
      </c>
      <c r="H1657" t="s">
        <v>1152</v>
      </c>
      <c r="I1657" t="s">
        <v>1153</v>
      </c>
      <c r="J1657" s="8" t="str">
        <f t="shared" si="156"/>
        <v>BRKT</v>
      </c>
      <c r="K1657" t="s">
        <v>10</v>
      </c>
      <c r="L1657" s="46">
        <v>550</v>
      </c>
      <c r="M1657" t="s">
        <v>1472</v>
      </c>
      <c r="N1657" t="s">
        <v>11</v>
      </c>
      <c r="O1657" s="49">
        <v>0.6522</v>
      </c>
      <c r="P1657" s="9">
        <f t="shared" si="154"/>
        <v>358.71</v>
      </c>
      <c r="Q1657" s="10">
        <f t="shared" si="157"/>
        <v>7.3003400000000003</v>
      </c>
      <c r="R1657" s="10">
        <f t="shared" si="158"/>
        <v>8.9300000000000004E-2</v>
      </c>
      <c r="S1657" s="11">
        <f t="shared" si="159"/>
        <v>49.12</v>
      </c>
      <c r="T1657" s="10" t="s">
        <v>349</v>
      </c>
      <c r="U1657" t="s">
        <v>442</v>
      </c>
      <c r="V1657" s="58">
        <v>7.1775000000000002</v>
      </c>
      <c r="W1657" s="38">
        <f t="shared" si="155"/>
        <v>49.977011494252871</v>
      </c>
    </row>
    <row r="1658" spans="1:23" s="15" customFormat="1">
      <c r="A1658" t="s">
        <v>3966</v>
      </c>
      <c r="B1658" s="20">
        <v>45750</v>
      </c>
      <c r="C1658" s="20">
        <v>45729</v>
      </c>
      <c r="D1658" t="s">
        <v>21</v>
      </c>
      <c r="E1658" t="s">
        <v>22</v>
      </c>
      <c r="F1658" s="19"/>
      <c r="G1658" t="s">
        <v>4393</v>
      </c>
      <c r="H1658" t="s">
        <v>1428</v>
      </c>
      <c r="I1658" t="s">
        <v>1429</v>
      </c>
      <c r="J1658" s="8" t="str">
        <f t="shared" si="156"/>
        <v>FG--</v>
      </c>
      <c r="K1658" t="s">
        <v>10</v>
      </c>
      <c r="L1658" s="46">
        <v>1030</v>
      </c>
      <c r="M1658" t="s">
        <v>1472</v>
      </c>
      <c r="N1658" t="s">
        <v>11</v>
      </c>
      <c r="O1658" s="49">
        <v>0.65839999999999999</v>
      </c>
      <c r="P1658" s="9">
        <f t="shared" si="154"/>
        <v>678.15</v>
      </c>
      <c r="Q1658" s="10">
        <f t="shared" si="157"/>
        <v>7.3003400000000003</v>
      </c>
      <c r="R1658" s="10">
        <f t="shared" si="158"/>
        <v>9.0200000000000002E-2</v>
      </c>
      <c r="S1658" s="11">
        <f t="shared" si="159"/>
        <v>92.91</v>
      </c>
      <c r="T1658" s="10" t="s">
        <v>349</v>
      </c>
      <c r="U1658" t="s">
        <v>64</v>
      </c>
      <c r="V1658" s="58">
        <v>7.1775000000000002</v>
      </c>
      <c r="W1658" s="38">
        <f t="shared" si="155"/>
        <v>94.483037269244164</v>
      </c>
    </row>
    <row r="1659" spans="1:23" s="15" customFormat="1">
      <c r="A1659" t="s">
        <v>3967</v>
      </c>
      <c r="B1659" s="20">
        <v>45768</v>
      </c>
      <c r="C1659" s="20">
        <v>45744</v>
      </c>
      <c r="D1659" t="s">
        <v>21</v>
      </c>
      <c r="E1659" t="s">
        <v>22</v>
      </c>
      <c r="F1659" s="19"/>
      <c r="G1659" t="s">
        <v>4374</v>
      </c>
      <c r="H1659" t="s">
        <v>1437</v>
      </c>
      <c r="I1659" t="s">
        <v>1438</v>
      </c>
      <c r="J1659" s="8" t="str">
        <f t="shared" si="156"/>
        <v>FG--</v>
      </c>
      <c r="K1659" t="s">
        <v>10</v>
      </c>
      <c r="L1659" s="46">
        <v>1030</v>
      </c>
      <c r="M1659" t="s">
        <v>1472</v>
      </c>
      <c r="N1659" t="s">
        <v>11</v>
      </c>
      <c r="O1659" s="49">
        <v>0.65839999999999999</v>
      </c>
      <c r="P1659" s="9">
        <f t="shared" si="154"/>
        <v>678.15</v>
      </c>
      <c r="Q1659" s="10">
        <f t="shared" si="157"/>
        <v>7.3003400000000003</v>
      </c>
      <c r="R1659" s="10">
        <f t="shared" si="158"/>
        <v>9.0200000000000002E-2</v>
      </c>
      <c r="S1659" s="11">
        <f t="shared" si="159"/>
        <v>92.91</v>
      </c>
      <c r="T1659" s="10" t="s">
        <v>349</v>
      </c>
      <c r="U1659" t="s">
        <v>64</v>
      </c>
      <c r="V1659" s="58">
        <v>7.1775000000000002</v>
      </c>
      <c r="W1659" s="38">
        <f t="shared" si="155"/>
        <v>94.483037269244164</v>
      </c>
    </row>
    <row r="1660" spans="1:23" s="15" customFormat="1">
      <c r="A1660" t="s">
        <v>3968</v>
      </c>
      <c r="B1660" s="20">
        <v>45761</v>
      </c>
      <c r="C1660" s="20">
        <v>45750</v>
      </c>
      <c r="D1660" t="s">
        <v>235</v>
      </c>
      <c r="E1660" t="s">
        <v>236</v>
      </c>
      <c r="F1660" s="19"/>
      <c r="G1660" t="s">
        <v>4346</v>
      </c>
      <c r="H1660" t="s">
        <v>1348</v>
      </c>
      <c r="I1660" t="s">
        <v>1349</v>
      </c>
      <c r="J1660" s="8" t="str">
        <f t="shared" si="156"/>
        <v>SCR-</v>
      </c>
      <c r="K1660" t="s">
        <v>10</v>
      </c>
      <c r="L1660" s="46">
        <v>3850</v>
      </c>
      <c r="M1660" t="s">
        <v>1472</v>
      </c>
      <c r="N1660" t="s">
        <v>11</v>
      </c>
      <c r="O1660" s="49">
        <v>0.67030000000000001</v>
      </c>
      <c r="P1660" s="9">
        <f t="shared" si="154"/>
        <v>2580.66</v>
      </c>
      <c r="Q1660" s="10">
        <f t="shared" si="157"/>
        <v>7.3003400000000003</v>
      </c>
      <c r="R1660" s="10">
        <f t="shared" si="158"/>
        <v>9.1800000000000007E-2</v>
      </c>
      <c r="S1660" s="11">
        <f t="shared" si="159"/>
        <v>353.43</v>
      </c>
      <c r="T1660" s="10" t="s">
        <v>349</v>
      </c>
      <c r="U1660" t="s">
        <v>166</v>
      </c>
      <c r="V1660" s="58">
        <v>7.1775000000000002</v>
      </c>
      <c r="W1660" s="38">
        <f t="shared" si="155"/>
        <v>359.54789272030649</v>
      </c>
    </row>
    <row r="1661" spans="1:23" s="15" customFormat="1">
      <c r="A1661" t="s">
        <v>3969</v>
      </c>
      <c r="B1661" s="20">
        <v>45775</v>
      </c>
      <c r="C1661" s="20">
        <v>45763</v>
      </c>
      <c r="D1661" t="s">
        <v>651</v>
      </c>
      <c r="E1661" t="s">
        <v>652</v>
      </c>
      <c r="F1661" s="19"/>
      <c r="G1661" t="s">
        <v>4394</v>
      </c>
      <c r="H1661" t="s">
        <v>3237</v>
      </c>
      <c r="I1661" t="s">
        <v>3444</v>
      </c>
      <c r="J1661" s="8" t="str">
        <f t="shared" si="156"/>
        <v>FG--</v>
      </c>
      <c r="K1661" t="s">
        <v>10</v>
      </c>
      <c r="L1661" s="46">
        <v>4150</v>
      </c>
      <c r="M1661" t="s">
        <v>1472</v>
      </c>
      <c r="N1661" t="s">
        <v>11</v>
      </c>
      <c r="O1661" s="49">
        <v>0.77500000000000002</v>
      </c>
      <c r="P1661" s="9">
        <f t="shared" si="154"/>
        <v>3216.25</v>
      </c>
      <c r="Q1661" s="10">
        <f t="shared" si="157"/>
        <v>7.3003400000000003</v>
      </c>
      <c r="R1661" s="10">
        <f t="shared" si="158"/>
        <v>0.1062</v>
      </c>
      <c r="S1661" s="11">
        <f t="shared" si="159"/>
        <v>440.73</v>
      </c>
      <c r="T1661" s="10" t="s">
        <v>349</v>
      </c>
      <c r="U1661" t="s">
        <v>64</v>
      </c>
      <c r="V1661" s="58">
        <v>7.1775000000000002</v>
      </c>
      <c r="W1661" s="38">
        <f t="shared" si="155"/>
        <v>448.10170672239639</v>
      </c>
    </row>
    <row r="1662" spans="1:23" s="15" customFormat="1">
      <c r="A1662" t="s">
        <v>3970</v>
      </c>
      <c r="B1662" s="20">
        <v>45755</v>
      </c>
      <c r="C1662" s="20">
        <v>45742</v>
      </c>
      <c r="D1662" t="s">
        <v>121</v>
      </c>
      <c r="E1662" t="s">
        <v>122</v>
      </c>
      <c r="F1662" s="19"/>
      <c r="G1662" t="s">
        <v>4395</v>
      </c>
      <c r="H1662" t="s">
        <v>1306</v>
      </c>
      <c r="I1662" t="s">
        <v>1307</v>
      </c>
      <c r="J1662" s="8" t="str">
        <f t="shared" si="156"/>
        <v>ANYD</v>
      </c>
      <c r="K1662" t="s">
        <v>10</v>
      </c>
      <c r="L1662" s="46">
        <v>3050</v>
      </c>
      <c r="M1662" t="s">
        <v>1472</v>
      </c>
      <c r="N1662" t="s">
        <v>11</v>
      </c>
      <c r="O1662" s="49">
        <v>0.8</v>
      </c>
      <c r="P1662" s="9">
        <f t="shared" si="154"/>
        <v>2440</v>
      </c>
      <c r="Q1662" s="10">
        <f t="shared" si="157"/>
        <v>7.3003400000000003</v>
      </c>
      <c r="R1662" s="10">
        <f t="shared" si="158"/>
        <v>0.1096</v>
      </c>
      <c r="S1662" s="11">
        <f t="shared" si="159"/>
        <v>334.28</v>
      </c>
      <c r="T1662" s="10" t="s">
        <v>349</v>
      </c>
      <c r="U1662" t="s">
        <v>36</v>
      </c>
      <c r="V1662" s="58">
        <v>7.1775000000000002</v>
      </c>
      <c r="W1662" s="38">
        <f t="shared" si="155"/>
        <v>339.95123650296063</v>
      </c>
    </row>
    <row r="1663" spans="1:23" s="15" customFormat="1">
      <c r="A1663" t="s">
        <v>3971</v>
      </c>
      <c r="B1663" s="20">
        <v>45755</v>
      </c>
      <c r="C1663" s="20">
        <v>45742</v>
      </c>
      <c r="D1663" t="s">
        <v>121</v>
      </c>
      <c r="E1663" t="s">
        <v>122</v>
      </c>
      <c r="F1663" s="19"/>
      <c r="G1663" t="s">
        <v>4395</v>
      </c>
      <c r="H1663" t="s">
        <v>1548</v>
      </c>
      <c r="I1663" t="s">
        <v>1549</v>
      </c>
      <c r="J1663" s="8" t="str">
        <f t="shared" si="156"/>
        <v>ANYD</v>
      </c>
      <c r="K1663" t="s">
        <v>10</v>
      </c>
      <c r="L1663" s="46">
        <v>1850</v>
      </c>
      <c r="M1663" t="s">
        <v>1472</v>
      </c>
      <c r="N1663" t="s">
        <v>11</v>
      </c>
      <c r="O1663" s="49">
        <v>0.8</v>
      </c>
      <c r="P1663" s="9">
        <f t="shared" si="154"/>
        <v>1480</v>
      </c>
      <c r="Q1663" s="10">
        <f t="shared" si="157"/>
        <v>7.3003400000000003</v>
      </c>
      <c r="R1663" s="10">
        <f t="shared" si="158"/>
        <v>0.1096</v>
      </c>
      <c r="S1663" s="11">
        <f t="shared" si="159"/>
        <v>202.76</v>
      </c>
      <c r="T1663" s="10" t="s">
        <v>349</v>
      </c>
      <c r="U1663" t="s">
        <v>36</v>
      </c>
      <c r="V1663" s="58">
        <v>7.1775000000000002</v>
      </c>
      <c r="W1663" s="38">
        <f t="shared" si="155"/>
        <v>206.19993033786139</v>
      </c>
    </row>
    <row r="1664" spans="1:23" s="15" customFormat="1">
      <c r="A1664" t="s">
        <v>3972</v>
      </c>
      <c r="B1664" s="20">
        <v>45761</v>
      </c>
      <c r="C1664" s="20">
        <v>45750</v>
      </c>
      <c r="D1664" t="s">
        <v>651</v>
      </c>
      <c r="E1664" t="s">
        <v>652</v>
      </c>
      <c r="F1664" s="19"/>
      <c r="G1664" t="s">
        <v>4396</v>
      </c>
      <c r="H1664" t="s">
        <v>3238</v>
      </c>
      <c r="I1664" t="s">
        <v>3445</v>
      </c>
      <c r="J1664" s="8" t="str">
        <f t="shared" si="156"/>
        <v>FG--</v>
      </c>
      <c r="K1664" t="s">
        <v>10</v>
      </c>
      <c r="L1664" s="46">
        <v>4100</v>
      </c>
      <c r="M1664" t="s">
        <v>1472</v>
      </c>
      <c r="N1664" t="s">
        <v>11</v>
      </c>
      <c r="O1664" s="49">
        <v>0.82320000000000004</v>
      </c>
      <c r="P1664" s="9">
        <f t="shared" si="154"/>
        <v>3375.12</v>
      </c>
      <c r="Q1664" s="10">
        <f t="shared" si="157"/>
        <v>7.3003400000000003</v>
      </c>
      <c r="R1664" s="10">
        <f t="shared" si="158"/>
        <v>0.1128</v>
      </c>
      <c r="S1664" s="11">
        <f t="shared" si="159"/>
        <v>462.48</v>
      </c>
      <c r="T1664" s="10" t="s">
        <v>349</v>
      </c>
      <c r="U1664" t="s">
        <v>64</v>
      </c>
      <c r="V1664" s="58">
        <v>7.1775000000000002</v>
      </c>
      <c r="W1664" s="38">
        <f t="shared" si="155"/>
        <v>470.23615464994776</v>
      </c>
    </row>
    <row r="1665" spans="1:23" s="15" customFormat="1">
      <c r="A1665" t="s">
        <v>3973</v>
      </c>
      <c r="B1665" s="20">
        <v>45757</v>
      </c>
      <c r="C1665" s="20">
        <v>45740</v>
      </c>
      <c r="D1665" t="s">
        <v>746</v>
      </c>
      <c r="E1665" t="s">
        <v>747</v>
      </c>
      <c r="F1665" s="19"/>
      <c r="G1665" t="s">
        <v>4397</v>
      </c>
      <c r="H1665" t="s">
        <v>3589</v>
      </c>
      <c r="I1665" t="s">
        <v>3590</v>
      </c>
      <c r="J1665" s="8" t="str">
        <f t="shared" si="156"/>
        <v>SSM-</v>
      </c>
      <c r="K1665" t="s">
        <v>10</v>
      </c>
      <c r="L1665" s="46">
        <v>1400</v>
      </c>
      <c r="M1665" t="s">
        <v>1472</v>
      </c>
      <c r="N1665" t="s">
        <v>11</v>
      </c>
      <c r="O1665" s="49">
        <v>0.83189999999999997</v>
      </c>
      <c r="P1665" s="9">
        <f t="shared" si="154"/>
        <v>1164.6600000000001</v>
      </c>
      <c r="Q1665" s="10">
        <f t="shared" si="157"/>
        <v>7.3003400000000003</v>
      </c>
      <c r="R1665" s="10">
        <f t="shared" si="158"/>
        <v>0.114</v>
      </c>
      <c r="S1665" s="11">
        <f t="shared" si="159"/>
        <v>159.6</v>
      </c>
      <c r="T1665" s="10" t="s">
        <v>349</v>
      </c>
      <c r="U1665" t="s">
        <v>33</v>
      </c>
      <c r="V1665" s="58">
        <v>7.1775000000000002</v>
      </c>
      <c r="W1665" s="38">
        <f t="shared" si="155"/>
        <v>162.26541274817134</v>
      </c>
    </row>
    <row r="1666" spans="1:23" s="15" customFormat="1">
      <c r="A1666" t="s">
        <v>3974</v>
      </c>
      <c r="B1666" s="20">
        <v>45758</v>
      </c>
      <c r="C1666" s="20">
        <v>45750</v>
      </c>
      <c r="D1666" t="s">
        <v>709</v>
      </c>
      <c r="E1666" t="s">
        <v>710</v>
      </c>
      <c r="F1666" s="19"/>
      <c r="G1666" t="s">
        <v>4340</v>
      </c>
      <c r="H1666" t="s">
        <v>1641</v>
      </c>
      <c r="I1666" t="s">
        <v>1642</v>
      </c>
      <c r="J1666" s="8" t="str">
        <f t="shared" si="156"/>
        <v>KNOB</v>
      </c>
      <c r="K1666" t="s">
        <v>10</v>
      </c>
      <c r="L1666" s="46">
        <v>4000</v>
      </c>
      <c r="M1666" t="s">
        <v>1472</v>
      </c>
      <c r="N1666" t="s">
        <v>11</v>
      </c>
      <c r="O1666" s="49">
        <v>0.87629999999999997</v>
      </c>
      <c r="P1666" s="9">
        <f t="shared" ref="P1666:P1729" si="160">ROUND(O1666*L1666,2)</f>
        <v>3505.2</v>
      </c>
      <c r="Q1666" s="10">
        <f t="shared" si="157"/>
        <v>7.3003400000000003</v>
      </c>
      <c r="R1666" s="10">
        <f t="shared" si="158"/>
        <v>0.12</v>
      </c>
      <c r="S1666" s="11">
        <f t="shared" si="159"/>
        <v>480</v>
      </c>
      <c r="T1666" s="10" t="s">
        <v>349</v>
      </c>
      <c r="U1666" t="s">
        <v>32</v>
      </c>
      <c r="V1666" s="58">
        <v>7.1775000000000002</v>
      </c>
      <c r="W1666" s="38">
        <f t="shared" ref="W1666:W1729" si="161">IF(N1666="CNY",O1666/V1666*L1666,1)</f>
        <v>488.35945663531868</v>
      </c>
    </row>
    <row r="1667" spans="1:23" s="15" customFormat="1">
      <c r="A1667" t="s">
        <v>3975</v>
      </c>
      <c r="B1667" s="20">
        <v>45757</v>
      </c>
      <c r="C1667" s="20">
        <v>45740</v>
      </c>
      <c r="D1667" t="s">
        <v>746</v>
      </c>
      <c r="E1667" t="s">
        <v>747</v>
      </c>
      <c r="F1667" s="19"/>
      <c r="G1667" t="s">
        <v>4397</v>
      </c>
      <c r="H1667" t="s">
        <v>3591</v>
      </c>
      <c r="I1667" t="s">
        <v>3592</v>
      </c>
      <c r="J1667" s="8" t="str">
        <f t="shared" si="156"/>
        <v>SSM-</v>
      </c>
      <c r="K1667" t="s">
        <v>10</v>
      </c>
      <c r="L1667" s="46">
        <v>650</v>
      </c>
      <c r="M1667" t="s">
        <v>1472</v>
      </c>
      <c r="N1667" t="s">
        <v>11</v>
      </c>
      <c r="O1667" s="49">
        <v>0.89380000000000004</v>
      </c>
      <c r="P1667" s="9">
        <f t="shared" si="160"/>
        <v>580.97</v>
      </c>
      <c r="Q1667" s="10">
        <f t="shared" si="157"/>
        <v>7.3003400000000003</v>
      </c>
      <c r="R1667" s="10">
        <f t="shared" si="158"/>
        <v>0.12239999999999999</v>
      </c>
      <c r="S1667" s="11">
        <f t="shared" si="159"/>
        <v>79.56</v>
      </c>
      <c r="T1667" s="10" t="s">
        <v>349</v>
      </c>
      <c r="U1667" t="s">
        <v>33</v>
      </c>
      <c r="V1667" s="58">
        <v>7.1775000000000002</v>
      </c>
      <c r="W1667" s="38">
        <f t="shared" si="161"/>
        <v>80.943225357018463</v>
      </c>
    </row>
    <row r="1668" spans="1:23" s="15" customFormat="1">
      <c r="A1668" t="s">
        <v>3976</v>
      </c>
      <c r="B1668" s="20">
        <v>45762</v>
      </c>
      <c r="C1668" s="20">
        <v>45702</v>
      </c>
      <c r="D1668" t="s">
        <v>252</v>
      </c>
      <c r="E1668" t="s">
        <v>253</v>
      </c>
      <c r="F1668" s="19"/>
      <c r="G1668" t="s">
        <v>4398</v>
      </c>
      <c r="H1668" t="s">
        <v>688</v>
      </c>
      <c r="I1668" t="s">
        <v>689</v>
      </c>
      <c r="J1668" s="8" t="str">
        <f t="shared" si="156"/>
        <v>ANYD</v>
      </c>
      <c r="K1668" t="s">
        <v>10</v>
      </c>
      <c r="L1668" s="46">
        <v>1050</v>
      </c>
      <c r="M1668" t="s">
        <v>1472</v>
      </c>
      <c r="N1668" t="s">
        <v>11</v>
      </c>
      <c r="O1668" s="49">
        <v>0.9</v>
      </c>
      <c r="P1668" s="9">
        <f t="shared" si="160"/>
        <v>945</v>
      </c>
      <c r="Q1668" s="10">
        <f t="shared" si="157"/>
        <v>7.3003400000000003</v>
      </c>
      <c r="R1668" s="10">
        <f t="shared" si="158"/>
        <v>0.12330000000000001</v>
      </c>
      <c r="S1668" s="11">
        <f t="shared" si="159"/>
        <v>129.47</v>
      </c>
      <c r="T1668" s="10" t="s">
        <v>349</v>
      </c>
      <c r="U1668" t="s">
        <v>36</v>
      </c>
      <c r="V1668" s="58">
        <v>7.1775000000000002</v>
      </c>
      <c r="W1668" s="38">
        <f t="shared" si="161"/>
        <v>131.66144200626957</v>
      </c>
    </row>
    <row r="1669" spans="1:23" s="15" customFormat="1">
      <c r="A1669" t="s">
        <v>3977</v>
      </c>
      <c r="B1669" s="20">
        <v>45762</v>
      </c>
      <c r="C1669" s="20">
        <v>45702</v>
      </c>
      <c r="D1669" t="s">
        <v>252</v>
      </c>
      <c r="E1669" t="s">
        <v>253</v>
      </c>
      <c r="F1669" s="19"/>
      <c r="G1669" t="s">
        <v>4398</v>
      </c>
      <c r="H1669" t="s">
        <v>1026</v>
      </c>
      <c r="I1669" t="s">
        <v>1027</v>
      </c>
      <c r="J1669" s="8" t="str">
        <f t="shared" si="156"/>
        <v>ANYD</v>
      </c>
      <c r="K1669" t="s">
        <v>10</v>
      </c>
      <c r="L1669" s="46">
        <v>1050</v>
      </c>
      <c r="M1669" t="s">
        <v>1472</v>
      </c>
      <c r="N1669" t="s">
        <v>11</v>
      </c>
      <c r="O1669" s="49">
        <v>0.9</v>
      </c>
      <c r="P1669" s="9">
        <f t="shared" si="160"/>
        <v>945</v>
      </c>
      <c r="Q1669" s="10">
        <f t="shared" si="157"/>
        <v>7.3003400000000003</v>
      </c>
      <c r="R1669" s="10">
        <f t="shared" si="158"/>
        <v>0.12330000000000001</v>
      </c>
      <c r="S1669" s="11">
        <f t="shared" si="159"/>
        <v>129.47</v>
      </c>
      <c r="T1669" s="10" t="s">
        <v>349</v>
      </c>
      <c r="U1669" t="s">
        <v>36</v>
      </c>
      <c r="V1669" s="58">
        <v>7.1775000000000002</v>
      </c>
      <c r="W1669" s="38">
        <f t="shared" si="161"/>
        <v>131.66144200626957</v>
      </c>
    </row>
    <row r="1670" spans="1:23" s="15" customFormat="1">
      <c r="A1670" t="s">
        <v>3978</v>
      </c>
      <c r="B1670" s="20">
        <v>45775</v>
      </c>
      <c r="C1670" s="20">
        <v>45744</v>
      </c>
      <c r="D1670" t="s">
        <v>651</v>
      </c>
      <c r="E1670" t="s">
        <v>652</v>
      </c>
      <c r="F1670" s="19"/>
      <c r="G1670" t="s">
        <v>4399</v>
      </c>
      <c r="H1670" t="s">
        <v>3593</v>
      </c>
      <c r="I1670" t="s">
        <v>3594</v>
      </c>
      <c r="J1670" s="8" t="str">
        <f t="shared" si="156"/>
        <v>KNOB</v>
      </c>
      <c r="K1670" t="s">
        <v>10</v>
      </c>
      <c r="L1670" s="46">
        <v>1550</v>
      </c>
      <c r="M1670" t="s">
        <v>1472</v>
      </c>
      <c r="N1670" t="s">
        <v>11</v>
      </c>
      <c r="O1670" s="49">
        <v>0.90800000000000003</v>
      </c>
      <c r="P1670" s="9">
        <f t="shared" si="160"/>
        <v>1407.4</v>
      </c>
      <c r="Q1670" s="10">
        <f t="shared" si="157"/>
        <v>7.3003400000000003</v>
      </c>
      <c r="R1670" s="10">
        <f t="shared" si="158"/>
        <v>0.1244</v>
      </c>
      <c r="S1670" s="11">
        <f t="shared" si="159"/>
        <v>192.82</v>
      </c>
      <c r="T1670" s="10" t="s">
        <v>349</v>
      </c>
      <c r="U1670" t="s">
        <v>32</v>
      </c>
      <c r="V1670" s="58">
        <v>7.1775000000000002</v>
      </c>
      <c r="W1670" s="38">
        <f t="shared" si="161"/>
        <v>196.08498780912572</v>
      </c>
    </row>
    <row r="1671" spans="1:23" s="15" customFormat="1">
      <c r="A1671" t="s">
        <v>3979</v>
      </c>
      <c r="B1671" s="20">
        <v>45768</v>
      </c>
      <c r="C1671" s="20">
        <v>45744</v>
      </c>
      <c r="D1671" t="s">
        <v>28</v>
      </c>
      <c r="E1671" t="s">
        <v>29</v>
      </c>
      <c r="F1671" s="19"/>
      <c r="G1671" t="s">
        <v>4391</v>
      </c>
      <c r="H1671" t="s">
        <v>3595</v>
      </c>
      <c r="I1671" t="s">
        <v>3596</v>
      </c>
      <c r="J1671" s="8" t="str">
        <f t="shared" si="156"/>
        <v>FG--</v>
      </c>
      <c r="K1671" t="s">
        <v>10</v>
      </c>
      <c r="L1671" s="46">
        <v>2050</v>
      </c>
      <c r="M1671" t="s">
        <v>1472</v>
      </c>
      <c r="N1671" t="s">
        <v>11</v>
      </c>
      <c r="O1671" s="49">
        <v>0.91769999999999996</v>
      </c>
      <c r="P1671" s="9">
        <f t="shared" si="160"/>
        <v>1881.29</v>
      </c>
      <c r="Q1671" s="10">
        <f t="shared" si="157"/>
        <v>7.3003400000000003</v>
      </c>
      <c r="R1671" s="10">
        <f t="shared" si="158"/>
        <v>0.12570000000000001</v>
      </c>
      <c r="S1671" s="11">
        <f t="shared" si="159"/>
        <v>257.69</v>
      </c>
      <c r="T1671" s="10" t="s">
        <v>349</v>
      </c>
      <c r="U1671" t="s">
        <v>64</v>
      </c>
      <c r="V1671" s="58">
        <v>7.1775000000000002</v>
      </c>
      <c r="W1671" s="38">
        <f t="shared" si="161"/>
        <v>262.1086729362591</v>
      </c>
    </row>
    <row r="1672" spans="1:23" s="15" customFormat="1">
      <c r="A1672" t="s">
        <v>2412</v>
      </c>
      <c r="B1672" s="20">
        <v>45754</v>
      </c>
      <c r="C1672" s="20">
        <v>45702</v>
      </c>
      <c r="D1672" t="s">
        <v>372</v>
      </c>
      <c r="E1672" t="s">
        <v>373</v>
      </c>
      <c r="F1672" s="19"/>
      <c r="G1672" t="s">
        <v>4400</v>
      </c>
      <c r="H1672" t="s">
        <v>3103</v>
      </c>
      <c r="I1672" t="s">
        <v>3318</v>
      </c>
      <c r="J1672" s="8" t="str">
        <f t="shared" si="156"/>
        <v>SHDL</v>
      </c>
      <c r="K1672" t="s">
        <v>98</v>
      </c>
      <c r="L1672" s="46">
        <v>30</v>
      </c>
      <c r="M1672" t="s">
        <v>1472</v>
      </c>
      <c r="N1672" t="s">
        <v>11</v>
      </c>
      <c r="O1672" s="49">
        <v>0.92230000000000001</v>
      </c>
      <c r="P1672" s="9">
        <f t="shared" si="160"/>
        <v>27.67</v>
      </c>
      <c r="Q1672" s="10">
        <f t="shared" si="157"/>
        <v>7.3003400000000003</v>
      </c>
      <c r="R1672" s="10">
        <f t="shared" si="158"/>
        <v>0.1263</v>
      </c>
      <c r="S1672" s="11">
        <f t="shared" si="159"/>
        <v>3.79</v>
      </c>
      <c r="T1672" s="10" t="s">
        <v>349</v>
      </c>
      <c r="U1672" t="s">
        <v>722</v>
      </c>
      <c r="V1672" s="58">
        <v>7.1775000000000002</v>
      </c>
      <c r="W1672" s="38">
        <f t="shared" si="161"/>
        <v>3.8549634273772209</v>
      </c>
    </row>
    <row r="1673" spans="1:23" s="15" customFormat="1">
      <c r="A1673" t="s">
        <v>3980</v>
      </c>
      <c r="B1673" s="20">
        <v>45757</v>
      </c>
      <c r="C1673" s="20">
        <v>45740</v>
      </c>
      <c r="D1673" t="s">
        <v>746</v>
      </c>
      <c r="E1673" t="s">
        <v>747</v>
      </c>
      <c r="F1673" s="19"/>
      <c r="G1673" t="s">
        <v>4397</v>
      </c>
      <c r="H1673" t="s">
        <v>753</v>
      </c>
      <c r="I1673" t="s">
        <v>754</v>
      </c>
      <c r="J1673" s="8" t="str">
        <f t="shared" si="156"/>
        <v>SSM-</v>
      </c>
      <c r="K1673" t="s">
        <v>10</v>
      </c>
      <c r="L1673" s="46">
        <v>2000</v>
      </c>
      <c r="M1673" t="s">
        <v>1472</v>
      </c>
      <c r="N1673" t="s">
        <v>11</v>
      </c>
      <c r="O1673" s="49">
        <v>0.94689999999999996</v>
      </c>
      <c r="P1673" s="9">
        <f t="shared" si="160"/>
        <v>1893.8</v>
      </c>
      <c r="Q1673" s="10">
        <f t="shared" si="157"/>
        <v>7.3003400000000003</v>
      </c>
      <c r="R1673" s="10">
        <f t="shared" si="158"/>
        <v>0.12970000000000001</v>
      </c>
      <c r="S1673" s="11">
        <f t="shared" si="159"/>
        <v>259.39999999999998</v>
      </c>
      <c r="T1673" s="10" t="s">
        <v>349</v>
      </c>
      <c r="U1673" t="s">
        <v>33</v>
      </c>
      <c r="V1673" s="58">
        <v>7.1775000000000002</v>
      </c>
      <c r="W1673" s="38">
        <f t="shared" si="161"/>
        <v>263.85231626610931</v>
      </c>
    </row>
    <row r="1674" spans="1:23" s="15" customFormat="1">
      <c r="A1674" t="s">
        <v>3981</v>
      </c>
      <c r="B1674" s="20">
        <v>45748</v>
      </c>
      <c r="C1674" s="20">
        <v>45720</v>
      </c>
      <c r="D1674" t="s">
        <v>28</v>
      </c>
      <c r="E1674" t="s">
        <v>29</v>
      </c>
      <c r="F1674" s="19"/>
      <c r="G1674" t="s">
        <v>4401</v>
      </c>
      <c r="H1674" t="s">
        <v>3597</v>
      </c>
      <c r="I1674" t="s">
        <v>3598</v>
      </c>
      <c r="J1674" s="8" t="str">
        <f t="shared" si="156"/>
        <v>FG--</v>
      </c>
      <c r="K1674" t="s">
        <v>10</v>
      </c>
      <c r="L1674" s="46">
        <v>2570</v>
      </c>
      <c r="M1674" t="s">
        <v>1472</v>
      </c>
      <c r="N1674" t="s">
        <v>11</v>
      </c>
      <c r="O1674" s="49">
        <v>0.95340000000000003</v>
      </c>
      <c r="P1674" s="9">
        <f t="shared" si="160"/>
        <v>2450.2399999999998</v>
      </c>
      <c r="Q1674" s="10">
        <f t="shared" si="157"/>
        <v>7.3003400000000003</v>
      </c>
      <c r="R1674" s="10">
        <f t="shared" si="158"/>
        <v>0.13059999999999999</v>
      </c>
      <c r="S1674" s="11">
        <f t="shared" si="159"/>
        <v>335.64</v>
      </c>
      <c r="T1674" s="10" t="s">
        <v>349</v>
      </c>
      <c r="U1674" t="s">
        <v>64</v>
      </c>
      <c r="V1674" s="58">
        <v>7.1775000000000002</v>
      </c>
      <c r="W1674" s="38">
        <f t="shared" si="161"/>
        <v>341.37763845350048</v>
      </c>
    </row>
    <row r="1675" spans="1:23" s="15" customFormat="1">
      <c r="A1675" t="s">
        <v>3982</v>
      </c>
      <c r="B1675" s="20">
        <v>45748</v>
      </c>
      <c r="C1675" s="20">
        <v>45721</v>
      </c>
      <c r="D1675" t="s">
        <v>28</v>
      </c>
      <c r="E1675" t="s">
        <v>29</v>
      </c>
      <c r="F1675" s="19"/>
      <c r="G1675" t="s">
        <v>4401</v>
      </c>
      <c r="H1675" t="s">
        <v>3597</v>
      </c>
      <c r="I1675" t="s">
        <v>3598</v>
      </c>
      <c r="J1675" s="8" t="str">
        <f t="shared" si="156"/>
        <v>FG--</v>
      </c>
      <c r="K1675" t="s">
        <v>10</v>
      </c>
      <c r="L1675" s="46">
        <v>2150</v>
      </c>
      <c r="M1675" t="s">
        <v>1472</v>
      </c>
      <c r="N1675" t="s">
        <v>11</v>
      </c>
      <c r="O1675" s="49">
        <v>0.95340000000000003</v>
      </c>
      <c r="P1675" s="9">
        <f t="shared" si="160"/>
        <v>2049.81</v>
      </c>
      <c r="Q1675" s="10">
        <f t="shared" si="157"/>
        <v>7.3003400000000003</v>
      </c>
      <c r="R1675" s="10">
        <f t="shared" si="158"/>
        <v>0.13059999999999999</v>
      </c>
      <c r="S1675" s="11">
        <f t="shared" si="159"/>
        <v>280.79000000000002</v>
      </c>
      <c r="T1675" s="10" t="s">
        <v>349</v>
      </c>
      <c r="U1675" t="s">
        <v>64</v>
      </c>
      <c r="V1675" s="58">
        <v>7.1775000000000002</v>
      </c>
      <c r="W1675" s="38">
        <f t="shared" si="161"/>
        <v>285.58829676071053</v>
      </c>
    </row>
    <row r="1676" spans="1:23" s="15" customFormat="1">
      <c r="A1676" t="s">
        <v>3983</v>
      </c>
      <c r="B1676" s="20">
        <v>45748</v>
      </c>
      <c r="C1676" s="20">
        <v>45723</v>
      </c>
      <c r="D1676" t="s">
        <v>28</v>
      </c>
      <c r="E1676" t="s">
        <v>29</v>
      </c>
      <c r="F1676" s="19"/>
      <c r="G1676" t="s">
        <v>4401</v>
      </c>
      <c r="H1676" t="s">
        <v>1643</v>
      </c>
      <c r="I1676" t="s">
        <v>1644</v>
      </c>
      <c r="J1676" s="8" t="str">
        <f t="shared" si="156"/>
        <v>FG--</v>
      </c>
      <c r="K1676" t="s">
        <v>10</v>
      </c>
      <c r="L1676" s="46">
        <v>1520</v>
      </c>
      <c r="M1676" t="s">
        <v>1472</v>
      </c>
      <c r="N1676" t="s">
        <v>11</v>
      </c>
      <c r="O1676" s="49">
        <v>0.97430000000000005</v>
      </c>
      <c r="P1676" s="9">
        <f t="shared" si="160"/>
        <v>1480.94</v>
      </c>
      <c r="Q1676" s="10">
        <f t="shared" si="157"/>
        <v>7.3003400000000003</v>
      </c>
      <c r="R1676" s="10">
        <f t="shared" si="158"/>
        <v>0.13350000000000001</v>
      </c>
      <c r="S1676" s="11">
        <f t="shared" si="159"/>
        <v>202.92</v>
      </c>
      <c r="T1676" s="10" t="s">
        <v>349</v>
      </c>
      <c r="U1676" t="s">
        <v>64</v>
      </c>
      <c r="V1676" s="58">
        <v>7.1775000000000002</v>
      </c>
      <c r="W1676" s="38">
        <f t="shared" si="161"/>
        <v>206.33033786137236</v>
      </c>
    </row>
    <row r="1677" spans="1:23" s="15" customFormat="1">
      <c r="A1677" t="s">
        <v>3984</v>
      </c>
      <c r="B1677" s="20">
        <v>45754</v>
      </c>
      <c r="C1677" s="20">
        <v>45728</v>
      </c>
      <c r="D1677" t="s">
        <v>372</v>
      </c>
      <c r="E1677" t="s">
        <v>373</v>
      </c>
      <c r="F1677" s="19"/>
      <c r="G1677" t="s">
        <v>4400</v>
      </c>
      <c r="H1677" t="s">
        <v>1040</v>
      </c>
      <c r="I1677" t="s">
        <v>1041</v>
      </c>
      <c r="J1677" s="8" t="str">
        <f t="shared" si="156"/>
        <v>FG--</v>
      </c>
      <c r="K1677" t="s">
        <v>98</v>
      </c>
      <c r="L1677" s="46">
        <v>2000</v>
      </c>
      <c r="M1677" t="s">
        <v>1472</v>
      </c>
      <c r="N1677" t="s">
        <v>11</v>
      </c>
      <c r="O1677" s="49">
        <v>0.97450000000000003</v>
      </c>
      <c r="P1677" s="9">
        <f t="shared" si="160"/>
        <v>1949</v>
      </c>
      <c r="Q1677" s="10">
        <f t="shared" si="157"/>
        <v>7.3003400000000003</v>
      </c>
      <c r="R1677" s="10">
        <f t="shared" si="158"/>
        <v>0.13350000000000001</v>
      </c>
      <c r="S1677" s="11">
        <f t="shared" si="159"/>
        <v>267</v>
      </c>
      <c r="T1677" s="10" t="s">
        <v>349</v>
      </c>
      <c r="U1677" t="s">
        <v>64</v>
      </c>
      <c r="V1677" s="58">
        <v>7.1775000000000002</v>
      </c>
      <c r="W1677" s="38">
        <f t="shared" si="161"/>
        <v>271.54301637060257</v>
      </c>
    </row>
    <row r="1678" spans="1:23" s="15" customFormat="1">
      <c r="A1678" t="s">
        <v>3985</v>
      </c>
      <c r="B1678" s="20">
        <v>45754</v>
      </c>
      <c r="C1678" s="20">
        <v>45728</v>
      </c>
      <c r="D1678" t="s">
        <v>372</v>
      </c>
      <c r="E1678" t="s">
        <v>373</v>
      </c>
      <c r="F1678" s="19"/>
      <c r="G1678" t="s">
        <v>4400</v>
      </c>
      <c r="H1678" t="s">
        <v>1037</v>
      </c>
      <c r="I1678" t="s">
        <v>1038</v>
      </c>
      <c r="J1678" s="8" t="str">
        <f t="shared" si="156"/>
        <v>FG--</v>
      </c>
      <c r="K1678" t="s">
        <v>98</v>
      </c>
      <c r="L1678" s="46">
        <v>3100</v>
      </c>
      <c r="M1678" t="s">
        <v>1472</v>
      </c>
      <c r="N1678" t="s">
        <v>11</v>
      </c>
      <c r="O1678" s="49">
        <v>0.97450000000000003</v>
      </c>
      <c r="P1678" s="9">
        <f t="shared" si="160"/>
        <v>3020.95</v>
      </c>
      <c r="Q1678" s="10">
        <f t="shared" si="157"/>
        <v>7.3003400000000003</v>
      </c>
      <c r="R1678" s="10">
        <f t="shared" si="158"/>
        <v>0.13350000000000001</v>
      </c>
      <c r="S1678" s="11">
        <f t="shared" si="159"/>
        <v>413.85</v>
      </c>
      <c r="T1678" s="10" t="s">
        <v>349</v>
      </c>
      <c r="U1678" t="s">
        <v>64</v>
      </c>
      <c r="V1678" s="58">
        <v>7.1775000000000002</v>
      </c>
      <c r="W1678" s="38">
        <f t="shared" si="161"/>
        <v>420.89167537443399</v>
      </c>
    </row>
    <row r="1679" spans="1:23" s="15" customFormat="1">
      <c r="A1679" t="s">
        <v>3986</v>
      </c>
      <c r="B1679" s="20">
        <v>45776</v>
      </c>
      <c r="C1679" s="20">
        <v>45750</v>
      </c>
      <c r="D1679" t="s">
        <v>372</v>
      </c>
      <c r="E1679" t="s">
        <v>373</v>
      </c>
      <c r="F1679" s="19"/>
      <c r="G1679" t="s">
        <v>4402</v>
      </c>
      <c r="H1679" t="s">
        <v>1037</v>
      </c>
      <c r="I1679" t="s">
        <v>1038</v>
      </c>
      <c r="J1679" s="8" t="str">
        <f t="shared" si="156"/>
        <v>FG--</v>
      </c>
      <c r="K1679" t="s">
        <v>98</v>
      </c>
      <c r="L1679" s="46">
        <v>4050</v>
      </c>
      <c r="M1679" t="s">
        <v>1472</v>
      </c>
      <c r="N1679" t="s">
        <v>11</v>
      </c>
      <c r="O1679" s="49">
        <v>0.97450000000000003</v>
      </c>
      <c r="P1679" s="9">
        <f t="shared" si="160"/>
        <v>3946.73</v>
      </c>
      <c r="Q1679" s="10">
        <f t="shared" si="157"/>
        <v>7.3003400000000003</v>
      </c>
      <c r="R1679" s="10">
        <f t="shared" si="158"/>
        <v>0.13350000000000001</v>
      </c>
      <c r="S1679" s="11">
        <f t="shared" si="159"/>
        <v>540.67999999999995</v>
      </c>
      <c r="T1679" s="10" t="s">
        <v>349</v>
      </c>
      <c r="U1679" t="s">
        <v>64</v>
      </c>
      <c r="V1679" s="58">
        <v>7.1775000000000002</v>
      </c>
      <c r="W1679" s="38">
        <f t="shared" si="161"/>
        <v>549.87460815047018</v>
      </c>
    </row>
    <row r="1680" spans="1:23" s="15" customFormat="1">
      <c r="A1680" t="s">
        <v>2441</v>
      </c>
      <c r="B1680" s="20">
        <v>45748</v>
      </c>
      <c r="C1680" s="20">
        <v>45702</v>
      </c>
      <c r="D1680" t="s">
        <v>128</v>
      </c>
      <c r="E1680" t="s">
        <v>129</v>
      </c>
      <c r="F1680" s="19"/>
      <c r="G1680" t="s">
        <v>4403</v>
      </c>
      <c r="H1680" t="s">
        <v>443</v>
      </c>
      <c r="I1680" t="s">
        <v>444</v>
      </c>
      <c r="J1680" s="8" t="str">
        <f t="shared" si="156"/>
        <v>FG--</v>
      </c>
      <c r="K1680" t="s">
        <v>10</v>
      </c>
      <c r="L1680" s="46">
        <v>6200</v>
      </c>
      <c r="M1680" t="s">
        <v>1472</v>
      </c>
      <c r="N1680" t="s">
        <v>11</v>
      </c>
      <c r="O1680" s="49">
        <v>1.0021</v>
      </c>
      <c r="P1680" s="9">
        <f t="shared" si="160"/>
        <v>6213.02</v>
      </c>
      <c r="Q1680" s="10">
        <f t="shared" si="157"/>
        <v>7.3003400000000003</v>
      </c>
      <c r="R1680" s="10">
        <f t="shared" si="158"/>
        <v>0.13730000000000001</v>
      </c>
      <c r="S1680" s="11">
        <f t="shared" si="159"/>
        <v>851.26</v>
      </c>
      <c r="T1680" s="10" t="s">
        <v>349</v>
      </c>
      <c r="U1680" t="s">
        <v>64</v>
      </c>
      <c r="V1680" s="58">
        <v>7.1775000000000002</v>
      </c>
      <c r="W1680" s="38">
        <f t="shared" si="161"/>
        <v>865.62452107279682</v>
      </c>
    </row>
    <row r="1681" spans="1:23" s="15" customFormat="1">
      <c r="A1681" t="s">
        <v>3987</v>
      </c>
      <c r="B1681" s="20">
        <v>45748</v>
      </c>
      <c r="C1681" s="20">
        <v>45720</v>
      </c>
      <c r="D1681" t="s">
        <v>28</v>
      </c>
      <c r="E1681" t="s">
        <v>29</v>
      </c>
      <c r="F1681" s="19"/>
      <c r="G1681" t="s">
        <v>4401</v>
      </c>
      <c r="H1681" t="s">
        <v>3599</v>
      </c>
      <c r="I1681" t="s">
        <v>3600</v>
      </c>
      <c r="J1681" s="8" t="str">
        <f t="shared" si="156"/>
        <v>FG--</v>
      </c>
      <c r="K1681" t="s">
        <v>10</v>
      </c>
      <c r="L1681" s="46">
        <v>1030</v>
      </c>
      <c r="M1681" t="s">
        <v>1472</v>
      </c>
      <c r="N1681" t="s">
        <v>11</v>
      </c>
      <c r="O1681" s="49">
        <v>1.0112000000000001</v>
      </c>
      <c r="P1681" s="9">
        <f t="shared" si="160"/>
        <v>1041.54</v>
      </c>
      <c r="Q1681" s="10">
        <f t="shared" si="157"/>
        <v>7.3003400000000003</v>
      </c>
      <c r="R1681" s="10">
        <f t="shared" si="158"/>
        <v>0.13850000000000001</v>
      </c>
      <c r="S1681" s="11">
        <f t="shared" si="159"/>
        <v>142.66</v>
      </c>
      <c r="T1681" s="10" t="s">
        <v>349</v>
      </c>
      <c r="U1681" t="s">
        <v>64</v>
      </c>
      <c r="V1681" s="58">
        <v>7.1775000000000002</v>
      </c>
      <c r="W1681" s="38">
        <f t="shared" si="161"/>
        <v>145.1112504353884</v>
      </c>
    </row>
    <row r="1682" spans="1:23" s="15" customFormat="1">
      <c r="A1682" t="s">
        <v>3988</v>
      </c>
      <c r="B1682" s="20">
        <v>45748</v>
      </c>
      <c r="C1682" s="20">
        <v>45723</v>
      </c>
      <c r="D1682" t="s">
        <v>28</v>
      </c>
      <c r="E1682" t="s">
        <v>29</v>
      </c>
      <c r="F1682" s="19"/>
      <c r="G1682" t="s">
        <v>4401</v>
      </c>
      <c r="H1682" t="s">
        <v>3599</v>
      </c>
      <c r="I1682" t="s">
        <v>3600</v>
      </c>
      <c r="J1682" s="8" t="str">
        <f t="shared" si="156"/>
        <v>FG--</v>
      </c>
      <c r="K1682" t="s">
        <v>10</v>
      </c>
      <c r="L1682" s="46">
        <v>610</v>
      </c>
      <c r="M1682" t="s">
        <v>1472</v>
      </c>
      <c r="N1682" t="s">
        <v>11</v>
      </c>
      <c r="O1682" s="49">
        <v>1.0112000000000001</v>
      </c>
      <c r="P1682" s="9">
        <f t="shared" si="160"/>
        <v>616.83000000000004</v>
      </c>
      <c r="Q1682" s="10">
        <f t="shared" si="157"/>
        <v>7.3003400000000003</v>
      </c>
      <c r="R1682" s="10">
        <f t="shared" si="158"/>
        <v>0.13850000000000001</v>
      </c>
      <c r="S1682" s="11">
        <f t="shared" si="159"/>
        <v>84.49</v>
      </c>
      <c r="T1682" s="10" t="s">
        <v>349</v>
      </c>
      <c r="U1682" t="s">
        <v>64</v>
      </c>
      <c r="V1682" s="58">
        <v>7.1775000000000002</v>
      </c>
      <c r="W1682" s="38">
        <f t="shared" si="161"/>
        <v>85.939672587948465</v>
      </c>
    </row>
    <row r="1683" spans="1:23" s="15" customFormat="1">
      <c r="A1683" t="s">
        <v>3989</v>
      </c>
      <c r="B1683" s="20">
        <v>45772</v>
      </c>
      <c r="C1683" s="20">
        <v>45744</v>
      </c>
      <c r="D1683" t="s">
        <v>709</v>
      </c>
      <c r="E1683" t="s">
        <v>710</v>
      </c>
      <c r="F1683" s="19"/>
      <c r="G1683" t="s">
        <v>4404</v>
      </c>
      <c r="H1683" t="s">
        <v>738</v>
      </c>
      <c r="I1683" t="s">
        <v>739</v>
      </c>
      <c r="J1683" s="8" t="str">
        <f t="shared" si="156"/>
        <v>KNOB</v>
      </c>
      <c r="K1683" t="s">
        <v>10</v>
      </c>
      <c r="L1683" s="46">
        <v>2000</v>
      </c>
      <c r="M1683" t="s">
        <v>1472</v>
      </c>
      <c r="N1683" t="s">
        <v>11</v>
      </c>
      <c r="O1683" s="49">
        <v>1.0254000000000001</v>
      </c>
      <c r="P1683" s="9">
        <f t="shared" si="160"/>
        <v>2050.8000000000002</v>
      </c>
      <c r="Q1683" s="10">
        <f t="shared" si="157"/>
        <v>7.3003400000000003</v>
      </c>
      <c r="R1683" s="10">
        <f t="shared" si="158"/>
        <v>0.14050000000000001</v>
      </c>
      <c r="S1683" s="11">
        <f t="shared" si="159"/>
        <v>281</v>
      </c>
      <c r="T1683" s="10" t="s">
        <v>349</v>
      </c>
      <c r="U1683" t="s">
        <v>32</v>
      </c>
      <c r="V1683" s="58">
        <v>7.1775000000000002</v>
      </c>
      <c r="W1683" s="38">
        <f t="shared" si="161"/>
        <v>285.72622779519338</v>
      </c>
    </row>
    <row r="1684" spans="1:23" s="15" customFormat="1">
      <c r="A1684" t="s">
        <v>3990</v>
      </c>
      <c r="B1684" s="20">
        <v>45757</v>
      </c>
      <c r="C1684" s="20">
        <v>45740</v>
      </c>
      <c r="D1684" t="s">
        <v>746</v>
      </c>
      <c r="E1684" t="s">
        <v>747</v>
      </c>
      <c r="F1684" s="19"/>
      <c r="G1684" t="s">
        <v>4397</v>
      </c>
      <c r="H1684" t="s">
        <v>750</v>
      </c>
      <c r="I1684" t="s">
        <v>751</v>
      </c>
      <c r="J1684" s="8" t="str">
        <f t="shared" si="156"/>
        <v>SSM-</v>
      </c>
      <c r="K1684" t="s">
        <v>10</v>
      </c>
      <c r="L1684" s="46">
        <v>6000</v>
      </c>
      <c r="M1684" t="s">
        <v>1472</v>
      </c>
      <c r="N1684" t="s">
        <v>11</v>
      </c>
      <c r="O1684" s="49">
        <v>1.0530999999999999</v>
      </c>
      <c r="P1684" s="9">
        <f t="shared" si="160"/>
        <v>6318.6</v>
      </c>
      <c r="Q1684" s="10">
        <f t="shared" si="157"/>
        <v>7.3003400000000003</v>
      </c>
      <c r="R1684" s="10">
        <f t="shared" si="158"/>
        <v>0.14430000000000001</v>
      </c>
      <c r="S1684" s="11">
        <f t="shared" si="159"/>
        <v>865.8</v>
      </c>
      <c r="T1684" s="10" t="s">
        <v>349</v>
      </c>
      <c r="U1684" t="s">
        <v>33</v>
      </c>
      <c r="V1684" s="58">
        <v>7.1775000000000002</v>
      </c>
      <c r="W1684" s="38">
        <f t="shared" si="161"/>
        <v>880.33437826541274</v>
      </c>
    </row>
    <row r="1685" spans="1:23" s="15" customFormat="1">
      <c r="A1685" t="s">
        <v>3991</v>
      </c>
      <c r="B1685" s="20">
        <v>45772</v>
      </c>
      <c r="C1685" s="20">
        <v>45744</v>
      </c>
      <c r="D1685" t="s">
        <v>709</v>
      </c>
      <c r="E1685" t="s">
        <v>710</v>
      </c>
      <c r="F1685" s="19"/>
      <c r="G1685" t="s">
        <v>4405</v>
      </c>
      <c r="H1685" t="s">
        <v>1645</v>
      </c>
      <c r="I1685" t="s">
        <v>1646</v>
      </c>
      <c r="J1685" s="8" t="str">
        <f t="shared" ref="J1685:J1748" si="162">+LEFT(U1685,4)</f>
        <v>T&amp;G-</v>
      </c>
      <c r="K1685" t="s">
        <v>10</v>
      </c>
      <c r="L1685" s="46">
        <v>8400</v>
      </c>
      <c r="M1685" t="s">
        <v>1472</v>
      </c>
      <c r="N1685" t="s">
        <v>11</v>
      </c>
      <c r="O1685" s="49">
        <v>1.0768</v>
      </c>
      <c r="P1685" s="9">
        <f t="shared" si="160"/>
        <v>9045.1200000000008</v>
      </c>
      <c r="Q1685" s="10">
        <f t="shared" ref="Q1685:Q1748" si="163">IF(N1685="HKD",7.8,IF(N1685="CNY",7.30034,1))</f>
        <v>7.3003400000000003</v>
      </c>
      <c r="R1685" s="10">
        <f t="shared" ref="R1685:R1748" si="164">+ROUND(O1685/Q1685,4)</f>
        <v>0.14749999999999999</v>
      </c>
      <c r="S1685" s="11">
        <f t="shared" ref="S1685:S1748" si="165">ROUND(R1685*L1685,2)</f>
        <v>1239</v>
      </c>
      <c r="T1685" s="10" t="s">
        <v>349</v>
      </c>
      <c r="U1685" t="s">
        <v>2245</v>
      </c>
      <c r="V1685" s="58">
        <v>7.1775000000000002</v>
      </c>
      <c r="W1685" s="38">
        <f t="shared" si="161"/>
        <v>1260.2048066875652</v>
      </c>
    </row>
    <row r="1686" spans="1:23" s="15" customFormat="1">
      <c r="A1686" t="s">
        <v>3992</v>
      </c>
      <c r="B1686" s="20">
        <v>45769</v>
      </c>
      <c r="C1686" s="20">
        <v>45744</v>
      </c>
      <c r="D1686" t="s">
        <v>169</v>
      </c>
      <c r="E1686" t="s">
        <v>170</v>
      </c>
      <c r="F1686" s="19"/>
      <c r="G1686" t="s">
        <v>4381</v>
      </c>
      <c r="H1686" t="s">
        <v>1120</v>
      </c>
      <c r="I1686" t="s">
        <v>643</v>
      </c>
      <c r="J1686" s="8" t="str">
        <f t="shared" si="162"/>
        <v>U&amp;C-</v>
      </c>
      <c r="K1686" t="s">
        <v>10</v>
      </c>
      <c r="L1686" s="46">
        <v>1010</v>
      </c>
      <c r="M1686" t="s">
        <v>1472</v>
      </c>
      <c r="N1686" t="s">
        <v>11</v>
      </c>
      <c r="O1686" s="49">
        <v>1.0900000000000001</v>
      </c>
      <c r="P1686" s="9">
        <f t="shared" si="160"/>
        <v>1100.9000000000001</v>
      </c>
      <c r="Q1686" s="10">
        <f t="shared" si="163"/>
        <v>7.3003400000000003</v>
      </c>
      <c r="R1686" s="10">
        <f t="shared" si="164"/>
        <v>0.14929999999999999</v>
      </c>
      <c r="S1686" s="11">
        <f t="shared" si="165"/>
        <v>150.79</v>
      </c>
      <c r="T1686" s="10" t="s">
        <v>349</v>
      </c>
      <c r="U1686" t="s">
        <v>177</v>
      </c>
      <c r="V1686" s="58">
        <v>7.1775000000000002</v>
      </c>
      <c r="W1686" s="38">
        <f t="shared" si="161"/>
        <v>153.38209683037272</v>
      </c>
    </row>
    <row r="1687" spans="1:23" s="15" customFormat="1">
      <c r="A1687" t="s">
        <v>3993</v>
      </c>
      <c r="B1687" s="20">
        <v>45772</v>
      </c>
      <c r="C1687" s="20">
        <v>45758</v>
      </c>
      <c r="D1687" t="s">
        <v>709</v>
      </c>
      <c r="E1687" t="s">
        <v>710</v>
      </c>
      <c r="F1687" s="19"/>
      <c r="G1687" t="s">
        <v>4405</v>
      </c>
      <c r="H1687" t="s">
        <v>1647</v>
      </c>
      <c r="I1687" t="s">
        <v>1648</v>
      </c>
      <c r="J1687" s="8" t="str">
        <f t="shared" si="162"/>
        <v>KNOB</v>
      </c>
      <c r="K1687" t="s">
        <v>10</v>
      </c>
      <c r="L1687" s="46">
        <v>500</v>
      </c>
      <c r="M1687" t="s">
        <v>1472</v>
      </c>
      <c r="N1687" t="s">
        <v>11</v>
      </c>
      <c r="O1687" s="49">
        <v>1.0902000000000001</v>
      </c>
      <c r="P1687" s="9">
        <f t="shared" si="160"/>
        <v>545.1</v>
      </c>
      <c r="Q1687" s="10">
        <f t="shared" si="163"/>
        <v>7.3003400000000003</v>
      </c>
      <c r="R1687" s="10">
        <f t="shared" si="164"/>
        <v>0.14929999999999999</v>
      </c>
      <c r="S1687" s="11">
        <f t="shared" si="165"/>
        <v>74.650000000000006</v>
      </c>
      <c r="T1687" s="10" t="s">
        <v>349</v>
      </c>
      <c r="U1687" t="s">
        <v>32</v>
      </c>
      <c r="V1687" s="58">
        <v>7.1775000000000002</v>
      </c>
      <c r="W1687" s="38">
        <f t="shared" si="161"/>
        <v>75.945663531870437</v>
      </c>
    </row>
    <row r="1688" spans="1:23" s="15" customFormat="1">
      <c r="A1688" t="s">
        <v>3994</v>
      </c>
      <c r="B1688" s="20">
        <v>45772</v>
      </c>
      <c r="C1688" s="20">
        <v>45758</v>
      </c>
      <c r="D1688" t="s">
        <v>709</v>
      </c>
      <c r="E1688" t="s">
        <v>710</v>
      </c>
      <c r="F1688" s="19"/>
      <c r="G1688" t="s">
        <v>4405</v>
      </c>
      <c r="H1688" t="s">
        <v>3601</v>
      </c>
      <c r="I1688" t="s">
        <v>3602</v>
      </c>
      <c r="J1688" s="8" t="str">
        <f t="shared" si="162"/>
        <v>KNOB</v>
      </c>
      <c r="K1688" t="s">
        <v>10</v>
      </c>
      <c r="L1688" s="46">
        <v>2150</v>
      </c>
      <c r="M1688" t="s">
        <v>1472</v>
      </c>
      <c r="N1688" t="s">
        <v>11</v>
      </c>
      <c r="O1688" s="49">
        <v>1.2179</v>
      </c>
      <c r="P1688" s="9">
        <f t="shared" si="160"/>
        <v>2618.4899999999998</v>
      </c>
      <c r="Q1688" s="10">
        <f t="shared" si="163"/>
        <v>7.3003400000000003</v>
      </c>
      <c r="R1688" s="10">
        <f t="shared" si="164"/>
        <v>0.1668</v>
      </c>
      <c r="S1688" s="11">
        <f t="shared" si="165"/>
        <v>358.62</v>
      </c>
      <c r="T1688" s="10" t="s">
        <v>349</v>
      </c>
      <c r="U1688" t="s">
        <v>32</v>
      </c>
      <c r="V1688" s="58">
        <v>7.1775000000000002</v>
      </c>
      <c r="W1688" s="38">
        <f t="shared" si="161"/>
        <v>364.81853012887495</v>
      </c>
    </row>
    <row r="1689" spans="1:23" s="15" customFormat="1">
      <c r="A1689" t="s">
        <v>3995</v>
      </c>
      <c r="B1689" s="20">
        <v>45772</v>
      </c>
      <c r="C1689" s="20">
        <v>45768</v>
      </c>
      <c r="D1689" t="s">
        <v>709</v>
      </c>
      <c r="E1689" t="s">
        <v>710</v>
      </c>
      <c r="F1689" s="19"/>
      <c r="G1689" t="s">
        <v>4405</v>
      </c>
      <c r="H1689" t="s">
        <v>3601</v>
      </c>
      <c r="I1689" t="s">
        <v>3602</v>
      </c>
      <c r="J1689" s="8" t="str">
        <f t="shared" si="162"/>
        <v>KNOB</v>
      </c>
      <c r="K1689" t="s">
        <v>10</v>
      </c>
      <c r="L1689" s="46">
        <v>1530</v>
      </c>
      <c r="M1689" t="s">
        <v>1472</v>
      </c>
      <c r="N1689" t="s">
        <v>11</v>
      </c>
      <c r="O1689" s="49">
        <v>1.2426999999999999</v>
      </c>
      <c r="P1689" s="9">
        <f t="shared" si="160"/>
        <v>1901.33</v>
      </c>
      <c r="Q1689" s="10">
        <f t="shared" si="163"/>
        <v>7.3003400000000003</v>
      </c>
      <c r="R1689" s="10">
        <f t="shared" si="164"/>
        <v>0.17019999999999999</v>
      </c>
      <c r="S1689" s="11">
        <f t="shared" si="165"/>
        <v>260.41000000000003</v>
      </c>
      <c r="T1689" s="10" t="s">
        <v>349</v>
      </c>
      <c r="U1689" t="s">
        <v>32</v>
      </c>
      <c r="V1689" s="58">
        <v>7.1775000000000002</v>
      </c>
      <c r="W1689" s="38">
        <f t="shared" si="161"/>
        <v>264.90156739811914</v>
      </c>
    </row>
    <row r="1690" spans="1:23" s="15" customFormat="1">
      <c r="A1690" t="s">
        <v>3996</v>
      </c>
      <c r="B1690" s="20">
        <v>45762</v>
      </c>
      <c r="C1690" s="20">
        <v>45695</v>
      </c>
      <c r="D1690" t="s">
        <v>252</v>
      </c>
      <c r="E1690" t="s">
        <v>253</v>
      </c>
      <c r="F1690" s="19"/>
      <c r="G1690" t="s">
        <v>4398</v>
      </c>
      <c r="H1690" t="s">
        <v>1528</v>
      </c>
      <c r="I1690" t="s">
        <v>1529</v>
      </c>
      <c r="J1690" s="8" t="str">
        <f t="shared" si="162"/>
        <v>ANYD</v>
      </c>
      <c r="K1690" t="s">
        <v>10</v>
      </c>
      <c r="L1690" s="46">
        <v>2000</v>
      </c>
      <c r="M1690" t="s">
        <v>1472</v>
      </c>
      <c r="N1690" t="s">
        <v>11</v>
      </c>
      <c r="O1690" s="49">
        <v>1.2838000000000001</v>
      </c>
      <c r="P1690" s="9">
        <f t="shared" si="160"/>
        <v>2567.6</v>
      </c>
      <c r="Q1690" s="10">
        <f t="shared" si="163"/>
        <v>7.3003400000000003</v>
      </c>
      <c r="R1690" s="10">
        <f t="shared" si="164"/>
        <v>0.1759</v>
      </c>
      <c r="S1690" s="11">
        <f t="shared" si="165"/>
        <v>351.8</v>
      </c>
      <c r="T1690" s="10" t="s">
        <v>349</v>
      </c>
      <c r="U1690" t="s">
        <v>36</v>
      </c>
      <c r="V1690" s="58">
        <v>7.1775000000000002</v>
      </c>
      <c r="W1690" s="38">
        <f t="shared" si="161"/>
        <v>357.72901428073845</v>
      </c>
    </row>
    <row r="1691" spans="1:23" s="15" customFormat="1">
      <c r="A1691" t="s">
        <v>1921</v>
      </c>
      <c r="B1691" s="20">
        <v>45754</v>
      </c>
      <c r="C1691" s="20">
        <v>45674</v>
      </c>
      <c r="D1691" t="s">
        <v>169</v>
      </c>
      <c r="E1691" t="s">
        <v>170</v>
      </c>
      <c r="F1691" s="19"/>
      <c r="G1691" t="s">
        <v>4406</v>
      </c>
      <c r="H1691" t="s">
        <v>1655</v>
      </c>
      <c r="I1691" t="s">
        <v>1656</v>
      </c>
      <c r="J1691" s="8" t="str">
        <f t="shared" si="162"/>
        <v>PRIM</v>
      </c>
      <c r="K1691" t="s">
        <v>10</v>
      </c>
      <c r="L1691" s="46">
        <v>1100</v>
      </c>
      <c r="M1691" t="s">
        <v>1472</v>
      </c>
      <c r="N1691" t="s">
        <v>11</v>
      </c>
      <c r="O1691" s="49">
        <v>1.29</v>
      </c>
      <c r="P1691" s="9">
        <f t="shared" si="160"/>
        <v>1419</v>
      </c>
      <c r="Q1691" s="10">
        <f t="shared" si="163"/>
        <v>7.3003400000000003</v>
      </c>
      <c r="R1691" s="10">
        <f t="shared" si="164"/>
        <v>0.1767</v>
      </c>
      <c r="S1691" s="11">
        <f t="shared" si="165"/>
        <v>194.37</v>
      </c>
      <c r="T1691" s="10" t="s">
        <v>349</v>
      </c>
      <c r="U1691" t="s">
        <v>181</v>
      </c>
      <c r="V1691" s="58">
        <v>7.1775000000000002</v>
      </c>
      <c r="W1691" s="38">
        <f t="shared" si="161"/>
        <v>197.70114942528738</v>
      </c>
    </row>
    <row r="1692" spans="1:23" s="15" customFormat="1">
      <c r="A1692" t="s">
        <v>1923</v>
      </c>
      <c r="B1692" s="20">
        <v>45761</v>
      </c>
      <c r="C1692" s="20">
        <v>45674</v>
      </c>
      <c r="D1692" t="s">
        <v>169</v>
      </c>
      <c r="E1692" t="s">
        <v>170</v>
      </c>
      <c r="F1692" s="19"/>
      <c r="G1692" t="s">
        <v>4406</v>
      </c>
      <c r="H1692" t="s">
        <v>1124</v>
      </c>
      <c r="I1692" t="s">
        <v>643</v>
      </c>
      <c r="J1692" s="8" t="str">
        <f t="shared" si="162"/>
        <v>U&amp;C-</v>
      </c>
      <c r="K1692" t="s">
        <v>10</v>
      </c>
      <c r="L1692" s="46">
        <v>800</v>
      </c>
      <c r="M1692" t="s">
        <v>1472</v>
      </c>
      <c r="N1692" t="s">
        <v>11</v>
      </c>
      <c r="O1692" s="49">
        <v>1.29</v>
      </c>
      <c r="P1692" s="9">
        <f t="shared" si="160"/>
        <v>1032</v>
      </c>
      <c r="Q1692" s="10">
        <f t="shared" si="163"/>
        <v>7.3003400000000003</v>
      </c>
      <c r="R1692" s="10">
        <f t="shared" si="164"/>
        <v>0.1767</v>
      </c>
      <c r="S1692" s="11">
        <f t="shared" si="165"/>
        <v>141.36000000000001</v>
      </c>
      <c r="T1692" s="10" t="s">
        <v>349</v>
      </c>
      <c r="U1692" t="s">
        <v>177</v>
      </c>
      <c r="V1692" s="58">
        <v>7.1775000000000002</v>
      </c>
      <c r="W1692" s="38">
        <f t="shared" si="161"/>
        <v>143.78265412748172</v>
      </c>
    </row>
    <row r="1693" spans="1:23" s="15" customFormat="1">
      <c r="A1693" t="s">
        <v>3997</v>
      </c>
      <c r="B1693" s="20">
        <v>45762</v>
      </c>
      <c r="C1693" s="20">
        <v>45716</v>
      </c>
      <c r="D1693" t="s">
        <v>252</v>
      </c>
      <c r="E1693" t="s">
        <v>253</v>
      </c>
      <c r="F1693" s="19"/>
      <c r="G1693" t="s">
        <v>4398</v>
      </c>
      <c r="H1693" t="s">
        <v>682</v>
      </c>
      <c r="I1693" t="s">
        <v>683</v>
      </c>
      <c r="J1693" s="8" t="str">
        <f t="shared" si="162"/>
        <v>ANYD</v>
      </c>
      <c r="K1693" t="s">
        <v>10</v>
      </c>
      <c r="L1693" s="46">
        <v>2600</v>
      </c>
      <c r="M1693" t="s">
        <v>1472</v>
      </c>
      <c r="N1693" t="s">
        <v>11</v>
      </c>
      <c r="O1693" s="49">
        <v>1.3524</v>
      </c>
      <c r="P1693" s="9">
        <f t="shared" si="160"/>
        <v>3516.24</v>
      </c>
      <c r="Q1693" s="10">
        <f t="shared" si="163"/>
        <v>7.3003400000000003</v>
      </c>
      <c r="R1693" s="10">
        <f t="shared" si="164"/>
        <v>0.18529999999999999</v>
      </c>
      <c r="S1693" s="11">
        <f t="shared" si="165"/>
        <v>481.78</v>
      </c>
      <c r="T1693" s="10" t="s">
        <v>349</v>
      </c>
      <c r="U1693" t="s">
        <v>36</v>
      </c>
      <c r="V1693" s="58">
        <v>7.1775000000000002</v>
      </c>
      <c r="W1693" s="38">
        <f t="shared" si="161"/>
        <v>489.89759665621739</v>
      </c>
    </row>
    <row r="1694" spans="1:23" s="15" customFormat="1">
      <c r="A1694" t="s">
        <v>3998</v>
      </c>
      <c r="B1694" s="20">
        <v>45763</v>
      </c>
      <c r="C1694" s="20">
        <v>45716</v>
      </c>
      <c r="D1694" t="s">
        <v>252</v>
      </c>
      <c r="E1694" t="s">
        <v>253</v>
      </c>
      <c r="F1694" s="19"/>
      <c r="G1694" t="s">
        <v>4398</v>
      </c>
      <c r="H1694" t="s">
        <v>1530</v>
      </c>
      <c r="I1694" t="s">
        <v>1531</v>
      </c>
      <c r="J1694" s="8" t="str">
        <f t="shared" si="162"/>
        <v>ANYD</v>
      </c>
      <c r="K1694" t="s">
        <v>10</v>
      </c>
      <c r="L1694" s="46">
        <v>2000</v>
      </c>
      <c r="M1694" t="s">
        <v>1472</v>
      </c>
      <c r="N1694" t="s">
        <v>11</v>
      </c>
      <c r="O1694" s="49">
        <v>1.3524</v>
      </c>
      <c r="P1694" s="9">
        <f t="shared" si="160"/>
        <v>2704.8</v>
      </c>
      <c r="Q1694" s="10">
        <f t="shared" si="163"/>
        <v>7.3003400000000003</v>
      </c>
      <c r="R1694" s="10">
        <f t="shared" si="164"/>
        <v>0.18529999999999999</v>
      </c>
      <c r="S1694" s="11">
        <f t="shared" si="165"/>
        <v>370.6</v>
      </c>
      <c r="T1694" s="10" t="s">
        <v>349</v>
      </c>
      <c r="U1694" t="s">
        <v>36</v>
      </c>
      <c r="V1694" s="58">
        <v>7.1775000000000002</v>
      </c>
      <c r="W1694" s="38">
        <f t="shared" si="161"/>
        <v>376.84430512016718</v>
      </c>
    </row>
    <row r="1695" spans="1:23" s="15" customFormat="1">
      <c r="A1695" t="s">
        <v>3999</v>
      </c>
      <c r="B1695" s="20">
        <v>45762</v>
      </c>
      <c r="C1695" s="20">
        <v>45730</v>
      </c>
      <c r="D1695" t="s">
        <v>252</v>
      </c>
      <c r="E1695" t="s">
        <v>253</v>
      </c>
      <c r="F1695" s="19"/>
      <c r="G1695" t="s">
        <v>4398</v>
      </c>
      <c r="H1695" t="s">
        <v>678</v>
      </c>
      <c r="I1695" t="s">
        <v>679</v>
      </c>
      <c r="J1695" s="8" t="str">
        <f t="shared" si="162"/>
        <v>ANYD</v>
      </c>
      <c r="K1695" t="s">
        <v>10</v>
      </c>
      <c r="L1695" s="46">
        <v>3900</v>
      </c>
      <c r="M1695" t="s">
        <v>1472</v>
      </c>
      <c r="N1695" t="s">
        <v>11</v>
      </c>
      <c r="O1695" s="49">
        <v>1.3524</v>
      </c>
      <c r="P1695" s="9">
        <f t="shared" si="160"/>
        <v>5274.36</v>
      </c>
      <c r="Q1695" s="10">
        <f t="shared" si="163"/>
        <v>7.3003400000000003</v>
      </c>
      <c r="R1695" s="10">
        <f t="shared" si="164"/>
        <v>0.18529999999999999</v>
      </c>
      <c r="S1695" s="11">
        <f t="shared" si="165"/>
        <v>722.67</v>
      </c>
      <c r="T1695" s="10" t="s">
        <v>349</v>
      </c>
      <c r="U1695" t="s">
        <v>36</v>
      </c>
      <c r="V1695" s="58">
        <v>7.1775000000000002</v>
      </c>
      <c r="W1695" s="38">
        <f t="shared" si="161"/>
        <v>734.84639498432603</v>
      </c>
    </row>
    <row r="1696" spans="1:23" s="15" customFormat="1">
      <c r="A1696" t="s">
        <v>4000</v>
      </c>
      <c r="B1696" s="20">
        <v>45757</v>
      </c>
      <c r="C1696" s="20">
        <v>45740</v>
      </c>
      <c r="D1696" t="s">
        <v>746</v>
      </c>
      <c r="E1696" t="s">
        <v>747</v>
      </c>
      <c r="F1696" s="19"/>
      <c r="G1696" t="s">
        <v>4397</v>
      </c>
      <c r="H1696" t="s">
        <v>3603</v>
      </c>
      <c r="I1696" t="s">
        <v>3604</v>
      </c>
      <c r="J1696" s="8" t="str">
        <f t="shared" si="162"/>
        <v>SSM-</v>
      </c>
      <c r="K1696" t="s">
        <v>10</v>
      </c>
      <c r="L1696" s="46">
        <v>2150</v>
      </c>
      <c r="M1696" t="s">
        <v>1472</v>
      </c>
      <c r="N1696" t="s">
        <v>11</v>
      </c>
      <c r="O1696" s="49">
        <v>1.3628</v>
      </c>
      <c r="P1696" s="9">
        <f t="shared" si="160"/>
        <v>2930.02</v>
      </c>
      <c r="Q1696" s="10">
        <f t="shared" si="163"/>
        <v>7.3003400000000003</v>
      </c>
      <c r="R1696" s="10">
        <f t="shared" si="164"/>
        <v>0.1867</v>
      </c>
      <c r="S1696" s="11">
        <f t="shared" si="165"/>
        <v>401.41</v>
      </c>
      <c r="T1696" s="10" t="s">
        <v>349</v>
      </c>
      <c r="U1696" t="s">
        <v>33</v>
      </c>
      <c r="V1696" s="58">
        <v>7.1775000000000002</v>
      </c>
      <c r="W1696" s="38">
        <f t="shared" si="161"/>
        <v>408.22291884360851</v>
      </c>
    </row>
    <row r="1697" spans="1:23" s="15" customFormat="1">
      <c r="A1697" t="s">
        <v>4001</v>
      </c>
      <c r="B1697" s="20">
        <v>45762</v>
      </c>
      <c r="C1697" s="20">
        <v>45695</v>
      </c>
      <c r="D1697" t="s">
        <v>252</v>
      </c>
      <c r="E1697" t="s">
        <v>253</v>
      </c>
      <c r="F1697" s="19"/>
      <c r="G1697" t="s">
        <v>4398</v>
      </c>
      <c r="H1697" t="s">
        <v>1530</v>
      </c>
      <c r="I1697" t="s">
        <v>1531</v>
      </c>
      <c r="J1697" s="8" t="str">
        <f t="shared" si="162"/>
        <v>ANYD</v>
      </c>
      <c r="K1697" t="s">
        <v>10</v>
      </c>
      <c r="L1697" s="46">
        <v>3500</v>
      </c>
      <c r="M1697" t="s">
        <v>1472</v>
      </c>
      <c r="N1697" t="s">
        <v>11</v>
      </c>
      <c r="O1697" s="49">
        <v>1.38</v>
      </c>
      <c r="P1697" s="9">
        <f t="shared" si="160"/>
        <v>4830</v>
      </c>
      <c r="Q1697" s="10">
        <f t="shared" si="163"/>
        <v>7.3003400000000003</v>
      </c>
      <c r="R1697" s="10">
        <f t="shared" si="164"/>
        <v>0.189</v>
      </c>
      <c r="S1697" s="11">
        <f t="shared" si="165"/>
        <v>661.5</v>
      </c>
      <c r="T1697" s="10" t="s">
        <v>349</v>
      </c>
      <c r="U1697" t="s">
        <v>36</v>
      </c>
      <c r="V1697" s="58">
        <v>7.1775000000000002</v>
      </c>
      <c r="W1697" s="38">
        <f t="shared" si="161"/>
        <v>672.93625914315555</v>
      </c>
    </row>
    <row r="1698" spans="1:23" s="15" customFormat="1">
      <c r="A1698" t="s">
        <v>4002</v>
      </c>
      <c r="B1698" s="20">
        <v>45775</v>
      </c>
      <c r="C1698" s="20">
        <v>45744</v>
      </c>
      <c r="D1698" t="s">
        <v>651</v>
      </c>
      <c r="E1698" t="s">
        <v>652</v>
      </c>
      <c r="F1698" s="19"/>
      <c r="G1698" t="s">
        <v>4399</v>
      </c>
      <c r="H1698" t="s">
        <v>3605</v>
      </c>
      <c r="I1698" t="s">
        <v>3606</v>
      </c>
      <c r="J1698" s="8" t="str">
        <f t="shared" si="162"/>
        <v>SHDL</v>
      </c>
      <c r="K1698" t="s">
        <v>10</v>
      </c>
      <c r="L1698" s="46">
        <v>2020</v>
      </c>
      <c r="M1698" t="s">
        <v>1472</v>
      </c>
      <c r="N1698" t="s">
        <v>11</v>
      </c>
      <c r="O1698" s="49">
        <v>1.4357</v>
      </c>
      <c r="P1698" s="9">
        <f t="shared" si="160"/>
        <v>2900.11</v>
      </c>
      <c r="Q1698" s="10">
        <f t="shared" si="163"/>
        <v>7.3003400000000003</v>
      </c>
      <c r="R1698" s="10">
        <f t="shared" si="164"/>
        <v>0.19670000000000001</v>
      </c>
      <c r="S1698" s="11">
        <f t="shared" si="165"/>
        <v>397.33</v>
      </c>
      <c r="T1698" s="10" t="s">
        <v>349</v>
      </c>
      <c r="U1698" t="s">
        <v>722</v>
      </c>
      <c r="V1698" s="58">
        <v>7.1775000000000002</v>
      </c>
      <c r="W1698" s="38">
        <f t="shared" si="161"/>
        <v>404.05628700801111</v>
      </c>
    </row>
    <row r="1699" spans="1:23" s="15" customFormat="1">
      <c r="A1699" t="s">
        <v>4003</v>
      </c>
      <c r="B1699" s="20">
        <v>45757</v>
      </c>
      <c r="C1699" s="20">
        <v>45740</v>
      </c>
      <c r="D1699" t="s">
        <v>746</v>
      </c>
      <c r="E1699" t="s">
        <v>747</v>
      </c>
      <c r="F1699" s="19"/>
      <c r="G1699" t="s">
        <v>4397</v>
      </c>
      <c r="H1699" t="s">
        <v>3607</v>
      </c>
      <c r="I1699" t="s">
        <v>3608</v>
      </c>
      <c r="J1699" s="8" t="str">
        <f t="shared" si="162"/>
        <v>SSM-</v>
      </c>
      <c r="K1699" t="s">
        <v>10</v>
      </c>
      <c r="L1699" s="46">
        <v>1100</v>
      </c>
      <c r="M1699" t="s">
        <v>1472</v>
      </c>
      <c r="N1699" t="s">
        <v>11</v>
      </c>
      <c r="O1699" s="49">
        <v>1.4513</v>
      </c>
      <c r="P1699" s="9">
        <f t="shared" si="160"/>
        <v>1596.43</v>
      </c>
      <c r="Q1699" s="10">
        <f t="shared" si="163"/>
        <v>7.3003400000000003</v>
      </c>
      <c r="R1699" s="10">
        <f t="shared" si="164"/>
        <v>0.1988</v>
      </c>
      <c r="S1699" s="11">
        <f t="shared" si="165"/>
        <v>218.68</v>
      </c>
      <c r="T1699" s="10" t="s">
        <v>349</v>
      </c>
      <c r="U1699" t="s">
        <v>33</v>
      </c>
      <c r="V1699" s="58">
        <v>7.1775000000000002</v>
      </c>
      <c r="W1699" s="38">
        <f t="shared" si="161"/>
        <v>222.42145593869731</v>
      </c>
    </row>
    <row r="1700" spans="1:23" s="15" customFormat="1">
      <c r="A1700" t="s">
        <v>4004</v>
      </c>
      <c r="B1700" s="20">
        <v>45769</v>
      </c>
      <c r="C1700" s="20">
        <v>45744</v>
      </c>
      <c r="D1700" t="s">
        <v>169</v>
      </c>
      <c r="E1700" t="s">
        <v>170</v>
      </c>
      <c r="F1700" s="19"/>
      <c r="G1700" t="s">
        <v>4381</v>
      </c>
      <c r="H1700" t="s">
        <v>646</v>
      </c>
      <c r="I1700" t="s">
        <v>647</v>
      </c>
      <c r="J1700" s="8" t="str">
        <f t="shared" si="162"/>
        <v>PRIM</v>
      </c>
      <c r="K1700" t="s">
        <v>10</v>
      </c>
      <c r="L1700" s="46">
        <v>5350</v>
      </c>
      <c r="M1700" t="s">
        <v>1472</v>
      </c>
      <c r="N1700" t="s">
        <v>11</v>
      </c>
      <c r="O1700" s="49">
        <v>1.46</v>
      </c>
      <c r="P1700" s="9">
        <f t="shared" si="160"/>
        <v>7811</v>
      </c>
      <c r="Q1700" s="10">
        <f t="shared" si="163"/>
        <v>7.3003400000000003</v>
      </c>
      <c r="R1700" s="10">
        <f t="shared" si="164"/>
        <v>0.2</v>
      </c>
      <c r="S1700" s="11">
        <f t="shared" si="165"/>
        <v>1070</v>
      </c>
      <c r="T1700" s="10" t="s">
        <v>349</v>
      </c>
      <c r="U1700" t="s">
        <v>181</v>
      </c>
      <c r="V1700" s="58">
        <v>7.1775000000000002</v>
      </c>
      <c r="W1700" s="38">
        <f t="shared" si="161"/>
        <v>1088.2619296412399</v>
      </c>
    </row>
    <row r="1701" spans="1:23" s="15" customFormat="1">
      <c r="A1701" t="s">
        <v>1929</v>
      </c>
      <c r="B1701" s="20">
        <v>45754</v>
      </c>
      <c r="C1701" s="20">
        <v>45674</v>
      </c>
      <c r="D1701" t="s">
        <v>169</v>
      </c>
      <c r="E1701" t="s">
        <v>170</v>
      </c>
      <c r="F1701" s="19"/>
      <c r="G1701" t="s">
        <v>4406</v>
      </c>
      <c r="H1701" t="s">
        <v>1657</v>
      </c>
      <c r="I1701" t="s">
        <v>1658</v>
      </c>
      <c r="J1701" s="8" t="str">
        <f t="shared" si="162"/>
        <v>PRIM</v>
      </c>
      <c r="K1701" t="s">
        <v>10</v>
      </c>
      <c r="L1701" s="46">
        <v>1100</v>
      </c>
      <c r="M1701" t="s">
        <v>1472</v>
      </c>
      <c r="N1701" t="s">
        <v>11</v>
      </c>
      <c r="O1701" s="49">
        <v>1.51</v>
      </c>
      <c r="P1701" s="9">
        <f t="shared" si="160"/>
        <v>1661</v>
      </c>
      <c r="Q1701" s="10">
        <f t="shared" si="163"/>
        <v>7.3003400000000003</v>
      </c>
      <c r="R1701" s="10">
        <f t="shared" si="164"/>
        <v>0.20680000000000001</v>
      </c>
      <c r="S1701" s="11">
        <f t="shared" si="165"/>
        <v>227.48</v>
      </c>
      <c r="T1701" s="10" t="s">
        <v>349</v>
      </c>
      <c r="U1701" t="s">
        <v>181</v>
      </c>
      <c r="V1701" s="58">
        <v>7.1775000000000002</v>
      </c>
      <c r="W1701" s="38">
        <f t="shared" si="161"/>
        <v>231.41762452107278</v>
      </c>
    </row>
    <row r="1702" spans="1:23" s="15" customFormat="1">
      <c r="A1702" t="s">
        <v>2337</v>
      </c>
      <c r="B1702" s="20">
        <v>45754</v>
      </c>
      <c r="C1702" s="20">
        <v>45674</v>
      </c>
      <c r="D1702" t="s">
        <v>169</v>
      </c>
      <c r="E1702" t="s">
        <v>170</v>
      </c>
      <c r="F1702" s="19"/>
      <c r="G1702" t="s">
        <v>4406</v>
      </c>
      <c r="H1702" t="s">
        <v>1659</v>
      </c>
      <c r="I1702" t="s">
        <v>643</v>
      </c>
      <c r="J1702" s="8" t="str">
        <f t="shared" si="162"/>
        <v>U&amp;C-</v>
      </c>
      <c r="K1702" t="s">
        <v>10</v>
      </c>
      <c r="L1702" s="46">
        <v>4000</v>
      </c>
      <c r="M1702" t="s">
        <v>1472</v>
      </c>
      <c r="N1702" t="s">
        <v>11</v>
      </c>
      <c r="O1702" s="49">
        <v>1.53</v>
      </c>
      <c r="P1702" s="9">
        <f t="shared" si="160"/>
        <v>6120</v>
      </c>
      <c r="Q1702" s="10">
        <f t="shared" si="163"/>
        <v>7.3003400000000003</v>
      </c>
      <c r="R1702" s="10">
        <f t="shared" si="164"/>
        <v>0.20960000000000001</v>
      </c>
      <c r="S1702" s="11">
        <f t="shared" si="165"/>
        <v>838.4</v>
      </c>
      <c r="T1702" s="10" t="s">
        <v>349</v>
      </c>
      <c r="U1702" t="s">
        <v>177</v>
      </c>
      <c r="V1702" s="58">
        <v>7.1775000000000002</v>
      </c>
      <c r="W1702" s="38">
        <f t="shared" si="161"/>
        <v>852.6645768025079</v>
      </c>
    </row>
    <row r="1703" spans="1:23" s="15" customFormat="1">
      <c r="A1703" t="s">
        <v>4005</v>
      </c>
      <c r="B1703" s="20">
        <v>45754</v>
      </c>
      <c r="C1703" s="20">
        <v>45728</v>
      </c>
      <c r="D1703" t="s">
        <v>169</v>
      </c>
      <c r="E1703" t="s">
        <v>170</v>
      </c>
      <c r="F1703" s="19"/>
      <c r="G1703" t="s">
        <v>4407</v>
      </c>
      <c r="H1703" t="s">
        <v>178</v>
      </c>
      <c r="I1703" t="s">
        <v>179</v>
      </c>
      <c r="J1703" s="8" t="str">
        <f t="shared" si="162"/>
        <v>PRIM</v>
      </c>
      <c r="K1703" t="s">
        <v>10</v>
      </c>
      <c r="L1703" s="46">
        <v>3200</v>
      </c>
      <c r="M1703" t="s">
        <v>1472</v>
      </c>
      <c r="N1703" t="s">
        <v>11</v>
      </c>
      <c r="O1703" s="49">
        <v>1.53</v>
      </c>
      <c r="P1703" s="9">
        <f t="shared" si="160"/>
        <v>4896</v>
      </c>
      <c r="Q1703" s="10">
        <f t="shared" si="163"/>
        <v>7.3003400000000003</v>
      </c>
      <c r="R1703" s="10">
        <f t="shared" si="164"/>
        <v>0.20960000000000001</v>
      </c>
      <c r="S1703" s="11">
        <f t="shared" si="165"/>
        <v>670.72</v>
      </c>
      <c r="T1703" s="10" t="s">
        <v>349</v>
      </c>
      <c r="U1703" t="s">
        <v>181</v>
      </c>
      <c r="V1703" s="58">
        <v>7.1775000000000002</v>
      </c>
      <c r="W1703" s="38">
        <f t="shared" si="161"/>
        <v>682.13166144200625</v>
      </c>
    </row>
    <row r="1704" spans="1:23" s="15" customFormat="1">
      <c r="A1704" t="s">
        <v>4006</v>
      </c>
      <c r="B1704" s="20">
        <v>45769</v>
      </c>
      <c r="C1704" s="20">
        <v>45744</v>
      </c>
      <c r="D1704" t="s">
        <v>169</v>
      </c>
      <c r="E1704" t="s">
        <v>170</v>
      </c>
      <c r="F1704" s="19"/>
      <c r="G1704" t="s">
        <v>4381</v>
      </c>
      <c r="H1704" t="s">
        <v>1659</v>
      </c>
      <c r="I1704" t="s">
        <v>643</v>
      </c>
      <c r="J1704" s="8" t="str">
        <f t="shared" si="162"/>
        <v>U&amp;C-</v>
      </c>
      <c r="K1704" t="s">
        <v>10</v>
      </c>
      <c r="L1704" s="46">
        <v>1700</v>
      </c>
      <c r="M1704" t="s">
        <v>1472</v>
      </c>
      <c r="N1704" t="s">
        <v>11</v>
      </c>
      <c r="O1704" s="49">
        <v>1.53</v>
      </c>
      <c r="P1704" s="9">
        <f t="shared" si="160"/>
        <v>2601</v>
      </c>
      <c r="Q1704" s="10">
        <f t="shared" si="163"/>
        <v>7.3003400000000003</v>
      </c>
      <c r="R1704" s="10">
        <f t="shared" si="164"/>
        <v>0.20960000000000001</v>
      </c>
      <c r="S1704" s="11">
        <f t="shared" si="165"/>
        <v>356.32</v>
      </c>
      <c r="T1704" s="10" t="s">
        <v>349</v>
      </c>
      <c r="U1704" t="s">
        <v>177</v>
      </c>
      <c r="V1704" s="58">
        <v>7.1775000000000002</v>
      </c>
      <c r="W1704" s="38">
        <f t="shared" si="161"/>
        <v>362.38244514106583</v>
      </c>
    </row>
    <row r="1705" spans="1:23" s="15" customFormat="1">
      <c r="A1705" t="s">
        <v>4007</v>
      </c>
      <c r="B1705" s="20">
        <v>45769</v>
      </c>
      <c r="C1705" s="20">
        <v>45747</v>
      </c>
      <c r="D1705" t="s">
        <v>169</v>
      </c>
      <c r="E1705" t="s">
        <v>170</v>
      </c>
      <c r="F1705" s="19"/>
      <c r="G1705" t="s">
        <v>4381</v>
      </c>
      <c r="H1705" t="s">
        <v>178</v>
      </c>
      <c r="I1705" t="s">
        <v>179</v>
      </c>
      <c r="J1705" s="8" t="str">
        <f t="shared" si="162"/>
        <v>PRIM</v>
      </c>
      <c r="K1705" t="s">
        <v>10</v>
      </c>
      <c r="L1705" s="46">
        <v>1020</v>
      </c>
      <c r="M1705" t="s">
        <v>1472</v>
      </c>
      <c r="N1705" t="s">
        <v>11</v>
      </c>
      <c r="O1705" s="49">
        <v>1.53</v>
      </c>
      <c r="P1705" s="9">
        <f t="shared" si="160"/>
        <v>1560.6</v>
      </c>
      <c r="Q1705" s="10">
        <f t="shared" si="163"/>
        <v>7.3003400000000003</v>
      </c>
      <c r="R1705" s="10">
        <f t="shared" si="164"/>
        <v>0.20960000000000001</v>
      </c>
      <c r="S1705" s="11">
        <f t="shared" si="165"/>
        <v>213.79</v>
      </c>
      <c r="T1705" s="10" t="s">
        <v>349</v>
      </c>
      <c r="U1705" t="s">
        <v>181</v>
      </c>
      <c r="V1705" s="58">
        <v>7.1775000000000002</v>
      </c>
      <c r="W1705" s="38">
        <f t="shared" si="161"/>
        <v>217.4294670846395</v>
      </c>
    </row>
    <row r="1706" spans="1:23" s="15" customFormat="1">
      <c r="A1706" t="s">
        <v>4007</v>
      </c>
      <c r="B1706" s="20">
        <v>45764</v>
      </c>
      <c r="C1706" s="20">
        <v>45747</v>
      </c>
      <c r="D1706" t="s">
        <v>169</v>
      </c>
      <c r="E1706" t="s">
        <v>170</v>
      </c>
      <c r="F1706" s="19"/>
      <c r="G1706" t="s">
        <v>4408</v>
      </c>
      <c r="H1706" t="s">
        <v>178</v>
      </c>
      <c r="I1706" t="s">
        <v>179</v>
      </c>
      <c r="J1706" s="8" t="str">
        <f t="shared" si="162"/>
        <v>PRIM</v>
      </c>
      <c r="K1706" t="s">
        <v>10</v>
      </c>
      <c r="L1706" s="46">
        <v>2500</v>
      </c>
      <c r="M1706" t="s">
        <v>1472</v>
      </c>
      <c r="N1706" t="s">
        <v>11</v>
      </c>
      <c r="O1706" s="49">
        <v>1.53</v>
      </c>
      <c r="P1706" s="9">
        <f t="shared" si="160"/>
        <v>3825</v>
      </c>
      <c r="Q1706" s="10">
        <f t="shared" si="163"/>
        <v>7.3003400000000003</v>
      </c>
      <c r="R1706" s="10">
        <f t="shared" si="164"/>
        <v>0.20960000000000001</v>
      </c>
      <c r="S1706" s="11">
        <f t="shared" si="165"/>
        <v>524</v>
      </c>
      <c r="T1706" s="10" t="s">
        <v>349</v>
      </c>
      <c r="U1706" t="s">
        <v>181</v>
      </c>
      <c r="V1706" s="58">
        <v>7.1775000000000002</v>
      </c>
      <c r="W1706" s="38">
        <f t="shared" si="161"/>
        <v>532.91536050156742</v>
      </c>
    </row>
    <row r="1707" spans="1:23" s="15" customFormat="1">
      <c r="A1707" t="s">
        <v>4008</v>
      </c>
      <c r="B1707" s="20">
        <v>45764</v>
      </c>
      <c r="C1707" s="20">
        <v>45761</v>
      </c>
      <c r="D1707" t="s">
        <v>5</v>
      </c>
      <c r="E1707" t="s">
        <v>6</v>
      </c>
      <c r="F1707" s="19"/>
      <c r="G1707" t="s">
        <v>4409</v>
      </c>
      <c r="H1707" t="s">
        <v>3609</v>
      </c>
      <c r="I1707" t="s">
        <v>3610</v>
      </c>
      <c r="J1707" s="8" t="str">
        <f t="shared" si="162"/>
        <v>SHTS</v>
      </c>
      <c r="K1707" t="s">
        <v>10</v>
      </c>
      <c r="L1707" s="46">
        <v>2020</v>
      </c>
      <c r="M1707" t="s">
        <v>1472</v>
      </c>
      <c r="N1707" t="s">
        <v>11</v>
      </c>
      <c r="O1707" s="49">
        <v>1.6</v>
      </c>
      <c r="P1707" s="9">
        <f t="shared" si="160"/>
        <v>3232</v>
      </c>
      <c r="Q1707" s="10">
        <f t="shared" si="163"/>
        <v>7.3003400000000003</v>
      </c>
      <c r="R1707" s="10">
        <f t="shared" si="164"/>
        <v>0.21920000000000001</v>
      </c>
      <c r="S1707" s="11">
        <f t="shared" si="165"/>
        <v>442.78</v>
      </c>
      <c r="T1707" s="10" t="s">
        <v>349</v>
      </c>
      <c r="U1707" t="s">
        <v>9</v>
      </c>
      <c r="V1707" s="58">
        <v>7.1775000000000002</v>
      </c>
      <c r="W1707" s="38">
        <f t="shared" si="161"/>
        <v>450.29606408916754</v>
      </c>
    </row>
    <row r="1708" spans="1:23" s="15" customFormat="1">
      <c r="A1708" t="s">
        <v>4009</v>
      </c>
      <c r="B1708" s="20">
        <v>45758</v>
      </c>
      <c r="C1708" s="20">
        <v>45750</v>
      </c>
      <c r="D1708" t="s">
        <v>709</v>
      </c>
      <c r="E1708" t="s">
        <v>710</v>
      </c>
      <c r="F1708" s="19"/>
      <c r="G1708" t="s">
        <v>4340</v>
      </c>
      <c r="H1708" t="s">
        <v>3227</v>
      </c>
      <c r="I1708" t="s">
        <v>3434</v>
      </c>
      <c r="J1708" s="8" t="str">
        <f t="shared" si="162"/>
        <v>KNOB</v>
      </c>
      <c r="K1708" t="s">
        <v>10</v>
      </c>
      <c r="L1708" s="46">
        <v>3050</v>
      </c>
      <c r="M1708" t="s">
        <v>1472</v>
      </c>
      <c r="N1708" t="s">
        <v>11</v>
      </c>
      <c r="O1708" s="49">
        <v>1.6423000000000001</v>
      </c>
      <c r="P1708" s="9">
        <f t="shared" si="160"/>
        <v>5009.0200000000004</v>
      </c>
      <c r="Q1708" s="10">
        <f t="shared" si="163"/>
        <v>7.3003400000000003</v>
      </c>
      <c r="R1708" s="10">
        <f t="shared" si="164"/>
        <v>0.22500000000000001</v>
      </c>
      <c r="S1708" s="11">
        <f t="shared" si="165"/>
        <v>686.25</v>
      </c>
      <c r="T1708" s="10" t="s">
        <v>349</v>
      </c>
      <c r="U1708" t="s">
        <v>32</v>
      </c>
      <c r="V1708" s="58">
        <v>7.1775000000000002</v>
      </c>
      <c r="W1708" s="38">
        <f t="shared" si="161"/>
        <v>697.87739463601531</v>
      </c>
    </row>
    <row r="1709" spans="1:23" s="15" customFormat="1">
      <c r="A1709" t="s">
        <v>4010</v>
      </c>
      <c r="B1709" s="20">
        <v>45772</v>
      </c>
      <c r="C1709" s="20">
        <v>45758</v>
      </c>
      <c r="D1709" t="s">
        <v>709</v>
      </c>
      <c r="E1709" t="s">
        <v>710</v>
      </c>
      <c r="F1709" s="19"/>
      <c r="G1709" t="s">
        <v>4405</v>
      </c>
      <c r="H1709" t="s">
        <v>3227</v>
      </c>
      <c r="I1709" t="s">
        <v>3434</v>
      </c>
      <c r="J1709" s="8" t="str">
        <f t="shared" si="162"/>
        <v>KNOB</v>
      </c>
      <c r="K1709" t="s">
        <v>10</v>
      </c>
      <c r="L1709" s="46">
        <v>1000</v>
      </c>
      <c r="M1709" t="s">
        <v>1472</v>
      </c>
      <c r="N1709" t="s">
        <v>11</v>
      </c>
      <c r="O1709" s="49">
        <v>1.6758</v>
      </c>
      <c r="P1709" s="9">
        <f t="shared" si="160"/>
        <v>1675.8</v>
      </c>
      <c r="Q1709" s="10">
        <f t="shared" si="163"/>
        <v>7.3003400000000003</v>
      </c>
      <c r="R1709" s="10">
        <f t="shared" si="164"/>
        <v>0.2296</v>
      </c>
      <c r="S1709" s="11">
        <f t="shared" si="165"/>
        <v>229.6</v>
      </c>
      <c r="T1709" s="10" t="s">
        <v>349</v>
      </c>
      <c r="U1709" t="s">
        <v>32</v>
      </c>
      <c r="V1709" s="58">
        <v>7.1775000000000002</v>
      </c>
      <c r="W1709" s="38">
        <f t="shared" si="161"/>
        <v>233.47962382445138</v>
      </c>
    </row>
    <row r="1710" spans="1:23" s="15" customFormat="1">
      <c r="A1710" t="s">
        <v>4011</v>
      </c>
      <c r="B1710" s="20">
        <v>45761</v>
      </c>
      <c r="C1710" s="20">
        <v>45744</v>
      </c>
      <c r="D1710" t="s">
        <v>651</v>
      </c>
      <c r="E1710" t="s">
        <v>652</v>
      </c>
      <c r="F1710" s="19"/>
      <c r="G1710" t="s">
        <v>4410</v>
      </c>
      <c r="H1710" t="s">
        <v>3116</v>
      </c>
      <c r="I1710" t="s">
        <v>3330</v>
      </c>
      <c r="J1710" s="8" t="str">
        <f t="shared" si="162"/>
        <v>HDL-</v>
      </c>
      <c r="K1710" t="s">
        <v>10</v>
      </c>
      <c r="L1710" s="46">
        <v>1020</v>
      </c>
      <c r="M1710" t="s">
        <v>1472</v>
      </c>
      <c r="N1710" t="s">
        <v>11</v>
      </c>
      <c r="O1710" s="49">
        <v>1.76</v>
      </c>
      <c r="P1710" s="9">
        <f t="shared" si="160"/>
        <v>1795.2</v>
      </c>
      <c r="Q1710" s="10">
        <f t="shared" si="163"/>
        <v>7.3003400000000003</v>
      </c>
      <c r="R1710" s="10">
        <f t="shared" si="164"/>
        <v>0.24110000000000001</v>
      </c>
      <c r="S1710" s="11">
        <f t="shared" si="165"/>
        <v>245.92</v>
      </c>
      <c r="T1710" s="10" t="s">
        <v>349</v>
      </c>
      <c r="U1710" t="s">
        <v>228</v>
      </c>
      <c r="V1710" s="58">
        <v>7.1775000000000002</v>
      </c>
      <c r="W1710" s="38">
        <f t="shared" si="161"/>
        <v>250.11494252873561</v>
      </c>
    </row>
    <row r="1711" spans="1:23" s="15" customFormat="1">
      <c r="A1711" t="s">
        <v>4012</v>
      </c>
      <c r="B1711" s="20">
        <v>45775</v>
      </c>
      <c r="C1711" s="20">
        <v>45758</v>
      </c>
      <c r="D1711" t="s">
        <v>651</v>
      </c>
      <c r="E1711" t="s">
        <v>652</v>
      </c>
      <c r="F1711" s="19"/>
      <c r="G1711" t="s">
        <v>4399</v>
      </c>
      <c r="H1711" t="s">
        <v>3116</v>
      </c>
      <c r="I1711" t="s">
        <v>3330</v>
      </c>
      <c r="J1711" s="8" t="str">
        <f t="shared" si="162"/>
        <v>HDL-</v>
      </c>
      <c r="K1711" t="s">
        <v>10</v>
      </c>
      <c r="L1711" s="46">
        <v>1000</v>
      </c>
      <c r="M1711" t="s">
        <v>1472</v>
      </c>
      <c r="N1711" t="s">
        <v>11</v>
      </c>
      <c r="O1711" s="49">
        <v>1.76</v>
      </c>
      <c r="P1711" s="9">
        <f t="shared" si="160"/>
        <v>1760</v>
      </c>
      <c r="Q1711" s="10">
        <f t="shared" si="163"/>
        <v>7.3003400000000003</v>
      </c>
      <c r="R1711" s="10">
        <f t="shared" si="164"/>
        <v>0.24110000000000001</v>
      </c>
      <c r="S1711" s="11">
        <f t="shared" si="165"/>
        <v>241.1</v>
      </c>
      <c r="T1711" s="10" t="s">
        <v>349</v>
      </c>
      <c r="U1711" t="s">
        <v>228</v>
      </c>
      <c r="V1711" s="58">
        <v>7.1775000000000002</v>
      </c>
      <c r="W1711" s="38">
        <f t="shared" si="161"/>
        <v>245.21072796934865</v>
      </c>
    </row>
    <row r="1712" spans="1:23" s="15" customFormat="1">
      <c r="A1712" t="s">
        <v>4013</v>
      </c>
      <c r="B1712" s="20">
        <v>45769</v>
      </c>
      <c r="C1712" s="20">
        <v>45744</v>
      </c>
      <c r="D1712" t="s">
        <v>169</v>
      </c>
      <c r="E1712" t="s">
        <v>170</v>
      </c>
      <c r="F1712" s="19"/>
      <c r="G1712" t="s">
        <v>4381</v>
      </c>
      <c r="H1712" t="s">
        <v>1127</v>
      </c>
      <c r="I1712" t="s">
        <v>647</v>
      </c>
      <c r="J1712" s="8" t="str">
        <f t="shared" si="162"/>
        <v>U&amp;C-</v>
      </c>
      <c r="K1712" t="s">
        <v>10</v>
      </c>
      <c r="L1712" s="46">
        <v>2100</v>
      </c>
      <c r="M1712" t="s">
        <v>1472</v>
      </c>
      <c r="N1712" t="s">
        <v>11</v>
      </c>
      <c r="O1712" s="49">
        <v>1.82</v>
      </c>
      <c r="P1712" s="9">
        <f t="shared" si="160"/>
        <v>3822</v>
      </c>
      <c r="Q1712" s="10">
        <f t="shared" si="163"/>
        <v>7.3003400000000003</v>
      </c>
      <c r="R1712" s="10">
        <f t="shared" si="164"/>
        <v>0.24929999999999999</v>
      </c>
      <c r="S1712" s="11">
        <f t="shared" si="165"/>
        <v>523.53</v>
      </c>
      <c r="T1712" s="10" t="s">
        <v>349</v>
      </c>
      <c r="U1712" t="s">
        <v>177</v>
      </c>
      <c r="V1712" s="58">
        <v>7.1775000000000002</v>
      </c>
      <c r="W1712" s="38">
        <f t="shared" si="161"/>
        <v>532.49738766980147</v>
      </c>
    </row>
    <row r="1713" spans="1:23" s="15" customFormat="1">
      <c r="A1713" t="s">
        <v>4014</v>
      </c>
      <c r="B1713" s="20">
        <v>45758</v>
      </c>
      <c r="C1713" s="20">
        <v>45729</v>
      </c>
      <c r="D1713" t="s">
        <v>128</v>
      </c>
      <c r="E1713" t="s">
        <v>129</v>
      </c>
      <c r="F1713" s="19"/>
      <c r="G1713" t="s">
        <v>4361</v>
      </c>
      <c r="H1713" t="s">
        <v>1666</v>
      </c>
      <c r="I1713" t="s">
        <v>1667</v>
      </c>
      <c r="J1713" s="8" t="str">
        <f t="shared" si="162"/>
        <v>SHDL</v>
      </c>
      <c r="K1713" t="s">
        <v>10</v>
      </c>
      <c r="L1713" s="46">
        <v>430</v>
      </c>
      <c r="M1713" t="s">
        <v>1472</v>
      </c>
      <c r="N1713" t="s">
        <v>11</v>
      </c>
      <c r="O1713" s="49">
        <v>1.8715999999999999</v>
      </c>
      <c r="P1713" s="9">
        <f t="shared" si="160"/>
        <v>804.79</v>
      </c>
      <c r="Q1713" s="10">
        <f t="shared" si="163"/>
        <v>7.3003400000000003</v>
      </c>
      <c r="R1713" s="10">
        <f t="shared" si="164"/>
        <v>0.25640000000000002</v>
      </c>
      <c r="S1713" s="11">
        <f t="shared" si="165"/>
        <v>110.25</v>
      </c>
      <c r="T1713" s="10" t="s">
        <v>349</v>
      </c>
      <c r="U1713" t="s">
        <v>722</v>
      </c>
      <c r="V1713" s="58">
        <v>7.1775000000000002</v>
      </c>
      <c r="W1713" s="38">
        <f t="shared" si="161"/>
        <v>112.1265064437478</v>
      </c>
    </row>
    <row r="1714" spans="1:23" s="15" customFormat="1">
      <c r="A1714" t="s">
        <v>4014</v>
      </c>
      <c r="B1714" s="20">
        <v>45755</v>
      </c>
      <c r="C1714" s="20">
        <v>45729</v>
      </c>
      <c r="D1714" t="s">
        <v>128</v>
      </c>
      <c r="E1714" t="s">
        <v>129</v>
      </c>
      <c r="F1714" s="19"/>
      <c r="G1714" t="s">
        <v>4411</v>
      </c>
      <c r="H1714" t="s">
        <v>1666</v>
      </c>
      <c r="I1714" t="s">
        <v>1667</v>
      </c>
      <c r="J1714" s="8" t="str">
        <f t="shared" si="162"/>
        <v>SHDL</v>
      </c>
      <c r="K1714" t="s">
        <v>10</v>
      </c>
      <c r="L1714" s="46">
        <v>1600</v>
      </c>
      <c r="M1714" t="s">
        <v>1472</v>
      </c>
      <c r="N1714" t="s">
        <v>11</v>
      </c>
      <c r="O1714" s="49">
        <v>1.8715999999999999</v>
      </c>
      <c r="P1714" s="9">
        <f t="shared" si="160"/>
        <v>2994.56</v>
      </c>
      <c r="Q1714" s="10">
        <f t="shared" si="163"/>
        <v>7.3003400000000003</v>
      </c>
      <c r="R1714" s="10">
        <f t="shared" si="164"/>
        <v>0.25640000000000002</v>
      </c>
      <c r="S1714" s="11">
        <f t="shared" si="165"/>
        <v>410.24</v>
      </c>
      <c r="T1714" s="10" t="s">
        <v>349</v>
      </c>
      <c r="U1714" t="s">
        <v>722</v>
      </c>
      <c r="V1714" s="58">
        <v>7.1775000000000002</v>
      </c>
      <c r="W1714" s="38">
        <f t="shared" si="161"/>
        <v>417.21490769766626</v>
      </c>
    </row>
    <row r="1715" spans="1:23" s="15" customFormat="1">
      <c r="A1715" t="s">
        <v>4015</v>
      </c>
      <c r="B1715" s="20">
        <v>45754</v>
      </c>
      <c r="C1715" s="20">
        <v>45729</v>
      </c>
      <c r="D1715" t="s">
        <v>709</v>
      </c>
      <c r="E1715" t="s">
        <v>710</v>
      </c>
      <c r="F1715" s="19"/>
      <c r="G1715" t="s">
        <v>4390</v>
      </c>
      <c r="H1715" t="s">
        <v>732</v>
      </c>
      <c r="I1715" t="s">
        <v>733</v>
      </c>
      <c r="J1715" s="8" t="str">
        <f t="shared" si="162"/>
        <v>HDL-</v>
      </c>
      <c r="K1715" t="s">
        <v>10</v>
      </c>
      <c r="L1715" s="46">
        <v>750</v>
      </c>
      <c r="M1715" t="s">
        <v>1472</v>
      </c>
      <c r="N1715" t="s">
        <v>11</v>
      </c>
      <c r="O1715" s="49">
        <v>1.9061999999999999</v>
      </c>
      <c r="P1715" s="9">
        <f t="shared" si="160"/>
        <v>1429.65</v>
      </c>
      <c r="Q1715" s="10">
        <f t="shared" si="163"/>
        <v>7.3003400000000003</v>
      </c>
      <c r="R1715" s="10">
        <f t="shared" si="164"/>
        <v>0.2611</v>
      </c>
      <c r="S1715" s="11">
        <f t="shared" si="165"/>
        <v>195.83</v>
      </c>
      <c r="T1715" s="10" t="s">
        <v>349</v>
      </c>
      <c r="U1715" t="s">
        <v>228</v>
      </c>
      <c r="V1715" s="58">
        <v>7.1775000000000002</v>
      </c>
      <c r="W1715" s="38">
        <f t="shared" si="161"/>
        <v>199.1849529780564</v>
      </c>
    </row>
    <row r="1716" spans="1:23" s="15" customFormat="1">
      <c r="A1716" t="s">
        <v>4016</v>
      </c>
      <c r="B1716" s="20">
        <v>45764</v>
      </c>
      <c r="C1716" s="20">
        <v>45761</v>
      </c>
      <c r="D1716" t="s">
        <v>5</v>
      </c>
      <c r="E1716" t="s">
        <v>6</v>
      </c>
      <c r="F1716" s="19"/>
      <c r="G1716" t="s">
        <v>4412</v>
      </c>
      <c r="H1716" t="s">
        <v>415</v>
      </c>
      <c r="I1716" t="s">
        <v>416</v>
      </c>
      <c r="J1716" s="8" t="str">
        <f t="shared" si="162"/>
        <v>BOX-</v>
      </c>
      <c r="K1716" t="s">
        <v>10</v>
      </c>
      <c r="L1716" s="46">
        <v>2020</v>
      </c>
      <c r="M1716" t="s">
        <v>1472</v>
      </c>
      <c r="N1716" t="s">
        <v>11</v>
      </c>
      <c r="O1716" s="49">
        <v>2.0299999999999998</v>
      </c>
      <c r="P1716" s="9">
        <f t="shared" si="160"/>
        <v>4100.6000000000004</v>
      </c>
      <c r="Q1716" s="10">
        <f t="shared" si="163"/>
        <v>7.3003400000000003</v>
      </c>
      <c r="R1716" s="10">
        <f t="shared" si="164"/>
        <v>0.27810000000000001</v>
      </c>
      <c r="S1716" s="11">
        <f t="shared" si="165"/>
        <v>561.76</v>
      </c>
      <c r="T1716" s="10" t="s">
        <v>349</v>
      </c>
      <c r="U1716" t="s">
        <v>1</v>
      </c>
      <c r="V1716" s="58">
        <v>7.1775000000000002</v>
      </c>
      <c r="W1716" s="38">
        <f t="shared" si="161"/>
        <v>571.31313131313129</v>
      </c>
    </row>
    <row r="1717" spans="1:23" s="15" customFormat="1">
      <c r="A1717" t="s">
        <v>4017</v>
      </c>
      <c r="B1717" s="20">
        <v>45761</v>
      </c>
      <c r="C1717" s="20">
        <v>45750</v>
      </c>
      <c r="D1717" t="s">
        <v>651</v>
      </c>
      <c r="E1717" t="s">
        <v>652</v>
      </c>
      <c r="F1717" s="19"/>
      <c r="G1717" t="s">
        <v>4410</v>
      </c>
      <c r="H1717" t="s">
        <v>1674</v>
      </c>
      <c r="I1717" t="s">
        <v>1675</v>
      </c>
      <c r="J1717" s="8" t="str">
        <f t="shared" si="162"/>
        <v>HDL-</v>
      </c>
      <c r="K1717" t="s">
        <v>10</v>
      </c>
      <c r="L1717" s="46">
        <v>5100</v>
      </c>
      <c r="M1717" t="s">
        <v>1472</v>
      </c>
      <c r="N1717" t="s">
        <v>11</v>
      </c>
      <c r="O1717" s="49">
        <v>2.0632000000000001</v>
      </c>
      <c r="P1717" s="9">
        <f t="shared" si="160"/>
        <v>10522.32</v>
      </c>
      <c r="Q1717" s="10">
        <f t="shared" si="163"/>
        <v>7.3003400000000003</v>
      </c>
      <c r="R1717" s="10">
        <f t="shared" si="164"/>
        <v>0.28260000000000002</v>
      </c>
      <c r="S1717" s="11">
        <f t="shared" si="165"/>
        <v>1441.26</v>
      </c>
      <c r="T1717" s="10" t="s">
        <v>349</v>
      </c>
      <c r="U1717" t="s">
        <v>228</v>
      </c>
      <c r="V1717" s="58">
        <v>7.1775000000000002</v>
      </c>
      <c r="W1717" s="38">
        <f t="shared" si="161"/>
        <v>1466.0146290491118</v>
      </c>
    </row>
    <row r="1718" spans="1:23" s="15" customFormat="1">
      <c r="A1718" t="s">
        <v>4018</v>
      </c>
      <c r="B1718" s="20">
        <v>45761</v>
      </c>
      <c r="C1718" s="20">
        <v>45744</v>
      </c>
      <c r="D1718" t="s">
        <v>651</v>
      </c>
      <c r="E1718" t="s">
        <v>652</v>
      </c>
      <c r="F1718" s="19"/>
      <c r="G1718" t="s">
        <v>4410</v>
      </c>
      <c r="H1718" t="s">
        <v>1674</v>
      </c>
      <c r="I1718" t="s">
        <v>1675</v>
      </c>
      <c r="J1718" s="8" t="str">
        <f t="shared" si="162"/>
        <v>HDL-</v>
      </c>
      <c r="K1718" t="s">
        <v>10</v>
      </c>
      <c r="L1718" s="46">
        <v>520</v>
      </c>
      <c r="M1718" t="s">
        <v>1472</v>
      </c>
      <c r="N1718" t="s">
        <v>11</v>
      </c>
      <c r="O1718" s="49">
        <v>2.1269999999999998</v>
      </c>
      <c r="P1718" s="9">
        <f t="shared" si="160"/>
        <v>1106.04</v>
      </c>
      <c r="Q1718" s="10">
        <f t="shared" si="163"/>
        <v>7.3003400000000003</v>
      </c>
      <c r="R1718" s="10">
        <f t="shared" si="164"/>
        <v>0.29139999999999999</v>
      </c>
      <c r="S1718" s="11">
        <f t="shared" si="165"/>
        <v>151.53</v>
      </c>
      <c r="T1718" s="10" t="s">
        <v>349</v>
      </c>
      <c r="U1718" t="s">
        <v>228</v>
      </c>
      <c r="V1718" s="58">
        <v>7.1775000000000002</v>
      </c>
      <c r="W1718" s="38">
        <f t="shared" si="161"/>
        <v>154.09822361546497</v>
      </c>
    </row>
    <row r="1719" spans="1:23" s="15" customFormat="1">
      <c r="A1719" t="s">
        <v>4019</v>
      </c>
      <c r="B1719" s="20">
        <v>45755</v>
      </c>
      <c r="C1719" s="20">
        <v>45749</v>
      </c>
      <c r="D1719" t="s">
        <v>5</v>
      </c>
      <c r="E1719" t="s">
        <v>6</v>
      </c>
      <c r="F1719" s="19"/>
      <c r="G1719" t="s">
        <v>4413</v>
      </c>
      <c r="H1719" t="s">
        <v>3611</v>
      </c>
      <c r="I1719" t="s">
        <v>3612</v>
      </c>
      <c r="J1719" s="8" t="str">
        <f t="shared" si="162"/>
        <v>SHTS</v>
      </c>
      <c r="K1719" t="s">
        <v>10</v>
      </c>
      <c r="L1719" s="46">
        <v>1510</v>
      </c>
      <c r="M1719" t="s">
        <v>1472</v>
      </c>
      <c r="N1719" t="s">
        <v>11</v>
      </c>
      <c r="O1719" s="49">
        <v>2.1800000000000002</v>
      </c>
      <c r="P1719" s="9">
        <f t="shared" si="160"/>
        <v>3291.8</v>
      </c>
      <c r="Q1719" s="10">
        <f t="shared" si="163"/>
        <v>7.3003400000000003</v>
      </c>
      <c r="R1719" s="10">
        <f t="shared" si="164"/>
        <v>0.29859999999999998</v>
      </c>
      <c r="S1719" s="11">
        <f t="shared" si="165"/>
        <v>450.89</v>
      </c>
      <c r="T1719" s="10" t="s">
        <v>349</v>
      </c>
      <c r="U1719" t="s">
        <v>9</v>
      </c>
      <c r="V1719" s="58">
        <v>7.1775000000000002</v>
      </c>
      <c r="W1719" s="38">
        <f t="shared" si="161"/>
        <v>458.62765586903521</v>
      </c>
    </row>
    <row r="1720" spans="1:23" s="15" customFormat="1">
      <c r="A1720" t="s">
        <v>4020</v>
      </c>
      <c r="B1720" s="20">
        <v>45761</v>
      </c>
      <c r="C1720" s="20">
        <v>45729</v>
      </c>
      <c r="D1720" t="s">
        <v>28</v>
      </c>
      <c r="E1720" t="s">
        <v>29</v>
      </c>
      <c r="F1720" s="19"/>
      <c r="G1720" t="s">
        <v>4414</v>
      </c>
      <c r="H1720" t="s">
        <v>3072</v>
      </c>
      <c r="I1720" t="s">
        <v>3289</v>
      </c>
      <c r="J1720" s="8" t="str">
        <f t="shared" si="162"/>
        <v>LHDL</v>
      </c>
      <c r="K1720" t="s">
        <v>10</v>
      </c>
      <c r="L1720" s="46">
        <v>1020</v>
      </c>
      <c r="M1720" t="s">
        <v>1472</v>
      </c>
      <c r="N1720" t="s">
        <v>11</v>
      </c>
      <c r="O1720" s="49">
        <v>2.1898</v>
      </c>
      <c r="P1720" s="9">
        <f t="shared" si="160"/>
        <v>2233.6</v>
      </c>
      <c r="Q1720" s="10">
        <f t="shared" si="163"/>
        <v>7.3003400000000003</v>
      </c>
      <c r="R1720" s="10">
        <f t="shared" si="164"/>
        <v>0.3</v>
      </c>
      <c r="S1720" s="11">
        <f t="shared" si="165"/>
        <v>306</v>
      </c>
      <c r="T1720" s="10" t="s">
        <v>349</v>
      </c>
      <c r="U1720" t="s">
        <v>125</v>
      </c>
      <c r="V1720" s="58">
        <v>7.1775000000000002</v>
      </c>
      <c r="W1720" s="38">
        <f t="shared" si="161"/>
        <v>311.19414838035527</v>
      </c>
    </row>
    <row r="1721" spans="1:23" s="15" customFormat="1">
      <c r="A1721" t="s">
        <v>4021</v>
      </c>
      <c r="B1721" s="20">
        <v>45761</v>
      </c>
      <c r="C1721" s="20">
        <v>45729</v>
      </c>
      <c r="D1721" t="s">
        <v>28</v>
      </c>
      <c r="E1721" t="s">
        <v>29</v>
      </c>
      <c r="F1721" s="19"/>
      <c r="G1721" t="s">
        <v>4414</v>
      </c>
      <c r="H1721" t="s">
        <v>3074</v>
      </c>
      <c r="I1721" t="s">
        <v>3290</v>
      </c>
      <c r="J1721" s="8" t="str">
        <f t="shared" si="162"/>
        <v>LHDL</v>
      </c>
      <c r="K1721" t="s">
        <v>10</v>
      </c>
      <c r="L1721" s="46">
        <v>960</v>
      </c>
      <c r="M1721" t="s">
        <v>1472</v>
      </c>
      <c r="N1721" t="s">
        <v>11</v>
      </c>
      <c r="O1721" s="49">
        <v>2.1898</v>
      </c>
      <c r="P1721" s="9">
        <f t="shared" si="160"/>
        <v>2102.21</v>
      </c>
      <c r="Q1721" s="10">
        <f t="shared" si="163"/>
        <v>7.3003400000000003</v>
      </c>
      <c r="R1721" s="10">
        <f t="shared" si="164"/>
        <v>0.3</v>
      </c>
      <c r="S1721" s="11">
        <f t="shared" si="165"/>
        <v>288</v>
      </c>
      <c r="T1721" s="10" t="s">
        <v>349</v>
      </c>
      <c r="U1721" t="s">
        <v>125</v>
      </c>
      <c r="V1721" s="58">
        <v>7.1775000000000002</v>
      </c>
      <c r="W1721" s="38">
        <f t="shared" si="161"/>
        <v>292.88861024033434</v>
      </c>
    </row>
    <row r="1722" spans="1:23" s="15" customFormat="1">
      <c r="A1722" t="s">
        <v>4022</v>
      </c>
      <c r="B1722" s="20">
        <v>45761</v>
      </c>
      <c r="C1722" s="20">
        <v>45729</v>
      </c>
      <c r="D1722" t="s">
        <v>28</v>
      </c>
      <c r="E1722" t="s">
        <v>29</v>
      </c>
      <c r="F1722" s="19"/>
      <c r="G1722" t="s">
        <v>4414</v>
      </c>
      <c r="H1722" t="s">
        <v>3613</v>
      </c>
      <c r="I1722" t="s">
        <v>3614</v>
      </c>
      <c r="J1722" s="8" t="str">
        <f t="shared" si="162"/>
        <v>LHDL</v>
      </c>
      <c r="K1722" t="s">
        <v>10</v>
      </c>
      <c r="L1722" s="46">
        <v>500</v>
      </c>
      <c r="M1722" t="s">
        <v>1472</v>
      </c>
      <c r="N1722" t="s">
        <v>11</v>
      </c>
      <c r="O1722" s="49">
        <v>2.1898</v>
      </c>
      <c r="P1722" s="9">
        <f t="shared" si="160"/>
        <v>1094.9000000000001</v>
      </c>
      <c r="Q1722" s="10">
        <f t="shared" si="163"/>
        <v>7.3003400000000003</v>
      </c>
      <c r="R1722" s="10">
        <f t="shared" si="164"/>
        <v>0.3</v>
      </c>
      <c r="S1722" s="11">
        <f t="shared" si="165"/>
        <v>150</v>
      </c>
      <c r="T1722" s="10" t="s">
        <v>349</v>
      </c>
      <c r="U1722" t="s">
        <v>125</v>
      </c>
      <c r="V1722" s="58">
        <v>7.1775000000000002</v>
      </c>
      <c r="W1722" s="38">
        <f t="shared" si="161"/>
        <v>152.54615116684081</v>
      </c>
    </row>
    <row r="1723" spans="1:23" s="15" customFormat="1">
      <c r="A1723" t="s">
        <v>4023</v>
      </c>
      <c r="B1723" s="20">
        <v>45761</v>
      </c>
      <c r="C1723" s="20">
        <v>45729</v>
      </c>
      <c r="D1723" t="s">
        <v>28</v>
      </c>
      <c r="E1723" t="s">
        <v>29</v>
      </c>
      <c r="F1723" s="19"/>
      <c r="G1723" t="s">
        <v>4414</v>
      </c>
      <c r="H1723" t="s">
        <v>3075</v>
      </c>
      <c r="I1723" t="s">
        <v>3291</v>
      </c>
      <c r="J1723" s="8" t="str">
        <f t="shared" si="162"/>
        <v>LHDL</v>
      </c>
      <c r="K1723" t="s">
        <v>10</v>
      </c>
      <c r="L1723" s="46">
        <v>1010</v>
      </c>
      <c r="M1723" t="s">
        <v>1472</v>
      </c>
      <c r="N1723" t="s">
        <v>11</v>
      </c>
      <c r="O1723" s="49">
        <v>2.1898</v>
      </c>
      <c r="P1723" s="9">
        <f t="shared" si="160"/>
        <v>2211.6999999999998</v>
      </c>
      <c r="Q1723" s="10">
        <f t="shared" si="163"/>
        <v>7.3003400000000003</v>
      </c>
      <c r="R1723" s="10">
        <f t="shared" si="164"/>
        <v>0.3</v>
      </c>
      <c r="S1723" s="11">
        <f t="shared" si="165"/>
        <v>303</v>
      </c>
      <c r="T1723" s="10" t="s">
        <v>349</v>
      </c>
      <c r="U1723" t="s">
        <v>125</v>
      </c>
      <c r="V1723" s="58">
        <v>7.1775000000000002</v>
      </c>
      <c r="W1723" s="38">
        <f t="shared" si="161"/>
        <v>308.14322535701842</v>
      </c>
    </row>
    <row r="1724" spans="1:23" s="15" customFormat="1">
      <c r="A1724" t="s">
        <v>4024</v>
      </c>
      <c r="B1724" s="20">
        <v>45757</v>
      </c>
      <c r="C1724" s="20">
        <v>45749</v>
      </c>
      <c r="D1724" t="s">
        <v>28</v>
      </c>
      <c r="E1724" t="s">
        <v>29</v>
      </c>
      <c r="F1724" s="19"/>
      <c r="G1724" t="s">
        <v>4415</v>
      </c>
      <c r="H1724" t="s">
        <v>3615</v>
      </c>
      <c r="I1724" t="s">
        <v>3616</v>
      </c>
      <c r="J1724" s="8" t="str">
        <f t="shared" si="162"/>
        <v>LHDL</v>
      </c>
      <c r="K1724" t="s">
        <v>10</v>
      </c>
      <c r="L1724" s="46">
        <v>104</v>
      </c>
      <c r="M1724" t="s">
        <v>1472</v>
      </c>
      <c r="N1724" t="s">
        <v>11</v>
      </c>
      <c r="O1724" s="49">
        <v>2.1898</v>
      </c>
      <c r="P1724" s="9">
        <f t="shared" si="160"/>
        <v>227.74</v>
      </c>
      <c r="Q1724" s="10">
        <f t="shared" si="163"/>
        <v>7.3003400000000003</v>
      </c>
      <c r="R1724" s="10">
        <f t="shared" si="164"/>
        <v>0.3</v>
      </c>
      <c r="S1724" s="11">
        <f t="shared" si="165"/>
        <v>31.2</v>
      </c>
      <c r="T1724" s="10" t="s">
        <v>349</v>
      </c>
      <c r="U1724" t="s">
        <v>125</v>
      </c>
      <c r="V1724" s="58">
        <v>7.1775000000000002</v>
      </c>
      <c r="W1724" s="38">
        <f t="shared" si="161"/>
        <v>31.729599442702888</v>
      </c>
    </row>
    <row r="1725" spans="1:23" s="15" customFormat="1">
      <c r="A1725" t="s">
        <v>4025</v>
      </c>
      <c r="B1725" s="20">
        <v>45757</v>
      </c>
      <c r="C1725" s="20">
        <v>45749</v>
      </c>
      <c r="D1725" t="s">
        <v>28</v>
      </c>
      <c r="E1725" t="s">
        <v>29</v>
      </c>
      <c r="F1725" s="19"/>
      <c r="G1725" t="s">
        <v>4415</v>
      </c>
      <c r="H1725" t="s">
        <v>3617</v>
      </c>
      <c r="I1725" t="s">
        <v>3618</v>
      </c>
      <c r="J1725" s="8" t="str">
        <f t="shared" si="162"/>
        <v>LHDL</v>
      </c>
      <c r="K1725" t="s">
        <v>10</v>
      </c>
      <c r="L1725" s="46">
        <v>53</v>
      </c>
      <c r="M1725" t="s">
        <v>1472</v>
      </c>
      <c r="N1725" t="s">
        <v>11</v>
      </c>
      <c r="O1725" s="49">
        <v>2.1898</v>
      </c>
      <c r="P1725" s="9">
        <f t="shared" si="160"/>
        <v>116.06</v>
      </c>
      <c r="Q1725" s="10">
        <f t="shared" si="163"/>
        <v>7.3003400000000003</v>
      </c>
      <c r="R1725" s="10">
        <f t="shared" si="164"/>
        <v>0.3</v>
      </c>
      <c r="S1725" s="11">
        <f t="shared" si="165"/>
        <v>15.9</v>
      </c>
      <c r="T1725" s="10" t="s">
        <v>349</v>
      </c>
      <c r="U1725" t="s">
        <v>125</v>
      </c>
      <c r="V1725" s="58">
        <v>7.1775000000000002</v>
      </c>
      <c r="W1725" s="38">
        <f t="shared" si="161"/>
        <v>16.169892023685126</v>
      </c>
    </row>
    <row r="1726" spans="1:23" s="15" customFormat="1">
      <c r="A1726" t="s">
        <v>4026</v>
      </c>
      <c r="B1726" s="20">
        <v>45757</v>
      </c>
      <c r="C1726" s="20">
        <v>45749</v>
      </c>
      <c r="D1726" t="s">
        <v>28</v>
      </c>
      <c r="E1726" t="s">
        <v>29</v>
      </c>
      <c r="F1726" s="19"/>
      <c r="G1726" t="s">
        <v>4415</v>
      </c>
      <c r="H1726" t="s">
        <v>3619</v>
      </c>
      <c r="I1726" t="s">
        <v>3620</v>
      </c>
      <c r="J1726" s="8" t="str">
        <f t="shared" si="162"/>
        <v>LHDL</v>
      </c>
      <c r="K1726" t="s">
        <v>10</v>
      </c>
      <c r="L1726" s="46">
        <v>32</v>
      </c>
      <c r="M1726" t="s">
        <v>1472</v>
      </c>
      <c r="N1726" t="s">
        <v>11</v>
      </c>
      <c r="O1726" s="49">
        <v>2.1898</v>
      </c>
      <c r="P1726" s="9">
        <f t="shared" si="160"/>
        <v>70.069999999999993</v>
      </c>
      <c r="Q1726" s="10">
        <f t="shared" si="163"/>
        <v>7.3003400000000003</v>
      </c>
      <c r="R1726" s="10">
        <f t="shared" si="164"/>
        <v>0.3</v>
      </c>
      <c r="S1726" s="11">
        <f t="shared" si="165"/>
        <v>9.6</v>
      </c>
      <c r="T1726" s="10" t="s">
        <v>349</v>
      </c>
      <c r="U1726" t="s">
        <v>125</v>
      </c>
      <c r="V1726" s="58">
        <v>7.1775000000000002</v>
      </c>
      <c r="W1726" s="38">
        <f t="shared" si="161"/>
        <v>9.7629536746778118</v>
      </c>
    </row>
    <row r="1727" spans="1:23" s="15" customFormat="1">
      <c r="A1727" t="s">
        <v>4027</v>
      </c>
      <c r="B1727" s="20">
        <v>45757</v>
      </c>
      <c r="C1727" s="20">
        <v>45749</v>
      </c>
      <c r="D1727" t="s">
        <v>28</v>
      </c>
      <c r="E1727" t="s">
        <v>29</v>
      </c>
      <c r="F1727" s="19"/>
      <c r="G1727" t="s">
        <v>4415</v>
      </c>
      <c r="H1727" t="s">
        <v>3613</v>
      </c>
      <c r="I1727" t="s">
        <v>3614</v>
      </c>
      <c r="J1727" s="8" t="str">
        <f t="shared" si="162"/>
        <v>LHDL</v>
      </c>
      <c r="K1727" t="s">
        <v>10</v>
      </c>
      <c r="L1727" s="46">
        <v>32</v>
      </c>
      <c r="M1727" t="s">
        <v>1472</v>
      </c>
      <c r="N1727" t="s">
        <v>11</v>
      </c>
      <c r="O1727" s="49">
        <v>2.1898</v>
      </c>
      <c r="P1727" s="9">
        <f t="shared" si="160"/>
        <v>70.069999999999993</v>
      </c>
      <c r="Q1727" s="10">
        <f t="shared" si="163"/>
        <v>7.3003400000000003</v>
      </c>
      <c r="R1727" s="10">
        <f t="shared" si="164"/>
        <v>0.3</v>
      </c>
      <c r="S1727" s="11">
        <f t="shared" si="165"/>
        <v>9.6</v>
      </c>
      <c r="T1727" s="10" t="s">
        <v>349</v>
      </c>
      <c r="U1727" t="s">
        <v>125</v>
      </c>
      <c r="V1727" s="58">
        <v>7.1775000000000002</v>
      </c>
      <c r="W1727" s="38">
        <f t="shared" si="161"/>
        <v>9.7629536746778118</v>
      </c>
    </row>
    <row r="1728" spans="1:23" s="15" customFormat="1">
      <c r="A1728" t="s">
        <v>4028</v>
      </c>
      <c r="B1728" s="20">
        <v>45757</v>
      </c>
      <c r="C1728" s="20">
        <v>45749</v>
      </c>
      <c r="D1728" t="s">
        <v>28</v>
      </c>
      <c r="E1728" t="s">
        <v>29</v>
      </c>
      <c r="F1728" s="19"/>
      <c r="G1728" t="s">
        <v>4415</v>
      </c>
      <c r="H1728" t="s">
        <v>3621</v>
      </c>
      <c r="I1728" t="s">
        <v>3622</v>
      </c>
      <c r="J1728" s="8" t="str">
        <f t="shared" si="162"/>
        <v>LHDL</v>
      </c>
      <c r="K1728" t="s">
        <v>10</v>
      </c>
      <c r="L1728" s="46">
        <v>22</v>
      </c>
      <c r="M1728" t="s">
        <v>1472</v>
      </c>
      <c r="N1728" t="s">
        <v>11</v>
      </c>
      <c r="O1728" s="49">
        <v>2.1898</v>
      </c>
      <c r="P1728" s="9">
        <f t="shared" si="160"/>
        <v>48.18</v>
      </c>
      <c r="Q1728" s="10">
        <f t="shared" si="163"/>
        <v>7.3003400000000003</v>
      </c>
      <c r="R1728" s="10">
        <f t="shared" si="164"/>
        <v>0.3</v>
      </c>
      <c r="S1728" s="11">
        <f t="shared" si="165"/>
        <v>6.6</v>
      </c>
      <c r="T1728" s="10" t="s">
        <v>349</v>
      </c>
      <c r="U1728" t="s">
        <v>125</v>
      </c>
      <c r="V1728" s="58">
        <v>7.1775000000000002</v>
      </c>
      <c r="W1728" s="38">
        <f t="shared" si="161"/>
        <v>6.7120306513409957</v>
      </c>
    </row>
    <row r="1729" spans="1:23" s="15" customFormat="1">
      <c r="A1729" t="s">
        <v>4029</v>
      </c>
      <c r="B1729" s="20">
        <v>45748</v>
      </c>
      <c r="C1729" s="20">
        <v>45695</v>
      </c>
      <c r="D1729" t="s">
        <v>128</v>
      </c>
      <c r="E1729" t="s">
        <v>129</v>
      </c>
      <c r="F1729" s="19"/>
      <c r="G1729" t="s">
        <v>4403</v>
      </c>
      <c r="H1729" t="s">
        <v>3623</v>
      </c>
      <c r="I1729" t="s">
        <v>3624</v>
      </c>
      <c r="J1729" s="8" t="str">
        <f t="shared" si="162"/>
        <v>LHDL</v>
      </c>
      <c r="K1729" t="s">
        <v>10</v>
      </c>
      <c r="L1729" s="46">
        <v>350</v>
      </c>
      <c r="M1729" t="s">
        <v>1472</v>
      </c>
      <c r="N1729" t="s">
        <v>11</v>
      </c>
      <c r="O1729" s="49">
        <v>2.2652999999999999</v>
      </c>
      <c r="P1729" s="9">
        <f t="shared" si="160"/>
        <v>792.86</v>
      </c>
      <c r="Q1729" s="10">
        <f t="shared" si="163"/>
        <v>7.3003400000000003</v>
      </c>
      <c r="R1729" s="10">
        <f t="shared" si="164"/>
        <v>0.31030000000000002</v>
      </c>
      <c r="S1729" s="11">
        <f t="shared" si="165"/>
        <v>108.61</v>
      </c>
      <c r="T1729" s="10" t="s">
        <v>349</v>
      </c>
      <c r="U1729" t="s">
        <v>125</v>
      </c>
      <c r="V1729" s="58">
        <v>7.1775000000000002</v>
      </c>
      <c r="W1729" s="38">
        <f t="shared" si="161"/>
        <v>110.46394984326018</v>
      </c>
    </row>
    <row r="1730" spans="1:23" s="15" customFormat="1">
      <c r="A1730" t="s">
        <v>4030</v>
      </c>
      <c r="B1730" s="20">
        <v>45762</v>
      </c>
      <c r="C1730" s="20">
        <v>45737</v>
      </c>
      <c r="D1730" t="s">
        <v>128</v>
      </c>
      <c r="E1730" t="s">
        <v>129</v>
      </c>
      <c r="F1730" s="19"/>
      <c r="G1730" t="s">
        <v>4357</v>
      </c>
      <c r="H1730" t="s">
        <v>3625</v>
      </c>
      <c r="I1730" t="s">
        <v>3626</v>
      </c>
      <c r="J1730" s="8" t="str">
        <f t="shared" si="162"/>
        <v>LHDL</v>
      </c>
      <c r="K1730" t="s">
        <v>10</v>
      </c>
      <c r="L1730" s="46">
        <v>520</v>
      </c>
      <c r="M1730" t="s">
        <v>1472</v>
      </c>
      <c r="N1730" t="s">
        <v>11</v>
      </c>
      <c r="O1730" s="49">
        <v>2.2652999999999999</v>
      </c>
      <c r="P1730" s="9">
        <f t="shared" ref="P1730:P1793" si="166">ROUND(O1730*L1730,2)</f>
        <v>1177.96</v>
      </c>
      <c r="Q1730" s="10">
        <f t="shared" si="163"/>
        <v>7.3003400000000003</v>
      </c>
      <c r="R1730" s="10">
        <f t="shared" si="164"/>
        <v>0.31030000000000002</v>
      </c>
      <c r="S1730" s="11">
        <f t="shared" si="165"/>
        <v>161.36000000000001</v>
      </c>
      <c r="T1730" s="10" t="s">
        <v>349</v>
      </c>
      <c r="U1730" t="s">
        <v>125</v>
      </c>
      <c r="V1730" s="58">
        <v>7.1775000000000002</v>
      </c>
      <c r="W1730" s="38">
        <f t="shared" ref="W1730:W1793" si="167">IF(N1730="CNY",O1730/V1730*L1730,1)</f>
        <v>164.11786833855797</v>
      </c>
    </row>
    <row r="1731" spans="1:23" s="15" customFormat="1">
      <c r="A1731" t="s">
        <v>4031</v>
      </c>
      <c r="B1731" s="20">
        <v>45755</v>
      </c>
      <c r="C1731" s="20">
        <v>45749</v>
      </c>
      <c r="D1731" t="s">
        <v>5</v>
      </c>
      <c r="E1731" t="s">
        <v>6</v>
      </c>
      <c r="F1731" s="19"/>
      <c r="G1731" t="s">
        <v>4413</v>
      </c>
      <c r="H1731" t="s">
        <v>3627</v>
      </c>
      <c r="I1731" t="s">
        <v>3628</v>
      </c>
      <c r="J1731" s="8" t="str">
        <f t="shared" si="162"/>
        <v>SHTS</v>
      </c>
      <c r="K1731" t="s">
        <v>10</v>
      </c>
      <c r="L1731" s="46">
        <v>1510</v>
      </c>
      <c r="M1731" t="s">
        <v>1472</v>
      </c>
      <c r="N1731" t="s">
        <v>11</v>
      </c>
      <c r="O1731" s="49">
        <v>2.27</v>
      </c>
      <c r="P1731" s="9">
        <f t="shared" si="166"/>
        <v>3427.7</v>
      </c>
      <c r="Q1731" s="10">
        <f t="shared" si="163"/>
        <v>7.3003400000000003</v>
      </c>
      <c r="R1731" s="10">
        <f t="shared" si="164"/>
        <v>0.31090000000000001</v>
      </c>
      <c r="S1731" s="11">
        <f t="shared" si="165"/>
        <v>469.46</v>
      </c>
      <c r="T1731" s="10" t="s">
        <v>349</v>
      </c>
      <c r="U1731" t="s">
        <v>9</v>
      </c>
      <c r="V1731" s="58">
        <v>7.1775000000000002</v>
      </c>
      <c r="W1731" s="38">
        <f t="shared" si="167"/>
        <v>477.56182514803203</v>
      </c>
    </row>
    <row r="1732" spans="1:23" s="15" customFormat="1">
      <c r="A1732" t="s">
        <v>4032</v>
      </c>
      <c r="B1732" s="20">
        <v>45761</v>
      </c>
      <c r="C1732" s="20">
        <v>45750</v>
      </c>
      <c r="D1732" t="s">
        <v>651</v>
      </c>
      <c r="E1732" t="s">
        <v>652</v>
      </c>
      <c r="F1732" s="19"/>
      <c r="G1732" t="s">
        <v>4410</v>
      </c>
      <c r="H1732" t="s">
        <v>3200</v>
      </c>
      <c r="I1732" t="s">
        <v>3407</v>
      </c>
      <c r="J1732" s="8" t="str">
        <f t="shared" si="162"/>
        <v>HDL-</v>
      </c>
      <c r="K1732" t="s">
        <v>10</v>
      </c>
      <c r="L1732" s="46">
        <v>4050</v>
      </c>
      <c r="M1732" t="s">
        <v>1472</v>
      </c>
      <c r="N1732" t="s">
        <v>11</v>
      </c>
      <c r="O1732" s="49">
        <v>2.3401999999999998</v>
      </c>
      <c r="P1732" s="9">
        <f t="shared" si="166"/>
        <v>9477.81</v>
      </c>
      <c r="Q1732" s="10">
        <f t="shared" si="163"/>
        <v>7.3003400000000003</v>
      </c>
      <c r="R1732" s="10">
        <f t="shared" si="164"/>
        <v>0.3206</v>
      </c>
      <c r="S1732" s="11">
        <f t="shared" si="165"/>
        <v>1298.43</v>
      </c>
      <c r="T1732" s="10" t="s">
        <v>349</v>
      </c>
      <c r="U1732" t="s">
        <v>228</v>
      </c>
      <c r="V1732" s="58">
        <v>7.1775000000000002</v>
      </c>
      <c r="W1732" s="38">
        <f t="shared" si="167"/>
        <v>1320.489028213166</v>
      </c>
    </row>
    <row r="1733" spans="1:23" s="15" customFormat="1">
      <c r="A1733" t="s">
        <v>4033</v>
      </c>
      <c r="B1733" s="20">
        <v>45755</v>
      </c>
      <c r="C1733" s="20">
        <v>45749</v>
      </c>
      <c r="D1733" t="s">
        <v>5</v>
      </c>
      <c r="E1733" t="s">
        <v>6</v>
      </c>
      <c r="F1733" s="19"/>
      <c r="G1733" t="s">
        <v>4416</v>
      </c>
      <c r="H1733" t="s">
        <v>3629</v>
      </c>
      <c r="I1733" t="s">
        <v>3630</v>
      </c>
      <c r="J1733" s="8" t="str">
        <f t="shared" si="162"/>
        <v>SHTS</v>
      </c>
      <c r="K1733" t="s">
        <v>10</v>
      </c>
      <c r="L1733" s="46">
        <v>1010</v>
      </c>
      <c r="M1733" t="s">
        <v>1472</v>
      </c>
      <c r="N1733" t="s">
        <v>11</v>
      </c>
      <c r="O1733" s="49">
        <v>2.38</v>
      </c>
      <c r="P1733" s="9">
        <f t="shared" si="166"/>
        <v>2403.8000000000002</v>
      </c>
      <c r="Q1733" s="10">
        <f t="shared" si="163"/>
        <v>7.3003400000000003</v>
      </c>
      <c r="R1733" s="10">
        <f t="shared" si="164"/>
        <v>0.32600000000000001</v>
      </c>
      <c r="S1733" s="11">
        <f t="shared" si="165"/>
        <v>329.26</v>
      </c>
      <c r="T1733" s="10" t="s">
        <v>349</v>
      </c>
      <c r="U1733" t="s">
        <v>9</v>
      </c>
      <c r="V1733" s="58">
        <v>7.1775000000000002</v>
      </c>
      <c r="W1733" s="38">
        <f t="shared" si="167"/>
        <v>334.90769766631837</v>
      </c>
    </row>
    <row r="1734" spans="1:23" s="15" customFormat="1">
      <c r="A1734" t="s">
        <v>4034</v>
      </c>
      <c r="B1734" s="20">
        <v>45755</v>
      </c>
      <c r="C1734" s="20">
        <v>45749</v>
      </c>
      <c r="D1734" t="s">
        <v>5</v>
      </c>
      <c r="E1734" t="s">
        <v>6</v>
      </c>
      <c r="F1734" s="19"/>
      <c r="G1734" t="s">
        <v>4417</v>
      </c>
      <c r="H1734" t="s">
        <v>3631</v>
      </c>
      <c r="I1734" t="s">
        <v>3632</v>
      </c>
      <c r="J1734" s="8" t="str">
        <f t="shared" si="162"/>
        <v>BOX-</v>
      </c>
      <c r="K1734" t="s">
        <v>10</v>
      </c>
      <c r="L1734" s="46">
        <v>1010</v>
      </c>
      <c r="M1734" t="s">
        <v>1472</v>
      </c>
      <c r="N1734" t="s">
        <v>11</v>
      </c>
      <c r="O1734" s="49">
        <v>2.39</v>
      </c>
      <c r="P1734" s="9">
        <f t="shared" si="166"/>
        <v>2413.9</v>
      </c>
      <c r="Q1734" s="10">
        <f t="shared" si="163"/>
        <v>7.3003400000000003</v>
      </c>
      <c r="R1734" s="10">
        <f t="shared" si="164"/>
        <v>0.32740000000000002</v>
      </c>
      <c r="S1734" s="11">
        <f t="shared" si="165"/>
        <v>330.67</v>
      </c>
      <c r="T1734" s="10" t="s">
        <v>349</v>
      </c>
      <c r="U1734" t="s">
        <v>1</v>
      </c>
      <c r="V1734" s="58">
        <v>7.1775000000000002</v>
      </c>
      <c r="W1734" s="38">
        <f t="shared" si="167"/>
        <v>336.31487286659706</v>
      </c>
    </row>
    <row r="1735" spans="1:23" s="15" customFormat="1">
      <c r="A1735" t="s">
        <v>4035</v>
      </c>
      <c r="B1735" s="20">
        <v>45755</v>
      </c>
      <c r="C1735" s="20">
        <v>45749</v>
      </c>
      <c r="D1735" t="s">
        <v>5</v>
      </c>
      <c r="E1735" t="s">
        <v>6</v>
      </c>
      <c r="F1735" s="19"/>
      <c r="G1735" t="s">
        <v>4413</v>
      </c>
      <c r="H1735" t="s">
        <v>3633</v>
      </c>
      <c r="I1735" t="s">
        <v>3634</v>
      </c>
      <c r="J1735" s="8" t="str">
        <f t="shared" si="162"/>
        <v>SHTS</v>
      </c>
      <c r="K1735" t="s">
        <v>10</v>
      </c>
      <c r="L1735" s="46">
        <v>1815</v>
      </c>
      <c r="M1735" t="s">
        <v>1472</v>
      </c>
      <c r="N1735" t="s">
        <v>11</v>
      </c>
      <c r="O1735" s="49">
        <v>2.4</v>
      </c>
      <c r="P1735" s="9">
        <f t="shared" si="166"/>
        <v>4356</v>
      </c>
      <c r="Q1735" s="10">
        <f t="shared" si="163"/>
        <v>7.3003400000000003</v>
      </c>
      <c r="R1735" s="10">
        <f t="shared" si="164"/>
        <v>0.32879999999999998</v>
      </c>
      <c r="S1735" s="11">
        <f t="shared" si="165"/>
        <v>596.77</v>
      </c>
      <c r="T1735" s="10" t="s">
        <v>349</v>
      </c>
      <c r="U1735" t="s">
        <v>9</v>
      </c>
      <c r="V1735" s="58">
        <v>7.1775000000000002</v>
      </c>
      <c r="W1735" s="38">
        <f t="shared" si="167"/>
        <v>606.89655172413791</v>
      </c>
    </row>
    <row r="1736" spans="1:23" s="15" customFormat="1">
      <c r="A1736" t="s">
        <v>4036</v>
      </c>
      <c r="B1736" s="20">
        <v>45770</v>
      </c>
      <c r="C1736" s="20">
        <v>45729</v>
      </c>
      <c r="D1736" t="s">
        <v>925</v>
      </c>
      <c r="E1736" t="s">
        <v>926</v>
      </c>
      <c r="F1736" s="19"/>
      <c r="G1736" t="s">
        <v>4418</v>
      </c>
      <c r="H1736" t="s">
        <v>3080</v>
      </c>
      <c r="I1736" t="s">
        <v>3296</v>
      </c>
      <c r="J1736" s="8" t="str">
        <f t="shared" si="162"/>
        <v>SHDL</v>
      </c>
      <c r="K1736" t="s">
        <v>10</v>
      </c>
      <c r="L1736" s="46">
        <v>2040</v>
      </c>
      <c r="M1736" t="s">
        <v>1472</v>
      </c>
      <c r="N1736" t="s">
        <v>11</v>
      </c>
      <c r="O1736" s="49">
        <v>2.4539</v>
      </c>
      <c r="P1736" s="9">
        <f t="shared" si="166"/>
        <v>5005.96</v>
      </c>
      <c r="Q1736" s="10">
        <f t="shared" si="163"/>
        <v>7.3003400000000003</v>
      </c>
      <c r="R1736" s="10">
        <f t="shared" si="164"/>
        <v>0.33610000000000001</v>
      </c>
      <c r="S1736" s="11">
        <f t="shared" si="165"/>
        <v>685.64</v>
      </c>
      <c r="T1736" s="10" t="s">
        <v>349</v>
      </c>
      <c r="U1736" t="s">
        <v>722</v>
      </c>
      <c r="V1736" s="58">
        <v>7.1775000000000002</v>
      </c>
      <c r="W1736" s="38">
        <f t="shared" si="167"/>
        <v>697.45120167189123</v>
      </c>
    </row>
    <row r="1737" spans="1:23" s="15" customFormat="1">
      <c r="A1737" t="s">
        <v>4037</v>
      </c>
      <c r="B1737" s="20">
        <v>45761</v>
      </c>
      <c r="C1737" s="20">
        <v>45729</v>
      </c>
      <c r="D1737" t="s">
        <v>28</v>
      </c>
      <c r="E1737" t="s">
        <v>29</v>
      </c>
      <c r="F1737" s="19"/>
      <c r="G1737" t="s">
        <v>4414</v>
      </c>
      <c r="H1737" t="s">
        <v>3635</v>
      </c>
      <c r="I1737" t="s">
        <v>3614</v>
      </c>
      <c r="J1737" s="8" t="str">
        <f t="shared" si="162"/>
        <v>SHDL</v>
      </c>
      <c r="K1737" t="s">
        <v>10</v>
      </c>
      <c r="L1737" s="46">
        <v>960</v>
      </c>
      <c r="M1737" t="s">
        <v>1472</v>
      </c>
      <c r="N1737" t="s">
        <v>11</v>
      </c>
      <c r="O1737" s="49">
        <v>2.4588000000000001</v>
      </c>
      <c r="P1737" s="9">
        <f t="shared" si="166"/>
        <v>2360.4499999999998</v>
      </c>
      <c r="Q1737" s="10">
        <f t="shared" si="163"/>
        <v>7.3003400000000003</v>
      </c>
      <c r="R1737" s="10">
        <f t="shared" si="164"/>
        <v>0.33679999999999999</v>
      </c>
      <c r="S1737" s="11">
        <f t="shared" si="165"/>
        <v>323.33</v>
      </c>
      <c r="T1737" s="10" t="s">
        <v>349</v>
      </c>
      <c r="U1737" t="s">
        <v>722</v>
      </c>
      <c r="V1737" s="58">
        <v>7.1775000000000002</v>
      </c>
      <c r="W1737" s="38">
        <f t="shared" si="167"/>
        <v>328.8677115987461</v>
      </c>
    </row>
    <row r="1738" spans="1:23" s="15" customFormat="1">
      <c r="A1738" t="s">
        <v>4038</v>
      </c>
      <c r="B1738" s="20">
        <v>45755</v>
      </c>
      <c r="C1738" s="20">
        <v>45749</v>
      </c>
      <c r="D1738" t="s">
        <v>5</v>
      </c>
      <c r="E1738" t="s">
        <v>6</v>
      </c>
      <c r="F1738" s="19"/>
      <c r="G1738" t="s">
        <v>4416</v>
      </c>
      <c r="H1738" t="s">
        <v>3636</v>
      </c>
      <c r="I1738" t="s">
        <v>3637</v>
      </c>
      <c r="J1738" s="8" t="str">
        <f t="shared" si="162"/>
        <v>SHTS</v>
      </c>
      <c r="K1738" t="s">
        <v>10</v>
      </c>
      <c r="L1738" s="46">
        <v>1010</v>
      </c>
      <c r="M1738" t="s">
        <v>1472</v>
      </c>
      <c r="N1738" t="s">
        <v>11</v>
      </c>
      <c r="O1738" s="49">
        <v>2.4700000000000002</v>
      </c>
      <c r="P1738" s="9">
        <f t="shared" si="166"/>
        <v>2494.6999999999998</v>
      </c>
      <c r="Q1738" s="10">
        <f t="shared" si="163"/>
        <v>7.3003400000000003</v>
      </c>
      <c r="R1738" s="10">
        <f t="shared" si="164"/>
        <v>0.33829999999999999</v>
      </c>
      <c r="S1738" s="11">
        <f t="shared" si="165"/>
        <v>341.68</v>
      </c>
      <c r="T1738" s="10" t="s">
        <v>349</v>
      </c>
      <c r="U1738" t="s">
        <v>9</v>
      </c>
      <c r="V1738" s="58">
        <v>7.1775000000000002</v>
      </c>
      <c r="W1738" s="38">
        <f t="shared" si="167"/>
        <v>347.57227446882621</v>
      </c>
    </row>
    <row r="1739" spans="1:23" s="15" customFormat="1">
      <c r="A1739" t="s">
        <v>4039</v>
      </c>
      <c r="B1739" s="20">
        <v>45765</v>
      </c>
      <c r="C1739" s="20">
        <v>45761</v>
      </c>
      <c r="D1739" t="s">
        <v>268</v>
      </c>
      <c r="E1739" t="s">
        <v>269</v>
      </c>
      <c r="F1739" s="19"/>
      <c r="G1739" t="s">
        <v>4419</v>
      </c>
      <c r="H1739" t="s">
        <v>1686</v>
      </c>
      <c r="I1739" t="s">
        <v>1687</v>
      </c>
      <c r="J1739" s="8" t="str">
        <f t="shared" si="162"/>
        <v>MISC</v>
      </c>
      <c r="K1739" t="s">
        <v>10</v>
      </c>
      <c r="L1739" s="46">
        <v>1000</v>
      </c>
      <c r="M1739" t="s">
        <v>1472</v>
      </c>
      <c r="N1739" t="s">
        <v>11</v>
      </c>
      <c r="O1739" s="49">
        <v>2.5</v>
      </c>
      <c r="P1739" s="9">
        <f t="shared" si="166"/>
        <v>2500</v>
      </c>
      <c r="Q1739" s="10">
        <f t="shared" si="163"/>
        <v>7.3003400000000003</v>
      </c>
      <c r="R1739" s="10">
        <f t="shared" si="164"/>
        <v>0.34239999999999998</v>
      </c>
      <c r="S1739" s="11">
        <f t="shared" si="165"/>
        <v>342.4</v>
      </c>
      <c r="T1739" s="10" t="s">
        <v>349</v>
      </c>
      <c r="U1739" t="s">
        <v>25</v>
      </c>
      <c r="V1739" s="58">
        <v>7.1775000000000002</v>
      </c>
      <c r="W1739" s="38">
        <f t="shared" si="167"/>
        <v>348.31069313827936</v>
      </c>
    </row>
    <row r="1740" spans="1:23" s="15" customFormat="1">
      <c r="A1740" t="s">
        <v>4040</v>
      </c>
      <c r="B1740" s="20">
        <v>45754</v>
      </c>
      <c r="C1740" s="20">
        <v>45729</v>
      </c>
      <c r="D1740" t="s">
        <v>651</v>
      </c>
      <c r="E1740" t="s">
        <v>652</v>
      </c>
      <c r="F1740" s="19"/>
      <c r="G1740" t="s">
        <v>4420</v>
      </c>
      <c r="H1740" t="s">
        <v>3638</v>
      </c>
      <c r="I1740" t="s">
        <v>3639</v>
      </c>
      <c r="J1740" s="8" t="str">
        <f t="shared" si="162"/>
        <v>HDL-</v>
      </c>
      <c r="K1740" t="s">
        <v>10</v>
      </c>
      <c r="L1740" s="46">
        <v>1000</v>
      </c>
      <c r="M1740" t="s">
        <v>1472</v>
      </c>
      <c r="N1740" t="s">
        <v>11</v>
      </c>
      <c r="O1740" s="49">
        <v>2.5788000000000002</v>
      </c>
      <c r="P1740" s="9">
        <f t="shared" si="166"/>
        <v>2578.8000000000002</v>
      </c>
      <c r="Q1740" s="10">
        <f t="shared" si="163"/>
        <v>7.3003400000000003</v>
      </c>
      <c r="R1740" s="10">
        <f t="shared" si="164"/>
        <v>0.35320000000000001</v>
      </c>
      <c r="S1740" s="11">
        <f t="shared" si="165"/>
        <v>353.2</v>
      </c>
      <c r="T1740" s="10" t="s">
        <v>349</v>
      </c>
      <c r="U1740" t="s">
        <v>228</v>
      </c>
      <c r="V1740" s="58">
        <v>7.1775000000000002</v>
      </c>
      <c r="W1740" s="38">
        <f t="shared" si="167"/>
        <v>359.28944618599797</v>
      </c>
    </row>
    <row r="1741" spans="1:23" s="15" customFormat="1">
      <c r="A1741" t="s">
        <v>4041</v>
      </c>
      <c r="B1741" s="20">
        <v>45750</v>
      </c>
      <c r="C1741" s="20">
        <v>45695</v>
      </c>
      <c r="D1741" t="s">
        <v>128</v>
      </c>
      <c r="E1741" t="s">
        <v>129</v>
      </c>
      <c r="F1741" s="19"/>
      <c r="G1741" t="s">
        <v>4421</v>
      </c>
      <c r="H1741" t="s">
        <v>3640</v>
      </c>
      <c r="I1741" t="s">
        <v>3641</v>
      </c>
      <c r="J1741" s="8" t="str">
        <f t="shared" si="162"/>
        <v>SHDL</v>
      </c>
      <c r="K1741" t="s">
        <v>10</v>
      </c>
      <c r="L1741" s="46">
        <v>1230</v>
      </c>
      <c r="M1741" t="s">
        <v>1472</v>
      </c>
      <c r="N1741" t="s">
        <v>11</v>
      </c>
      <c r="O1741" s="49">
        <v>2.6137999999999999</v>
      </c>
      <c r="P1741" s="9">
        <f t="shared" si="166"/>
        <v>3214.97</v>
      </c>
      <c r="Q1741" s="10">
        <f t="shared" si="163"/>
        <v>7.3003400000000003</v>
      </c>
      <c r="R1741" s="10">
        <f t="shared" si="164"/>
        <v>0.35799999999999998</v>
      </c>
      <c r="S1741" s="11">
        <f t="shared" si="165"/>
        <v>440.34</v>
      </c>
      <c r="T1741" s="10" t="s">
        <v>349</v>
      </c>
      <c r="U1741" t="s">
        <v>722</v>
      </c>
      <c r="V1741" s="58">
        <v>7.1775000000000002</v>
      </c>
      <c r="W1741" s="38">
        <f t="shared" si="167"/>
        <v>447.92392894461858</v>
      </c>
    </row>
    <row r="1742" spans="1:23" s="15" customFormat="1">
      <c r="A1742" t="s">
        <v>4042</v>
      </c>
      <c r="B1742" s="20">
        <v>45769</v>
      </c>
      <c r="C1742" s="20">
        <v>45737</v>
      </c>
      <c r="D1742" t="s">
        <v>128</v>
      </c>
      <c r="E1742" t="s">
        <v>129</v>
      </c>
      <c r="F1742" s="19"/>
      <c r="G1742" t="s">
        <v>4422</v>
      </c>
      <c r="H1742" t="s">
        <v>3642</v>
      </c>
      <c r="I1742" t="s">
        <v>3643</v>
      </c>
      <c r="J1742" s="8" t="str">
        <f t="shared" si="162"/>
        <v>SHDL</v>
      </c>
      <c r="K1742" t="s">
        <v>10</v>
      </c>
      <c r="L1742" s="46">
        <v>450</v>
      </c>
      <c r="M1742" t="s">
        <v>1472</v>
      </c>
      <c r="N1742" t="s">
        <v>11</v>
      </c>
      <c r="O1742" s="49">
        <v>2.6137999999999999</v>
      </c>
      <c r="P1742" s="9">
        <f t="shared" si="166"/>
        <v>1176.21</v>
      </c>
      <c r="Q1742" s="10">
        <f t="shared" si="163"/>
        <v>7.3003400000000003</v>
      </c>
      <c r="R1742" s="10">
        <f t="shared" si="164"/>
        <v>0.35799999999999998</v>
      </c>
      <c r="S1742" s="11">
        <f t="shared" si="165"/>
        <v>161.1</v>
      </c>
      <c r="T1742" s="10" t="s">
        <v>349</v>
      </c>
      <c r="U1742" t="s">
        <v>722</v>
      </c>
      <c r="V1742" s="58">
        <v>7.1775000000000002</v>
      </c>
      <c r="W1742" s="38">
        <f t="shared" si="167"/>
        <v>163.87460815047021</v>
      </c>
    </row>
    <row r="1743" spans="1:23" s="15" customFormat="1">
      <c r="A1743" t="s">
        <v>4042</v>
      </c>
      <c r="B1743" s="20">
        <v>45769</v>
      </c>
      <c r="C1743" s="20">
        <v>45737</v>
      </c>
      <c r="D1743" t="s">
        <v>128</v>
      </c>
      <c r="E1743" t="s">
        <v>129</v>
      </c>
      <c r="F1743" s="19"/>
      <c r="G1743" t="s">
        <v>4422</v>
      </c>
      <c r="H1743" t="s">
        <v>3642</v>
      </c>
      <c r="I1743" t="s">
        <v>3643</v>
      </c>
      <c r="J1743" s="8" t="str">
        <f t="shared" si="162"/>
        <v>SHDL</v>
      </c>
      <c r="K1743" t="s">
        <v>10</v>
      </c>
      <c r="L1743" s="46">
        <v>400</v>
      </c>
      <c r="M1743" t="s">
        <v>1472</v>
      </c>
      <c r="N1743" t="s">
        <v>11</v>
      </c>
      <c r="O1743" s="49">
        <v>2.6137999999999999</v>
      </c>
      <c r="P1743" s="9">
        <f t="shared" si="166"/>
        <v>1045.52</v>
      </c>
      <c r="Q1743" s="10">
        <f t="shared" si="163"/>
        <v>7.3003400000000003</v>
      </c>
      <c r="R1743" s="10">
        <f t="shared" si="164"/>
        <v>0.35799999999999998</v>
      </c>
      <c r="S1743" s="11">
        <f t="shared" si="165"/>
        <v>143.19999999999999</v>
      </c>
      <c r="T1743" s="10" t="s">
        <v>349</v>
      </c>
      <c r="U1743" t="s">
        <v>722</v>
      </c>
      <c r="V1743" s="58">
        <v>7.1775000000000002</v>
      </c>
      <c r="W1743" s="38">
        <f t="shared" si="167"/>
        <v>145.66631835597352</v>
      </c>
    </row>
    <row r="1744" spans="1:23" s="15" customFormat="1">
      <c r="A1744" t="s">
        <v>4043</v>
      </c>
      <c r="B1744" s="20">
        <v>45755</v>
      </c>
      <c r="C1744" s="20">
        <v>45749</v>
      </c>
      <c r="D1744" t="s">
        <v>5</v>
      </c>
      <c r="E1744" t="s">
        <v>6</v>
      </c>
      <c r="F1744" s="19"/>
      <c r="G1744" t="s">
        <v>4416</v>
      </c>
      <c r="H1744" t="s">
        <v>3644</v>
      </c>
      <c r="I1744" t="s">
        <v>3645</v>
      </c>
      <c r="J1744" s="8" t="str">
        <f t="shared" si="162"/>
        <v>SHTS</v>
      </c>
      <c r="K1744" t="s">
        <v>10</v>
      </c>
      <c r="L1744" s="46">
        <v>1010</v>
      </c>
      <c r="M1744" t="s">
        <v>1472</v>
      </c>
      <c r="N1744" t="s">
        <v>11</v>
      </c>
      <c r="O1744" s="49">
        <v>2.64</v>
      </c>
      <c r="P1744" s="9">
        <f t="shared" si="166"/>
        <v>2666.4</v>
      </c>
      <c r="Q1744" s="10">
        <f t="shared" si="163"/>
        <v>7.3003400000000003</v>
      </c>
      <c r="R1744" s="10">
        <f t="shared" si="164"/>
        <v>0.36159999999999998</v>
      </c>
      <c r="S1744" s="11">
        <f t="shared" si="165"/>
        <v>365.22</v>
      </c>
      <c r="T1744" s="10" t="s">
        <v>349</v>
      </c>
      <c r="U1744" t="s">
        <v>9</v>
      </c>
      <c r="V1744" s="58">
        <v>7.1775000000000002</v>
      </c>
      <c r="W1744" s="38">
        <f t="shared" si="167"/>
        <v>371.4942528735632</v>
      </c>
    </row>
    <row r="1745" spans="1:23" s="15" customFormat="1">
      <c r="A1745" t="s">
        <v>4044</v>
      </c>
      <c r="B1745" s="20">
        <v>45776</v>
      </c>
      <c r="C1745" s="20">
        <v>45729</v>
      </c>
      <c r="D1745" t="s">
        <v>709</v>
      </c>
      <c r="E1745" t="s">
        <v>710</v>
      </c>
      <c r="F1745" s="19"/>
      <c r="G1745" t="s">
        <v>4423</v>
      </c>
      <c r="H1745" t="s">
        <v>1682</v>
      </c>
      <c r="I1745" t="s">
        <v>1683</v>
      </c>
      <c r="J1745" s="8" t="str">
        <f t="shared" si="162"/>
        <v>LHDL</v>
      </c>
      <c r="K1745" t="s">
        <v>10</v>
      </c>
      <c r="L1745" s="46">
        <v>1010</v>
      </c>
      <c r="M1745" t="s">
        <v>1472</v>
      </c>
      <c r="N1745" t="s">
        <v>11</v>
      </c>
      <c r="O1745" s="49">
        <v>2.6436000000000002</v>
      </c>
      <c r="P1745" s="9">
        <f t="shared" si="166"/>
        <v>2670.04</v>
      </c>
      <c r="Q1745" s="10">
        <f t="shared" si="163"/>
        <v>7.3003400000000003</v>
      </c>
      <c r="R1745" s="10">
        <f t="shared" si="164"/>
        <v>0.36209999999999998</v>
      </c>
      <c r="S1745" s="11">
        <f t="shared" si="165"/>
        <v>365.72</v>
      </c>
      <c r="T1745" s="10" t="s">
        <v>349</v>
      </c>
      <c r="U1745" t="s">
        <v>125</v>
      </c>
      <c r="V1745" s="58">
        <v>7.1775000000000002</v>
      </c>
      <c r="W1745" s="38">
        <f t="shared" si="167"/>
        <v>372.00083594566354</v>
      </c>
    </row>
    <row r="1746" spans="1:23" s="15" customFormat="1">
      <c r="A1746" t="s">
        <v>4045</v>
      </c>
      <c r="B1746" s="20">
        <v>45776</v>
      </c>
      <c r="C1746" s="20">
        <v>45729</v>
      </c>
      <c r="D1746" t="s">
        <v>709</v>
      </c>
      <c r="E1746" t="s">
        <v>710</v>
      </c>
      <c r="F1746" s="19"/>
      <c r="G1746" t="s">
        <v>4423</v>
      </c>
      <c r="H1746" t="s">
        <v>3646</v>
      </c>
      <c r="I1746" t="s">
        <v>3647</v>
      </c>
      <c r="J1746" s="8" t="str">
        <f t="shared" si="162"/>
        <v>LHDL</v>
      </c>
      <c r="K1746" t="s">
        <v>10</v>
      </c>
      <c r="L1746" s="46">
        <v>1000</v>
      </c>
      <c r="M1746" t="s">
        <v>1472</v>
      </c>
      <c r="N1746" t="s">
        <v>11</v>
      </c>
      <c r="O1746" s="49">
        <v>2.6436000000000002</v>
      </c>
      <c r="P1746" s="9">
        <f t="shared" si="166"/>
        <v>2643.6</v>
      </c>
      <c r="Q1746" s="10">
        <f t="shared" si="163"/>
        <v>7.3003400000000003</v>
      </c>
      <c r="R1746" s="10">
        <f t="shared" si="164"/>
        <v>0.36209999999999998</v>
      </c>
      <c r="S1746" s="11">
        <f t="shared" si="165"/>
        <v>362.1</v>
      </c>
      <c r="T1746" s="10" t="s">
        <v>349</v>
      </c>
      <c r="U1746" t="s">
        <v>125</v>
      </c>
      <c r="V1746" s="58">
        <v>7.1775000000000002</v>
      </c>
      <c r="W1746" s="38">
        <f t="shared" si="167"/>
        <v>368.31765935214213</v>
      </c>
    </row>
    <row r="1747" spans="1:23" s="15" customFormat="1">
      <c r="A1747" t="s">
        <v>4046</v>
      </c>
      <c r="B1747" s="20">
        <v>45755</v>
      </c>
      <c r="C1747" s="20">
        <v>45749</v>
      </c>
      <c r="D1747" t="s">
        <v>5</v>
      </c>
      <c r="E1747" t="s">
        <v>6</v>
      </c>
      <c r="F1747" s="19"/>
      <c r="G1747" t="s">
        <v>4417</v>
      </c>
      <c r="H1747" t="s">
        <v>3648</v>
      </c>
      <c r="I1747" t="s">
        <v>3649</v>
      </c>
      <c r="J1747" s="8" t="str">
        <f t="shared" si="162"/>
        <v>BOX-</v>
      </c>
      <c r="K1747" t="s">
        <v>10</v>
      </c>
      <c r="L1747" s="46">
        <v>505</v>
      </c>
      <c r="M1747" t="s">
        <v>1472</v>
      </c>
      <c r="N1747" t="s">
        <v>11</v>
      </c>
      <c r="O1747" s="49">
        <v>2.68</v>
      </c>
      <c r="P1747" s="9">
        <f t="shared" si="166"/>
        <v>1353.4</v>
      </c>
      <c r="Q1747" s="10">
        <f t="shared" si="163"/>
        <v>7.3003400000000003</v>
      </c>
      <c r="R1747" s="10">
        <f t="shared" si="164"/>
        <v>0.36709999999999998</v>
      </c>
      <c r="S1747" s="11">
        <f t="shared" si="165"/>
        <v>185.39</v>
      </c>
      <c r="T1747" s="10" t="s">
        <v>349</v>
      </c>
      <c r="U1747" t="s">
        <v>1</v>
      </c>
      <c r="V1747" s="58">
        <v>7.1775000000000002</v>
      </c>
      <c r="W1747" s="38">
        <f t="shared" si="167"/>
        <v>188.56147683733892</v>
      </c>
    </row>
    <row r="1748" spans="1:23" s="15" customFormat="1">
      <c r="A1748" t="s">
        <v>4047</v>
      </c>
      <c r="B1748" s="20">
        <v>45755</v>
      </c>
      <c r="C1748" s="20">
        <v>45749</v>
      </c>
      <c r="D1748" t="s">
        <v>5</v>
      </c>
      <c r="E1748" t="s">
        <v>6</v>
      </c>
      <c r="F1748" s="19"/>
      <c r="G1748" t="s">
        <v>4413</v>
      </c>
      <c r="H1748" t="s">
        <v>3650</v>
      </c>
      <c r="I1748" t="s">
        <v>3651</v>
      </c>
      <c r="J1748" s="8" t="str">
        <f t="shared" si="162"/>
        <v>SHTS</v>
      </c>
      <c r="K1748" t="s">
        <v>10</v>
      </c>
      <c r="L1748" s="46">
        <v>1610</v>
      </c>
      <c r="M1748" t="s">
        <v>1472</v>
      </c>
      <c r="N1748" t="s">
        <v>11</v>
      </c>
      <c r="O1748" s="49">
        <v>2.68</v>
      </c>
      <c r="P1748" s="9">
        <f t="shared" si="166"/>
        <v>4314.8</v>
      </c>
      <c r="Q1748" s="10">
        <f t="shared" si="163"/>
        <v>7.3003400000000003</v>
      </c>
      <c r="R1748" s="10">
        <f t="shared" si="164"/>
        <v>0.36709999999999998</v>
      </c>
      <c r="S1748" s="11">
        <f t="shared" si="165"/>
        <v>591.03</v>
      </c>
      <c r="T1748" s="10" t="s">
        <v>349</v>
      </c>
      <c r="U1748" t="s">
        <v>9</v>
      </c>
      <c r="V1748" s="58">
        <v>7.1775000000000002</v>
      </c>
      <c r="W1748" s="38">
        <f t="shared" si="167"/>
        <v>601.1563915012191</v>
      </c>
    </row>
    <row r="1749" spans="1:23" s="15" customFormat="1">
      <c r="A1749" t="s">
        <v>4048</v>
      </c>
      <c r="B1749" s="20">
        <v>45764</v>
      </c>
      <c r="C1749" s="20">
        <v>45761</v>
      </c>
      <c r="D1749" t="s">
        <v>5</v>
      </c>
      <c r="E1749" t="s">
        <v>6</v>
      </c>
      <c r="F1749" s="19"/>
      <c r="G1749" t="s">
        <v>4409</v>
      </c>
      <c r="H1749" t="s">
        <v>3652</v>
      </c>
      <c r="I1749" t="s">
        <v>3653</v>
      </c>
      <c r="J1749" s="8" t="str">
        <f t="shared" ref="J1749:J1812" si="168">+LEFT(U1749,4)</f>
        <v>SHTS</v>
      </c>
      <c r="K1749" t="s">
        <v>10</v>
      </c>
      <c r="L1749" s="46">
        <v>505</v>
      </c>
      <c r="M1749" t="s">
        <v>1472</v>
      </c>
      <c r="N1749" t="s">
        <v>11</v>
      </c>
      <c r="O1749" s="49">
        <v>2.68</v>
      </c>
      <c r="P1749" s="9">
        <f t="shared" si="166"/>
        <v>1353.4</v>
      </c>
      <c r="Q1749" s="10">
        <f t="shared" ref="Q1749:Q1812" si="169">IF(N1749="HKD",7.8,IF(N1749="CNY",7.30034,1))</f>
        <v>7.3003400000000003</v>
      </c>
      <c r="R1749" s="10">
        <f t="shared" ref="R1749:R1812" si="170">+ROUND(O1749/Q1749,4)</f>
        <v>0.36709999999999998</v>
      </c>
      <c r="S1749" s="11">
        <f t="shared" ref="S1749:S1812" si="171">ROUND(R1749*L1749,2)</f>
        <v>185.39</v>
      </c>
      <c r="T1749" s="10" t="s">
        <v>349</v>
      </c>
      <c r="U1749" t="s">
        <v>9</v>
      </c>
      <c r="V1749" s="58">
        <v>7.1775000000000002</v>
      </c>
      <c r="W1749" s="38">
        <f t="shared" si="167"/>
        <v>188.56147683733892</v>
      </c>
    </row>
    <row r="1750" spans="1:23" s="15" customFormat="1">
      <c r="A1750" t="s">
        <v>4049</v>
      </c>
      <c r="B1750" s="20">
        <v>45755</v>
      </c>
      <c r="C1750" s="20">
        <v>45729</v>
      </c>
      <c r="D1750" t="s">
        <v>149</v>
      </c>
      <c r="E1750" t="s">
        <v>150</v>
      </c>
      <c r="F1750" s="19"/>
      <c r="G1750" t="s">
        <v>4424</v>
      </c>
      <c r="H1750" t="s">
        <v>1689</v>
      </c>
      <c r="I1750" t="s">
        <v>1690</v>
      </c>
      <c r="J1750" s="8" t="str">
        <f t="shared" si="168"/>
        <v>GLID</v>
      </c>
      <c r="K1750" t="s">
        <v>10</v>
      </c>
      <c r="L1750" s="46">
        <v>1010</v>
      </c>
      <c r="M1750" t="s">
        <v>1472</v>
      </c>
      <c r="N1750" t="s">
        <v>11</v>
      </c>
      <c r="O1750" s="49">
        <v>2.7103999999999999</v>
      </c>
      <c r="P1750" s="9">
        <f t="shared" si="166"/>
        <v>2737.5</v>
      </c>
      <c r="Q1750" s="10">
        <f t="shared" si="169"/>
        <v>7.3003400000000003</v>
      </c>
      <c r="R1750" s="10">
        <f t="shared" si="170"/>
        <v>0.37130000000000002</v>
      </c>
      <c r="S1750" s="11">
        <f t="shared" si="171"/>
        <v>375.01</v>
      </c>
      <c r="T1750" s="10" t="s">
        <v>349</v>
      </c>
      <c r="U1750" t="s">
        <v>78</v>
      </c>
      <c r="V1750" s="58">
        <v>7.1775000000000002</v>
      </c>
      <c r="W1750" s="38">
        <f t="shared" si="167"/>
        <v>381.40076628352489</v>
      </c>
    </row>
    <row r="1751" spans="1:23" s="15" customFormat="1">
      <c r="A1751" t="s">
        <v>4050</v>
      </c>
      <c r="B1751" s="20">
        <v>45769</v>
      </c>
      <c r="C1751" s="20">
        <v>45768</v>
      </c>
      <c r="D1751" t="s">
        <v>5</v>
      </c>
      <c r="E1751" t="s">
        <v>6</v>
      </c>
      <c r="F1751" s="19"/>
      <c r="G1751" t="s">
        <v>4425</v>
      </c>
      <c r="H1751" t="s">
        <v>3654</v>
      </c>
      <c r="I1751" t="s">
        <v>3655</v>
      </c>
      <c r="J1751" s="8" t="str">
        <f t="shared" si="168"/>
        <v>BOX-</v>
      </c>
      <c r="K1751" t="s">
        <v>10</v>
      </c>
      <c r="L1751" s="46">
        <v>1010</v>
      </c>
      <c r="M1751" t="s">
        <v>1472</v>
      </c>
      <c r="N1751" t="s">
        <v>11</v>
      </c>
      <c r="O1751" s="49">
        <v>2.74</v>
      </c>
      <c r="P1751" s="9">
        <f t="shared" si="166"/>
        <v>2767.4</v>
      </c>
      <c r="Q1751" s="10">
        <f t="shared" si="169"/>
        <v>7.3003400000000003</v>
      </c>
      <c r="R1751" s="10">
        <f t="shared" si="170"/>
        <v>0.37530000000000002</v>
      </c>
      <c r="S1751" s="11">
        <f t="shared" si="171"/>
        <v>379.05</v>
      </c>
      <c r="T1751" s="10" t="s">
        <v>349</v>
      </c>
      <c r="U1751" t="s">
        <v>1</v>
      </c>
      <c r="V1751" s="58">
        <v>7.1775000000000002</v>
      </c>
      <c r="W1751" s="38">
        <f t="shared" si="167"/>
        <v>385.56600487634972</v>
      </c>
    </row>
    <row r="1752" spans="1:23" s="15" customFormat="1">
      <c r="A1752" t="s">
        <v>4051</v>
      </c>
      <c r="B1752" s="20">
        <v>45749</v>
      </c>
      <c r="C1752" s="20">
        <v>45680</v>
      </c>
      <c r="D1752" t="s">
        <v>569</v>
      </c>
      <c r="E1752" t="s">
        <v>570</v>
      </c>
      <c r="F1752" s="19"/>
      <c r="G1752" t="s">
        <v>4364</v>
      </c>
      <c r="H1752" t="s">
        <v>1508</v>
      </c>
      <c r="I1752" t="s">
        <v>1509</v>
      </c>
      <c r="J1752" s="8" t="str">
        <f t="shared" si="168"/>
        <v>ANYD</v>
      </c>
      <c r="K1752" t="s">
        <v>10</v>
      </c>
      <c r="L1752" s="46">
        <v>1200</v>
      </c>
      <c r="M1752" t="s">
        <v>1472</v>
      </c>
      <c r="N1752" t="s">
        <v>11</v>
      </c>
      <c r="O1752" s="49">
        <v>2.75</v>
      </c>
      <c r="P1752" s="9">
        <f t="shared" si="166"/>
        <v>3300</v>
      </c>
      <c r="Q1752" s="10">
        <f t="shared" si="169"/>
        <v>7.3003400000000003</v>
      </c>
      <c r="R1752" s="10">
        <f t="shared" si="170"/>
        <v>0.37669999999999998</v>
      </c>
      <c r="S1752" s="11">
        <f t="shared" si="171"/>
        <v>452.04</v>
      </c>
      <c r="T1752" s="10" t="s">
        <v>349</v>
      </c>
      <c r="U1752" t="s">
        <v>36</v>
      </c>
      <c r="V1752" s="58">
        <v>7.1775000000000002</v>
      </c>
      <c r="W1752" s="38">
        <f t="shared" si="167"/>
        <v>459.77011494252878</v>
      </c>
    </row>
    <row r="1753" spans="1:23" s="15" customFormat="1">
      <c r="A1753" t="s">
        <v>4052</v>
      </c>
      <c r="B1753" s="20">
        <v>45764</v>
      </c>
      <c r="C1753" s="20">
        <v>45761</v>
      </c>
      <c r="D1753" t="s">
        <v>5</v>
      </c>
      <c r="E1753" t="s">
        <v>6</v>
      </c>
      <c r="F1753" s="19"/>
      <c r="G1753" t="s">
        <v>4412</v>
      </c>
      <c r="H1753" t="s">
        <v>406</v>
      </c>
      <c r="I1753" t="s">
        <v>407</v>
      </c>
      <c r="J1753" s="8" t="str">
        <f t="shared" si="168"/>
        <v>BOX-</v>
      </c>
      <c r="K1753" t="s">
        <v>10</v>
      </c>
      <c r="L1753" s="46">
        <v>2020</v>
      </c>
      <c r="M1753" t="s">
        <v>1472</v>
      </c>
      <c r="N1753" t="s">
        <v>11</v>
      </c>
      <c r="O1753" s="49">
        <v>2.76</v>
      </c>
      <c r="P1753" s="9">
        <f t="shared" si="166"/>
        <v>5575.2</v>
      </c>
      <c r="Q1753" s="10">
        <f t="shared" si="169"/>
        <v>7.3003400000000003</v>
      </c>
      <c r="R1753" s="10">
        <f t="shared" si="170"/>
        <v>0.37809999999999999</v>
      </c>
      <c r="S1753" s="11">
        <f t="shared" si="171"/>
        <v>763.76</v>
      </c>
      <c r="T1753" s="10" t="s">
        <v>349</v>
      </c>
      <c r="U1753" t="s">
        <v>1</v>
      </c>
      <c r="V1753" s="58">
        <v>7.1775000000000002</v>
      </c>
      <c r="W1753" s="38">
        <f t="shared" si="167"/>
        <v>776.76071055381385</v>
      </c>
    </row>
    <row r="1754" spans="1:23" s="15" customFormat="1">
      <c r="A1754" t="s">
        <v>4053</v>
      </c>
      <c r="B1754" s="20">
        <v>45764</v>
      </c>
      <c r="C1754" s="20">
        <v>45761</v>
      </c>
      <c r="D1754" t="s">
        <v>5</v>
      </c>
      <c r="E1754" t="s">
        <v>6</v>
      </c>
      <c r="F1754" s="19"/>
      <c r="G1754" t="s">
        <v>4409</v>
      </c>
      <c r="H1754" t="s">
        <v>3656</v>
      </c>
      <c r="I1754" t="s">
        <v>3657</v>
      </c>
      <c r="J1754" s="8" t="str">
        <f t="shared" si="168"/>
        <v>SHTS</v>
      </c>
      <c r="K1754" t="s">
        <v>10</v>
      </c>
      <c r="L1754" s="46">
        <v>500</v>
      </c>
      <c r="M1754" t="s">
        <v>1472</v>
      </c>
      <c r="N1754" t="s">
        <v>11</v>
      </c>
      <c r="O1754" s="49">
        <v>2.85</v>
      </c>
      <c r="P1754" s="9">
        <f t="shared" si="166"/>
        <v>1425</v>
      </c>
      <c r="Q1754" s="10">
        <f t="shared" si="169"/>
        <v>7.3003400000000003</v>
      </c>
      <c r="R1754" s="10">
        <f t="shared" si="170"/>
        <v>0.39040000000000002</v>
      </c>
      <c r="S1754" s="11">
        <f t="shared" si="171"/>
        <v>195.2</v>
      </c>
      <c r="T1754" s="10" t="s">
        <v>349</v>
      </c>
      <c r="U1754" t="s">
        <v>9</v>
      </c>
      <c r="V1754" s="58">
        <v>7.1775000000000002</v>
      </c>
      <c r="W1754" s="38">
        <f t="shared" si="167"/>
        <v>198.53709508881923</v>
      </c>
    </row>
    <row r="1755" spans="1:23" s="15" customFormat="1">
      <c r="A1755" t="s">
        <v>4054</v>
      </c>
      <c r="B1755" s="20">
        <v>45755</v>
      </c>
      <c r="C1755" s="20">
        <v>45749</v>
      </c>
      <c r="D1755" t="s">
        <v>5</v>
      </c>
      <c r="E1755" t="s">
        <v>6</v>
      </c>
      <c r="F1755" s="19"/>
      <c r="G1755" t="s">
        <v>4413</v>
      </c>
      <c r="H1755" t="s">
        <v>3658</v>
      </c>
      <c r="I1755" t="s">
        <v>3659</v>
      </c>
      <c r="J1755" s="8" t="str">
        <f t="shared" si="168"/>
        <v>SHTS</v>
      </c>
      <c r="K1755" t="s">
        <v>10</v>
      </c>
      <c r="L1755" s="46">
        <v>1310</v>
      </c>
      <c r="M1755" t="s">
        <v>1472</v>
      </c>
      <c r="N1755" t="s">
        <v>11</v>
      </c>
      <c r="O1755" s="49">
        <v>2.88</v>
      </c>
      <c r="P1755" s="9">
        <f t="shared" si="166"/>
        <v>3772.8</v>
      </c>
      <c r="Q1755" s="10">
        <f t="shared" si="169"/>
        <v>7.3003400000000003</v>
      </c>
      <c r="R1755" s="10">
        <f t="shared" si="170"/>
        <v>0.39450000000000002</v>
      </c>
      <c r="S1755" s="11">
        <f t="shared" si="171"/>
        <v>516.79999999999995</v>
      </c>
      <c r="T1755" s="10" t="s">
        <v>349</v>
      </c>
      <c r="U1755" t="s">
        <v>9</v>
      </c>
      <c r="V1755" s="58">
        <v>7.1775000000000002</v>
      </c>
      <c r="W1755" s="38">
        <f t="shared" si="167"/>
        <v>525.64263322884005</v>
      </c>
    </row>
    <row r="1756" spans="1:23" s="15" customFormat="1">
      <c r="A1756" t="s">
        <v>4055</v>
      </c>
      <c r="B1756" s="20">
        <v>45769</v>
      </c>
      <c r="C1756" s="20">
        <v>45768</v>
      </c>
      <c r="D1756" t="s">
        <v>5</v>
      </c>
      <c r="E1756" t="s">
        <v>6</v>
      </c>
      <c r="F1756" s="19"/>
      <c r="G1756" t="s">
        <v>4425</v>
      </c>
      <c r="H1756" t="s">
        <v>3660</v>
      </c>
      <c r="I1756" t="s">
        <v>3661</v>
      </c>
      <c r="J1756" s="8" t="str">
        <f t="shared" si="168"/>
        <v>BOX-</v>
      </c>
      <c r="K1756" t="s">
        <v>10</v>
      </c>
      <c r="L1756" s="46">
        <v>1010</v>
      </c>
      <c r="M1756" t="s">
        <v>1472</v>
      </c>
      <c r="N1756" t="s">
        <v>11</v>
      </c>
      <c r="O1756" s="49">
        <v>2.89</v>
      </c>
      <c r="P1756" s="9">
        <f t="shared" si="166"/>
        <v>2918.9</v>
      </c>
      <c r="Q1756" s="10">
        <f t="shared" si="169"/>
        <v>7.3003400000000003</v>
      </c>
      <c r="R1756" s="10">
        <f t="shared" si="170"/>
        <v>0.39589999999999997</v>
      </c>
      <c r="S1756" s="11">
        <f t="shared" si="171"/>
        <v>399.86</v>
      </c>
      <c r="T1756" s="10" t="s">
        <v>349</v>
      </c>
      <c r="U1756" t="s">
        <v>1</v>
      </c>
      <c r="V1756" s="58">
        <v>7.1775000000000002</v>
      </c>
      <c r="W1756" s="38">
        <f t="shared" si="167"/>
        <v>406.67363288052945</v>
      </c>
    </row>
    <row r="1757" spans="1:23" s="15" customFormat="1">
      <c r="A1757" t="s">
        <v>4056</v>
      </c>
      <c r="B1757" s="20">
        <v>45755</v>
      </c>
      <c r="C1757" s="20">
        <v>45749</v>
      </c>
      <c r="D1757" t="s">
        <v>5</v>
      </c>
      <c r="E1757" t="s">
        <v>6</v>
      </c>
      <c r="F1757" s="19"/>
      <c r="G1757" t="s">
        <v>4416</v>
      </c>
      <c r="H1757" t="s">
        <v>3662</v>
      </c>
      <c r="I1757" t="s">
        <v>3663</v>
      </c>
      <c r="J1757" s="8" t="str">
        <f t="shared" si="168"/>
        <v>SHTS</v>
      </c>
      <c r="K1757" t="s">
        <v>10</v>
      </c>
      <c r="L1757" s="46">
        <v>1010</v>
      </c>
      <c r="M1757" t="s">
        <v>1472</v>
      </c>
      <c r="N1757" t="s">
        <v>11</v>
      </c>
      <c r="O1757" s="49">
        <v>2.92</v>
      </c>
      <c r="P1757" s="9">
        <f t="shared" si="166"/>
        <v>2949.2</v>
      </c>
      <c r="Q1757" s="10">
        <f t="shared" si="169"/>
        <v>7.3003400000000003</v>
      </c>
      <c r="R1757" s="10">
        <f t="shared" si="170"/>
        <v>0.4</v>
      </c>
      <c r="S1757" s="11">
        <f t="shared" si="171"/>
        <v>404</v>
      </c>
      <c r="T1757" s="10" t="s">
        <v>349</v>
      </c>
      <c r="U1757" t="s">
        <v>9</v>
      </c>
      <c r="V1757" s="58">
        <v>7.1775000000000002</v>
      </c>
      <c r="W1757" s="38">
        <f t="shared" si="167"/>
        <v>410.8951584813654</v>
      </c>
    </row>
    <row r="1758" spans="1:23" s="15" customFormat="1">
      <c r="A1758" t="s">
        <v>4057</v>
      </c>
      <c r="B1758" s="20">
        <v>45765</v>
      </c>
      <c r="C1758" s="20">
        <v>45750</v>
      </c>
      <c r="D1758" t="s">
        <v>1006</v>
      </c>
      <c r="E1758" t="s">
        <v>1007</v>
      </c>
      <c r="F1758" s="19"/>
      <c r="G1758" t="s">
        <v>4426</v>
      </c>
      <c r="H1758" t="s">
        <v>1004</v>
      </c>
      <c r="I1758" t="s">
        <v>1005</v>
      </c>
      <c r="J1758" s="8" t="str">
        <f t="shared" si="168"/>
        <v>ALM-</v>
      </c>
      <c r="K1758" t="s">
        <v>98</v>
      </c>
      <c r="L1758" s="46">
        <v>558</v>
      </c>
      <c r="M1758" t="s">
        <v>186</v>
      </c>
      <c r="N1758" t="s">
        <v>11</v>
      </c>
      <c r="O1758" s="49">
        <v>2.9203999999999999</v>
      </c>
      <c r="P1758" s="9">
        <f t="shared" si="166"/>
        <v>1629.58</v>
      </c>
      <c r="Q1758" s="10">
        <f t="shared" si="169"/>
        <v>7.3003400000000003</v>
      </c>
      <c r="R1758" s="10">
        <f t="shared" si="170"/>
        <v>0.4</v>
      </c>
      <c r="S1758" s="11">
        <f t="shared" si="171"/>
        <v>223.2</v>
      </c>
      <c r="T1758" s="10" t="s">
        <v>349</v>
      </c>
      <c r="U1758" t="s">
        <v>191</v>
      </c>
      <c r="V1758" s="58">
        <v>7.1775000000000002</v>
      </c>
      <c r="W1758" s="38">
        <f t="shared" si="167"/>
        <v>227.04050156739811</v>
      </c>
    </row>
    <row r="1759" spans="1:23" s="15" customFormat="1">
      <c r="A1759" t="s">
        <v>4058</v>
      </c>
      <c r="B1759" s="20">
        <v>45765</v>
      </c>
      <c r="C1759" s="20">
        <v>45750</v>
      </c>
      <c r="D1759" t="s">
        <v>1006</v>
      </c>
      <c r="E1759" t="s">
        <v>1007</v>
      </c>
      <c r="F1759" s="19"/>
      <c r="G1759" t="s">
        <v>4426</v>
      </c>
      <c r="H1759" t="s">
        <v>1019</v>
      </c>
      <c r="I1759" t="s">
        <v>1020</v>
      </c>
      <c r="J1759" s="8" t="str">
        <f t="shared" si="168"/>
        <v>ALM-</v>
      </c>
      <c r="K1759" t="s">
        <v>98</v>
      </c>
      <c r="L1759" s="46">
        <v>2657</v>
      </c>
      <c r="M1759" t="s">
        <v>186</v>
      </c>
      <c r="N1759" t="s">
        <v>11</v>
      </c>
      <c r="O1759" s="49">
        <v>2.9203999999999999</v>
      </c>
      <c r="P1759" s="9">
        <f t="shared" si="166"/>
        <v>7759.5</v>
      </c>
      <c r="Q1759" s="10">
        <f t="shared" si="169"/>
        <v>7.3003400000000003</v>
      </c>
      <c r="R1759" s="10">
        <f t="shared" si="170"/>
        <v>0.4</v>
      </c>
      <c r="S1759" s="11">
        <f t="shared" si="171"/>
        <v>1062.8</v>
      </c>
      <c r="T1759" s="10" t="s">
        <v>349</v>
      </c>
      <c r="U1759" t="s">
        <v>191</v>
      </c>
      <c r="V1759" s="58">
        <v>7.1775000000000002</v>
      </c>
      <c r="W1759" s="38">
        <f t="shared" si="167"/>
        <v>1081.0871194705678</v>
      </c>
    </row>
    <row r="1760" spans="1:23" s="15" customFormat="1">
      <c r="A1760" t="s">
        <v>4059</v>
      </c>
      <c r="B1760" s="20">
        <v>45765</v>
      </c>
      <c r="C1760" s="20">
        <v>45750</v>
      </c>
      <c r="D1760" t="s">
        <v>1006</v>
      </c>
      <c r="E1760" t="s">
        <v>1007</v>
      </c>
      <c r="F1760" s="19"/>
      <c r="G1760" t="s">
        <v>4426</v>
      </c>
      <c r="H1760" t="s">
        <v>1699</v>
      </c>
      <c r="I1760" t="s">
        <v>1700</v>
      </c>
      <c r="J1760" s="8" t="str">
        <f t="shared" si="168"/>
        <v>ALM-</v>
      </c>
      <c r="K1760" t="s">
        <v>98</v>
      </c>
      <c r="L1760" s="46">
        <v>998</v>
      </c>
      <c r="M1760" t="s">
        <v>186</v>
      </c>
      <c r="N1760" t="s">
        <v>11</v>
      </c>
      <c r="O1760" s="49">
        <v>2.9203999999999999</v>
      </c>
      <c r="P1760" s="9">
        <f t="shared" si="166"/>
        <v>2914.56</v>
      </c>
      <c r="Q1760" s="10">
        <f t="shared" si="169"/>
        <v>7.3003400000000003</v>
      </c>
      <c r="R1760" s="10">
        <f t="shared" si="170"/>
        <v>0.4</v>
      </c>
      <c r="S1760" s="11">
        <f t="shared" si="171"/>
        <v>399.2</v>
      </c>
      <c r="T1760" s="10" t="s">
        <v>349</v>
      </c>
      <c r="U1760" t="s">
        <v>191</v>
      </c>
      <c r="V1760" s="58">
        <v>7.1775000000000002</v>
      </c>
      <c r="W1760" s="38">
        <f t="shared" si="167"/>
        <v>406.06885405781958</v>
      </c>
    </row>
    <row r="1761" spans="1:23" s="15" customFormat="1">
      <c r="A1761" t="s">
        <v>4060</v>
      </c>
      <c r="B1761" s="20">
        <v>45765</v>
      </c>
      <c r="C1761" s="20">
        <v>45750</v>
      </c>
      <c r="D1761" t="s">
        <v>1006</v>
      </c>
      <c r="E1761" t="s">
        <v>1007</v>
      </c>
      <c r="F1761" s="19"/>
      <c r="G1761" t="s">
        <v>4426</v>
      </c>
      <c r="H1761" t="s">
        <v>3664</v>
      </c>
      <c r="I1761" t="s">
        <v>3665</v>
      </c>
      <c r="J1761" s="8" t="str">
        <f t="shared" si="168"/>
        <v>ALM-</v>
      </c>
      <c r="K1761" t="s">
        <v>98</v>
      </c>
      <c r="L1761" s="46">
        <v>553</v>
      </c>
      <c r="M1761" t="s">
        <v>186</v>
      </c>
      <c r="N1761" t="s">
        <v>11</v>
      </c>
      <c r="O1761" s="49">
        <v>2.9203999999999999</v>
      </c>
      <c r="P1761" s="9">
        <f t="shared" si="166"/>
        <v>1614.98</v>
      </c>
      <c r="Q1761" s="10">
        <f t="shared" si="169"/>
        <v>7.3003400000000003</v>
      </c>
      <c r="R1761" s="10">
        <f t="shared" si="170"/>
        <v>0.4</v>
      </c>
      <c r="S1761" s="11">
        <f t="shared" si="171"/>
        <v>221.2</v>
      </c>
      <c r="T1761" s="10" t="s">
        <v>349</v>
      </c>
      <c r="U1761" t="s">
        <v>191</v>
      </c>
      <c r="V1761" s="58">
        <v>7.1775000000000002</v>
      </c>
      <c r="W1761" s="38">
        <f t="shared" si="167"/>
        <v>225.00608847091607</v>
      </c>
    </row>
    <row r="1762" spans="1:23" s="15" customFormat="1">
      <c r="A1762" t="s">
        <v>4061</v>
      </c>
      <c r="B1762" s="20">
        <v>45765</v>
      </c>
      <c r="C1762" s="20">
        <v>45750</v>
      </c>
      <c r="D1762" t="s">
        <v>1006</v>
      </c>
      <c r="E1762" t="s">
        <v>1007</v>
      </c>
      <c r="F1762" s="19"/>
      <c r="G1762" t="s">
        <v>4426</v>
      </c>
      <c r="H1762" t="s">
        <v>3197</v>
      </c>
      <c r="I1762" t="s">
        <v>3404</v>
      </c>
      <c r="J1762" s="8" t="str">
        <f t="shared" si="168"/>
        <v>ALM-</v>
      </c>
      <c r="K1762" t="s">
        <v>98</v>
      </c>
      <c r="L1762" s="46">
        <v>521</v>
      </c>
      <c r="M1762" t="s">
        <v>186</v>
      </c>
      <c r="N1762" t="s">
        <v>11</v>
      </c>
      <c r="O1762" s="49">
        <v>2.9203999999999999</v>
      </c>
      <c r="P1762" s="9">
        <f t="shared" si="166"/>
        <v>1521.53</v>
      </c>
      <c r="Q1762" s="10">
        <f t="shared" si="169"/>
        <v>7.3003400000000003</v>
      </c>
      <c r="R1762" s="10">
        <f t="shared" si="170"/>
        <v>0.4</v>
      </c>
      <c r="S1762" s="11">
        <f t="shared" si="171"/>
        <v>208.4</v>
      </c>
      <c r="T1762" s="10" t="s">
        <v>349</v>
      </c>
      <c r="U1762" t="s">
        <v>191</v>
      </c>
      <c r="V1762" s="58">
        <v>7.1775000000000002</v>
      </c>
      <c r="W1762" s="38">
        <f t="shared" si="167"/>
        <v>211.98584465343086</v>
      </c>
    </row>
    <row r="1763" spans="1:23" s="15" customFormat="1">
      <c r="A1763" t="s">
        <v>4062</v>
      </c>
      <c r="B1763" s="20">
        <v>45765</v>
      </c>
      <c r="C1763" s="20">
        <v>45750</v>
      </c>
      <c r="D1763" t="s">
        <v>1006</v>
      </c>
      <c r="E1763" t="s">
        <v>1007</v>
      </c>
      <c r="F1763" s="19"/>
      <c r="G1763" t="s">
        <v>4426</v>
      </c>
      <c r="H1763" t="s">
        <v>3666</v>
      </c>
      <c r="I1763" t="s">
        <v>3667</v>
      </c>
      <c r="J1763" s="8" t="str">
        <f t="shared" si="168"/>
        <v>ALM-</v>
      </c>
      <c r="K1763" t="s">
        <v>98</v>
      </c>
      <c r="L1763" s="46">
        <v>1093</v>
      </c>
      <c r="M1763" t="s">
        <v>186</v>
      </c>
      <c r="N1763" t="s">
        <v>11</v>
      </c>
      <c r="O1763" s="49">
        <v>2.9203999999999999</v>
      </c>
      <c r="P1763" s="9">
        <f t="shared" si="166"/>
        <v>3192</v>
      </c>
      <c r="Q1763" s="10">
        <f t="shared" si="169"/>
        <v>7.3003400000000003</v>
      </c>
      <c r="R1763" s="10">
        <f t="shared" si="170"/>
        <v>0.4</v>
      </c>
      <c r="S1763" s="11">
        <f t="shared" si="171"/>
        <v>437.2</v>
      </c>
      <c r="T1763" s="10" t="s">
        <v>349</v>
      </c>
      <c r="U1763" t="s">
        <v>191</v>
      </c>
      <c r="V1763" s="58">
        <v>7.1775000000000002</v>
      </c>
      <c r="W1763" s="38">
        <f t="shared" si="167"/>
        <v>444.72270289097872</v>
      </c>
    </row>
    <row r="1764" spans="1:23" s="15" customFormat="1">
      <c r="A1764" t="s">
        <v>4063</v>
      </c>
      <c r="B1764" s="20">
        <v>45777</v>
      </c>
      <c r="C1764" s="20">
        <v>45763</v>
      </c>
      <c r="D1764" t="s">
        <v>1006</v>
      </c>
      <c r="E1764" t="s">
        <v>1007</v>
      </c>
      <c r="F1764" s="19"/>
      <c r="G1764" t="s">
        <v>4427</v>
      </c>
      <c r="H1764" t="s">
        <v>1010</v>
      </c>
      <c r="I1764" t="s">
        <v>1011</v>
      </c>
      <c r="J1764" s="8" t="str">
        <f t="shared" si="168"/>
        <v>ALM-</v>
      </c>
      <c r="K1764" t="s">
        <v>98</v>
      </c>
      <c r="L1764" s="46">
        <v>955</v>
      </c>
      <c r="M1764" t="s">
        <v>186</v>
      </c>
      <c r="N1764" t="s">
        <v>11</v>
      </c>
      <c r="O1764" s="49">
        <v>2.9203999999999999</v>
      </c>
      <c r="P1764" s="9">
        <f t="shared" si="166"/>
        <v>2788.98</v>
      </c>
      <c r="Q1764" s="10">
        <f t="shared" si="169"/>
        <v>7.3003400000000003</v>
      </c>
      <c r="R1764" s="10">
        <f t="shared" si="170"/>
        <v>0.4</v>
      </c>
      <c r="S1764" s="11">
        <f t="shared" si="171"/>
        <v>382</v>
      </c>
      <c r="T1764" s="10" t="s">
        <v>349</v>
      </c>
      <c r="U1764" t="s">
        <v>191</v>
      </c>
      <c r="V1764" s="58">
        <v>7.1775000000000002</v>
      </c>
      <c r="W1764" s="38">
        <f t="shared" si="167"/>
        <v>388.57290142807386</v>
      </c>
    </row>
    <row r="1765" spans="1:23" s="15" customFormat="1">
      <c r="A1765" t="s">
        <v>4064</v>
      </c>
      <c r="B1765" s="20">
        <v>45777</v>
      </c>
      <c r="C1765" s="20">
        <v>45763</v>
      </c>
      <c r="D1765" t="s">
        <v>1006</v>
      </c>
      <c r="E1765" t="s">
        <v>1007</v>
      </c>
      <c r="F1765" s="19"/>
      <c r="G1765" t="s">
        <v>4427</v>
      </c>
      <c r="H1765" t="s">
        <v>3664</v>
      </c>
      <c r="I1765" t="s">
        <v>3665</v>
      </c>
      <c r="J1765" s="8" t="str">
        <f t="shared" si="168"/>
        <v>ALM-</v>
      </c>
      <c r="K1765" t="s">
        <v>98</v>
      </c>
      <c r="L1765" s="46">
        <v>1364</v>
      </c>
      <c r="M1765" t="s">
        <v>186</v>
      </c>
      <c r="N1765" t="s">
        <v>11</v>
      </c>
      <c r="O1765" s="49">
        <v>2.9203999999999999</v>
      </c>
      <c r="P1765" s="9">
        <f t="shared" si="166"/>
        <v>3983.43</v>
      </c>
      <c r="Q1765" s="10">
        <f t="shared" si="169"/>
        <v>7.3003400000000003</v>
      </c>
      <c r="R1765" s="10">
        <f t="shared" si="170"/>
        <v>0.4</v>
      </c>
      <c r="S1765" s="11">
        <f t="shared" si="171"/>
        <v>545.6</v>
      </c>
      <c r="T1765" s="10" t="s">
        <v>349</v>
      </c>
      <c r="U1765" t="s">
        <v>191</v>
      </c>
      <c r="V1765" s="58">
        <v>7.1775000000000002</v>
      </c>
      <c r="W1765" s="38">
        <f t="shared" si="167"/>
        <v>554.98789272030649</v>
      </c>
    </row>
    <row r="1766" spans="1:23" s="15" customFormat="1">
      <c r="A1766" t="s">
        <v>4065</v>
      </c>
      <c r="B1766" s="20">
        <v>45777</v>
      </c>
      <c r="C1766" s="20">
        <v>45763</v>
      </c>
      <c r="D1766" t="s">
        <v>1006</v>
      </c>
      <c r="E1766" t="s">
        <v>1007</v>
      </c>
      <c r="F1766" s="19"/>
      <c r="G1766" t="s">
        <v>4427</v>
      </c>
      <c r="H1766" t="s">
        <v>3257</v>
      </c>
      <c r="I1766" t="s">
        <v>3464</v>
      </c>
      <c r="J1766" s="8" t="str">
        <f t="shared" si="168"/>
        <v>ALM-</v>
      </c>
      <c r="K1766" t="s">
        <v>98</v>
      </c>
      <c r="L1766" s="46">
        <v>559</v>
      </c>
      <c r="M1766" t="s">
        <v>186</v>
      </c>
      <c r="N1766" t="s">
        <v>11</v>
      </c>
      <c r="O1766" s="49">
        <v>2.9203999999999999</v>
      </c>
      <c r="P1766" s="9">
        <f t="shared" si="166"/>
        <v>1632.5</v>
      </c>
      <c r="Q1766" s="10">
        <f t="shared" si="169"/>
        <v>7.3003400000000003</v>
      </c>
      <c r="R1766" s="10">
        <f t="shared" si="170"/>
        <v>0.4</v>
      </c>
      <c r="S1766" s="11">
        <f t="shared" si="171"/>
        <v>223.6</v>
      </c>
      <c r="T1766" s="10" t="s">
        <v>349</v>
      </c>
      <c r="U1766" t="s">
        <v>191</v>
      </c>
      <c r="V1766" s="58">
        <v>7.1775000000000002</v>
      </c>
      <c r="W1766" s="38">
        <f t="shared" si="167"/>
        <v>227.44738418669453</v>
      </c>
    </row>
    <row r="1767" spans="1:23" s="15" customFormat="1">
      <c r="A1767" t="s">
        <v>4066</v>
      </c>
      <c r="B1767" s="20">
        <v>45777</v>
      </c>
      <c r="C1767" s="20">
        <v>45763</v>
      </c>
      <c r="D1767" t="s">
        <v>1006</v>
      </c>
      <c r="E1767" t="s">
        <v>1007</v>
      </c>
      <c r="F1767" s="19"/>
      <c r="G1767" t="s">
        <v>4427</v>
      </c>
      <c r="H1767" t="s">
        <v>3196</v>
      </c>
      <c r="I1767" t="s">
        <v>3403</v>
      </c>
      <c r="J1767" s="8" t="str">
        <f t="shared" si="168"/>
        <v>ALM-</v>
      </c>
      <c r="K1767" t="s">
        <v>98</v>
      </c>
      <c r="L1767" s="46">
        <v>1873</v>
      </c>
      <c r="M1767" t="s">
        <v>186</v>
      </c>
      <c r="N1767" t="s">
        <v>11</v>
      </c>
      <c r="O1767" s="49">
        <v>2.9203999999999999</v>
      </c>
      <c r="P1767" s="9">
        <f t="shared" si="166"/>
        <v>5469.91</v>
      </c>
      <c r="Q1767" s="10">
        <f t="shared" si="169"/>
        <v>7.3003400000000003</v>
      </c>
      <c r="R1767" s="10">
        <f t="shared" si="170"/>
        <v>0.4</v>
      </c>
      <c r="S1767" s="11">
        <f t="shared" si="171"/>
        <v>749.2</v>
      </c>
      <c r="T1767" s="10" t="s">
        <v>349</v>
      </c>
      <c r="U1767" t="s">
        <v>191</v>
      </c>
      <c r="V1767" s="58">
        <v>7.1775000000000002</v>
      </c>
      <c r="W1767" s="38">
        <f t="shared" si="167"/>
        <v>762.09114594218045</v>
      </c>
    </row>
    <row r="1768" spans="1:23" s="15" customFormat="1">
      <c r="A1768" t="s">
        <v>4067</v>
      </c>
      <c r="B1768" s="20">
        <v>45777</v>
      </c>
      <c r="C1768" s="20">
        <v>45763</v>
      </c>
      <c r="D1768" t="s">
        <v>1006</v>
      </c>
      <c r="E1768" t="s">
        <v>1007</v>
      </c>
      <c r="F1768" s="19"/>
      <c r="G1768" t="s">
        <v>4427</v>
      </c>
      <c r="H1768" t="s">
        <v>3668</v>
      </c>
      <c r="I1768" t="s">
        <v>3669</v>
      </c>
      <c r="J1768" s="8" t="str">
        <f t="shared" si="168"/>
        <v>ALM-</v>
      </c>
      <c r="K1768" t="s">
        <v>98</v>
      </c>
      <c r="L1768" s="46">
        <v>545</v>
      </c>
      <c r="M1768" t="s">
        <v>186</v>
      </c>
      <c r="N1768" t="s">
        <v>11</v>
      </c>
      <c r="O1768" s="49">
        <v>2.9203999999999999</v>
      </c>
      <c r="P1768" s="9">
        <f t="shared" si="166"/>
        <v>1591.62</v>
      </c>
      <c r="Q1768" s="10">
        <f t="shared" si="169"/>
        <v>7.3003400000000003</v>
      </c>
      <c r="R1768" s="10">
        <f t="shared" si="170"/>
        <v>0.4</v>
      </c>
      <c r="S1768" s="11">
        <f t="shared" si="171"/>
        <v>218</v>
      </c>
      <c r="T1768" s="10" t="s">
        <v>349</v>
      </c>
      <c r="U1768" t="s">
        <v>191</v>
      </c>
      <c r="V1768" s="58">
        <v>7.1775000000000002</v>
      </c>
      <c r="W1768" s="38">
        <f t="shared" si="167"/>
        <v>221.75102751654475</v>
      </c>
    </row>
    <row r="1769" spans="1:23" s="15" customFormat="1">
      <c r="A1769" t="s">
        <v>4068</v>
      </c>
      <c r="B1769" s="20">
        <v>45777</v>
      </c>
      <c r="C1769" s="20">
        <v>45763</v>
      </c>
      <c r="D1769" t="s">
        <v>1006</v>
      </c>
      <c r="E1769" t="s">
        <v>1007</v>
      </c>
      <c r="F1769" s="19"/>
      <c r="G1769" t="s">
        <v>4427</v>
      </c>
      <c r="H1769" t="s">
        <v>3268</v>
      </c>
      <c r="I1769" t="s">
        <v>3475</v>
      </c>
      <c r="J1769" s="8" t="str">
        <f t="shared" si="168"/>
        <v>ALM-</v>
      </c>
      <c r="K1769" t="s">
        <v>98</v>
      </c>
      <c r="L1769" s="46">
        <v>1004</v>
      </c>
      <c r="M1769" t="s">
        <v>186</v>
      </c>
      <c r="N1769" t="s">
        <v>11</v>
      </c>
      <c r="O1769" s="49">
        <v>2.9203999999999999</v>
      </c>
      <c r="P1769" s="9">
        <f t="shared" si="166"/>
        <v>2932.08</v>
      </c>
      <c r="Q1769" s="10">
        <f t="shared" si="169"/>
        <v>7.3003400000000003</v>
      </c>
      <c r="R1769" s="10">
        <f t="shared" si="170"/>
        <v>0.4</v>
      </c>
      <c r="S1769" s="11">
        <f t="shared" si="171"/>
        <v>401.6</v>
      </c>
      <c r="T1769" s="10" t="s">
        <v>349</v>
      </c>
      <c r="U1769" t="s">
        <v>191</v>
      </c>
      <c r="V1769" s="58">
        <v>7.1775000000000002</v>
      </c>
      <c r="W1769" s="38">
        <f t="shared" si="167"/>
        <v>408.51014977359807</v>
      </c>
    </row>
    <row r="1770" spans="1:23" s="15" customFormat="1">
      <c r="A1770" t="s">
        <v>4069</v>
      </c>
      <c r="B1770" s="20">
        <v>45777</v>
      </c>
      <c r="C1770" s="20">
        <v>45763</v>
      </c>
      <c r="D1770" t="s">
        <v>1006</v>
      </c>
      <c r="E1770" t="s">
        <v>1007</v>
      </c>
      <c r="F1770" s="19"/>
      <c r="G1770" t="s">
        <v>4427</v>
      </c>
      <c r="H1770" t="s">
        <v>3198</v>
      </c>
      <c r="I1770" t="s">
        <v>3405</v>
      </c>
      <c r="J1770" s="8" t="str">
        <f t="shared" si="168"/>
        <v>ALM-</v>
      </c>
      <c r="K1770" t="s">
        <v>98</v>
      </c>
      <c r="L1770" s="46">
        <v>707</v>
      </c>
      <c r="M1770" t="s">
        <v>186</v>
      </c>
      <c r="N1770" t="s">
        <v>11</v>
      </c>
      <c r="O1770" s="49">
        <v>2.9203999999999999</v>
      </c>
      <c r="P1770" s="9">
        <f t="shared" si="166"/>
        <v>2064.7199999999998</v>
      </c>
      <c r="Q1770" s="10">
        <f t="shared" si="169"/>
        <v>7.3003400000000003</v>
      </c>
      <c r="R1770" s="10">
        <f t="shared" si="170"/>
        <v>0.4</v>
      </c>
      <c r="S1770" s="11">
        <f t="shared" si="171"/>
        <v>282.8</v>
      </c>
      <c r="T1770" s="10" t="s">
        <v>349</v>
      </c>
      <c r="U1770" t="s">
        <v>191</v>
      </c>
      <c r="V1770" s="58">
        <v>7.1775000000000002</v>
      </c>
      <c r="W1770" s="38">
        <f t="shared" si="167"/>
        <v>287.66601184256359</v>
      </c>
    </row>
    <row r="1771" spans="1:23" s="15" customFormat="1">
      <c r="A1771" t="s">
        <v>4070</v>
      </c>
      <c r="B1771" s="20">
        <v>45777</v>
      </c>
      <c r="C1771" s="20">
        <v>45763</v>
      </c>
      <c r="D1771" t="s">
        <v>1006</v>
      </c>
      <c r="E1771" t="s">
        <v>1007</v>
      </c>
      <c r="F1771" s="19"/>
      <c r="G1771" t="s">
        <v>4427</v>
      </c>
      <c r="H1771" t="s">
        <v>3670</v>
      </c>
      <c r="I1771" t="s">
        <v>3671</v>
      </c>
      <c r="J1771" s="8" t="str">
        <f t="shared" si="168"/>
        <v>ALM-</v>
      </c>
      <c r="K1771" t="s">
        <v>98</v>
      </c>
      <c r="L1771" s="46">
        <v>984</v>
      </c>
      <c r="M1771" t="s">
        <v>186</v>
      </c>
      <c r="N1771" t="s">
        <v>11</v>
      </c>
      <c r="O1771" s="49">
        <v>2.9203999999999999</v>
      </c>
      <c r="P1771" s="9">
        <f t="shared" si="166"/>
        <v>2873.67</v>
      </c>
      <c r="Q1771" s="10">
        <f t="shared" si="169"/>
        <v>7.3003400000000003</v>
      </c>
      <c r="R1771" s="10">
        <f t="shared" si="170"/>
        <v>0.4</v>
      </c>
      <c r="S1771" s="11">
        <f t="shared" si="171"/>
        <v>393.6</v>
      </c>
      <c r="T1771" s="10" t="s">
        <v>349</v>
      </c>
      <c r="U1771" t="s">
        <v>191</v>
      </c>
      <c r="V1771" s="58">
        <v>7.1775000000000002</v>
      </c>
      <c r="W1771" s="38">
        <f t="shared" si="167"/>
        <v>400.3724973876698</v>
      </c>
    </row>
    <row r="1772" spans="1:23" s="15" customFormat="1">
      <c r="A1772" t="s">
        <v>4071</v>
      </c>
      <c r="B1772" s="20">
        <v>45769</v>
      </c>
      <c r="C1772" s="20">
        <v>45764</v>
      </c>
      <c r="D1772" t="s">
        <v>5</v>
      </c>
      <c r="E1772" t="s">
        <v>6</v>
      </c>
      <c r="F1772" s="19"/>
      <c r="G1772" t="s">
        <v>4428</v>
      </c>
      <c r="H1772" t="s">
        <v>3672</v>
      </c>
      <c r="I1772" t="s">
        <v>3673</v>
      </c>
      <c r="J1772" s="8" t="str">
        <f t="shared" si="168"/>
        <v>BOX-</v>
      </c>
      <c r="K1772" t="s">
        <v>10</v>
      </c>
      <c r="L1772" s="46">
        <v>1010</v>
      </c>
      <c r="M1772" t="s">
        <v>1472</v>
      </c>
      <c r="N1772" t="s">
        <v>11</v>
      </c>
      <c r="O1772" s="49">
        <v>2.98</v>
      </c>
      <c r="P1772" s="9">
        <f t="shared" si="166"/>
        <v>3009.8</v>
      </c>
      <c r="Q1772" s="10">
        <f t="shared" si="169"/>
        <v>7.3003400000000003</v>
      </c>
      <c r="R1772" s="10">
        <f t="shared" si="170"/>
        <v>0.40820000000000001</v>
      </c>
      <c r="S1772" s="11">
        <f t="shared" si="171"/>
        <v>412.28</v>
      </c>
      <c r="T1772" s="10" t="s">
        <v>349</v>
      </c>
      <c r="U1772" t="s">
        <v>1</v>
      </c>
      <c r="V1772" s="58">
        <v>7.1775000000000002</v>
      </c>
      <c r="W1772" s="38">
        <f t="shared" si="167"/>
        <v>419.33820968303723</v>
      </c>
    </row>
    <row r="1773" spans="1:23" s="15" customFormat="1">
      <c r="A1773" t="s">
        <v>4072</v>
      </c>
      <c r="B1773" s="20">
        <v>45764</v>
      </c>
      <c r="C1773" s="20">
        <v>45761</v>
      </c>
      <c r="D1773" t="s">
        <v>5</v>
      </c>
      <c r="E1773" t="s">
        <v>6</v>
      </c>
      <c r="F1773" s="19"/>
      <c r="G1773" t="s">
        <v>4409</v>
      </c>
      <c r="H1773" t="s">
        <v>499</v>
      </c>
      <c r="I1773" t="s">
        <v>500</v>
      </c>
      <c r="J1773" s="8" t="str">
        <f t="shared" si="168"/>
        <v>SHTS</v>
      </c>
      <c r="K1773" t="s">
        <v>10</v>
      </c>
      <c r="L1773" s="46">
        <v>1010</v>
      </c>
      <c r="M1773" t="s">
        <v>1472</v>
      </c>
      <c r="N1773" t="s">
        <v>11</v>
      </c>
      <c r="O1773" s="49">
        <v>2.99</v>
      </c>
      <c r="P1773" s="9">
        <f t="shared" si="166"/>
        <v>3019.9</v>
      </c>
      <c r="Q1773" s="10">
        <f t="shared" si="169"/>
        <v>7.3003400000000003</v>
      </c>
      <c r="R1773" s="10">
        <f t="shared" si="170"/>
        <v>0.40960000000000002</v>
      </c>
      <c r="S1773" s="11">
        <f t="shared" si="171"/>
        <v>413.7</v>
      </c>
      <c r="T1773" s="10" t="s">
        <v>349</v>
      </c>
      <c r="U1773" t="s">
        <v>9</v>
      </c>
      <c r="V1773" s="58">
        <v>7.1775000000000002</v>
      </c>
      <c r="W1773" s="38">
        <f t="shared" si="167"/>
        <v>420.74538488331592</v>
      </c>
    </row>
    <row r="1774" spans="1:23" s="15" customFormat="1">
      <c r="A1774" t="s">
        <v>4073</v>
      </c>
      <c r="B1774" s="20">
        <v>45776</v>
      </c>
      <c r="C1774" s="20">
        <v>45748</v>
      </c>
      <c r="D1774" t="s">
        <v>569</v>
      </c>
      <c r="E1774" t="s">
        <v>570</v>
      </c>
      <c r="F1774" s="19"/>
      <c r="G1774" t="s">
        <v>4386</v>
      </c>
      <c r="H1774" t="s">
        <v>1521</v>
      </c>
      <c r="I1774" t="s">
        <v>1522</v>
      </c>
      <c r="J1774" s="8" t="str">
        <f t="shared" si="168"/>
        <v>ANYD</v>
      </c>
      <c r="K1774" t="s">
        <v>10</v>
      </c>
      <c r="L1774" s="46">
        <v>8000</v>
      </c>
      <c r="M1774" t="s">
        <v>1472</v>
      </c>
      <c r="N1774" t="s">
        <v>11</v>
      </c>
      <c r="O1774" s="49">
        <v>3.0070000000000001</v>
      </c>
      <c r="P1774" s="9">
        <f t="shared" si="166"/>
        <v>24056</v>
      </c>
      <c r="Q1774" s="10">
        <f t="shared" si="169"/>
        <v>7.3003400000000003</v>
      </c>
      <c r="R1774" s="10">
        <f t="shared" si="170"/>
        <v>0.41189999999999999</v>
      </c>
      <c r="S1774" s="11">
        <f t="shared" si="171"/>
        <v>3295.2</v>
      </c>
      <c r="T1774" s="10" t="s">
        <v>349</v>
      </c>
      <c r="U1774" t="s">
        <v>36</v>
      </c>
      <c r="V1774" s="58">
        <v>7.1775000000000002</v>
      </c>
      <c r="W1774" s="38">
        <f t="shared" si="167"/>
        <v>3351.5848136537793</v>
      </c>
    </row>
    <row r="1775" spans="1:23" s="15" customFormat="1">
      <c r="A1775" t="s">
        <v>4074</v>
      </c>
      <c r="B1775" s="20">
        <v>45769</v>
      </c>
      <c r="C1775" s="20">
        <v>45768</v>
      </c>
      <c r="D1775" t="s">
        <v>5</v>
      </c>
      <c r="E1775" t="s">
        <v>6</v>
      </c>
      <c r="F1775" s="19"/>
      <c r="G1775" t="s">
        <v>4425</v>
      </c>
      <c r="H1775" t="s">
        <v>3674</v>
      </c>
      <c r="I1775" t="s">
        <v>3675</v>
      </c>
      <c r="J1775" s="8" t="str">
        <f t="shared" si="168"/>
        <v>SHTS</v>
      </c>
      <c r="K1775" t="s">
        <v>10</v>
      </c>
      <c r="L1775" s="46">
        <v>1010</v>
      </c>
      <c r="M1775" t="s">
        <v>1472</v>
      </c>
      <c r="N1775" t="s">
        <v>11</v>
      </c>
      <c r="O1775" s="49">
        <v>3.01</v>
      </c>
      <c r="P1775" s="9">
        <f t="shared" si="166"/>
        <v>3040.1</v>
      </c>
      <c r="Q1775" s="10">
        <f t="shared" si="169"/>
        <v>7.3003400000000003</v>
      </c>
      <c r="R1775" s="10">
        <f t="shared" si="170"/>
        <v>0.4123</v>
      </c>
      <c r="S1775" s="11">
        <f t="shared" si="171"/>
        <v>416.42</v>
      </c>
      <c r="T1775" s="10" t="s">
        <v>349</v>
      </c>
      <c r="U1775" t="s">
        <v>9</v>
      </c>
      <c r="V1775" s="58">
        <v>7.1775000000000002</v>
      </c>
      <c r="W1775" s="38">
        <f t="shared" si="167"/>
        <v>423.55973528387318</v>
      </c>
    </row>
    <row r="1776" spans="1:23" s="15" customFormat="1">
      <c r="A1776" t="s">
        <v>4075</v>
      </c>
      <c r="B1776" s="20">
        <v>45755</v>
      </c>
      <c r="C1776" s="20">
        <v>45729</v>
      </c>
      <c r="D1776" t="s">
        <v>149</v>
      </c>
      <c r="E1776" t="s">
        <v>150</v>
      </c>
      <c r="F1776" s="19"/>
      <c r="G1776" t="s">
        <v>4424</v>
      </c>
      <c r="H1776" t="s">
        <v>1709</v>
      </c>
      <c r="I1776" t="s">
        <v>1710</v>
      </c>
      <c r="J1776" s="8" t="str">
        <f t="shared" si="168"/>
        <v>GLID</v>
      </c>
      <c r="K1776" t="s">
        <v>10</v>
      </c>
      <c r="L1776" s="46">
        <v>1010</v>
      </c>
      <c r="M1776" t="s">
        <v>1472</v>
      </c>
      <c r="N1776" t="s">
        <v>11</v>
      </c>
      <c r="O1776" s="49">
        <v>3.0331000000000001</v>
      </c>
      <c r="P1776" s="9">
        <f t="shared" si="166"/>
        <v>3063.43</v>
      </c>
      <c r="Q1776" s="10">
        <f t="shared" si="169"/>
        <v>7.3003400000000003</v>
      </c>
      <c r="R1776" s="10">
        <f t="shared" si="170"/>
        <v>0.41549999999999998</v>
      </c>
      <c r="S1776" s="11">
        <f t="shared" si="171"/>
        <v>419.66</v>
      </c>
      <c r="T1776" s="10" t="s">
        <v>349</v>
      </c>
      <c r="U1776" t="s">
        <v>78</v>
      </c>
      <c r="V1776" s="58">
        <v>7.1775000000000002</v>
      </c>
      <c r="W1776" s="38">
        <f t="shared" si="167"/>
        <v>426.81030999651688</v>
      </c>
    </row>
    <row r="1777" spans="1:23" s="15" customFormat="1">
      <c r="A1777" t="s">
        <v>4076</v>
      </c>
      <c r="B1777" s="20">
        <v>45772</v>
      </c>
      <c r="C1777" s="20">
        <v>45758</v>
      </c>
      <c r="D1777" t="s">
        <v>709</v>
      </c>
      <c r="E1777" t="s">
        <v>710</v>
      </c>
      <c r="F1777" s="19"/>
      <c r="G1777" t="s">
        <v>4405</v>
      </c>
      <c r="H1777" t="s">
        <v>3676</v>
      </c>
      <c r="I1777" t="s">
        <v>3677</v>
      </c>
      <c r="J1777" s="8" t="str">
        <f t="shared" si="168"/>
        <v>SHDL</v>
      </c>
      <c r="K1777" t="s">
        <v>10</v>
      </c>
      <c r="L1777" s="46">
        <v>48</v>
      </c>
      <c r="M1777" t="s">
        <v>1472</v>
      </c>
      <c r="N1777" t="s">
        <v>11</v>
      </c>
      <c r="O1777" s="49">
        <v>3.0712999999999999</v>
      </c>
      <c r="P1777" s="9">
        <f t="shared" si="166"/>
        <v>147.41999999999999</v>
      </c>
      <c r="Q1777" s="10">
        <f t="shared" si="169"/>
        <v>7.3003400000000003</v>
      </c>
      <c r="R1777" s="10">
        <f t="shared" si="170"/>
        <v>0.42070000000000002</v>
      </c>
      <c r="S1777" s="11">
        <f t="shared" si="171"/>
        <v>20.190000000000001</v>
      </c>
      <c r="T1777" s="10" t="s">
        <v>349</v>
      </c>
      <c r="U1777" t="s">
        <v>722</v>
      </c>
      <c r="V1777" s="58">
        <v>7.1775000000000002</v>
      </c>
      <c r="W1777" s="38">
        <f t="shared" si="167"/>
        <v>20.539519331243469</v>
      </c>
    </row>
    <row r="1778" spans="1:23" s="15" customFormat="1">
      <c r="A1778" t="s">
        <v>4077</v>
      </c>
      <c r="B1778" s="20">
        <v>45755</v>
      </c>
      <c r="C1778" s="20">
        <v>45714</v>
      </c>
      <c r="D1778" t="s">
        <v>5</v>
      </c>
      <c r="E1778" t="s">
        <v>6</v>
      </c>
      <c r="F1778" s="19"/>
      <c r="G1778" t="s">
        <v>4413</v>
      </c>
      <c r="H1778" t="s">
        <v>518</v>
      </c>
      <c r="I1778" t="s">
        <v>519</v>
      </c>
      <c r="J1778" s="8" t="str">
        <f t="shared" si="168"/>
        <v>SHTS</v>
      </c>
      <c r="K1778" t="s">
        <v>10</v>
      </c>
      <c r="L1778" s="46">
        <v>505</v>
      </c>
      <c r="M1778" t="s">
        <v>1472</v>
      </c>
      <c r="N1778" t="s">
        <v>11</v>
      </c>
      <c r="O1778" s="49">
        <v>3.08</v>
      </c>
      <c r="P1778" s="9">
        <f t="shared" si="166"/>
        <v>1555.4</v>
      </c>
      <c r="Q1778" s="10">
        <f t="shared" si="169"/>
        <v>7.3003400000000003</v>
      </c>
      <c r="R1778" s="10">
        <f t="shared" si="170"/>
        <v>0.4219</v>
      </c>
      <c r="S1778" s="11">
        <f t="shared" si="171"/>
        <v>213.06</v>
      </c>
      <c r="T1778" s="10" t="s">
        <v>349</v>
      </c>
      <c r="U1778" t="s">
        <v>9</v>
      </c>
      <c r="V1778" s="58">
        <v>7.1775000000000002</v>
      </c>
      <c r="W1778" s="38">
        <f t="shared" si="167"/>
        <v>216.70498084291188</v>
      </c>
    </row>
    <row r="1779" spans="1:23" s="15" customFormat="1">
      <c r="A1779" t="s">
        <v>4078</v>
      </c>
      <c r="B1779" s="20">
        <v>45765</v>
      </c>
      <c r="C1779" s="20">
        <v>45750</v>
      </c>
      <c r="D1779" t="s">
        <v>1006</v>
      </c>
      <c r="E1779" t="s">
        <v>1007</v>
      </c>
      <c r="F1779" s="19"/>
      <c r="G1779" t="s">
        <v>4426</v>
      </c>
      <c r="H1779" t="s">
        <v>1013</v>
      </c>
      <c r="I1779" t="s">
        <v>1014</v>
      </c>
      <c r="J1779" s="8" t="str">
        <f t="shared" si="168"/>
        <v>ALM-</v>
      </c>
      <c r="K1779" t="s">
        <v>98</v>
      </c>
      <c r="L1779" s="46">
        <v>558</v>
      </c>
      <c r="M1779" t="s">
        <v>186</v>
      </c>
      <c r="N1779" t="s">
        <v>11</v>
      </c>
      <c r="O1779" s="49">
        <v>3.0973000000000002</v>
      </c>
      <c r="P1779" s="9">
        <f t="shared" si="166"/>
        <v>1728.29</v>
      </c>
      <c r="Q1779" s="10">
        <f t="shared" si="169"/>
        <v>7.3003400000000003</v>
      </c>
      <c r="R1779" s="10">
        <f t="shared" si="170"/>
        <v>0.42430000000000001</v>
      </c>
      <c r="S1779" s="11">
        <f t="shared" si="171"/>
        <v>236.76</v>
      </c>
      <c r="T1779" s="10" t="s">
        <v>349</v>
      </c>
      <c r="U1779" t="s">
        <v>191</v>
      </c>
      <c r="V1779" s="58">
        <v>7.1775000000000002</v>
      </c>
      <c r="W1779" s="38">
        <f t="shared" si="167"/>
        <v>240.79322884012538</v>
      </c>
    </row>
    <row r="1780" spans="1:23" s="15" customFormat="1">
      <c r="A1780" t="s">
        <v>4079</v>
      </c>
      <c r="B1780" s="20">
        <v>45765</v>
      </c>
      <c r="C1780" s="20">
        <v>45750</v>
      </c>
      <c r="D1780" t="s">
        <v>1006</v>
      </c>
      <c r="E1780" t="s">
        <v>1007</v>
      </c>
      <c r="F1780" s="19"/>
      <c r="G1780" t="s">
        <v>4426</v>
      </c>
      <c r="H1780" t="s">
        <v>1016</v>
      </c>
      <c r="I1780" t="s">
        <v>1017</v>
      </c>
      <c r="J1780" s="8" t="str">
        <f t="shared" si="168"/>
        <v>ALM-</v>
      </c>
      <c r="K1780" t="s">
        <v>98</v>
      </c>
      <c r="L1780" s="46">
        <v>1783</v>
      </c>
      <c r="M1780" t="s">
        <v>186</v>
      </c>
      <c r="N1780" t="s">
        <v>11</v>
      </c>
      <c r="O1780" s="49">
        <v>3.0973000000000002</v>
      </c>
      <c r="P1780" s="9">
        <f t="shared" si="166"/>
        <v>5522.49</v>
      </c>
      <c r="Q1780" s="10">
        <f t="shared" si="169"/>
        <v>7.3003400000000003</v>
      </c>
      <c r="R1780" s="10">
        <f t="shared" si="170"/>
        <v>0.42430000000000001</v>
      </c>
      <c r="S1780" s="11">
        <f t="shared" si="171"/>
        <v>756.53</v>
      </c>
      <c r="T1780" s="10" t="s">
        <v>349</v>
      </c>
      <c r="U1780" t="s">
        <v>191</v>
      </c>
      <c r="V1780" s="58">
        <v>7.1775000000000002</v>
      </c>
      <c r="W1780" s="38">
        <f t="shared" si="167"/>
        <v>769.41635667014975</v>
      </c>
    </row>
    <row r="1781" spans="1:23" s="15" customFormat="1">
      <c r="A1781" t="s">
        <v>4080</v>
      </c>
      <c r="B1781" s="20">
        <v>45765</v>
      </c>
      <c r="C1781" s="20">
        <v>45750</v>
      </c>
      <c r="D1781" t="s">
        <v>1006</v>
      </c>
      <c r="E1781" t="s">
        <v>1007</v>
      </c>
      <c r="F1781" s="19"/>
      <c r="G1781" t="s">
        <v>4426</v>
      </c>
      <c r="H1781" t="s">
        <v>3678</v>
      </c>
      <c r="I1781" t="s">
        <v>3679</v>
      </c>
      <c r="J1781" s="8" t="str">
        <f t="shared" si="168"/>
        <v>ALM-</v>
      </c>
      <c r="K1781" t="s">
        <v>98</v>
      </c>
      <c r="L1781" s="46">
        <v>577</v>
      </c>
      <c r="M1781" t="s">
        <v>186</v>
      </c>
      <c r="N1781" t="s">
        <v>11</v>
      </c>
      <c r="O1781" s="49">
        <v>3.0973000000000002</v>
      </c>
      <c r="P1781" s="9">
        <f t="shared" si="166"/>
        <v>1787.14</v>
      </c>
      <c r="Q1781" s="10">
        <f t="shared" si="169"/>
        <v>7.3003400000000003</v>
      </c>
      <c r="R1781" s="10">
        <f t="shared" si="170"/>
        <v>0.42430000000000001</v>
      </c>
      <c r="S1781" s="11">
        <f t="shared" si="171"/>
        <v>244.82</v>
      </c>
      <c r="T1781" s="10" t="s">
        <v>349</v>
      </c>
      <c r="U1781" t="s">
        <v>191</v>
      </c>
      <c r="V1781" s="58">
        <v>7.1775000000000002</v>
      </c>
      <c r="W1781" s="38">
        <f t="shared" si="167"/>
        <v>248.99228143504004</v>
      </c>
    </row>
    <row r="1782" spans="1:23" s="15" customFormat="1">
      <c r="A1782" t="s">
        <v>4081</v>
      </c>
      <c r="B1782" s="20">
        <v>45777</v>
      </c>
      <c r="C1782" s="20">
        <v>45763</v>
      </c>
      <c r="D1782" t="s">
        <v>1006</v>
      </c>
      <c r="E1782" t="s">
        <v>1007</v>
      </c>
      <c r="F1782" s="19"/>
      <c r="G1782" t="s">
        <v>4427</v>
      </c>
      <c r="H1782" t="s">
        <v>3678</v>
      </c>
      <c r="I1782" t="s">
        <v>3679</v>
      </c>
      <c r="J1782" s="8" t="str">
        <f t="shared" si="168"/>
        <v>ALM-</v>
      </c>
      <c r="K1782" t="s">
        <v>98</v>
      </c>
      <c r="L1782" s="46">
        <v>865</v>
      </c>
      <c r="M1782" t="s">
        <v>186</v>
      </c>
      <c r="N1782" t="s">
        <v>11</v>
      </c>
      <c r="O1782" s="49">
        <v>3.0973000000000002</v>
      </c>
      <c r="P1782" s="9">
        <f t="shared" si="166"/>
        <v>2679.16</v>
      </c>
      <c r="Q1782" s="10">
        <f t="shared" si="169"/>
        <v>7.3003400000000003</v>
      </c>
      <c r="R1782" s="10">
        <f t="shared" si="170"/>
        <v>0.42430000000000001</v>
      </c>
      <c r="S1782" s="11">
        <f t="shared" si="171"/>
        <v>367.02</v>
      </c>
      <c r="T1782" s="10" t="s">
        <v>349</v>
      </c>
      <c r="U1782" t="s">
        <v>191</v>
      </c>
      <c r="V1782" s="58">
        <v>7.1775000000000002</v>
      </c>
      <c r="W1782" s="38">
        <f t="shared" si="167"/>
        <v>373.27265761058862</v>
      </c>
    </row>
    <row r="1783" spans="1:23" s="15" customFormat="1">
      <c r="A1783" t="s">
        <v>4082</v>
      </c>
      <c r="B1783" s="20">
        <v>45777</v>
      </c>
      <c r="C1783" s="20">
        <v>45763</v>
      </c>
      <c r="D1783" t="s">
        <v>1006</v>
      </c>
      <c r="E1783" t="s">
        <v>1007</v>
      </c>
      <c r="F1783" s="19"/>
      <c r="G1783" t="s">
        <v>4427</v>
      </c>
      <c r="H1783" t="s">
        <v>1016</v>
      </c>
      <c r="I1783" t="s">
        <v>1017</v>
      </c>
      <c r="J1783" s="8" t="str">
        <f t="shared" si="168"/>
        <v>ALM-</v>
      </c>
      <c r="K1783" t="s">
        <v>98</v>
      </c>
      <c r="L1783" s="46">
        <v>748</v>
      </c>
      <c r="M1783" t="s">
        <v>186</v>
      </c>
      <c r="N1783" t="s">
        <v>11</v>
      </c>
      <c r="O1783" s="49">
        <v>3.0973000000000002</v>
      </c>
      <c r="P1783" s="9">
        <f t="shared" si="166"/>
        <v>2316.7800000000002</v>
      </c>
      <c r="Q1783" s="10">
        <f t="shared" si="169"/>
        <v>7.3003400000000003</v>
      </c>
      <c r="R1783" s="10">
        <f t="shared" si="170"/>
        <v>0.42430000000000001</v>
      </c>
      <c r="S1783" s="11">
        <f t="shared" si="171"/>
        <v>317.38</v>
      </c>
      <c r="T1783" s="10" t="s">
        <v>349</v>
      </c>
      <c r="U1783" t="s">
        <v>191</v>
      </c>
      <c r="V1783" s="58">
        <v>7.1775000000000002</v>
      </c>
      <c r="W1783" s="38">
        <f t="shared" si="167"/>
        <v>322.783754789272</v>
      </c>
    </row>
    <row r="1784" spans="1:23" s="15" customFormat="1">
      <c r="A1784" t="s">
        <v>4083</v>
      </c>
      <c r="B1784" s="20">
        <v>45755</v>
      </c>
      <c r="C1784" s="20">
        <v>45749</v>
      </c>
      <c r="D1784" t="s">
        <v>5</v>
      </c>
      <c r="E1784" t="s">
        <v>6</v>
      </c>
      <c r="F1784" s="19"/>
      <c r="G1784" t="s">
        <v>4413</v>
      </c>
      <c r="H1784" t="s">
        <v>1668</v>
      </c>
      <c r="I1784" t="s">
        <v>1669</v>
      </c>
      <c r="J1784" s="8" t="str">
        <f t="shared" si="168"/>
        <v>SHTS</v>
      </c>
      <c r="K1784" t="s">
        <v>10</v>
      </c>
      <c r="L1784" s="46">
        <v>1010</v>
      </c>
      <c r="M1784" t="s">
        <v>1472</v>
      </c>
      <c r="N1784" t="s">
        <v>11</v>
      </c>
      <c r="O1784" s="49">
        <v>3.1</v>
      </c>
      <c r="P1784" s="9">
        <f t="shared" si="166"/>
        <v>3131</v>
      </c>
      <c r="Q1784" s="10">
        <f t="shared" si="169"/>
        <v>7.3003400000000003</v>
      </c>
      <c r="R1784" s="10">
        <f t="shared" si="170"/>
        <v>0.42459999999999998</v>
      </c>
      <c r="S1784" s="11">
        <f t="shared" si="171"/>
        <v>428.85</v>
      </c>
      <c r="T1784" s="10" t="s">
        <v>349</v>
      </c>
      <c r="U1784" t="s">
        <v>9</v>
      </c>
      <c r="V1784" s="58">
        <v>7.1775000000000002</v>
      </c>
      <c r="W1784" s="38">
        <f t="shared" si="167"/>
        <v>436.22431208638108</v>
      </c>
    </row>
    <row r="1785" spans="1:23" s="15" customFormat="1">
      <c r="A1785" t="s">
        <v>4084</v>
      </c>
      <c r="B1785" s="20">
        <v>45769</v>
      </c>
      <c r="C1785" s="20">
        <v>45764</v>
      </c>
      <c r="D1785" t="s">
        <v>5</v>
      </c>
      <c r="E1785" t="s">
        <v>6</v>
      </c>
      <c r="F1785" s="19"/>
      <c r="G1785" t="s">
        <v>4428</v>
      </c>
      <c r="H1785" t="s">
        <v>3680</v>
      </c>
      <c r="I1785" t="s">
        <v>3681</v>
      </c>
      <c r="J1785" s="8" t="str">
        <f t="shared" si="168"/>
        <v>BOX-</v>
      </c>
      <c r="K1785" t="s">
        <v>10</v>
      </c>
      <c r="L1785" s="46">
        <v>1010</v>
      </c>
      <c r="M1785" t="s">
        <v>1472</v>
      </c>
      <c r="N1785" t="s">
        <v>11</v>
      </c>
      <c r="O1785" s="49">
        <v>3.13</v>
      </c>
      <c r="P1785" s="9">
        <f t="shared" si="166"/>
        <v>3161.3</v>
      </c>
      <c r="Q1785" s="10">
        <f t="shared" si="169"/>
        <v>7.3003400000000003</v>
      </c>
      <c r="R1785" s="10">
        <f t="shared" si="170"/>
        <v>0.42870000000000003</v>
      </c>
      <c r="S1785" s="11">
        <f t="shared" si="171"/>
        <v>432.99</v>
      </c>
      <c r="T1785" s="10" t="s">
        <v>349</v>
      </c>
      <c r="U1785" t="s">
        <v>1</v>
      </c>
      <c r="V1785" s="58">
        <v>7.1775000000000002</v>
      </c>
      <c r="W1785" s="38">
        <f t="shared" si="167"/>
        <v>440.44583768721697</v>
      </c>
    </row>
    <row r="1786" spans="1:23" s="15" customFormat="1">
      <c r="A1786" t="s">
        <v>4085</v>
      </c>
      <c r="B1786" s="20">
        <v>45775</v>
      </c>
      <c r="C1786" s="20">
        <v>45736</v>
      </c>
      <c r="D1786" t="s">
        <v>187</v>
      </c>
      <c r="E1786" t="s">
        <v>188</v>
      </c>
      <c r="F1786" s="19"/>
      <c r="G1786" t="s">
        <v>4429</v>
      </c>
      <c r="H1786" t="s">
        <v>214</v>
      </c>
      <c r="I1786" t="s">
        <v>215</v>
      </c>
      <c r="J1786" s="8" t="str">
        <f t="shared" si="168"/>
        <v>ALM-</v>
      </c>
      <c r="K1786" t="s">
        <v>98</v>
      </c>
      <c r="L1786" s="46">
        <v>150</v>
      </c>
      <c r="M1786" t="s">
        <v>186</v>
      </c>
      <c r="N1786" t="s">
        <v>11</v>
      </c>
      <c r="O1786" s="49">
        <v>3.1415999999999999</v>
      </c>
      <c r="P1786" s="9">
        <f t="shared" si="166"/>
        <v>471.24</v>
      </c>
      <c r="Q1786" s="10">
        <f t="shared" si="169"/>
        <v>7.3003400000000003</v>
      </c>
      <c r="R1786" s="10">
        <f t="shared" si="170"/>
        <v>0.43030000000000002</v>
      </c>
      <c r="S1786" s="11">
        <f t="shared" si="171"/>
        <v>64.55</v>
      </c>
      <c r="T1786" s="10" t="s">
        <v>349</v>
      </c>
      <c r="U1786" t="s">
        <v>191</v>
      </c>
      <c r="V1786" s="58">
        <v>7.1775000000000002</v>
      </c>
      <c r="W1786" s="38">
        <f t="shared" si="167"/>
        <v>65.655172413793096</v>
      </c>
    </row>
    <row r="1787" spans="1:23" s="15" customFormat="1">
      <c r="A1787" t="s">
        <v>4086</v>
      </c>
      <c r="B1787" s="20">
        <v>45775</v>
      </c>
      <c r="C1787" s="20">
        <v>45736</v>
      </c>
      <c r="D1787" t="s">
        <v>187</v>
      </c>
      <c r="E1787" t="s">
        <v>188</v>
      </c>
      <c r="F1787" s="19"/>
      <c r="G1787" t="s">
        <v>4429</v>
      </c>
      <c r="H1787" t="s">
        <v>199</v>
      </c>
      <c r="I1787" t="s">
        <v>200</v>
      </c>
      <c r="J1787" s="8" t="str">
        <f t="shared" si="168"/>
        <v>ALM-</v>
      </c>
      <c r="K1787" t="s">
        <v>98</v>
      </c>
      <c r="L1787" s="46">
        <v>300</v>
      </c>
      <c r="M1787" t="s">
        <v>186</v>
      </c>
      <c r="N1787" t="s">
        <v>11</v>
      </c>
      <c r="O1787" s="49">
        <v>3.1415999999999999</v>
      </c>
      <c r="P1787" s="9">
        <f t="shared" si="166"/>
        <v>942.48</v>
      </c>
      <c r="Q1787" s="10">
        <f t="shared" si="169"/>
        <v>7.3003400000000003</v>
      </c>
      <c r="R1787" s="10">
        <f t="shared" si="170"/>
        <v>0.43030000000000002</v>
      </c>
      <c r="S1787" s="11">
        <f t="shared" si="171"/>
        <v>129.09</v>
      </c>
      <c r="T1787" s="10" t="s">
        <v>349</v>
      </c>
      <c r="U1787" t="s">
        <v>191</v>
      </c>
      <c r="V1787" s="58">
        <v>7.1775000000000002</v>
      </c>
      <c r="W1787" s="38">
        <f t="shared" si="167"/>
        <v>131.31034482758619</v>
      </c>
    </row>
    <row r="1788" spans="1:23" s="15" customFormat="1">
      <c r="A1788" t="s">
        <v>4087</v>
      </c>
      <c r="B1788" s="20">
        <v>45761</v>
      </c>
      <c r="C1788" s="20">
        <v>45741</v>
      </c>
      <c r="D1788" t="s">
        <v>187</v>
      </c>
      <c r="E1788" t="s">
        <v>188</v>
      </c>
      <c r="F1788" s="19"/>
      <c r="G1788" t="s">
        <v>4430</v>
      </c>
      <c r="H1788" t="s">
        <v>208</v>
      </c>
      <c r="I1788" t="s">
        <v>209</v>
      </c>
      <c r="J1788" s="8" t="str">
        <f t="shared" si="168"/>
        <v>ALM-</v>
      </c>
      <c r="K1788" t="s">
        <v>98</v>
      </c>
      <c r="L1788" s="46">
        <v>700</v>
      </c>
      <c r="M1788" t="s">
        <v>186</v>
      </c>
      <c r="N1788" t="s">
        <v>11</v>
      </c>
      <c r="O1788" s="49">
        <v>3.1415999999999999</v>
      </c>
      <c r="P1788" s="9">
        <f t="shared" si="166"/>
        <v>2199.12</v>
      </c>
      <c r="Q1788" s="10">
        <f t="shared" si="169"/>
        <v>7.3003400000000003</v>
      </c>
      <c r="R1788" s="10">
        <f t="shared" si="170"/>
        <v>0.43030000000000002</v>
      </c>
      <c r="S1788" s="11">
        <f t="shared" si="171"/>
        <v>301.20999999999998</v>
      </c>
      <c r="T1788" s="10" t="s">
        <v>349</v>
      </c>
      <c r="U1788" t="s">
        <v>191</v>
      </c>
      <c r="V1788" s="58">
        <v>7.1775000000000002</v>
      </c>
      <c r="W1788" s="38">
        <f t="shared" si="167"/>
        <v>306.39080459770111</v>
      </c>
    </row>
    <row r="1789" spans="1:23" s="15" customFormat="1">
      <c r="A1789" t="s">
        <v>4088</v>
      </c>
      <c r="B1789" s="20">
        <v>45761</v>
      </c>
      <c r="C1789" s="20">
        <v>45741</v>
      </c>
      <c r="D1789" t="s">
        <v>187</v>
      </c>
      <c r="E1789" t="s">
        <v>188</v>
      </c>
      <c r="F1789" s="19"/>
      <c r="G1789" t="s">
        <v>4430</v>
      </c>
      <c r="H1789" t="s">
        <v>199</v>
      </c>
      <c r="I1789" t="s">
        <v>200</v>
      </c>
      <c r="J1789" s="8" t="str">
        <f t="shared" si="168"/>
        <v>ALM-</v>
      </c>
      <c r="K1789" t="s">
        <v>98</v>
      </c>
      <c r="L1789" s="46">
        <v>350</v>
      </c>
      <c r="M1789" t="s">
        <v>186</v>
      </c>
      <c r="N1789" t="s">
        <v>11</v>
      </c>
      <c r="O1789" s="49">
        <v>3.1415999999999999</v>
      </c>
      <c r="P1789" s="9">
        <f t="shared" si="166"/>
        <v>1099.56</v>
      </c>
      <c r="Q1789" s="10">
        <f t="shared" si="169"/>
        <v>7.3003400000000003</v>
      </c>
      <c r="R1789" s="10">
        <f t="shared" si="170"/>
        <v>0.43030000000000002</v>
      </c>
      <c r="S1789" s="11">
        <f t="shared" si="171"/>
        <v>150.61000000000001</v>
      </c>
      <c r="T1789" s="10" t="s">
        <v>349</v>
      </c>
      <c r="U1789" t="s">
        <v>191</v>
      </c>
      <c r="V1789" s="58">
        <v>7.1775000000000002</v>
      </c>
      <c r="W1789" s="38">
        <f t="shared" si="167"/>
        <v>153.19540229885055</v>
      </c>
    </row>
    <row r="1790" spans="1:23" s="15" customFormat="1">
      <c r="A1790" t="s">
        <v>4089</v>
      </c>
      <c r="B1790" s="20">
        <v>45761</v>
      </c>
      <c r="C1790" s="20">
        <v>45741</v>
      </c>
      <c r="D1790" t="s">
        <v>187</v>
      </c>
      <c r="E1790" t="s">
        <v>188</v>
      </c>
      <c r="F1790" s="19"/>
      <c r="G1790" t="s">
        <v>4430</v>
      </c>
      <c r="H1790" t="s">
        <v>3682</v>
      </c>
      <c r="I1790" t="s">
        <v>3683</v>
      </c>
      <c r="J1790" s="8" t="str">
        <f t="shared" si="168"/>
        <v>ALM-</v>
      </c>
      <c r="K1790" t="s">
        <v>98</v>
      </c>
      <c r="L1790" s="46">
        <v>150</v>
      </c>
      <c r="M1790" t="s">
        <v>186</v>
      </c>
      <c r="N1790" t="s">
        <v>11</v>
      </c>
      <c r="O1790" s="49">
        <v>3.1415999999999999</v>
      </c>
      <c r="P1790" s="9">
        <f t="shared" si="166"/>
        <v>471.24</v>
      </c>
      <c r="Q1790" s="10">
        <f t="shared" si="169"/>
        <v>7.3003400000000003</v>
      </c>
      <c r="R1790" s="10">
        <f t="shared" si="170"/>
        <v>0.43030000000000002</v>
      </c>
      <c r="S1790" s="11">
        <f t="shared" si="171"/>
        <v>64.55</v>
      </c>
      <c r="T1790" s="10" t="s">
        <v>349</v>
      </c>
      <c r="U1790" t="s">
        <v>191</v>
      </c>
      <c r="V1790" s="58">
        <v>7.1775000000000002</v>
      </c>
      <c r="W1790" s="38">
        <f t="shared" si="167"/>
        <v>65.655172413793096</v>
      </c>
    </row>
    <row r="1791" spans="1:23" s="15" customFormat="1">
      <c r="A1791" t="s">
        <v>4090</v>
      </c>
      <c r="B1791" s="20">
        <v>45761</v>
      </c>
      <c r="C1791" s="20">
        <v>45741</v>
      </c>
      <c r="D1791" t="s">
        <v>187</v>
      </c>
      <c r="E1791" t="s">
        <v>188</v>
      </c>
      <c r="F1791" s="19"/>
      <c r="G1791" t="s">
        <v>4430</v>
      </c>
      <c r="H1791" t="s">
        <v>3684</v>
      </c>
      <c r="I1791" t="s">
        <v>3685</v>
      </c>
      <c r="J1791" s="8" t="str">
        <f t="shared" si="168"/>
        <v>ALM-</v>
      </c>
      <c r="K1791" t="s">
        <v>98</v>
      </c>
      <c r="L1791" s="46">
        <v>350</v>
      </c>
      <c r="M1791" t="s">
        <v>186</v>
      </c>
      <c r="N1791" t="s">
        <v>11</v>
      </c>
      <c r="O1791" s="49">
        <v>3.1415999999999999</v>
      </c>
      <c r="P1791" s="9">
        <f t="shared" si="166"/>
        <v>1099.56</v>
      </c>
      <c r="Q1791" s="10">
        <f t="shared" si="169"/>
        <v>7.3003400000000003</v>
      </c>
      <c r="R1791" s="10">
        <f t="shared" si="170"/>
        <v>0.43030000000000002</v>
      </c>
      <c r="S1791" s="11">
        <f t="shared" si="171"/>
        <v>150.61000000000001</v>
      </c>
      <c r="T1791" s="10" t="s">
        <v>349</v>
      </c>
      <c r="U1791" t="s">
        <v>191</v>
      </c>
      <c r="V1791" s="58">
        <v>7.1775000000000002</v>
      </c>
      <c r="W1791" s="38">
        <f t="shared" si="167"/>
        <v>153.19540229885055</v>
      </c>
    </row>
    <row r="1792" spans="1:23" s="15" customFormat="1">
      <c r="A1792" t="s">
        <v>4091</v>
      </c>
      <c r="B1792" s="20">
        <v>45761</v>
      </c>
      <c r="C1792" s="20">
        <v>45742</v>
      </c>
      <c r="D1792" t="s">
        <v>187</v>
      </c>
      <c r="E1792" t="s">
        <v>188</v>
      </c>
      <c r="F1792" s="19"/>
      <c r="G1792" t="s">
        <v>4430</v>
      </c>
      <c r="H1792" t="s">
        <v>1217</v>
      </c>
      <c r="I1792" t="s">
        <v>1218</v>
      </c>
      <c r="J1792" s="8" t="str">
        <f t="shared" si="168"/>
        <v>ALM-</v>
      </c>
      <c r="K1792" t="s">
        <v>98</v>
      </c>
      <c r="L1792" s="46">
        <v>300</v>
      </c>
      <c r="M1792" t="s">
        <v>186</v>
      </c>
      <c r="N1792" t="s">
        <v>11</v>
      </c>
      <c r="O1792" s="49">
        <v>3.1415999999999999</v>
      </c>
      <c r="P1792" s="9">
        <f t="shared" si="166"/>
        <v>942.48</v>
      </c>
      <c r="Q1792" s="10">
        <f t="shared" si="169"/>
        <v>7.3003400000000003</v>
      </c>
      <c r="R1792" s="10">
        <f t="shared" si="170"/>
        <v>0.43030000000000002</v>
      </c>
      <c r="S1792" s="11">
        <f t="shared" si="171"/>
        <v>129.09</v>
      </c>
      <c r="T1792" s="10" t="s">
        <v>349</v>
      </c>
      <c r="U1792" t="s">
        <v>191</v>
      </c>
      <c r="V1792" s="58">
        <v>7.1775000000000002</v>
      </c>
      <c r="W1792" s="38">
        <f t="shared" si="167"/>
        <v>131.31034482758619</v>
      </c>
    </row>
    <row r="1793" spans="1:23" s="15" customFormat="1">
      <c r="A1793" t="s">
        <v>4092</v>
      </c>
      <c r="B1793" s="20">
        <v>45761</v>
      </c>
      <c r="C1793" s="20">
        <v>45747</v>
      </c>
      <c r="D1793" t="s">
        <v>187</v>
      </c>
      <c r="E1793" t="s">
        <v>188</v>
      </c>
      <c r="F1793" s="19"/>
      <c r="G1793" t="s">
        <v>4430</v>
      </c>
      <c r="H1793" t="s">
        <v>214</v>
      </c>
      <c r="I1793" t="s">
        <v>215</v>
      </c>
      <c r="J1793" s="8" t="str">
        <f t="shared" si="168"/>
        <v>ALM-</v>
      </c>
      <c r="K1793" t="s">
        <v>98</v>
      </c>
      <c r="L1793" s="46">
        <v>150</v>
      </c>
      <c r="M1793" t="s">
        <v>186</v>
      </c>
      <c r="N1793" t="s">
        <v>11</v>
      </c>
      <c r="O1793" s="49">
        <v>3.1415999999999999</v>
      </c>
      <c r="P1793" s="9">
        <f t="shared" si="166"/>
        <v>471.24</v>
      </c>
      <c r="Q1793" s="10">
        <f t="shared" si="169"/>
        <v>7.3003400000000003</v>
      </c>
      <c r="R1793" s="10">
        <f t="shared" si="170"/>
        <v>0.43030000000000002</v>
      </c>
      <c r="S1793" s="11">
        <f t="shared" si="171"/>
        <v>64.55</v>
      </c>
      <c r="T1793" s="10" t="s">
        <v>349</v>
      </c>
      <c r="U1793" t="s">
        <v>191</v>
      </c>
      <c r="V1793" s="58">
        <v>7.1775000000000002</v>
      </c>
      <c r="W1793" s="38">
        <f t="shared" si="167"/>
        <v>65.655172413793096</v>
      </c>
    </row>
    <row r="1794" spans="1:23" s="15" customFormat="1">
      <c r="A1794" t="s">
        <v>4093</v>
      </c>
      <c r="B1794" s="20">
        <v>45761</v>
      </c>
      <c r="C1794" s="20">
        <v>45747</v>
      </c>
      <c r="D1794" t="s">
        <v>187</v>
      </c>
      <c r="E1794" t="s">
        <v>188</v>
      </c>
      <c r="F1794" s="19"/>
      <c r="G1794" t="s">
        <v>4430</v>
      </c>
      <c r="H1794" t="s">
        <v>3188</v>
      </c>
      <c r="I1794" t="s">
        <v>3395</v>
      </c>
      <c r="J1794" s="8" t="str">
        <f t="shared" si="168"/>
        <v>ALM-</v>
      </c>
      <c r="K1794" t="s">
        <v>98</v>
      </c>
      <c r="L1794" s="46">
        <v>50</v>
      </c>
      <c r="M1794" t="s">
        <v>186</v>
      </c>
      <c r="N1794" t="s">
        <v>11</v>
      </c>
      <c r="O1794" s="49">
        <v>3.1415999999999999</v>
      </c>
      <c r="P1794" s="9">
        <f t="shared" ref="P1794:P1857" si="172">ROUND(O1794*L1794,2)</f>
        <v>157.08000000000001</v>
      </c>
      <c r="Q1794" s="10">
        <f t="shared" si="169"/>
        <v>7.3003400000000003</v>
      </c>
      <c r="R1794" s="10">
        <f t="shared" si="170"/>
        <v>0.43030000000000002</v>
      </c>
      <c r="S1794" s="11">
        <f t="shared" si="171"/>
        <v>21.52</v>
      </c>
      <c r="T1794" s="10" t="s">
        <v>349</v>
      </c>
      <c r="U1794" t="s">
        <v>191</v>
      </c>
      <c r="V1794" s="58">
        <v>7.1775000000000002</v>
      </c>
      <c r="W1794" s="38">
        <f t="shared" ref="W1794:W1857" si="173">IF(N1794="CNY",O1794/V1794*L1794,1)</f>
        <v>21.885057471264364</v>
      </c>
    </row>
    <row r="1795" spans="1:23" s="15" customFormat="1">
      <c r="A1795" t="s">
        <v>4094</v>
      </c>
      <c r="B1795" s="20">
        <v>45761</v>
      </c>
      <c r="C1795" s="20">
        <v>45747</v>
      </c>
      <c r="D1795" t="s">
        <v>187</v>
      </c>
      <c r="E1795" t="s">
        <v>188</v>
      </c>
      <c r="F1795" s="19"/>
      <c r="G1795" t="s">
        <v>4430</v>
      </c>
      <c r="H1795" t="s">
        <v>1717</v>
      </c>
      <c r="I1795" t="s">
        <v>1214</v>
      </c>
      <c r="J1795" s="8" t="str">
        <f t="shared" si="168"/>
        <v>ALM-</v>
      </c>
      <c r="K1795" t="s">
        <v>98</v>
      </c>
      <c r="L1795" s="46">
        <v>50</v>
      </c>
      <c r="M1795" t="s">
        <v>186</v>
      </c>
      <c r="N1795" t="s">
        <v>11</v>
      </c>
      <c r="O1795" s="49">
        <v>3.1415999999999999</v>
      </c>
      <c r="P1795" s="9">
        <f t="shared" si="172"/>
        <v>157.08000000000001</v>
      </c>
      <c r="Q1795" s="10">
        <f t="shared" si="169"/>
        <v>7.3003400000000003</v>
      </c>
      <c r="R1795" s="10">
        <f t="shared" si="170"/>
        <v>0.43030000000000002</v>
      </c>
      <c r="S1795" s="11">
        <f t="shared" si="171"/>
        <v>21.52</v>
      </c>
      <c r="T1795" s="10" t="s">
        <v>349</v>
      </c>
      <c r="U1795" t="s">
        <v>191</v>
      </c>
      <c r="V1795" s="58">
        <v>7.1775000000000002</v>
      </c>
      <c r="W1795" s="38">
        <f t="shared" si="173"/>
        <v>21.885057471264364</v>
      </c>
    </row>
    <row r="1796" spans="1:23" s="15" customFormat="1">
      <c r="A1796" t="s">
        <v>4095</v>
      </c>
      <c r="B1796" s="20">
        <v>45761</v>
      </c>
      <c r="C1796" s="20">
        <v>45747</v>
      </c>
      <c r="D1796" t="s">
        <v>187</v>
      </c>
      <c r="E1796" t="s">
        <v>188</v>
      </c>
      <c r="F1796" s="19"/>
      <c r="G1796" t="s">
        <v>4430</v>
      </c>
      <c r="H1796" t="s">
        <v>199</v>
      </c>
      <c r="I1796" t="s">
        <v>200</v>
      </c>
      <c r="J1796" s="8" t="str">
        <f t="shared" si="168"/>
        <v>ALM-</v>
      </c>
      <c r="K1796" t="s">
        <v>98</v>
      </c>
      <c r="L1796" s="46">
        <v>100</v>
      </c>
      <c r="M1796" t="s">
        <v>186</v>
      </c>
      <c r="N1796" t="s">
        <v>11</v>
      </c>
      <c r="O1796" s="49">
        <v>3.1415999999999999</v>
      </c>
      <c r="P1796" s="9">
        <f t="shared" si="172"/>
        <v>314.16000000000003</v>
      </c>
      <c r="Q1796" s="10">
        <f t="shared" si="169"/>
        <v>7.3003400000000003</v>
      </c>
      <c r="R1796" s="10">
        <f t="shared" si="170"/>
        <v>0.43030000000000002</v>
      </c>
      <c r="S1796" s="11">
        <f t="shared" si="171"/>
        <v>43.03</v>
      </c>
      <c r="T1796" s="10" t="s">
        <v>349</v>
      </c>
      <c r="U1796" t="s">
        <v>191</v>
      </c>
      <c r="V1796" s="58">
        <v>7.1775000000000002</v>
      </c>
      <c r="W1796" s="38">
        <f t="shared" si="173"/>
        <v>43.770114942528728</v>
      </c>
    </row>
    <row r="1797" spans="1:23" s="15" customFormat="1">
      <c r="A1797" t="s">
        <v>4096</v>
      </c>
      <c r="B1797" s="20">
        <v>45761</v>
      </c>
      <c r="C1797" s="20">
        <v>45747</v>
      </c>
      <c r="D1797" t="s">
        <v>187</v>
      </c>
      <c r="E1797" t="s">
        <v>188</v>
      </c>
      <c r="F1797" s="19"/>
      <c r="G1797" t="s">
        <v>4430</v>
      </c>
      <c r="H1797" t="s">
        <v>3686</v>
      </c>
      <c r="I1797" t="s">
        <v>3687</v>
      </c>
      <c r="J1797" s="8" t="str">
        <f t="shared" si="168"/>
        <v>ALM-</v>
      </c>
      <c r="K1797" t="s">
        <v>98</v>
      </c>
      <c r="L1797" s="46">
        <v>400</v>
      </c>
      <c r="M1797" t="s">
        <v>186</v>
      </c>
      <c r="N1797" t="s">
        <v>11</v>
      </c>
      <c r="O1797" s="49">
        <v>3.1415999999999999</v>
      </c>
      <c r="P1797" s="9">
        <f t="shared" si="172"/>
        <v>1256.6400000000001</v>
      </c>
      <c r="Q1797" s="10">
        <f t="shared" si="169"/>
        <v>7.3003400000000003</v>
      </c>
      <c r="R1797" s="10">
        <f t="shared" si="170"/>
        <v>0.43030000000000002</v>
      </c>
      <c r="S1797" s="11">
        <f t="shared" si="171"/>
        <v>172.12</v>
      </c>
      <c r="T1797" s="10" t="s">
        <v>349</v>
      </c>
      <c r="U1797" t="s">
        <v>191</v>
      </c>
      <c r="V1797" s="58">
        <v>7.1775000000000002</v>
      </c>
      <c r="W1797" s="38">
        <f t="shared" si="173"/>
        <v>175.08045977011491</v>
      </c>
    </row>
    <row r="1798" spans="1:23" s="15" customFormat="1">
      <c r="A1798" t="s">
        <v>4097</v>
      </c>
      <c r="B1798" s="20">
        <v>45761</v>
      </c>
      <c r="C1798" s="20">
        <v>45747</v>
      </c>
      <c r="D1798" t="s">
        <v>187</v>
      </c>
      <c r="E1798" t="s">
        <v>188</v>
      </c>
      <c r="F1798" s="19"/>
      <c r="G1798" t="s">
        <v>4430</v>
      </c>
      <c r="H1798" t="s">
        <v>3688</v>
      </c>
      <c r="I1798" t="s">
        <v>3689</v>
      </c>
      <c r="J1798" s="8" t="str">
        <f t="shared" si="168"/>
        <v>ALM-</v>
      </c>
      <c r="K1798" t="s">
        <v>98</v>
      </c>
      <c r="L1798" s="46">
        <v>50</v>
      </c>
      <c r="M1798" t="s">
        <v>186</v>
      </c>
      <c r="N1798" t="s">
        <v>11</v>
      </c>
      <c r="O1798" s="49">
        <v>3.1415999999999999</v>
      </c>
      <c r="P1798" s="9">
        <f t="shared" si="172"/>
        <v>157.08000000000001</v>
      </c>
      <c r="Q1798" s="10">
        <f t="shared" si="169"/>
        <v>7.3003400000000003</v>
      </c>
      <c r="R1798" s="10">
        <f t="shared" si="170"/>
        <v>0.43030000000000002</v>
      </c>
      <c r="S1798" s="11">
        <f t="shared" si="171"/>
        <v>21.52</v>
      </c>
      <c r="T1798" s="10" t="s">
        <v>349</v>
      </c>
      <c r="U1798" t="s">
        <v>191</v>
      </c>
      <c r="V1798" s="58">
        <v>7.1775000000000002</v>
      </c>
      <c r="W1798" s="38">
        <f t="shared" si="173"/>
        <v>21.885057471264364</v>
      </c>
    </row>
    <row r="1799" spans="1:23" s="15" customFormat="1">
      <c r="A1799" t="s">
        <v>4098</v>
      </c>
      <c r="B1799" s="20">
        <v>45761</v>
      </c>
      <c r="C1799" s="20">
        <v>45747</v>
      </c>
      <c r="D1799" t="s">
        <v>187</v>
      </c>
      <c r="E1799" t="s">
        <v>188</v>
      </c>
      <c r="F1799" s="19"/>
      <c r="G1799" t="s">
        <v>4430</v>
      </c>
      <c r="H1799" t="s">
        <v>3690</v>
      </c>
      <c r="I1799" t="s">
        <v>3691</v>
      </c>
      <c r="J1799" s="8" t="str">
        <f t="shared" si="168"/>
        <v>ALM-</v>
      </c>
      <c r="K1799" t="s">
        <v>98</v>
      </c>
      <c r="L1799" s="46">
        <v>50</v>
      </c>
      <c r="M1799" t="s">
        <v>186</v>
      </c>
      <c r="N1799" t="s">
        <v>11</v>
      </c>
      <c r="O1799" s="49">
        <v>3.1415999999999999</v>
      </c>
      <c r="P1799" s="9">
        <f t="shared" si="172"/>
        <v>157.08000000000001</v>
      </c>
      <c r="Q1799" s="10">
        <f t="shared" si="169"/>
        <v>7.3003400000000003</v>
      </c>
      <c r="R1799" s="10">
        <f t="shared" si="170"/>
        <v>0.43030000000000002</v>
      </c>
      <c r="S1799" s="11">
        <f t="shared" si="171"/>
        <v>21.52</v>
      </c>
      <c r="T1799" s="10" t="s">
        <v>349</v>
      </c>
      <c r="U1799" t="s">
        <v>191</v>
      </c>
      <c r="V1799" s="58">
        <v>7.1775000000000002</v>
      </c>
      <c r="W1799" s="38">
        <f t="shared" si="173"/>
        <v>21.885057471264364</v>
      </c>
    </row>
    <row r="1800" spans="1:23" s="15" customFormat="1">
      <c r="A1800" t="s">
        <v>4099</v>
      </c>
      <c r="B1800" s="20">
        <v>45775</v>
      </c>
      <c r="C1800" s="20">
        <v>45747</v>
      </c>
      <c r="D1800" t="s">
        <v>187</v>
      </c>
      <c r="E1800" t="s">
        <v>188</v>
      </c>
      <c r="F1800" s="19"/>
      <c r="G1800" t="s">
        <v>4429</v>
      </c>
      <c r="H1800" t="s">
        <v>3226</v>
      </c>
      <c r="I1800" t="s">
        <v>3433</v>
      </c>
      <c r="J1800" s="8" t="str">
        <f t="shared" si="168"/>
        <v>ALM-</v>
      </c>
      <c r="K1800" t="s">
        <v>98</v>
      </c>
      <c r="L1800" s="46">
        <v>450</v>
      </c>
      <c r="M1800" t="s">
        <v>186</v>
      </c>
      <c r="N1800" t="s">
        <v>11</v>
      </c>
      <c r="O1800" s="49">
        <v>3.1415999999999999</v>
      </c>
      <c r="P1800" s="9">
        <f t="shared" si="172"/>
        <v>1413.72</v>
      </c>
      <c r="Q1800" s="10">
        <f t="shared" si="169"/>
        <v>7.3003400000000003</v>
      </c>
      <c r="R1800" s="10">
        <f t="shared" si="170"/>
        <v>0.43030000000000002</v>
      </c>
      <c r="S1800" s="11">
        <f t="shared" si="171"/>
        <v>193.64</v>
      </c>
      <c r="T1800" s="10" t="s">
        <v>349</v>
      </c>
      <c r="U1800" t="s">
        <v>191</v>
      </c>
      <c r="V1800" s="58">
        <v>7.1775000000000002</v>
      </c>
      <c r="W1800" s="38">
        <f t="shared" si="173"/>
        <v>196.9655172413793</v>
      </c>
    </row>
    <row r="1801" spans="1:23" s="15" customFormat="1">
      <c r="A1801" t="s">
        <v>4100</v>
      </c>
      <c r="B1801" s="20">
        <v>45775</v>
      </c>
      <c r="C1801" s="20">
        <v>45757</v>
      </c>
      <c r="D1801" t="s">
        <v>187</v>
      </c>
      <c r="E1801" t="s">
        <v>188</v>
      </c>
      <c r="F1801" s="19"/>
      <c r="G1801" t="s">
        <v>4429</v>
      </c>
      <c r="H1801" t="s">
        <v>211</v>
      </c>
      <c r="I1801" t="s">
        <v>212</v>
      </c>
      <c r="J1801" s="8" t="str">
        <f t="shared" si="168"/>
        <v>ALM-</v>
      </c>
      <c r="K1801" t="s">
        <v>98</v>
      </c>
      <c r="L1801" s="46">
        <v>50</v>
      </c>
      <c r="M1801" t="s">
        <v>186</v>
      </c>
      <c r="N1801" t="s">
        <v>11</v>
      </c>
      <c r="O1801" s="49">
        <v>3.1415999999999999</v>
      </c>
      <c r="P1801" s="9">
        <f t="shared" si="172"/>
        <v>157.08000000000001</v>
      </c>
      <c r="Q1801" s="10">
        <f t="shared" si="169"/>
        <v>7.3003400000000003</v>
      </c>
      <c r="R1801" s="10">
        <f t="shared" si="170"/>
        <v>0.43030000000000002</v>
      </c>
      <c r="S1801" s="11">
        <f t="shared" si="171"/>
        <v>21.52</v>
      </c>
      <c r="T1801" s="10" t="s">
        <v>349</v>
      </c>
      <c r="U1801" t="s">
        <v>191</v>
      </c>
      <c r="V1801" s="58">
        <v>7.1775000000000002</v>
      </c>
      <c r="W1801" s="38">
        <f t="shared" si="173"/>
        <v>21.885057471264364</v>
      </c>
    </row>
    <row r="1802" spans="1:23" s="15" customFormat="1">
      <c r="A1802" t="s">
        <v>4101</v>
      </c>
      <c r="B1802" s="20">
        <v>45775</v>
      </c>
      <c r="C1802" s="20">
        <v>45757</v>
      </c>
      <c r="D1802" t="s">
        <v>187</v>
      </c>
      <c r="E1802" t="s">
        <v>188</v>
      </c>
      <c r="F1802" s="19"/>
      <c r="G1802" t="s">
        <v>4429</v>
      </c>
      <c r="H1802" t="s">
        <v>3692</v>
      </c>
      <c r="I1802" t="s">
        <v>3693</v>
      </c>
      <c r="J1802" s="8" t="str">
        <f t="shared" si="168"/>
        <v>ALM-</v>
      </c>
      <c r="K1802" t="s">
        <v>98</v>
      </c>
      <c r="L1802" s="46">
        <v>300</v>
      </c>
      <c r="M1802" t="s">
        <v>186</v>
      </c>
      <c r="N1802" t="s">
        <v>11</v>
      </c>
      <c r="O1802" s="49">
        <v>3.1415999999999999</v>
      </c>
      <c r="P1802" s="9">
        <f t="shared" si="172"/>
        <v>942.48</v>
      </c>
      <c r="Q1802" s="10">
        <f t="shared" si="169"/>
        <v>7.3003400000000003</v>
      </c>
      <c r="R1802" s="10">
        <f t="shared" si="170"/>
        <v>0.43030000000000002</v>
      </c>
      <c r="S1802" s="11">
        <f t="shared" si="171"/>
        <v>129.09</v>
      </c>
      <c r="T1802" s="10" t="s">
        <v>349</v>
      </c>
      <c r="U1802" t="s">
        <v>191</v>
      </c>
      <c r="V1802" s="58">
        <v>7.1775000000000002</v>
      </c>
      <c r="W1802" s="38">
        <f t="shared" si="173"/>
        <v>131.31034482758619</v>
      </c>
    </row>
    <row r="1803" spans="1:23" s="15" customFormat="1">
      <c r="A1803" t="s">
        <v>4102</v>
      </c>
      <c r="B1803" s="20">
        <v>45775</v>
      </c>
      <c r="C1803" s="20">
        <v>45757</v>
      </c>
      <c r="D1803" t="s">
        <v>187</v>
      </c>
      <c r="E1803" t="s">
        <v>188</v>
      </c>
      <c r="F1803" s="19"/>
      <c r="G1803" t="s">
        <v>4429</v>
      </c>
      <c r="H1803" t="s">
        <v>3684</v>
      </c>
      <c r="I1803" t="s">
        <v>3685</v>
      </c>
      <c r="J1803" s="8" t="str">
        <f t="shared" si="168"/>
        <v>ALM-</v>
      </c>
      <c r="K1803" t="s">
        <v>98</v>
      </c>
      <c r="L1803" s="46">
        <v>150</v>
      </c>
      <c r="M1803" t="s">
        <v>186</v>
      </c>
      <c r="N1803" t="s">
        <v>11</v>
      </c>
      <c r="O1803" s="49">
        <v>3.1415999999999999</v>
      </c>
      <c r="P1803" s="9">
        <f t="shared" si="172"/>
        <v>471.24</v>
      </c>
      <c r="Q1803" s="10">
        <f t="shared" si="169"/>
        <v>7.3003400000000003</v>
      </c>
      <c r="R1803" s="10">
        <f t="shared" si="170"/>
        <v>0.43030000000000002</v>
      </c>
      <c r="S1803" s="11">
        <f t="shared" si="171"/>
        <v>64.55</v>
      </c>
      <c r="T1803" s="10" t="s">
        <v>349</v>
      </c>
      <c r="U1803" t="s">
        <v>191</v>
      </c>
      <c r="V1803" s="58">
        <v>7.1775000000000002</v>
      </c>
      <c r="W1803" s="38">
        <f t="shared" si="173"/>
        <v>65.655172413793096</v>
      </c>
    </row>
    <row r="1804" spans="1:23" s="15" customFormat="1">
      <c r="A1804" t="s">
        <v>4103</v>
      </c>
      <c r="B1804" s="20">
        <v>45775</v>
      </c>
      <c r="C1804" s="20">
        <v>45757</v>
      </c>
      <c r="D1804" t="s">
        <v>187</v>
      </c>
      <c r="E1804" t="s">
        <v>188</v>
      </c>
      <c r="F1804" s="19"/>
      <c r="G1804" t="s">
        <v>4429</v>
      </c>
      <c r="H1804" t="s">
        <v>199</v>
      </c>
      <c r="I1804" t="s">
        <v>200</v>
      </c>
      <c r="J1804" s="8" t="str">
        <f t="shared" si="168"/>
        <v>ALM-</v>
      </c>
      <c r="K1804" t="s">
        <v>98</v>
      </c>
      <c r="L1804" s="46">
        <v>190</v>
      </c>
      <c r="M1804" t="s">
        <v>186</v>
      </c>
      <c r="N1804" t="s">
        <v>11</v>
      </c>
      <c r="O1804" s="49">
        <v>3.1415999999999999</v>
      </c>
      <c r="P1804" s="9">
        <f t="shared" si="172"/>
        <v>596.9</v>
      </c>
      <c r="Q1804" s="10">
        <f t="shared" si="169"/>
        <v>7.3003400000000003</v>
      </c>
      <c r="R1804" s="10">
        <f t="shared" si="170"/>
        <v>0.43030000000000002</v>
      </c>
      <c r="S1804" s="11">
        <f t="shared" si="171"/>
        <v>81.760000000000005</v>
      </c>
      <c r="T1804" s="10" t="s">
        <v>349</v>
      </c>
      <c r="U1804" t="s">
        <v>191</v>
      </c>
      <c r="V1804" s="58">
        <v>7.1775000000000002</v>
      </c>
      <c r="W1804" s="38">
        <f t="shared" si="173"/>
        <v>83.163218390804587</v>
      </c>
    </row>
    <row r="1805" spans="1:23" s="15" customFormat="1">
      <c r="A1805" t="s">
        <v>4104</v>
      </c>
      <c r="B1805" s="20">
        <v>45775</v>
      </c>
      <c r="C1805" s="20">
        <v>45761</v>
      </c>
      <c r="D1805" t="s">
        <v>187</v>
      </c>
      <c r="E1805" t="s">
        <v>188</v>
      </c>
      <c r="F1805" s="19"/>
      <c r="G1805" t="s">
        <v>4429</v>
      </c>
      <c r="H1805" t="s">
        <v>211</v>
      </c>
      <c r="I1805" t="s">
        <v>212</v>
      </c>
      <c r="J1805" s="8" t="str">
        <f t="shared" si="168"/>
        <v>ALM-</v>
      </c>
      <c r="K1805" t="s">
        <v>98</v>
      </c>
      <c r="L1805" s="46">
        <v>450</v>
      </c>
      <c r="M1805" t="s">
        <v>186</v>
      </c>
      <c r="N1805" t="s">
        <v>11</v>
      </c>
      <c r="O1805" s="49">
        <v>3.1415999999999999</v>
      </c>
      <c r="P1805" s="9">
        <f t="shared" si="172"/>
        <v>1413.72</v>
      </c>
      <c r="Q1805" s="10">
        <f t="shared" si="169"/>
        <v>7.3003400000000003</v>
      </c>
      <c r="R1805" s="10">
        <f t="shared" si="170"/>
        <v>0.43030000000000002</v>
      </c>
      <c r="S1805" s="11">
        <f t="shared" si="171"/>
        <v>193.64</v>
      </c>
      <c r="T1805" s="10" t="s">
        <v>349</v>
      </c>
      <c r="U1805" t="s">
        <v>191</v>
      </c>
      <c r="V1805" s="58">
        <v>7.1775000000000002</v>
      </c>
      <c r="W1805" s="38">
        <f t="shared" si="173"/>
        <v>196.9655172413793</v>
      </c>
    </row>
    <row r="1806" spans="1:23" s="15" customFormat="1">
      <c r="A1806" t="s">
        <v>4105</v>
      </c>
      <c r="B1806" s="20">
        <v>45775</v>
      </c>
      <c r="C1806" s="20">
        <v>45761</v>
      </c>
      <c r="D1806" t="s">
        <v>187</v>
      </c>
      <c r="E1806" t="s">
        <v>188</v>
      </c>
      <c r="F1806" s="19"/>
      <c r="G1806" t="s">
        <v>4429</v>
      </c>
      <c r="H1806" t="s">
        <v>202</v>
      </c>
      <c r="I1806" t="s">
        <v>203</v>
      </c>
      <c r="J1806" s="8" t="str">
        <f t="shared" si="168"/>
        <v>ALM-</v>
      </c>
      <c r="K1806" t="s">
        <v>98</v>
      </c>
      <c r="L1806" s="46">
        <v>380</v>
      </c>
      <c r="M1806" t="s">
        <v>186</v>
      </c>
      <c r="N1806" t="s">
        <v>11</v>
      </c>
      <c r="O1806" s="49">
        <v>3.1415999999999999</v>
      </c>
      <c r="P1806" s="9">
        <f t="shared" si="172"/>
        <v>1193.81</v>
      </c>
      <c r="Q1806" s="10">
        <f t="shared" si="169"/>
        <v>7.3003400000000003</v>
      </c>
      <c r="R1806" s="10">
        <f t="shared" si="170"/>
        <v>0.43030000000000002</v>
      </c>
      <c r="S1806" s="11">
        <f t="shared" si="171"/>
        <v>163.51</v>
      </c>
      <c r="T1806" s="10" t="s">
        <v>349</v>
      </c>
      <c r="U1806" t="s">
        <v>191</v>
      </c>
      <c r="V1806" s="58">
        <v>7.1775000000000002</v>
      </c>
      <c r="W1806" s="38">
        <f t="shared" si="173"/>
        <v>166.32643678160917</v>
      </c>
    </row>
    <row r="1807" spans="1:23" s="15" customFormat="1">
      <c r="A1807" t="s">
        <v>4106</v>
      </c>
      <c r="B1807" s="20">
        <v>45775</v>
      </c>
      <c r="C1807" s="20">
        <v>45761</v>
      </c>
      <c r="D1807" t="s">
        <v>187</v>
      </c>
      <c r="E1807" t="s">
        <v>188</v>
      </c>
      <c r="F1807" s="19"/>
      <c r="G1807" t="s">
        <v>4429</v>
      </c>
      <c r="H1807" t="s">
        <v>199</v>
      </c>
      <c r="I1807" t="s">
        <v>200</v>
      </c>
      <c r="J1807" s="8" t="str">
        <f t="shared" si="168"/>
        <v>ALM-</v>
      </c>
      <c r="K1807" t="s">
        <v>98</v>
      </c>
      <c r="L1807" s="46">
        <v>1500</v>
      </c>
      <c r="M1807" t="s">
        <v>186</v>
      </c>
      <c r="N1807" t="s">
        <v>11</v>
      </c>
      <c r="O1807" s="49">
        <v>3.1415999999999999</v>
      </c>
      <c r="P1807" s="9">
        <f t="shared" si="172"/>
        <v>4712.3999999999996</v>
      </c>
      <c r="Q1807" s="10">
        <f t="shared" si="169"/>
        <v>7.3003400000000003</v>
      </c>
      <c r="R1807" s="10">
        <f t="shared" si="170"/>
        <v>0.43030000000000002</v>
      </c>
      <c r="S1807" s="11">
        <f t="shared" si="171"/>
        <v>645.45000000000005</v>
      </c>
      <c r="T1807" s="10" t="s">
        <v>349</v>
      </c>
      <c r="U1807" t="s">
        <v>191</v>
      </c>
      <c r="V1807" s="58">
        <v>7.1775000000000002</v>
      </c>
      <c r="W1807" s="38">
        <f t="shared" si="173"/>
        <v>656.55172413793093</v>
      </c>
    </row>
    <row r="1808" spans="1:23" s="15" customFormat="1">
      <c r="A1808" t="s">
        <v>4107</v>
      </c>
      <c r="B1808" s="20">
        <v>45775</v>
      </c>
      <c r="C1808" s="20">
        <v>45762</v>
      </c>
      <c r="D1808" t="s">
        <v>187</v>
      </c>
      <c r="E1808" t="s">
        <v>188</v>
      </c>
      <c r="F1808" s="19"/>
      <c r="G1808" t="s">
        <v>4429</v>
      </c>
      <c r="H1808" t="s">
        <v>214</v>
      </c>
      <c r="I1808" t="s">
        <v>215</v>
      </c>
      <c r="J1808" s="8" t="str">
        <f t="shared" si="168"/>
        <v>ALM-</v>
      </c>
      <c r="K1808" t="s">
        <v>98</v>
      </c>
      <c r="L1808" s="46">
        <v>150</v>
      </c>
      <c r="M1808" t="s">
        <v>186</v>
      </c>
      <c r="N1808" t="s">
        <v>11</v>
      </c>
      <c r="O1808" s="49">
        <v>3.1415999999999999</v>
      </c>
      <c r="P1808" s="9">
        <f t="shared" si="172"/>
        <v>471.24</v>
      </c>
      <c r="Q1808" s="10">
        <f t="shared" si="169"/>
        <v>7.3003400000000003</v>
      </c>
      <c r="R1808" s="10">
        <f t="shared" si="170"/>
        <v>0.43030000000000002</v>
      </c>
      <c r="S1808" s="11">
        <f t="shared" si="171"/>
        <v>64.55</v>
      </c>
      <c r="T1808" s="10" t="s">
        <v>349</v>
      </c>
      <c r="U1808" t="s">
        <v>191</v>
      </c>
      <c r="V1808" s="58">
        <v>7.1775000000000002</v>
      </c>
      <c r="W1808" s="38">
        <f t="shared" si="173"/>
        <v>65.655172413793096</v>
      </c>
    </row>
    <row r="1809" spans="1:23" s="15" customFormat="1">
      <c r="A1809" t="s">
        <v>4108</v>
      </c>
      <c r="B1809" s="20">
        <v>45775</v>
      </c>
      <c r="C1809" s="20">
        <v>45762</v>
      </c>
      <c r="D1809" t="s">
        <v>187</v>
      </c>
      <c r="E1809" t="s">
        <v>188</v>
      </c>
      <c r="F1809" s="19"/>
      <c r="G1809" t="s">
        <v>4429</v>
      </c>
      <c r="H1809" t="s">
        <v>208</v>
      </c>
      <c r="I1809" t="s">
        <v>209</v>
      </c>
      <c r="J1809" s="8" t="str">
        <f t="shared" si="168"/>
        <v>ALM-</v>
      </c>
      <c r="K1809" t="s">
        <v>98</v>
      </c>
      <c r="L1809" s="46">
        <v>60</v>
      </c>
      <c r="M1809" t="s">
        <v>186</v>
      </c>
      <c r="N1809" t="s">
        <v>11</v>
      </c>
      <c r="O1809" s="49">
        <v>3.1415999999999999</v>
      </c>
      <c r="P1809" s="9">
        <f t="shared" si="172"/>
        <v>188.5</v>
      </c>
      <c r="Q1809" s="10">
        <f t="shared" si="169"/>
        <v>7.3003400000000003</v>
      </c>
      <c r="R1809" s="10">
        <f t="shared" si="170"/>
        <v>0.43030000000000002</v>
      </c>
      <c r="S1809" s="11">
        <f t="shared" si="171"/>
        <v>25.82</v>
      </c>
      <c r="T1809" s="10" t="s">
        <v>349</v>
      </c>
      <c r="U1809" t="s">
        <v>191</v>
      </c>
      <c r="V1809" s="58">
        <v>7.1775000000000002</v>
      </c>
      <c r="W1809" s="38">
        <f t="shared" si="173"/>
        <v>26.262068965517241</v>
      </c>
    </row>
    <row r="1810" spans="1:23" s="15" customFormat="1">
      <c r="A1810" t="s">
        <v>4109</v>
      </c>
      <c r="B1810" s="20">
        <v>45775</v>
      </c>
      <c r="C1810" s="20">
        <v>45762</v>
      </c>
      <c r="D1810" t="s">
        <v>187</v>
      </c>
      <c r="E1810" t="s">
        <v>188</v>
      </c>
      <c r="F1810" s="19"/>
      <c r="G1810" t="s">
        <v>4429</v>
      </c>
      <c r="H1810" t="s">
        <v>1210</v>
      </c>
      <c r="I1810" t="s">
        <v>1211</v>
      </c>
      <c r="J1810" s="8" t="str">
        <f t="shared" si="168"/>
        <v>ALM-</v>
      </c>
      <c r="K1810" t="s">
        <v>98</v>
      </c>
      <c r="L1810" s="46">
        <v>660</v>
      </c>
      <c r="M1810" t="s">
        <v>186</v>
      </c>
      <c r="N1810" t="s">
        <v>11</v>
      </c>
      <c r="O1810" s="49">
        <v>3.1415999999999999</v>
      </c>
      <c r="P1810" s="9">
        <f t="shared" si="172"/>
        <v>2073.46</v>
      </c>
      <c r="Q1810" s="10">
        <f t="shared" si="169"/>
        <v>7.3003400000000003</v>
      </c>
      <c r="R1810" s="10">
        <f t="shared" si="170"/>
        <v>0.43030000000000002</v>
      </c>
      <c r="S1810" s="11">
        <f t="shared" si="171"/>
        <v>284</v>
      </c>
      <c r="T1810" s="10" t="s">
        <v>349</v>
      </c>
      <c r="U1810" t="s">
        <v>191</v>
      </c>
      <c r="V1810" s="58">
        <v>7.1775000000000002</v>
      </c>
      <c r="W1810" s="38">
        <f t="shared" si="173"/>
        <v>288.88275862068963</v>
      </c>
    </row>
    <row r="1811" spans="1:23" s="15" customFormat="1">
      <c r="A1811" t="s">
        <v>4110</v>
      </c>
      <c r="B1811" s="20">
        <v>45775</v>
      </c>
      <c r="C1811" s="20">
        <v>45765</v>
      </c>
      <c r="D1811" t="s">
        <v>187</v>
      </c>
      <c r="E1811" t="s">
        <v>188</v>
      </c>
      <c r="F1811" s="19"/>
      <c r="G1811" t="s">
        <v>4429</v>
      </c>
      <c r="H1811" t="s">
        <v>214</v>
      </c>
      <c r="I1811" t="s">
        <v>215</v>
      </c>
      <c r="J1811" s="8" t="str">
        <f t="shared" si="168"/>
        <v>ALM-</v>
      </c>
      <c r="K1811" t="s">
        <v>98</v>
      </c>
      <c r="L1811" s="46">
        <v>100</v>
      </c>
      <c r="M1811" t="s">
        <v>186</v>
      </c>
      <c r="N1811" t="s">
        <v>11</v>
      </c>
      <c r="O1811" s="49">
        <v>3.1415999999999999</v>
      </c>
      <c r="P1811" s="9">
        <f t="shared" si="172"/>
        <v>314.16000000000003</v>
      </c>
      <c r="Q1811" s="10">
        <f t="shared" si="169"/>
        <v>7.3003400000000003</v>
      </c>
      <c r="R1811" s="10">
        <f t="shared" si="170"/>
        <v>0.43030000000000002</v>
      </c>
      <c r="S1811" s="11">
        <f t="shared" si="171"/>
        <v>43.03</v>
      </c>
      <c r="T1811" s="10" t="s">
        <v>349</v>
      </c>
      <c r="U1811" t="s">
        <v>191</v>
      </c>
      <c r="V1811" s="58">
        <v>7.1775000000000002</v>
      </c>
      <c r="W1811" s="38">
        <f t="shared" si="173"/>
        <v>43.770114942528728</v>
      </c>
    </row>
    <row r="1812" spans="1:23" s="15" customFormat="1">
      <c r="A1812" t="s">
        <v>4111</v>
      </c>
      <c r="B1812" s="20">
        <v>45775</v>
      </c>
      <c r="C1812" s="20">
        <v>45765</v>
      </c>
      <c r="D1812" t="s">
        <v>187</v>
      </c>
      <c r="E1812" t="s">
        <v>188</v>
      </c>
      <c r="F1812" s="19"/>
      <c r="G1812" t="s">
        <v>4429</v>
      </c>
      <c r="H1812" t="s">
        <v>211</v>
      </c>
      <c r="I1812" t="s">
        <v>212</v>
      </c>
      <c r="J1812" s="8" t="str">
        <f t="shared" si="168"/>
        <v>ALM-</v>
      </c>
      <c r="K1812" t="s">
        <v>98</v>
      </c>
      <c r="L1812" s="46">
        <v>150</v>
      </c>
      <c r="M1812" t="s">
        <v>186</v>
      </c>
      <c r="N1812" t="s">
        <v>11</v>
      </c>
      <c r="O1812" s="49">
        <v>3.1415999999999999</v>
      </c>
      <c r="P1812" s="9">
        <f t="shared" si="172"/>
        <v>471.24</v>
      </c>
      <c r="Q1812" s="10">
        <f t="shared" si="169"/>
        <v>7.3003400000000003</v>
      </c>
      <c r="R1812" s="10">
        <f t="shared" si="170"/>
        <v>0.43030000000000002</v>
      </c>
      <c r="S1812" s="11">
        <f t="shared" si="171"/>
        <v>64.55</v>
      </c>
      <c r="T1812" s="10" t="s">
        <v>349</v>
      </c>
      <c r="U1812" t="s">
        <v>191</v>
      </c>
      <c r="V1812" s="58">
        <v>7.1775000000000002</v>
      </c>
      <c r="W1812" s="38">
        <f t="shared" si="173"/>
        <v>65.655172413793096</v>
      </c>
    </row>
    <row r="1813" spans="1:23" s="15" customFormat="1">
      <c r="A1813" t="s">
        <v>4112</v>
      </c>
      <c r="B1813" s="20">
        <v>45775</v>
      </c>
      <c r="C1813" s="20">
        <v>45765</v>
      </c>
      <c r="D1813" t="s">
        <v>187</v>
      </c>
      <c r="E1813" t="s">
        <v>188</v>
      </c>
      <c r="F1813" s="19"/>
      <c r="G1813" t="s">
        <v>4429</v>
      </c>
      <c r="H1813" t="s">
        <v>208</v>
      </c>
      <c r="I1813" t="s">
        <v>209</v>
      </c>
      <c r="J1813" s="8" t="str">
        <f t="shared" ref="J1813:J1876" si="174">+LEFT(U1813,4)</f>
        <v>ALM-</v>
      </c>
      <c r="K1813" t="s">
        <v>98</v>
      </c>
      <c r="L1813" s="46">
        <v>170</v>
      </c>
      <c r="M1813" t="s">
        <v>186</v>
      </c>
      <c r="N1813" t="s">
        <v>11</v>
      </c>
      <c r="O1813" s="49">
        <v>3.1415999999999999</v>
      </c>
      <c r="P1813" s="9">
        <f t="shared" si="172"/>
        <v>534.07000000000005</v>
      </c>
      <c r="Q1813" s="10">
        <f t="shared" ref="Q1813:Q1876" si="175">IF(N1813="HKD",7.8,IF(N1813="CNY",7.30034,1))</f>
        <v>7.3003400000000003</v>
      </c>
      <c r="R1813" s="10">
        <f t="shared" ref="R1813:R1876" si="176">+ROUND(O1813/Q1813,4)</f>
        <v>0.43030000000000002</v>
      </c>
      <c r="S1813" s="11">
        <f t="shared" ref="S1813:S1876" si="177">ROUND(R1813*L1813,2)</f>
        <v>73.150000000000006</v>
      </c>
      <c r="T1813" s="10" t="s">
        <v>349</v>
      </c>
      <c r="U1813" t="s">
        <v>191</v>
      </c>
      <c r="V1813" s="58">
        <v>7.1775000000000002</v>
      </c>
      <c r="W1813" s="38">
        <f t="shared" si="173"/>
        <v>74.409195402298849</v>
      </c>
    </row>
    <row r="1814" spans="1:23" s="15" customFormat="1">
      <c r="A1814" t="s">
        <v>4113</v>
      </c>
      <c r="B1814" s="20">
        <v>45775</v>
      </c>
      <c r="C1814" s="20">
        <v>45765</v>
      </c>
      <c r="D1814" t="s">
        <v>187</v>
      </c>
      <c r="E1814" t="s">
        <v>188</v>
      </c>
      <c r="F1814" s="19"/>
      <c r="G1814" t="s">
        <v>4429</v>
      </c>
      <c r="H1814" t="s">
        <v>3694</v>
      </c>
      <c r="I1814" t="s">
        <v>3695</v>
      </c>
      <c r="J1814" s="8" t="str">
        <f t="shared" si="174"/>
        <v>ALM-</v>
      </c>
      <c r="K1814" t="s">
        <v>98</v>
      </c>
      <c r="L1814" s="46">
        <v>330</v>
      </c>
      <c r="M1814" t="s">
        <v>186</v>
      </c>
      <c r="N1814" t="s">
        <v>11</v>
      </c>
      <c r="O1814" s="49">
        <v>3.1415999999999999</v>
      </c>
      <c r="P1814" s="9">
        <f t="shared" si="172"/>
        <v>1036.73</v>
      </c>
      <c r="Q1814" s="10">
        <f t="shared" si="175"/>
        <v>7.3003400000000003</v>
      </c>
      <c r="R1814" s="10">
        <f t="shared" si="176"/>
        <v>0.43030000000000002</v>
      </c>
      <c r="S1814" s="11">
        <f t="shared" si="177"/>
        <v>142</v>
      </c>
      <c r="T1814" s="10" t="s">
        <v>349</v>
      </c>
      <c r="U1814" t="s">
        <v>191</v>
      </c>
      <c r="V1814" s="58">
        <v>7.1775000000000002</v>
      </c>
      <c r="W1814" s="38">
        <f t="shared" si="173"/>
        <v>144.44137931034481</v>
      </c>
    </row>
    <row r="1815" spans="1:23" s="15" customFormat="1">
      <c r="A1815" t="s">
        <v>4114</v>
      </c>
      <c r="B1815" s="20">
        <v>45775</v>
      </c>
      <c r="C1815" s="20">
        <v>45765</v>
      </c>
      <c r="D1815" t="s">
        <v>187</v>
      </c>
      <c r="E1815" t="s">
        <v>188</v>
      </c>
      <c r="F1815" s="19"/>
      <c r="G1815" t="s">
        <v>4429</v>
      </c>
      <c r="H1815" t="s">
        <v>3191</v>
      </c>
      <c r="I1815" t="s">
        <v>3398</v>
      </c>
      <c r="J1815" s="8" t="str">
        <f t="shared" si="174"/>
        <v>ALM-</v>
      </c>
      <c r="K1815" t="s">
        <v>98</v>
      </c>
      <c r="L1815" s="46">
        <v>380</v>
      </c>
      <c r="M1815" t="s">
        <v>186</v>
      </c>
      <c r="N1815" t="s">
        <v>11</v>
      </c>
      <c r="O1815" s="49">
        <v>3.1415999999999999</v>
      </c>
      <c r="P1815" s="9">
        <f t="shared" si="172"/>
        <v>1193.81</v>
      </c>
      <c r="Q1815" s="10">
        <f t="shared" si="175"/>
        <v>7.3003400000000003</v>
      </c>
      <c r="R1815" s="10">
        <f t="shared" si="176"/>
        <v>0.43030000000000002</v>
      </c>
      <c r="S1815" s="11">
        <f t="shared" si="177"/>
        <v>163.51</v>
      </c>
      <c r="T1815" s="10" t="s">
        <v>349</v>
      </c>
      <c r="U1815" t="s">
        <v>191</v>
      </c>
      <c r="V1815" s="58">
        <v>7.1775000000000002</v>
      </c>
      <c r="W1815" s="38">
        <f t="shared" si="173"/>
        <v>166.32643678160917</v>
      </c>
    </row>
    <row r="1816" spans="1:23" s="15" customFormat="1">
      <c r="A1816" t="s">
        <v>4115</v>
      </c>
      <c r="B1816" s="20">
        <v>45769</v>
      </c>
      <c r="C1816" s="20">
        <v>45755</v>
      </c>
      <c r="D1816" t="s">
        <v>280</v>
      </c>
      <c r="E1816" t="s">
        <v>281</v>
      </c>
      <c r="F1816" s="19"/>
      <c r="G1816" t="s">
        <v>4431</v>
      </c>
      <c r="H1816" t="s">
        <v>284</v>
      </c>
      <c r="I1816" t="s">
        <v>285</v>
      </c>
      <c r="J1816" s="8" t="str">
        <f t="shared" si="174"/>
        <v>BOX-</v>
      </c>
      <c r="K1816" t="s">
        <v>10</v>
      </c>
      <c r="L1816" s="46">
        <v>4050</v>
      </c>
      <c r="M1816" t="s">
        <v>1472</v>
      </c>
      <c r="N1816" t="s">
        <v>11</v>
      </c>
      <c r="O1816" s="49">
        <v>3.18</v>
      </c>
      <c r="P1816" s="9">
        <f t="shared" si="172"/>
        <v>12879</v>
      </c>
      <c r="Q1816" s="10">
        <f t="shared" si="175"/>
        <v>7.3003400000000003</v>
      </c>
      <c r="R1816" s="10">
        <f t="shared" si="176"/>
        <v>0.43559999999999999</v>
      </c>
      <c r="S1816" s="11">
        <f t="shared" si="177"/>
        <v>1764.18</v>
      </c>
      <c r="T1816" s="10" t="s">
        <v>349</v>
      </c>
      <c r="U1816" t="s">
        <v>1</v>
      </c>
      <c r="V1816" s="58">
        <v>7.1775000000000002</v>
      </c>
      <c r="W1816" s="38">
        <f t="shared" si="173"/>
        <v>1794.3573667711598</v>
      </c>
    </row>
    <row r="1817" spans="1:23" s="15" customFormat="1">
      <c r="A1817" t="s">
        <v>4116</v>
      </c>
      <c r="B1817" s="20">
        <v>45769</v>
      </c>
      <c r="C1817" s="20">
        <v>45755</v>
      </c>
      <c r="D1817" t="s">
        <v>280</v>
      </c>
      <c r="E1817" t="s">
        <v>281</v>
      </c>
      <c r="F1817" s="19"/>
      <c r="G1817" t="s">
        <v>4431</v>
      </c>
      <c r="H1817" t="s">
        <v>284</v>
      </c>
      <c r="I1817" t="s">
        <v>285</v>
      </c>
      <c r="J1817" s="8" t="str">
        <f t="shared" si="174"/>
        <v>BOX-</v>
      </c>
      <c r="K1817" t="s">
        <v>10</v>
      </c>
      <c r="L1817" s="46">
        <v>200</v>
      </c>
      <c r="M1817" t="s">
        <v>1472</v>
      </c>
      <c r="N1817" t="s">
        <v>11</v>
      </c>
      <c r="O1817" s="49">
        <v>3.18</v>
      </c>
      <c r="P1817" s="9">
        <f t="shared" si="172"/>
        <v>636</v>
      </c>
      <c r="Q1817" s="10">
        <f t="shared" si="175"/>
        <v>7.3003400000000003</v>
      </c>
      <c r="R1817" s="10">
        <f t="shared" si="176"/>
        <v>0.43559999999999999</v>
      </c>
      <c r="S1817" s="11">
        <f t="shared" si="177"/>
        <v>87.12</v>
      </c>
      <c r="T1817" s="10" t="s">
        <v>349</v>
      </c>
      <c r="U1817" t="s">
        <v>1</v>
      </c>
      <c r="V1817" s="58">
        <v>7.1775000000000002</v>
      </c>
      <c r="W1817" s="38">
        <f t="shared" si="173"/>
        <v>88.610240334378261</v>
      </c>
    </row>
    <row r="1818" spans="1:23" s="15" customFormat="1">
      <c r="A1818" t="s">
        <v>4117</v>
      </c>
      <c r="B1818" s="20">
        <v>45755</v>
      </c>
      <c r="C1818" s="20">
        <v>45749</v>
      </c>
      <c r="D1818" t="s">
        <v>5</v>
      </c>
      <c r="E1818" t="s">
        <v>6</v>
      </c>
      <c r="F1818" s="19"/>
      <c r="G1818" t="s">
        <v>4413</v>
      </c>
      <c r="H1818" t="s">
        <v>3696</v>
      </c>
      <c r="I1818" t="s">
        <v>3697</v>
      </c>
      <c r="J1818" s="8" t="str">
        <f t="shared" si="174"/>
        <v>SHTS</v>
      </c>
      <c r="K1818" t="s">
        <v>10</v>
      </c>
      <c r="L1818" s="46">
        <v>505</v>
      </c>
      <c r="M1818" t="s">
        <v>1472</v>
      </c>
      <c r="N1818" t="s">
        <v>11</v>
      </c>
      <c r="O1818" s="49">
        <v>3.29</v>
      </c>
      <c r="P1818" s="9">
        <f t="shared" si="172"/>
        <v>1661.45</v>
      </c>
      <c r="Q1818" s="10">
        <f t="shared" si="175"/>
        <v>7.3003400000000003</v>
      </c>
      <c r="R1818" s="10">
        <f t="shared" si="176"/>
        <v>0.45069999999999999</v>
      </c>
      <c r="S1818" s="11">
        <f t="shared" si="177"/>
        <v>227.6</v>
      </c>
      <c r="T1818" s="10" t="s">
        <v>349</v>
      </c>
      <c r="U1818" t="s">
        <v>9</v>
      </c>
      <c r="V1818" s="58">
        <v>7.1775000000000002</v>
      </c>
      <c r="W1818" s="38">
        <f t="shared" si="173"/>
        <v>231.48032044583769</v>
      </c>
    </row>
    <row r="1819" spans="1:23" s="15" customFormat="1">
      <c r="A1819" t="s">
        <v>4118</v>
      </c>
      <c r="B1819" s="20">
        <v>45755</v>
      </c>
      <c r="C1819" s="20">
        <v>45702</v>
      </c>
      <c r="D1819" t="s">
        <v>121</v>
      </c>
      <c r="E1819" t="s">
        <v>122</v>
      </c>
      <c r="F1819" s="19"/>
      <c r="G1819" t="s">
        <v>4395</v>
      </c>
      <c r="H1819" t="s">
        <v>3698</v>
      </c>
      <c r="I1819" t="s">
        <v>3699</v>
      </c>
      <c r="J1819" s="8" t="str">
        <f t="shared" si="174"/>
        <v>SHDL</v>
      </c>
      <c r="K1819" t="s">
        <v>10</v>
      </c>
      <c r="L1819" s="46">
        <v>2060</v>
      </c>
      <c r="M1819" t="s">
        <v>1472</v>
      </c>
      <c r="N1819" t="s">
        <v>11</v>
      </c>
      <c r="O1819" s="49">
        <v>3.2928000000000002</v>
      </c>
      <c r="P1819" s="9">
        <f t="shared" si="172"/>
        <v>6783.17</v>
      </c>
      <c r="Q1819" s="10">
        <f t="shared" si="175"/>
        <v>7.3003400000000003</v>
      </c>
      <c r="R1819" s="10">
        <f t="shared" si="176"/>
        <v>0.45100000000000001</v>
      </c>
      <c r="S1819" s="11">
        <f t="shared" si="177"/>
        <v>929.06</v>
      </c>
      <c r="T1819" s="10" t="s">
        <v>349</v>
      </c>
      <c r="U1819" t="s">
        <v>722</v>
      </c>
      <c r="V1819" s="58">
        <v>7.1775000000000002</v>
      </c>
      <c r="W1819" s="38">
        <f t="shared" si="173"/>
        <v>945.05997910135852</v>
      </c>
    </row>
    <row r="1820" spans="1:23" s="15" customFormat="1">
      <c r="A1820" t="s">
        <v>4119</v>
      </c>
      <c r="B1820" s="20">
        <v>45770</v>
      </c>
      <c r="C1820" s="20">
        <v>45695</v>
      </c>
      <c r="D1820" t="s">
        <v>94</v>
      </c>
      <c r="E1820" t="s">
        <v>95</v>
      </c>
      <c r="F1820" s="19"/>
      <c r="G1820" t="s">
        <v>4432</v>
      </c>
      <c r="H1820" t="s">
        <v>1728</v>
      </c>
      <c r="I1820" t="s">
        <v>1729</v>
      </c>
      <c r="J1820" s="8" t="str">
        <f t="shared" si="174"/>
        <v>LID-</v>
      </c>
      <c r="K1820" t="s">
        <v>98</v>
      </c>
      <c r="L1820" s="46">
        <v>510</v>
      </c>
      <c r="M1820" t="s">
        <v>1472</v>
      </c>
      <c r="N1820" t="s">
        <v>11</v>
      </c>
      <c r="O1820" s="49">
        <v>3.3</v>
      </c>
      <c r="P1820" s="9">
        <f t="shared" si="172"/>
        <v>1683</v>
      </c>
      <c r="Q1820" s="10">
        <f t="shared" si="175"/>
        <v>7.3003400000000003</v>
      </c>
      <c r="R1820" s="10">
        <f t="shared" si="176"/>
        <v>0.45200000000000001</v>
      </c>
      <c r="S1820" s="11">
        <f t="shared" si="177"/>
        <v>230.52</v>
      </c>
      <c r="T1820" s="10" t="s">
        <v>349</v>
      </c>
      <c r="U1820" t="s">
        <v>368</v>
      </c>
      <c r="V1820" s="58">
        <v>7.1775000000000002</v>
      </c>
      <c r="W1820" s="38">
        <f t="shared" si="173"/>
        <v>234.48275862068962</v>
      </c>
    </row>
    <row r="1821" spans="1:23" s="15" customFormat="1">
      <c r="A1821" t="s">
        <v>4120</v>
      </c>
      <c r="B1821" s="20">
        <v>45761</v>
      </c>
      <c r="C1821" s="20">
        <v>45728</v>
      </c>
      <c r="D1821" t="s">
        <v>94</v>
      </c>
      <c r="E1821" t="s">
        <v>95</v>
      </c>
      <c r="F1821" s="19"/>
      <c r="G1821" t="s">
        <v>4433</v>
      </c>
      <c r="H1821" t="s">
        <v>3700</v>
      </c>
      <c r="I1821" t="s">
        <v>3701</v>
      </c>
      <c r="J1821" s="8" t="str">
        <f t="shared" si="174"/>
        <v>LID-</v>
      </c>
      <c r="K1821" t="s">
        <v>98</v>
      </c>
      <c r="L1821" s="46">
        <v>950</v>
      </c>
      <c r="M1821" t="s">
        <v>1472</v>
      </c>
      <c r="N1821" t="s">
        <v>11</v>
      </c>
      <c r="O1821" s="49">
        <v>3.3</v>
      </c>
      <c r="P1821" s="9">
        <f t="shared" si="172"/>
        <v>3135</v>
      </c>
      <c r="Q1821" s="10">
        <f t="shared" si="175"/>
        <v>7.3003400000000003</v>
      </c>
      <c r="R1821" s="10">
        <f t="shared" si="176"/>
        <v>0.45200000000000001</v>
      </c>
      <c r="S1821" s="11">
        <f t="shared" si="177"/>
        <v>429.4</v>
      </c>
      <c r="T1821" s="10" t="s">
        <v>349</v>
      </c>
      <c r="U1821" t="s">
        <v>368</v>
      </c>
      <c r="V1821" s="58">
        <v>7.1775000000000002</v>
      </c>
      <c r="W1821" s="38">
        <f t="shared" si="173"/>
        <v>436.78160919540227</v>
      </c>
    </row>
    <row r="1822" spans="1:23" s="15" customFormat="1">
      <c r="A1822" t="s">
        <v>4121</v>
      </c>
      <c r="B1822" s="20">
        <v>45775</v>
      </c>
      <c r="C1822" s="20">
        <v>45734</v>
      </c>
      <c r="D1822" t="s">
        <v>94</v>
      </c>
      <c r="E1822" t="s">
        <v>95</v>
      </c>
      <c r="F1822" s="19"/>
      <c r="G1822" t="s">
        <v>4434</v>
      </c>
      <c r="H1822" t="s">
        <v>1728</v>
      </c>
      <c r="I1822" t="s">
        <v>1729</v>
      </c>
      <c r="J1822" s="8" t="str">
        <f t="shared" si="174"/>
        <v>LID-</v>
      </c>
      <c r="K1822" t="s">
        <v>98</v>
      </c>
      <c r="L1822" s="46">
        <v>736</v>
      </c>
      <c r="M1822" t="s">
        <v>1472</v>
      </c>
      <c r="N1822" t="s">
        <v>11</v>
      </c>
      <c r="O1822" s="49">
        <v>3.3</v>
      </c>
      <c r="P1822" s="9">
        <f t="shared" si="172"/>
        <v>2428.8000000000002</v>
      </c>
      <c r="Q1822" s="10">
        <f t="shared" si="175"/>
        <v>7.3003400000000003</v>
      </c>
      <c r="R1822" s="10">
        <f t="shared" si="176"/>
        <v>0.45200000000000001</v>
      </c>
      <c r="S1822" s="11">
        <f t="shared" si="177"/>
        <v>332.67</v>
      </c>
      <c r="T1822" s="10" t="s">
        <v>349</v>
      </c>
      <c r="U1822" t="s">
        <v>368</v>
      </c>
      <c r="V1822" s="58">
        <v>7.1775000000000002</v>
      </c>
      <c r="W1822" s="38">
        <f t="shared" si="173"/>
        <v>338.39080459770111</v>
      </c>
    </row>
    <row r="1823" spans="1:23" s="15" customFormat="1">
      <c r="A1823" t="s">
        <v>4122</v>
      </c>
      <c r="B1823" s="20">
        <v>45772</v>
      </c>
      <c r="C1823" s="20">
        <v>45729</v>
      </c>
      <c r="D1823" t="s">
        <v>709</v>
      </c>
      <c r="E1823" t="s">
        <v>710</v>
      </c>
      <c r="F1823" s="19"/>
      <c r="G1823" t="s">
        <v>4405</v>
      </c>
      <c r="H1823" t="s">
        <v>3702</v>
      </c>
      <c r="I1823" t="s">
        <v>3703</v>
      </c>
      <c r="J1823" s="8" t="str">
        <f t="shared" si="174"/>
        <v>SHDL</v>
      </c>
      <c r="K1823" t="s">
        <v>10</v>
      </c>
      <c r="L1823" s="46">
        <v>1000</v>
      </c>
      <c r="M1823" t="s">
        <v>1472</v>
      </c>
      <c r="N1823" t="s">
        <v>11</v>
      </c>
      <c r="O1823" s="49">
        <v>3.3089</v>
      </c>
      <c r="P1823" s="9">
        <f t="shared" si="172"/>
        <v>3308.9</v>
      </c>
      <c r="Q1823" s="10">
        <f t="shared" si="175"/>
        <v>7.3003400000000003</v>
      </c>
      <c r="R1823" s="10">
        <f t="shared" si="176"/>
        <v>0.45329999999999998</v>
      </c>
      <c r="S1823" s="11">
        <f t="shared" si="177"/>
        <v>453.3</v>
      </c>
      <c r="T1823" s="10" t="s">
        <v>349</v>
      </c>
      <c r="U1823" t="s">
        <v>722</v>
      </c>
      <c r="V1823" s="58">
        <v>7.1775000000000002</v>
      </c>
      <c r="W1823" s="38">
        <f t="shared" si="173"/>
        <v>461.01010101010098</v>
      </c>
    </row>
    <row r="1824" spans="1:23" s="15" customFormat="1">
      <c r="A1824" t="s">
        <v>4123</v>
      </c>
      <c r="B1824" s="20">
        <v>45775</v>
      </c>
      <c r="C1824" s="20">
        <v>45721</v>
      </c>
      <c r="D1824" t="s">
        <v>94</v>
      </c>
      <c r="E1824" t="s">
        <v>95</v>
      </c>
      <c r="F1824" s="19"/>
      <c r="G1824" t="s">
        <v>4434</v>
      </c>
      <c r="H1824" t="s">
        <v>364</v>
      </c>
      <c r="I1824" t="s">
        <v>365</v>
      </c>
      <c r="J1824" s="8" t="str">
        <f t="shared" si="174"/>
        <v>LID-</v>
      </c>
      <c r="K1824" t="s">
        <v>369</v>
      </c>
      <c r="L1824" s="46">
        <v>2050</v>
      </c>
      <c r="M1824" t="s">
        <v>1472</v>
      </c>
      <c r="N1824" t="s">
        <v>11</v>
      </c>
      <c r="O1824" s="49">
        <v>3.32</v>
      </c>
      <c r="P1824" s="9">
        <f t="shared" si="172"/>
        <v>6806</v>
      </c>
      <c r="Q1824" s="10">
        <f t="shared" si="175"/>
        <v>7.3003400000000003</v>
      </c>
      <c r="R1824" s="10">
        <f t="shared" si="176"/>
        <v>0.45479999999999998</v>
      </c>
      <c r="S1824" s="11">
        <f t="shared" si="177"/>
        <v>932.34</v>
      </c>
      <c r="T1824" s="10" t="s">
        <v>349</v>
      </c>
      <c r="U1824" t="s">
        <v>368</v>
      </c>
      <c r="V1824" s="58">
        <v>7.1775000000000002</v>
      </c>
      <c r="W1824" s="38">
        <f t="shared" si="173"/>
        <v>948.24103099965157</v>
      </c>
    </row>
    <row r="1825" spans="1:23" s="15" customFormat="1">
      <c r="A1825" t="s">
        <v>4124</v>
      </c>
      <c r="B1825" s="20">
        <v>45769</v>
      </c>
      <c r="C1825" s="20">
        <v>45723</v>
      </c>
      <c r="D1825" t="s">
        <v>128</v>
      </c>
      <c r="E1825" t="s">
        <v>129</v>
      </c>
      <c r="F1825" s="19"/>
      <c r="G1825" t="s">
        <v>4422</v>
      </c>
      <c r="H1825" t="s">
        <v>3704</v>
      </c>
      <c r="I1825" t="s">
        <v>3705</v>
      </c>
      <c r="J1825" s="8" t="str">
        <f t="shared" si="174"/>
        <v>HDL-</v>
      </c>
      <c r="K1825" t="s">
        <v>10</v>
      </c>
      <c r="L1825" s="46">
        <v>1020</v>
      </c>
      <c r="M1825" t="s">
        <v>1472</v>
      </c>
      <c r="N1825" t="s">
        <v>11</v>
      </c>
      <c r="O1825" s="49">
        <v>3.3456000000000001</v>
      </c>
      <c r="P1825" s="9">
        <f t="shared" si="172"/>
        <v>3412.51</v>
      </c>
      <c r="Q1825" s="10">
        <f t="shared" si="175"/>
        <v>7.3003400000000003</v>
      </c>
      <c r="R1825" s="10">
        <f t="shared" si="176"/>
        <v>0.45829999999999999</v>
      </c>
      <c r="S1825" s="11">
        <f t="shared" si="177"/>
        <v>467.47</v>
      </c>
      <c r="T1825" s="10" t="s">
        <v>349</v>
      </c>
      <c r="U1825" t="s">
        <v>228</v>
      </c>
      <c r="V1825" s="58">
        <v>7.1775000000000002</v>
      </c>
      <c r="W1825" s="38">
        <f t="shared" si="173"/>
        <v>475.44576802507834</v>
      </c>
    </row>
    <row r="1826" spans="1:23" s="15" customFormat="1">
      <c r="A1826" t="s">
        <v>4125</v>
      </c>
      <c r="B1826" s="20">
        <v>45762</v>
      </c>
      <c r="C1826" s="20">
        <v>45729</v>
      </c>
      <c r="D1826" t="s">
        <v>149</v>
      </c>
      <c r="E1826" t="s">
        <v>150</v>
      </c>
      <c r="F1826" s="19"/>
      <c r="G1826" t="s">
        <v>4435</v>
      </c>
      <c r="H1826" t="s">
        <v>1730</v>
      </c>
      <c r="I1826" t="s">
        <v>1731</v>
      </c>
      <c r="J1826" s="8" t="str">
        <f t="shared" si="174"/>
        <v>GLID</v>
      </c>
      <c r="K1826" t="s">
        <v>10</v>
      </c>
      <c r="L1826" s="46">
        <v>1010</v>
      </c>
      <c r="M1826" t="s">
        <v>1472</v>
      </c>
      <c r="N1826" t="s">
        <v>11</v>
      </c>
      <c r="O1826" s="49">
        <v>3.3490000000000002</v>
      </c>
      <c r="P1826" s="9">
        <f t="shared" si="172"/>
        <v>3382.49</v>
      </c>
      <c r="Q1826" s="10">
        <f t="shared" si="175"/>
        <v>7.3003400000000003</v>
      </c>
      <c r="R1826" s="10">
        <f t="shared" si="176"/>
        <v>0.4587</v>
      </c>
      <c r="S1826" s="11">
        <f t="shared" si="177"/>
        <v>463.29</v>
      </c>
      <c r="T1826" s="10" t="s">
        <v>349</v>
      </c>
      <c r="U1826" t="s">
        <v>78</v>
      </c>
      <c r="V1826" s="58">
        <v>7.1775000000000002</v>
      </c>
      <c r="W1826" s="38">
        <f t="shared" si="173"/>
        <v>471.26297457331941</v>
      </c>
    </row>
    <row r="1827" spans="1:23" s="15" customFormat="1">
      <c r="A1827" t="s">
        <v>4126</v>
      </c>
      <c r="B1827" s="20">
        <v>45755</v>
      </c>
      <c r="C1827" s="20">
        <v>45749</v>
      </c>
      <c r="D1827" t="s">
        <v>5</v>
      </c>
      <c r="E1827" t="s">
        <v>6</v>
      </c>
      <c r="F1827" s="19"/>
      <c r="G1827" t="s">
        <v>4417</v>
      </c>
      <c r="H1827" t="s">
        <v>3706</v>
      </c>
      <c r="I1827" t="s">
        <v>3707</v>
      </c>
      <c r="J1827" s="8" t="str">
        <f t="shared" si="174"/>
        <v>BOX-</v>
      </c>
      <c r="K1827" t="s">
        <v>10</v>
      </c>
      <c r="L1827" s="46">
        <v>1010</v>
      </c>
      <c r="M1827" t="s">
        <v>1472</v>
      </c>
      <c r="N1827" t="s">
        <v>11</v>
      </c>
      <c r="O1827" s="49">
        <v>3.39</v>
      </c>
      <c r="P1827" s="9">
        <f t="shared" si="172"/>
        <v>3423.9</v>
      </c>
      <c r="Q1827" s="10">
        <f t="shared" si="175"/>
        <v>7.3003400000000003</v>
      </c>
      <c r="R1827" s="10">
        <f t="shared" si="176"/>
        <v>0.46439999999999998</v>
      </c>
      <c r="S1827" s="11">
        <f t="shared" si="177"/>
        <v>469.04</v>
      </c>
      <c r="T1827" s="10" t="s">
        <v>349</v>
      </c>
      <c r="U1827" t="s">
        <v>1</v>
      </c>
      <c r="V1827" s="58">
        <v>7.1775000000000002</v>
      </c>
      <c r="W1827" s="38">
        <f t="shared" si="173"/>
        <v>477.03239289446185</v>
      </c>
    </row>
    <row r="1828" spans="1:23" s="15" customFormat="1">
      <c r="A1828" t="s">
        <v>4127</v>
      </c>
      <c r="B1828" s="20">
        <v>45770</v>
      </c>
      <c r="C1828" s="20">
        <v>45695</v>
      </c>
      <c r="D1828" t="s">
        <v>94</v>
      </c>
      <c r="E1828" t="s">
        <v>95</v>
      </c>
      <c r="F1828" s="19"/>
      <c r="G1828" t="s">
        <v>4432</v>
      </c>
      <c r="H1828" t="s">
        <v>3061</v>
      </c>
      <c r="I1828" t="s">
        <v>3277</v>
      </c>
      <c r="J1828" s="8" t="str">
        <f t="shared" si="174"/>
        <v>LID-</v>
      </c>
      <c r="K1828" t="s">
        <v>98</v>
      </c>
      <c r="L1828" s="46">
        <v>510</v>
      </c>
      <c r="M1828" t="s">
        <v>1472</v>
      </c>
      <c r="N1828" t="s">
        <v>11</v>
      </c>
      <c r="O1828" s="49">
        <v>3.4</v>
      </c>
      <c r="P1828" s="9">
        <f t="shared" si="172"/>
        <v>1734</v>
      </c>
      <c r="Q1828" s="10">
        <f t="shared" si="175"/>
        <v>7.3003400000000003</v>
      </c>
      <c r="R1828" s="10">
        <f t="shared" si="176"/>
        <v>0.4657</v>
      </c>
      <c r="S1828" s="11">
        <f t="shared" si="177"/>
        <v>237.51</v>
      </c>
      <c r="T1828" s="10" t="s">
        <v>349</v>
      </c>
      <c r="U1828" t="s">
        <v>368</v>
      </c>
      <c r="V1828" s="58">
        <v>7.1775000000000002</v>
      </c>
      <c r="W1828" s="38">
        <f t="shared" si="173"/>
        <v>241.58829676071053</v>
      </c>
    </row>
    <row r="1829" spans="1:23" s="15" customFormat="1">
      <c r="A1829" t="s">
        <v>4128</v>
      </c>
      <c r="B1829" s="20">
        <v>45771</v>
      </c>
      <c r="C1829" s="20">
        <v>45714</v>
      </c>
      <c r="D1829" t="s">
        <v>5</v>
      </c>
      <c r="E1829" t="s">
        <v>6</v>
      </c>
      <c r="F1829" s="19"/>
      <c r="G1829" t="s">
        <v>4436</v>
      </c>
      <c r="H1829" t="s">
        <v>1732</v>
      </c>
      <c r="I1829" t="s">
        <v>1733</v>
      </c>
      <c r="J1829" s="8" t="str">
        <f t="shared" si="174"/>
        <v>SHTS</v>
      </c>
      <c r="K1829" t="s">
        <v>10</v>
      </c>
      <c r="L1829" s="46">
        <v>505</v>
      </c>
      <c r="M1829" t="s">
        <v>1472</v>
      </c>
      <c r="N1829" t="s">
        <v>11</v>
      </c>
      <c r="O1829" s="49">
        <v>3.4</v>
      </c>
      <c r="P1829" s="9">
        <f t="shared" si="172"/>
        <v>1717</v>
      </c>
      <c r="Q1829" s="10">
        <f t="shared" si="175"/>
        <v>7.3003400000000003</v>
      </c>
      <c r="R1829" s="10">
        <f t="shared" si="176"/>
        <v>0.4657</v>
      </c>
      <c r="S1829" s="11">
        <f t="shared" si="177"/>
        <v>235.18</v>
      </c>
      <c r="T1829" s="10" t="s">
        <v>349</v>
      </c>
      <c r="U1829" t="s">
        <v>9</v>
      </c>
      <c r="V1829" s="58">
        <v>7.1775000000000002</v>
      </c>
      <c r="W1829" s="38">
        <f t="shared" si="173"/>
        <v>239.21978404737024</v>
      </c>
    </row>
    <row r="1830" spans="1:23" s="15" customFormat="1">
      <c r="A1830" t="s">
        <v>4129</v>
      </c>
      <c r="B1830" s="20">
        <v>45776</v>
      </c>
      <c r="C1830" s="20">
        <v>45734</v>
      </c>
      <c r="D1830" t="s">
        <v>94</v>
      </c>
      <c r="E1830" t="s">
        <v>95</v>
      </c>
      <c r="F1830" s="19"/>
      <c r="G1830" t="s">
        <v>4437</v>
      </c>
      <c r="H1830" t="s">
        <v>3061</v>
      </c>
      <c r="I1830" t="s">
        <v>3277</v>
      </c>
      <c r="J1830" s="8" t="str">
        <f t="shared" si="174"/>
        <v>LID-</v>
      </c>
      <c r="K1830" t="s">
        <v>98</v>
      </c>
      <c r="L1830" s="46">
        <v>710</v>
      </c>
      <c r="M1830" t="s">
        <v>1472</v>
      </c>
      <c r="N1830" t="s">
        <v>11</v>
      </c>
      <c r="O1830" s="49">
        <v>3.4</v>
      </c>
      <c r="P1830" s="9">
        <f t="shared" si="172"/>
        <v>2414</v>
      </c>
      <c r="Q1830" s="10">
        <f t="shared" si="175"/>
        <v>7.3003400000000003</v>
      </c>
      <c r="R1830" s="10">
        <f t="shared" si="176"/>
        <v>0.4657</v>
      </c>
      <c r="S1830" s="11">
        <f t="shared" si="177"/>
        <v>330.65</v>
      </c>
      <c r="T1830" s="10" t="s">
        <v>349</v>
      </c>
      <c r="U1830" t="s">
        <v>368</v>
      </c>
      <c r="V1830" s="58">
        <v>7.1775000000000002</v>
      </c>
      <c r="W1830" s="38">
        <f t="shared" si="173"/>
        <v>336.32880529432254</v>
      </c>
    </row>
    <row r="1831" spans="1:23" s="15" customFormat="1">
      <c r="A1831" t="s">
        <v>4130</v>
      </c>
      <c r="B1831" s="20">
        <v>45762</v>
      </c>
      <c r="C1831" s="20">
        <v>45761</v>
      </c>
      <c r="D1831" t="s">
        <v>5</v>
      </c>
      <c r="E1831" t="s">
        <v>6</v>
      </c>
      <c r="F1831" s="19"/>
      <c r="G1831" t="s">
        <v>4438</v>
      </c>
      <c r="H1831" t="s">
        <v>3708</v>
      </c>
      <c r="I1831" t="s">
        <v>3709</v>
      </c>
      <c r="J1831" s="8" t="str">
        <f t="shared" si="174"/>
        <v>BOX-</v>
      </c>
      <c r="K1831" t="s">
        <v>10</v>
      </c>
      <c r="L1831" s="46">
        <v>1010</v>
      </c>
      <c r="M1831" t="s">
        <v>1472</v>
      </c>
      <c r="N1831" t="s">
        <v>11</v>
      </c>
      <c r="O1831" s="49">
        <v>3.4</v>
      </c>
      <c r="P1831" s="9">
        <f t="shared" si="172"/>
        <v>3434</v>
      </c>
      <c r="Q1831" s="10">
        <f t="shared" si="175"/>
        <v>7.3003400000000003</v>
      </c>
      <c r="R1831" s="10">
        <f t="shared" si="176"/>
        <v>0.4657</v>
      </c>
      <c r="S1831" s="11">
        <f t="shared" si="177"/>
        <v>470.36</v>
      </c>
      <c r="T1831" s="10" t="s">
        <v>349</v>
      </c>
      <c r="U1831" t="s">
        <v>1</v>
      </c>
      <c r="V1831" s="58">
        <v>7.1775000000000002</v>
      </c>
      <c r="W1831" s="38">
        <f t="shared" si="173"/>
        <v>478.43956809474048</v>
      </c>
    </row>
    <row r="1832" spans="1:23" s="15" customFormat="1">
      <c r="A1832" t="s">
        <v>2322</v>
      </c>
      <c r="B1832" s="20">
        <v>45756</v>
      </c>
      <c r="C1832" s="20">
        <v>45664</v>
      </c>
      <c r="D1832" t="s">
        <v>94</v>
      </c>
      <c r="E1832" t="s">
        <v>95</v>
      </c>
      <c r="F1832" s="19"/>
      <c r="G1832" t="s">
        <v>4439</v>
      </c>
      <c r="H1832" t="s">
        <v>1001</v>
      </c>
      <c r="I1832" t="s">
        <v>1002</v>
      </c>
      <c r="J1832" s="8" t="str">
        <f t="shared" si="174"/>
        <v>LID-</v>
      </c>
      <c r="K1832" t="s">
        <v>369</v>
      </c>
      <c r="L1832" s="46">
        <v>1038</v>
      </c>
      <c r="M1832" t="s">
        <v>1472</v>
      </c>
      <c r="N1832" t="s">
        <v>11</v>
      </c>
      <c r="O1832" s="49">
        <v>3.42</v>
      </c>
      <c r="P1832" s="9">
        <f t="shared" si="172"/>
        <v>3549.96</v>
      </c>
      <c r="Q1832" s="10">
        <f t="shared" si="175"/>
        <v>7.3003400000000003</v>
      </c>
      <c r="R1832" s="10">
        <f t="shared" si="176"/>
        <v>0.46850000000000003</v>
      </c>
      <c r="S1832" s="11">
        <f t="shared" si="177"/>
        <v>486.3</v>
      </c>
      <c r="T1832" s="10" t="s">
        <v>349</v>
      </c>
      <c r="U1832" t="s">
        <v>368</v>
      </c>
      <c r="V1832" s="58">
        <v>7.1775000000000002</v>
      </c>
      <c r="W1832" s="38">
        <f t="shared" si="173"/>
        <v>494.59561128526644</v>
      </c>
    </row>
    <row r="1833" spans="1:23" s="15" customFormat="1">
      <c r="A1833" t="s">
        <v>4131</v>
      </c>
      <c r="B1833" s="20">
        <v>45763</v>
      </c>
      <c r="C1833" s="20">
        <v>45700</v>
      </c>
      <c r="D1833" t="s">
        <v>94</v>
      </c>
      <c r="E1833" t="s">
        <v>95</v>
      </c>
      <c r="F1833" s="19"/>
      <c r="G1833" t="s">
        <v>4440</v>
      </c>
      <c r="H1833" t="s">
        <v>1001</v>
      </c>
      <c r="I1833" t="s">
        <v>1002</v>
      </c>
      <c r="J1833" s="8" t="str">
        <f t="shared" si="174"/>
        <v>LID-</v>
      </c>
      <c r="K1833" t="s">
        <v>369</v>
      </c>
      <c r="L1833" s="46">
        <v>2400</v>
      </c>
      <c r="M1833" t="s">
        <v>1472</v>
      </c>
      <c r="N1833" t="s">
        <v>11</v>
      </c>
      <c r="O1833" s="49">
        <v>3.42</v>
      </c>
      <c r="P1833" s="9">
        <f t="shared" si="172"/>
        <v>8208</v>
      </c>
      <c r="Q1833" s="10">
        <f t="shared" si="175"/>
        <v>7.3003400000000003</v>
      </c>
      <c r="R1833" s="10">
        <f t="shared" si="176"/>
        <v>0.46850000000000003</v>
      </c>
      <c r="S1833" s="11">
        <f t="shared" si="177"/>
        <v>1124.4000000000001</v>
      </c>
      <c r="T1833" s="10" t="s">
        <v>349</v>
      </c>
      <c r="U1833" t="s">
        <v>368</v>
      </c>
      <c r="V1833" s="58">
        <v>7.1775000000000002</v>
      </c>
      <c r="W1833" s="38">
        <f t="shared" si="173"/>
        <v>1143.5736677115988</v>
      </c>
    </row>
    <row r="1834" spans="1:23" s="15" customFormat="1">
      <c r="A1834" t="s">
        <v>4131</v>
      </c>
      <c r="B1834" s="20">
        <v>45762</v>
      </c>
      <c r="C1834" s="20">
        <v>45700</v>
      </c>
      <c r="D1834" t="s">
        <v>94</v>
      </c>
      <c r="E1834" t="s">
        <v>95</v>
      </c>
      <c r="F1834" s="19"/>
      <c r="G1834" t="s">
        <v>4441</v>
      </c>
      <c r="H1834" t="s">
        <v>1001</v>
      </c>
      <c r="I1834" t="s">
        <v>1002</v>
      </c>
      <c r="J1834" s="8" t="str">
        <f t="shared" si="174"/>
        <v>LID-</v>
      </c>
      <c r="K1834" t="s">
        <v>369</v>
      </c>
      <c r="L1834" s="46">
        <v>2730</v>
      </c>
      <c r="M1834" t="s">
        <v>1472</v>
      </c>
      <c r="N1834" t="s">
        <v>11</v>
      </c>
      <c r="O1834" s="49">
        <v>3.42</v>
      </c>
      <c r="P1834" s="9">
        <f t="shared" si="172"/>
        <v>9336.6</v>
      </c>
      <c r="Q1834" s="10">
        <f t="shared" si="175"/>
        <v>7.3003400000000003</v>
      </c>
      <c r="R1834" s="10">
        <f t="shared" si="176"/>
        <v>0.46850000000000003</v>
      </c>
      <c r="S1834" s="11">
        <f t="shared" si="177"/>
        <v>1279.01</v>
      </c>
      <c r="T1834" s="10" t="s">
        <v>349</v>
      </c>
      <c r="U1834" t="s">
        <v>368</v>
      </c>
      <c r="V1834" s="58">
        <v>7.1775000000000002</v>
      </c>
      <c r="W1834" s="38">
        <f t="shared" si="173"/>
        <v>1300.8150470219434</v>
      </c>
    </row>
    <row r="1835" spans="1:23" s="15" customFormat="1">
      <c r="A1835" t="s">
        <v>4132</v>
      </c>
      <c r="B1835" s="20">
        <v>45755</v>
      </c>
      <c r="C1835" s="20">
        <v>45695</v>
      </c>
      <c r="D1835" t="s">
        <v>94</v>
      </c>
      <c r="E1835" t="s">
        <v>95</v>
      </c>
      <c r="F1835" s="19"/>
      <c r="G1835" t="s">
        <v>4442</v>
      </c>
      <c r="H1835" t="s">
        <v>3062</v>
      </c>
      <c r="I1835" t="s">
        <v>3278</v>
      </c>
      <c r="J1835" s="8" t="str">
        <f t="shared" si="174"/>
        <v>LID-</v>
      </c>
      <c r="K1835" t="s">
        <v>98</v>
      </c>
      <c r="L1835" s="46">
        <v>510</v>
      </c>
      <c r="M1835" t="s">
        <v>1472</v>
      </c>
      <c r="N1835" t="s">
        <v>11</v>
      </c>
      <c r="O1835" s="49">
        <v>3.5</v>
      </c>
      <c r="P1835" s="9">
        <f t="shared" si="172"/>
        <v>1785</v>
      </c>
      <c r="Q1835" s="10">
        <f t="shared" si="175"/>
        <v>7.3003400000000003</v>
      </c>
      <c r="R1835" s="10">
        <f t="shared" si="176"/>
        <v>0.47939999999999999</v>
      </c>
      <c r="S1835" s="11">
        <f t="shared" si="177"/>
        <v>244.49</v>
      </c>
      <c r="T1835" s="10" t="s">
        <v>349</v>
      </c>
      <c r="U1835" t="s">
        <v>368</v>
      </c>
      <c r="V1835" s="58">
        <v>7.1775000000000002</v>
      </c>
      <c r="W1835" s="38">
        <f t="shared" si="173"/>
        <v>248.69383490073145</v>
      </c>
    </row>
    <row r="1836" spans="1:23" s="15" customFormat="1">
      <c r="A1836" t="s">
        <v>4133</v>
      </c>
      <c r="B1836" s="20">
        <v>45764</v>
      </c>
      <c r="C1836" s="20">
        <v>45727</v>
      </c>
      <c r="D1836" t="s">
        <v>94</v>
      </c>
      <c r="E1836" t="s">
        <v>95</v>
      </c>
      <c r="F1836" s="19"/>
      <c r="G1836" t="s">
        <v>4443</v>
      </c>
      <c r="H1836" t="s">
        <v>3710</v>
      </c>
      <c r="I1836" t="s">
        <v>3711</v>
      </c>
      <c r="J1836" s="8" t="str">
        <f t="shared" si="174"/>
        <v>LID-</v>
      </c>
      <c r="K1836" t="s">
        <v>98</v>
      </c>
      <c r="L1836" s="46">
        <v>1000</v>
      </c>
      <c r="M1836" t="s">
        <v>1472</v>
      </c>
      <c r="N1836" t="s">
        <v>11</v>
      </c>
      <c r="O1836" s="49">
        <v>3.5</v>
      </c>
      <c r="P1836" s="9">
        <f t="shared" si="172"/>
        <v>3500</v>
      </c>
      <c r="Q1836" s="10">
        <f t="shared" si="175"/>
        <v>7.3003400000000003</v>
      </c>
      <c r="R1836" s="10">
        <f t="shared" si="176"/>
        <v>0.47939999999999999</v>
      </c>
      <c r="S1836" s="11">
        <f t="shared" si="177"/>
        <v>479.4</v>
      </c>
      <c r="T1836" s="10" t="s">
        <v>349</v>
      </c>
      <c r="U1836" t="s">
        <v>368</v>
      </c>
      <c r="V1836" s="58">
        <v>7.1775000000000002</v>
      </c>
      <c r="W1836" s="38">
        <f t="shared" si="173"/>
        <v>487.63497039359106</v>
      </c>
    </row>
    <row r="1837" spans="1:23" s="15" customFormat="1">
      <c r="A1837" t="s">
        <v>4134</v>
      </c>
      <c r="B1837" s="20">
        <v>45776</v>
      </c>
      <c r="C1837" s="20">
        <v>45734</v>
      </c>
      <c r="D1837" t="s">
        <v>94</v>
      </c>
      <c r="E1837" t="s">
        <v>95</v>
      </c>
      <c r="F1837" s="19"/>
      <c r="G1837" t="s">
        <v>4437</v>
      </c>
      <c r="H1837" t="s">
        <v>3062</v>
      </c>
      <c r="I1837" t="s">
        <v>3278</v>
      </c>
      <c r="J1837" s="8" t="str">
        <f t="shared" si="174"/>
        <v>LID-</v>
      </c>
      <c r="K1837" t="s">
        <v>98</v>
      </c>
      <c r="L1837" s="46">
        <v>810</v>
      </c>
      <c r="M1837" t="s">
        <v>1472</v>
      </c>
      <c r="N1837" t="s">
        <v>11</v>
      </c>
      <c r="O1837" s="49">
        <v>3.5</v>
      </c>
      <c r="P1837" s="9">
        <f t="shared" si="172"/>
        <v>2835</v>
      </c>
      <c r="Q1837" s="10">
        <f t="shared" si="175"/>
        <v>7.3003400000000003</v>
      </c>
      <c r="R1837" s="10">
        <f t="shared" si="176"/>
        <v>0.47939999999999999</v>
      </c>
      <c r="S1837" s="11">
        <f t="shared" si="177"/>
        <v>388.31</v>
      </c>
      <c r="T1837" s="10" t="s">
        <v>349</v>
      </c>
      <c r="U1837" t="s">
        <v>368</v>
      </c>
      <c r="V1837" s="58">
        <v>7.1775000000000002</v>
      </c>
      <c r="W1837" s="38">
        <f t="shared" si="173"/>
        <v>394.98432601880876</v>
      </c>
    </row>
    <row r="1838" spans="1:23" s="15" customFormat="1">
      <c r="A1838" t="s">
        <v>4135</v>
      </c>
      <c r="B1838" s="20">
        <v>45749</v>
      </c>
      <c r="C1838" s="20">
        <v>45742</v>
      </c>
      <c r="D1838" t="s">
        <v>569</v>
      </c>
      <c r="E1838" t="s">
        <v>570</v>
      </c>
      <c r="F1838" s="19"/>
      <c r="G1838" t="s">
        <v>4364</v>
      </c>
      <c r="H1838" t="s">
        <v>1513</v>
      </c>
      <c r="I1838" t="s">
        <v>1514</v>
      </c>
      <c r="J1838" s="8" t="str">
        <f t="shared" si="174"/>
        <v>ANYD</v>
      </c>
      <c r="K1838" t="s">
        <v>10</v>
      </c>
      <c r="L1838" s="46">
        <v>700</v>
      </c>
      <c r="M1838" t="s">
        <v>1472</v>
      </c>
      <c r="N1838" t="s">
        <v>11</v>
      </c>
      <c r="O1838" s="49">
        <v>3.5</v>
      </c>
      <c r="P1838" s="9">
        <f t="shared" si="172"/>
        <v>2450</v>
      </c>
      <c r="Q1838" s="10">
        <f t="shared" si="175"/>
        <v>7.3003400000000003</v>
      </c>
      <c r="R1838" s="10">
        <f t="shared" si="176"/>
        <v>0.47939999999999999</v>
      </c>
      <c r="S1838" s="11">
        <f t="shared" si="177"/>
        <v>335.58</v>
      </c>
      <c r="T1838" s="10" t="s">
        <v>349</v>
      </c>
      <c r="U1838" t="s">
        <v>36</v>
      </c>
      <c r="V1838" s="58">
        <v>7.1775000000000002</v>
      </c>
      <c r="W1838" s="38">
        <f t="shared" si="173"/>
        <v>341.34447927551372</v>
      </c>
    </row>
    <row r="1839" spans="1:23" s="15" customFormat="1">
      <c r="A1839" t="s">
        <v>4136</v>
      </c>
      <c r="B1839" s="20">
        <v>45763</v>
      </c>
      <c r="C1839" s="20">
        <v>45762</v>
      </c>
      <c r="D1839" t="s">
        <v>569</v>
      </c>
      <c r="E1839" t="s">
        <v>570</v>
      </c>
      <c r="F1839" s="19"/>
      <c r="G1839" t="s">
        <v>4365</v>
      </c>
      <c r="H1839" t="s">
        <v>1513</v>
      </c>
      <c r="I1839" t="s">
        <v>1514</v>
      </c>
      <c r="J1839" s="8" t="str">
        <f t="shared" si="174"/>
        <v>ANYD</v>
      </c>
      <c r="K1839" t="s">
        <v>10</v>
      </c>
      <c r="L1839" s="46">
        <v>120</v>
      </c>
      <c r="M1839" t="s">
        <v>1472</v>
      </c>
      <c r="N1839" t="s">
        <v>11</v>
      </c>
      <c r="O1839" s="49">
        <v>3.5</v>
      </c>
      <c r="P1839" s="9">
        <f t="shared" si="172"/>
        <v>420</v>
      </c>
      <c r="Q1839" s="10">
        <f t="shared" si="175"/>
        <v>7.3003400000000003</v>
      </c>
      <c r="R1839" s="10">
        <f t="shared" si="176"/>
        <v>0.47939999999999999</v>
      </c>
      <c r="S1839" s="11">
        <f t="shared" si="177"/>
        <v>57.53</v>
      </c>
      <c r="T1839" s="10" t="s">
        <v>349</v>
      </c>
      <c r="U1839" t="s">
        <v>36</v>
      </c>
      <c r="V1839" s="58">
        <v>7.1775000000000002</v>
      </c>
      <c r="W1839" s="38">
        <f t="shared" si="173"/>
        <v>58.516196447230925</v>
      </c>
    </row>
    <row r="1840" spans="1:23" s="15" customFormat="1">
      <c r="A1840" t="s">
        <v>2323</v>
      </c>
      <c r="B1840" s="20">
        <v>45755</v>
      </c>
      <c r="C1840" s="20">
        <v>45664</v>
      </c>
      <c r="D1840" t="s">
        <v>94</v>
      </c>
      <c r="E1840" t="s">
        <v>95</v>
      </c>
      <c r="F1840" s="19"/>
      <c r="G1840" t="s">
        <v>4444</v>
      </c>
      <c r="H1840" t="s">
        <v>1734</v>
      </c>
      <c r="I1840" t="s">
        <v>1735</v>
      </c>
      <c r="J1840" s="8" t="str">
        <f t="shared" si="174"/>
        <v>LID-</v>
      </c>
      <c r="K1840" t="s">
        <v>369</v>
      </c>
      <c r="L1840" s="46">
        <v>637</v>
      </c>
      <c r="M1840" t="s">
        <v>1472</v>
      </c>
      <c r="N1840" t="s">
        <v>11</v>
      </c>
      <c r="O1840" s="49">
        <v>3.53</v>
      </c>
      <c r="P1840" s="9">
        <f t="shared" si="172"/>
        <v>2248.61</v>
      </c>
      <c r="Q1840" s="10">
        <f t="shared" si="175"/>
        <v>7.3003400000000003</v>
      </c>
      <c r="R1840" s="10">
        <f t="shared" si="176"/>
        <v>0.48349999999999999</v>
      </c>
      <c r="S1840" s="11">
        <f t="shared" si="177"/>
        <v>307.99</v>
      </c>
      <c r="T1840" s="10" t="s">
        <v>349</v>
      </c>
      <c r="U1840" t="s">
        <v>368</v>
      </c>
      <c r="V1840" s="58">
        <v>7.1775000000000002</v>
      </c>
      <c r="W1840" s="38">
        <f t="shared" si="173"/>
        <v>313.28596307906651</v>
      </c>
    </row>
    <row r="1841" spans="1:23" s="15" customFormat="1">
      <c r="A1841" t="s">
        <v>2323</v>
      </c>
      <c r="B1841" s="20">
        <v>45755</v>
      </c>
      <c r="C1841" s="20">
        <v>45664</v>
      </c>
      <c r="D1841" t="s">
        <v>94</v>
      </c>
      <c r="E1841" t="s">
        <v>95</v>
      </c>
      <c r="F1841" s="19"/>
      <c r="G1841" t="s">
        <v>4442</v>
      </c>
      <c r="H1841" t="s">
        <v>1734</v>
      </c>
      <c r="I1841" t="s">
        <v>1735</v>
      </c>
      <c r="J1841" s="8" t="str">
        <f t="shared" si="174"/>
        <v>LID-</v>
      </c>
      <c r="K1841" t="s">
        <v>369</v>
      </c>
      <c r="L1841" s="46">
        <v>811</v>
      </c>
      <c r="M1841" t="s">
        <v>1472</v>
      </c>
      <c r="N1841" t="s">
        <v>11</v>
      </c>
      <c r="O1841" s="49">
        <v>3.53</v>
      </c>
      <c r="P1841" s="9">
        <f t="shared" si="172"/>
        <v>2862.83</v>
      </c>
      <c r="Q1841" s="10">
        <f t="shared" si="175"/>
        <v>7.3003400000000003</v>
      </c>
      <c r="R1841" s="10">
        <f t="shared" si="176"/>
        <v>0.48349999999999999</v>
      </c>
      <c r="S1841" s="11">
        <f t="shared" si="177"/>
        <v>392.12</v>
      </c>
      <c r="T1841" s="10" t="s">
        <v>349</v>
      </c>
      <c r="U1841" t="s">
        <v>368</v>
      </c>
      <c r="V1841" s="58">
        <v>7.1775000000000002</v>
      </c>
      <c r="W1841" s="38">
        <f t="shared" si="173"/>
        <v>398.86172065482407</v>
      </c>
    </row>
    <row r="1842" spans="1:23" s="15" customFormat="1">
      <c r="A1842" t="s">
        <v>2323</v>
      </c>
      <c r="B1842" s="20">
        <v>45754</v>
      </c>
      <c r="C1842" s="20">
        <v>45664</v>
      </c>
      <c r="D1842" t="s">
        <v>94</v>
      </c>
      <c r="E1842" t="s">
        <v>95</v>
      </c>
      <c r="F1842" s="19"/>
      <c r="G1842" t="s">
        <v>4445</v>
      </c>
      <c r="H1842" t="s">
        <v>1734</v>
      </c>
      <c r="I1842" t="s">
        <v>1735</v>
      </c>
      <c r="J1842" s="8" t="str">
        <f t="shared" si="174"/>
        <v>LID-</v>
      </c>
      <c r="K1842" t="s">
        <v>369</v>
      </c>
      <c r="L1842" s="46">
        <v>1680</v>
      </c>
      <c r="M1842" t="s">
        <v>1472</v>
      </c>
      <c r="N1842" t="s">
        <v>11</v>
      </c>
      <c r="O1842" s="49">
        <v>3.53</v>
      </c>
      <c r="P1842" s="9">
        <f t="shared" si="172"/>
        <v>5930.4</v>
      </c>
      <c r="Q1842" s="10">
        <f t="shared" si="175"/>
        <v>7.3003400000000003</v>
      </c>
      <c r="R1842" s="10">
        <f t="shared" si="176"/>
        <v>0.48349999999999999</v>
      </c>
      <c r="S1842" s="11">
        <f t="shared" si="177"/>
        <v>812.28</v>
      </c>
      <c r="T1842" s="10" t="s">
        <v>349</v>
      </c>
      <c r="U1842" t="s">
        <v>368</v>
      </c>
      <c r="V1842" s="58">
        <v>7.1775000000000002</v>
      </c>
      <c r="W1842" s="38">
        <f t="shared" si="173"/>
        <v>826.24869383490068</v>
      </c>
    </row>
    <row r="1843" spans="1:23" s="15" customFormat="1">
      <c r="A1843" t="s">
        <v>4137</v>
      </c>
      <c r="B1843" s="20">
        <v>45775</v>
      </c>
      <c r="C1843" s="20">
        <v>45700</v>
      </c>
      <c r="D1843" t="s">
        <v>94</v>
      </c>
      <c r="E1843" t="s">
        <v>95</v>
      </c>
      <c r="F1843" s="19"/>
      <c r="G1843" t="s">
        <v>4434</v>
      </c>
      <c r="H1843" t="s">
        <v>1734</v>
      </c>
      <c r="I1843" t="s">
        <v>1735</v>
      </c>
      <c r="J1843" s="8" t="str">
        <f t="shared" si="174"/>
        <v>LID-</v>
      </c>
      <c r="K1843" t="s">
        <v>369</v>
      </c>
      <c r="L1843" s="46">
        <v>1149</v>
      </c>
      <c r="M1843" t="s">
        <v>1472</v>
      </c>
      <c r="N1843" t="s">
        <v>11</v>
      </c>
      <c r="O1843" s="49">
        <v>3.53</v>
      </c>
      <c r="P1843" s="9">
        <f t="shared" si="172"/>
        <v>4055.97</v>
      </c>
      <c r="Q1843" s="10">
        <f t="shared" si="175"/>
        <v>7.3003400000000003</v>
      </c>
      <c r="R1843" s="10">
        <f t="shared" si="176"/>
        <v>0.48349999999999999</v>
      </c>
      <c r="S1843" s="11">
        <f t="shared" si="177"/>
        <v>555.54</v>
      </c>
      <c r="T1843" s="10" t="s">
        <v>349</v>
      </c>
      <c r="U1843" t="s">
        <v>368</v>
      </c>
      <c r="V1843" s="58">
        <v>7.1775000000000002</v>
      </c>
      <c r="W1843" s="38">
        <f t="shared" si="173"/>
        <v>565.0950888192267</v>
      </c>
    </row>
    <row r="1844" spans="1:23" s="15" customFormat="1">
      <c r="A1844" t="s">
        <v>4137</v>
      </c>
      <c r="B1844" s="20">
        <v>45762</v>
      </c>
      <c r="C1844" s="20">
        <v>45700</v>
      </c>
      <c r="D1844" t="s">
        <v>94</v>
      </c>
      <c r="E1844" t="s">
        <v>95</v>
      </c>
      <c r="F1844" s="19"/>
      <c r="G1844" t="s">
        <v>4446</v>
      </c>
      <c r="H1844" t="s">
        <v>1734</v>
      </c>
      <c r="I1844" t="s">
        <v>1735</v>
      </c>
      <c r="J1844" s="8" t="str">
        <f t="shared" si="174"/>
        <v>LID-</v>
      </c>
      <c r="K1844" t="s">
        <v>369</v>
      </c>
      <c r="L1844" s="46">
        <v>417</v>
      </c>
      <c r="M1844" t="s">
        <v>1472</v>
      </c>
      <c r="N1844" t="s">
        <v>11</v>
      </c>
      <c r="O1844" s="49">
        <v>3.53</v>
      </c>
      <c r="P1844" s="9">
        <f t="shared" si="172"/>
        <v>1472.01</v>
      </c>
      <c r="Q1844" s="10">
        <f t="shared" si="175"/>
        <v>7.3003400000000003</v>
      </c>
      <c r="R1844" s="10">
        <f t="shared" si="176"/>
        <v>0.48349999999999999</v>
      </c>
      <c r="S1844" s="11">
        <f t="shared" si="177"/>
        <v>201.62</v>
      </c>
      <c r="T1844" s="10" t="s">
        <v>349</v>
      </c>
      <c r="U1844" t="s">
        <v>368</v>
      </c>
      <c r="V1844" s="58">
        <v>7.1775000000000002</v>
      </c>
      <c r="W1844" s="38">
        <f t="shared" si="173"/>
        <v>205.0867293625914</v>
      </c>
    </row>
    <row r="1845" spans="1:23" s="15" customFormat="1">
      <c r="A1845" t="s">
        <v>4137</v>
      </c>
      <c r="B1845" s="20">
        <v>45755</v>
      </c>
      <c r="C1845" s="20">
        <v>45700</v>
      </c>
      <c r="D1845" t="s">
        <v>94</v>
      </c>
      <c r="E1845" t="s">
        <v>95</v>
      </c>
      <c r="F1845" s="19"/>
      <c r="G1845" t="s">
        <v>4444</v>
      </c>
      <c r="H1845" t="s">
        <v>1734</v>
      </c>
      <c r="I1845" t="s">
        <v>1735</v>
      </c>
      <c r="J1845" s="8" t="str">
        <f t="shared" si="174"/>
        <v>LID-</v>
      </c>
      <c r="K1845" t="s">
        <v>369</v>
      </c>
      <c r="L1845" s="46">
        <v>494</v>
      </c>
      <c r="M1845" t="s">
        <v>1472</v>
      </c>
      <c r="N1845" t="s">
        <v>11</v>
      </c>
      <c r="O1845" s="49">
        <v>3.53</v>
      </c>
      <c r="P1845" s="9">
        <f t="shared" si="172"/>
        <v>1743.82</v>
      </c>
      <c r="Q1845" s="10">
        <f t="shared" si="175"/>
        <v>7.3003400000000003</v>
      </c>
      <c r="R1845" s="10">
        <f t="shared" si="176"/>
        <v>0.48349999999999999</v>
      </c>
      <c r="S1845" s="11">
        <f t="shared" si="177"/>
        <v>238.85</v>
      </c>
      <c r="T1845" s="10" t="s">
        <v>349</v>
      </c>
      <c r="U1845" t="s">
        <v>368</v>
      </c>
      <c r="V1845" s="58">
        <v>7.1775000000000002</v>
      </c>
      <c r="W1845" s="38">
        <f t="shared" si="173"/>
        <v>242.95646116335769</v>
      </c>
    </row>
    <row r="1846" spans="1:23" s="15" customFormat="1">
      <c r="A1846" t="s">
        <v>4138</v>
      </c>
      <c r="B1846" s="20">
        <v>45777</v>
      </c>
      <c r="C1846" s="20">
        <v>45775</v>
      </c>
      <c r="D1846" t="s">
        <v>121</v>
      </c>
      <c r="E1846" t="s">
        <v>122</v>
      </c>
      <c r="F1846" s="19"/>
      <c r="G1846" t="s">
        <v>4447</v>
      </c>
      <c r="H1846" t="s">
        <v>357</v>
      </c>
      <c r="I1846" t="s">
        <v>358</v>
      </c>
      <c r="J1846" s="8" t="str">
        <f t="shared" si="174"/>
        <v>HDL-</v>
      </c>
      <c r="K1846" t="s">
        <v>10</v>
      </c>
      <c r="L1846" s="46">
        <v>150</v>
      </c>
      <c r="M1846" t="s">
        <v>1472</v>
      </c>
      <c r="N1846" t="s">
        <v>11</v>
      </c>
      <c r="O1846" s="49">
        <v>3.5398000000000001</v>
      </c>
      <c r="P1846" s="9">
        <f t="shared" si="172"/>
        <v>530.97</v>
      </c>
      <c r="Q1846" s="10">
        <f t="shared" si="175"/>
        <v>7.3003400000000003</v>
      </c>
      <c r="R1846" s="10">
        <f t="shared" si="176"/>
        <v>0.4849</v>
      </c>
      <c r="S1846" s="11">
        <f t="shared" si="177"/>
        <v>72.739999999999995</v>
      </c>
      <c r="T1846" s="10" t="s">
        <v>349</v>
      </c>
      <c r="U1846" t="s">
        <v>228</v>
      </c>
      <c r="V1846" s="58">
        <v>7.1775000000000002</v>
      </c>
      <c r="W1846" s="38">
        <f t="shared" si="173"/>
        <v>73.977011494252878</v>
      </c>
    </row>
    <row r="1847" spans="1:23" s="15" customFormat="1">
      <c r="A1847" t="s">
        <v>4139</v>
      </c>
      <c r="B1847" s="20">
        <v>45762</v>
      </c>
      <c r="C1847" s="20">
        <v>45761</v>
      </c>
      <c r="D1847" t="s">
        <v>5</v>
      </c>
      <c r="E1847" t="s">
        <v>6</v>
      </c>
      <c r="F1847" s="19"/>
      <c r="G1847" t="s">
        <v>4438</v>
      </c>
      <c r="H1847" t="s">
        <v>3712</v>
      </c>
      <c r="I1847" t="s">
        <v>3713</v>
      </c>
      <c r="J1847" s="8" t="str">
        <f t="shared" si="174"/>
        <v>BOX-</v>
      </c>
      <c r="K1847" t="s">
        <v>10</v>
      </c>
      <c r="L1847" s="46">
        <v>1010</v>
      </c>
      <c r="M1847" t="s">
        <v>1472</v>
      </c>
      <c r="N1847" t="s">
        <v>11</v>
      </c>
      <c r="O1847" s="49">
        <v>3.59</v>
      </c>
      <c r="P1847" s="9">
        <f t="shared" si="172"/>
        <v>3625.9</v>
      </c>
      <c r="Q1847" s="10">
        <f t="shared" si="175"/>
        <v>7.3003400000000003</v>
      </c>
      <c r="R1847" s="10">
        <f t="shared" si="176"/>
        <v>0.49180000000000001</v>
      </c>
      <c r="S1847" s="11">
        <f t="shared" si="177"/>
        <v>496.72</v>
      </c>
      <c r="T1847" s="10" t="s">
        <v>349</v>
      </c>
      <c r="U1847" t="s">
        <v>1</v>
      </c>
      <c r="V1847" s="58">
        <v>7.1775000000000002</v>
      </c>
      <c r="W1847" s="38">
        <f t="shared" si="173"/>
        <v>505.17589690003473</v>
      </c>
    </row>
    <row r="1848" spans="1:23" s="15" customFormat="1">
      <c r="A1848" t="s">
        <v>4140</v>
      </c>
      <c r="B1848" s="20">
        <v>45769</v>
      </c>
      <c r="C1848" s="20">
        <v>45764</v>
      </c>
      <c r="D1848" t="s">
        <v>5</v>
      </c>
      <c r="E1848" t="s">
        <v>6</v>
      </c>
      <c r="F1848" s="19"/>
      <c r="G1848" t="s">
        <v>4428</v>
      </c>
      <c r="H1848" t="s">
        <v>3714</v>
      </c>
      <c r="I1848" t="s">
        <v>3715</v>
      </c>
      <c r="J1848" s="8" t="str">
        <f t="shared" si="174"/>
        <v>SHTS</v>
      </c>
      <c r="K1848" t="s">
        <v>10</v>
      </c>
      <c r="L1848" s="46">
        <v>1010</v>
      </c>
      <c r="M1848" t="s">
        <v>1472</v>
      </c>
      <c r="N1848" t="s">
        <v>11</v>
      </c>
      <c r="O1848" s="49">
        <v>3.61</v>
      </c>
      <c r="P1848" s="9">
        <f t="shared" si="172"/>
        <v>3646.1</v>
      </c>
      <c r="Q1848" s="10">
        <f t="shared" si="175"/>
        <v>7.3003400000000003</v>
      </c>
      <c r="R1848" s="10">
        <f t="shared" si="176"/>
        <v>0.4945</v>
      </c>
      <c r="S1848" s="11">
        <f t="shared" si="177"/>
        <v>499.45</v>
      </c>
      <c r="T1848" s="10" t="s">
        <v>349</v>
      </c>
      <c r="U1848" t="s">
        <v>9</v>
      </c>
      <c r="V1848" s="58">
        <v>7.1775000000000002</v>
      </c>
      <c r="W1848" s="38">
        <f t="shared" si="173"/>
        <v>507.9902473005921</v>
      </c>
    </row>
    <row r="1849" spans="1:23" s="15" customFormat="1">
      <c r="A1849" t="s">
        <v>4141</v>
      </c>
      <c r="B1849" s="20">
        <v>45776</v>
      </c>
      <c r="C1849" s="20">
        <v>45758</v>
      </c>
      <c r="D1849" t="s">
        <v>149</v>
      </c>
      <c r="E1849" t="s">
        <v>150</v>
      </c>
      <c r="F1849" s="19"/>
      <c r="G1849" t="s">
        <v>4448</v>
      </c>
      <c r="H1849" t="s">
        <v>3716</v>
      </c>
      <c r="I1849" t="s">
        <v>3717</v>
      </c>
      <c r="J1849" s="8" t="str">
        <f t="shared" si="174"/>
        <v>GLID</v>
      </c>
      <c r="K1849" t="s">
        <v>10</v>
      </c>
      <c r="L1849" s="46">
        <v>500</v>
      </c>
      <c r="M1849" t="s">
        <v>1472</v>
      </c>
      <c r="N1849" t="s">
        <v>11</v>
      </c>
      <c r="O1849" s="49">
        <v>3.6152000000000002</v>
      </c>
      <c r="P1849" s="9">
        <f t="shared" si="172"/>
        <v>1807.6</v>
      </c>
      <c r="Q1849" s="10">
        <f t="shared" si="175"/>
        <v>7.3003400000000003</v>
      </c>
      <c r="R1849" s="10">
        <f t="shared" si="176"/>
        <v>0.49519999999999997</v>
      </c>
      <c r="S1849" s="11">
        <f t="shared" si="177"/>
        <v>247.6</v>
      </c>
      <c r="T1849" s="10" t="s">
        <v>349</v>
      </c>
      <c r="U1849" t="s">
        <v>78</v>
      </c>
      <c r="V1849" s="58">
        <v>7.1775000000000002</v>
      </c>
      <c r="W1849" s="38">
        <f t="shared" si="173"/>
        <v>251.84256356670147</v>
      </c>
    </row>
    <row r="1850" spans="1:23" s="15" customFormat="1">
      <c r="A1850" t="s">
        <v>4142</v>
      </c>
      <c r="B1850" s="20">
        <v>45775</v>
      </c>
      <c r="C1850" s="20">
        <v>45736</v>
      </c>
      <c r="D1850" t="s">
        <v>187</v>
      </c>
      <c r="E1850" t="s">
        <v>188</v>
      </c>
      <c r="F1850" s="19"/>
      <c r="G1850" t="s">
        <v>4429</v>
      </c>
      <c r="H1850" t="s">
        <v>3190</v>
      </c>
      <c r="I1850" t="s">
        <v>3397</v>
      </c>
      <c r="J1850" s="8" t="str">
        <f t="shared" si="174"/>
        <v>ALM-</v>
      </c>
      <c r="K1850" t="s">
        <v>98</v>
      </c>
      <c r="L1850" s="46">
        <v>100</v>
      </c>
      <c r="M1850" t="s">
        <v>186</v>
      </c>
      <c r="N1850" t="s">
        <v>11</v>
      </c>
      <c r="O1850" s="49">
        <v>3.6282999999999999</v>
      </c>
      <c r="P1850" s="9">
        <f t="shared" si="172"/>
        <v>362.83</v>
      </c>
      <c r="Q1850" s="10">
        <f t="shared" si="175"/>
        <v>7.3003400000000003</v>
      </c>
      <c r="R1850" s="10">
        <f t="shared" si="176"/>
        <v>0.497</v>
      </c>
      <c r="S1850" s="11">
        <f t="shared" si="177"/>
        <v>49.7</v>
      </c>
      <c r="T1850" s="10" t="s">
        <v>349</v>
      </c>
      <c r="U1850" t="s">
        <v>191</v>
      </c>
      <c r="V1850" s="58">
        <v>7.1775000000000002</v>
      </c>
      <c r="W1850" s="38">
        <f t="shared" si="173"/>
        <v>50.551027516544757</v>
      </c>
    </row>
    <row r="1851" spans="1:23" s="15" customFormat="1">
      <c r="A1851" t="s">
        <v>4143</v>
      </c>
      <c r="B1851" s="20">
        <v>45775</v>
      </c>
      <c r="C1851" s="20">
        <v>45736</v>
      </c>
      <c r="D1851" t="s">
        <v>187</v>
      </c>
      <c r="E1851" t="s">
        <v>188</v>
      </c>
      <c r="F1851" s="19"/>
      <c r="G1851" t="s">
        <v>4429</v>
      </c>
      <c r="H1851" t="s">
        <v>3718</v>
      </c>
      <c r="I1851" t="s">
        <v>3719</v>
      </c>
      <c r="J1851" s="8" t="str">
        <f t="shared" si="174"/>
        <v>ALM-</v>
      </c>
      <c r="K1851" t="s">
        <v>98</v>
      </c>
      <c r="L1851" s="46">
        <v>50</v>
      </c>
      <c r="M1851" t="s">
        <v>186</v>
      </c>
      <c r="N1851" t="s">
        <v>11</v>
      </c>
      <c r="O1851" s="49">
        <v>3.6282999999999999</v>
      </c>
      <c r="P1851" s="9">
        <f t="shared" si="172"/>
        <v>181.42</v>
      </c>
      <c r="Q1851" s="10">
        <f t="shared" si="175"/>
        <v>7.3003400000000003</v>
      </c>
      <c r="R1851" s="10">
        <f t="shared" si="176"/>
        <v>0.497</v>
      </c>
      <c r="S1851" s="11">
        <f t="shared" si="177"/>
        <v>24.85</v>
      </c>
      <c r="T1851" s="10" t="s">
        <v>349</v>
      </c>
      <c r="U1851" t="s">
        <v>191</v>
      </c>
      <c r="V1851" s="58">
        <v>7.1775000000000002</v>
      </c>
      <c r="W1851" s="38">
        <f t="shared" si="173"/>
        <v>25.275513758272378</v>
      </c>
    </row>
    <row r="1852" spans="1:23" s="15" customFormat="1">
      <c r="A1852" t="s">
        <v>4144</v>
      </c>
      <c r="B1852" s="20">
        <v>45761</v>
      </c>
      <c r="C1852" s="20">
        <v>45747</v>
      </c>
      <c r="D1852" t="s">
        <v>187</v>
      </c>
      <c r="E1852" t="s">
        <v>188</v>
      </c>
      <c r="F1852" s="19"/>
      <c r="G1852" t="s">
        <v>4430</v>
      </c>
      <c r="H1852" t="s">
        <v>3720</v>
      </c>
      <c r="I1852" t="s">
        <v>3721</v>
      </c>
      <c r="J1852" s="8" t="str">
        <f t="shared" si="174"/>
        <v>ALM-</v>
      </c>
      <c r="K1852" t="s">
        <v>98</v>
      </c>
      <c r="L1852" s="46">
        <v>75</v>
      </c>
      <c r="M1852" t="s">
        <v>186</v>
      </c>
      <c r="N1852" t="s">
        <v>11</v>
      </c>
      <c r="O1852" s="49">
        <v>3.6282999999999999</v>
      </c>
      <c r="P1852" s="9">
        <f t="shared" si="172"/>
        <v>272.12</v>
      </c>
      <c r="Q1852" s="10">
        <f t="shared" si="175"/>
        <v>7.3003400000000003</v>
      </c>
      <c r="R1852" s="10">
        <f t="shared" si="176"/>
        <v>0.497</v>
      </c>
      <c r="S1852" s="11">
        <f t="shared" si="177"/>
        <v>37.28</v>
      </c>
      <c r="T1852" s="10" t="s">
        <v>349</v>
      </c>
      <c r="U1852" t="s">
        <v>191</v>
      </c>
      <c r="V1852" s="58">
        <v>7.1775000000000002</v>
      </c>
      <c r="W1852" s="38">
        <f t="shared" si="173"/>
        <v>37.913270637408566</v>
      </c>
    </row>
    <row r="1853" spans="1:23" s="15" customFormat="1">
      <c r="A1853" t="s">
        <v>4145</v>
      </c>
      <c r="B1853" s="20">
        <v>45761</v>
      </c>
      <c r="C1853" s="20">
        <v>45750</v>
      </c>
      <c r="D1853" t="s">
        <v>187</v>
      </c>
      <c r="E1853" t="s">
        <v>188</v>
      </c>
      <c r="F1853" s="19"/>
      <c r="G1853" t="s">
        <v>4430</v>
      </c>
      <c r="H1853" t="s">
        <v>3722</v>
      </c>
      <c r="I1853" t="s">
        <v>3723</v>
      </c>
      <c r="J1853" s="8" t="str">
        <f t="shared" si="174"/>
        <v>ALM-</v>
      </c>
      <c r="K1853" t="s">
        <v>98</v>
      </c>
      <c r="L1853" s="46">
        <v>50</v>
      </c>
      <c r="M1853" t="s">
        <v>186</v>
      </c>
      <c r="N1853" t="s">
        <v>11</v>
      </c>
      <c r="O1853" s="49">
        <v>3.6282999999999999</v>
      </c>
      <c r="P1853" s="9">
        <f t="shared" si="172"/>
        <v>181.42</v>
      </c>
      <c r="Q1853" s="10">
        <f t="shared" si="175"/>
        <v>7.3003400000000003</v>
      </c>
      <c r="R1853" s="10">
        <f t="shared" si="176"/>
        <v>0.497</v>
      </c>
      <c r="S1853" s="11">
        <f t="shared" si="177"/>
        <v>24.85</v>
      </c>
      <c r="T1853" s="10" t="s">
        <v>349</v>
      </c>
      <c r="U1853" t="s">
        <v>191</v>
      </c>
      <c r="V1853" s="58">
        <v>7.1775000000000002</v>
      </c>
      <c r="W1853" s="38">
        <f t="shared" si="173"/>
        <v>25.275513758272378</v>
      </c>
    </row>
    <row r="1854" spans="1:23" s="15" customFormat="1">
      <c r="A1854" t="s">
        <v>4146</v>
      </c>
      <c r="B1854" s="20">
        <v>45761</v>
      </c>
      <c r="C1854" s="20">
        <v>45750</v>
      </c>
      <c r="D1854" t="s">
        <v>187</v>
      </c>
      <c r="E1854" t="s">
        <v>188</v>
      </c>
      <c r="F1854" s="19"/>
      <c r="G1854" t="s">
        <v>4430</v>
      </c>
      <c r="H1854" t="s">
        <v>1223</v>
      </c>
      <c r="I1854" t="s">
        <v>1224</v>
      </c>
      <c r="J1854" s="8" t="str">
        <f t="shared" si="174"/>
        <v>ALM-</v>
      </c>
      <c r="K1854" t="s">
        <v>98</v>
      </c>
      <c r="L1854" s="46">
        <v>50</v>
      </c>
      <c r="M1854" t="s">
        <v>186</v>
      </c>
      <c r="N1854" t="s">
        <v>11</v>
      </c>
      <c r="O1854" s="49">
        <v>3.6282999999999999</v>
      </c>
      <c r="P1854" s="9">
        <f t="shared" si="172"/>
        <v>181.42</v>
      </c>
      <c r="Q1854" s="10">
        <f t="shared" si="175"/>
        <v>7.3003400000000003</v>
      </c>
      <c r="R1854" s="10">
        <f t="shared" si="176"/>
        <v>0.497</v>
      </c>
      <c r="S1854" s="11">
        <f t="shared" si="177"/>
        <v>24.85</v>
      </c>
      <c r="T1854" s="10" t="s">
        <v>349</v>
      </c>
      <c r="U1854" t="s">
        <v>191</v>
      </c>
      <c r="V1854" s="58">
        <v>7.1775000000000002</v>
      </c>
      <c r="W1854" s="38">
        <f t="shared" si="173"/>
        <v>25.275513758272378</v>
      </c>
    </row>
    <row r="1855" spans="1:23" s="15" customFormat="1">
      <c r="A1855" t="s">
        <v>4147</v>
      </c>
      <c r="B1855" s="20">
        <v>45761</v>
      </c>
      <c r="C1855" s="20">
        <v>45750</v>
      </c>
      <c r="D1855" t="s">
        <v>187</v>
      </c>
      <c r="E1855" t="s">
        <v>188</v>
      </c>
      <c r="F1855" s="19"/>
      <c r="G1855" t="s">
        <v>4430</v>
      </c>
      <c r="H1855" t="s">
        <v>3724</v>
      </c>
      <c r="I1855" t="s">
        <v>3725</v>
      </c>
      <c r="J1855" s="8" t="str">
        <f t="shared" si="174"/>
        <v>ALM-</v>
      </c>
      <c r="K1855" t="s">
        <v>98</v>
      </c>
      <c r="L1855" s="46">
        <v>70</v>
      </c>
      <c r="M1855" t="s">
        <v>186</v>
      </c>
      <c r="N1855" t="s">
        <v>11</v>
      </c>
      <c r="O1855" s="49">
        <v>3.6282999999999999</v>
      </c>
      <c r="P1855" s="9">
        <f t="shared" si="172"/>
        <v>253.98</v>
      </c>
      <c r="Q1855" s="10">
        <f t="shared" si="175"/>
        <v>7.3003400000000003</v>
      </c>
      <c r="R1855" s="10">
        <f t="shared" si="176"/>
        <v>0.497</v>
      </c>
      <c r="S1855" s="11">
        <f t="shared" si="177"/>
        <v>34.79</v>
      </c>
      <c r="T1855" s="10" t="s">
        <v>349</v>
      </c>
      <c r="U1855" t="s">
        <v>191</v>
      </c>
      <c r="V1855" s="58">
        <v>7.1775000000000002</v>
      </c>
      <c r="W1855" s="38">
        <f t="shared" si="173"/>
        <v>35.385719261581329</v>
      </c>
    </row>
    <row r="1856" spans="1:23" s="15" customFormat="1">
      <c r="A1856" t="s">
        <v>4148</v>
      </c>
      <c r="B1856" s="20">
        <v>45761</v>
      </c>
      <c r="C1856" s="20">
        <v>45750</v>
      </c>
      <c r="D1856" t="s">
        <v>187</v>
      </c>
      <c r="E1856" t="s">
        <v>188</v>
      </c>
      <c r="F1856" s="19"/>
      <c r="G1856" t="s">
        <v>4430</v>
      </c>
      <c r="H1856" t="s">
        <v>1740</v>
      </c>
      <c r="I1856" t="s">
        <v>1741</v>
      </c>
      <c r="J1856" s="8" t="str">
        <f t="shared" si="174"/>
        <v>ALM-</v>
      </c>
      <c r="K1856" t="s">
        <v>98</v>
      </c>
      <c r="L1856" s="46">
        <v>90</v>
      </c>
      <c r="M1856" t="s">
        <v>186</v>
      </c>
      <c r="N1856" t="s">
        <v>11</v>
      </c>
      <c r="O1856" s="49">
        <v>3.6282999999999999</v>
      </c>
      <c r="P1856" s="9">
        <f t="shared" si="172"/>
        <v>326.55</v>
      </c>
      <c r="Q1856" s="10">
        <f t="shared" si="175"/>
        <v>7.3003400000000003</v>
      </c>
      <c r="R1856" s="10">
        <f t="shared" si="176"/>
        <v>0.497</v>
      </c>
      <c r="S1856" s="11">
        <f t="shared" si="177"/>
        <v>44.73</v>
      </c>
      <c r="T1856" s="10" t="s">
        <v>349</v>
      </c>
      <c r="U1856" t="s">
        <v>191</v>
      </c>
      <c r="V1856" s="58">
        <v>7.1775000000000002</v>
      </c>
      <c r="W1856" s="38">
        <f t="shared" si="173"/>
        <v>45.495924764890283</v>
      </c>
    </row>
    <row r="1857" spans="1:23" s="15" customFormat="1">
      <c r="A1857" t="s">
        <v>4149</v>
      </c>
      <c r="B1857" s="20">
        <v>45775</v>
      </c>
      <c r="C1857" s="20">
        <v>45757</v>
      </c>
      <c r="D1857" t="s">
        <v>187</v>
      </c>
      <c r="E1857" t="s">
        <v>188</v>
      </c>
      <c r="F1857" s="19"/>
      <c r="G1857" t="s">
        <v>4429</v>
      </c>
      <c r="H1857" t="s">
        <v>192</v>
      </c>
      <c r="I1857" t="s">
        <v>193</v>
      </c>
      <c r="J1857" s="8" t="str">
        <f t="shared" si="174"/>
        <v>ALM-</v>
      </c>
      <c r="K1857" t="s">
        <v>98</v>
      </c>
      <c r="L1857" s="46">
        <v>55</v>
      </c>
      <c r="M1857" t="s">
        <v>186</v>
      </c>
      <c r="N1857" t="s">
        <v>11</v>
      </c>
      <c r="O1857" s="49">
        <v>3.6282999999999999</v>
      </c>
      <c r="P1857" s="9">
        <f t="shared" si="172"/>
        <v>199.56</v>
      </c>
      <c r="Q1857" s="10">
        <f t="shared" si="175"/>
        <v>7.3003400000000003</v>
      </c>
      <c r="R1857" s="10">
        <f t="shared" si="176"/>
        <v>0.497</v>
      </c>
      <c r="S1857" s="11">
        <f t="shared" si="177"/>
        <v>27.34</v>
      </c>
      <c r="T1857" s="10" t="s">
        <v>349</v>
      </c>
      <c r="U1857" t="s">
        <v>191</v>
      </c>
      <c r="V1857" s="58">
        <v>7.1775000000000002</v>
      </c>
      <c r="W1857" s="38">
        <f t="shared" si="173"/>
        <v>27.803065134099615</v>
      </c>
    </row>
    <row r="1858" spans="1:23" s="15" customFormat="1">
      <c r="A1858" t="s">
        <v>4150</v>
      </c>
      <c r="B1858" s="20">
        <v>45775</v>
      </c>
      <c r="C1858" s="20">
        <v>45762</v>
      </c>
      <c r="D1858" t="s">
        <v>187</v>
      </c>
      <c r="E1858" t="s">
        <v>188</v>
      </c>
      <c r="F1858" s="19"/>
      <c r="G1858" t="s">
        <v>4429</v>
      </c>
      <c r="H1858" t="s">
        <v>3190</v>
      </c>
      <c r="I1858" t="s">
        <v>3397</v>
      </c>
      <c r="J1858" s="8" t="str">
        <f t="shared" si="174"/>
        <v>ALM-</v>
      </c>
      <c r="K1858" t="s">
        <v>98</v>
      </c>
      <c r="L1858" s="46">
        <v>60</v>
      </c>
      <c r="M1858" t="s">
        <v>186</v>
      </c>
      <c r="N1858" t="s">
        <v>11</v>
      </c>
      <c r="O1858" s="49">
        <v>3.6282999999999999</v>
      </c>
      <c r="P1858" s="9">
        <f t="shared" ref="P1858:P1921" si="178">ROUND(O1858*L1858,2)</f>
        <v>217.7</v>
      </c>
      <c r="Q1858" s="10">
        <f t="shared" si="175"/>
        <v>7.3003400000000003</v>
      </c>
      <c r="R1858" s="10">
        <f t="shared" si="176"/>
        <v>0.497</v>
      </c>
      <c r="S1858" s="11">
        <f t="shared" si="177"/>
        <v>29.82</v>
      </c>
      <c r="T1858" s="10" t="s">
        <v>349</v>
      </c>
      <c r="U1858" t="s">
        <v>191</v>
      </c>
      <c r="V1858" s="58">
        <v>7.1775000000000002</v>
      </c>
      <c r="W1858" s="38">
        <f t="shared" ref="W1858:W1921" si="179">IF(N1858="CNY",O1858/V1858*L1858,1)</f>
        <v>30.330616509926852</v>
      </c>
    </row>
    <row r="1859" spans="1:23" s="15" customFormat="1">
      <c r="A1859" t="s">
        <v>4151</v>
      </c>
      <c r="B1859" s="20">
        <v>45775</v>
      </c>
      <c r="C1859" s="20">
        <v>45765</v>
      </c>
      <c r="D1859" t="s">
        <v>187</v>
      </c>
      <c r="E1859" t="s">
        <v>188</v>
      </c>
      <c r="F1859" s="19"/>
      <c r="G1859" t="s">
        <v>4429</v>
      </c>
      <c r="H1859" t="s">
        <v>3223</v>
      </c>
      <c r="I1859" t="s">
        <v>3430</v>
      </c>
      <c r="J1859" s="8" t="str">
        <f t="shared" si="174"/>
        <v>ALM-</v>
      </c>
      <c r="K1859" t="s">
        <v>98</v>
      </c>
      <c r="L1859" s="46">
        <v>50</v>
      </c>
      <c r="M1859" t="s">
        <v>186</v>
      </c>
      <c r="N1859" t="s">
        <v>11</v>
      </c>
      <c r="O1859" s="49">
        <v>3.6282999999999999</v>
      </c>
      <c r="P1859" s="9">
        <f t="shared" si="178"/>
        <v>181.42</v>
      </c>
      <c r="Q1859" s="10">
        <f t="shared" si="175"/>
        <v>7.3003400000000003</v>
      </c>
      <c r="R1859" s="10">
        <f t="shared" si="176"/>
        <v>0.497</v>
      </c>
      <c r="S1859" s="11">
        <f t="shared" si="177"/>
        <v>24.85</v>
      </c>
      <c r="T1859" s="10" t="s">
        <v>349</v>
      </c>
      <c r="U1859" t="s">
        <v>191</v>
      </c>
      <c r="V1859" s="58">
        <v>7.1775000000000002</v>
      </c>
      <c r="W1859" s="38">
        <f t="shared" si="179"/>
        <v>25.275513758272378</v>
      </c>
    </row>
    <row r="1860" spans="1:23" s="15" customFormat="1">
      <c r="A1860" t="s">
        <v>4152</v>
      </c>
      <c r="B1860" s="20">
        <v>45764</v>
      </c>
      <c r="C1860" s="20">
        <v>45761</v>
      </c>
      <c r="D1860" t="s">
        <v>5</v>
      </c>
      <c r="E1860" t="s">
        <v>6</v>
      </c>
      <c r="F1860" s="19"/>
      <c r="G1860" t="s">
        <v>4412</v>
      </c>
      <c r="H1860" t="s">
        <v>3726</v>
      </c>
      <c r="I1860" t="s">
        <v>3727</v>
      </c>
      <c r="J1860" s="8" t="str">
        <f t="shared" si="174"/>
        <v>BOX-</v>
      </c>
      <c r="K1860" t="s">
        <v>10</v>
      </c>
      <c r="L1860" s="46">
        <v>1010</v>
      </c>
      <c r="M1860" t="s">
        <v>1472</v>
      </c>
      <c r="N1860" t="s">
        <v>11</v>
      </c>
      <c r="O1860" s="49">
        <v>3.63</v>
      </c>
      <c r="P1860" s="9">
        <f t="shared" si="178"/>
        <v>3666.3</v>
      </c>
      <c r="Q1860" s="10">
        <f t="shared" si="175"/>
        <v>7.3003400000000003</v>
      </c>
      <c r="R1860" s="10">
        <f t="shared" si="176"/>
        <v>0.49719999999999998</v>
      </c>
      <c r="S1860" s="11">
        <f t="shared" si="177"/>
        <v>502.17</v>
      </c>
      <c r="T1860" s="10" t="s">
        <v>349</v>
      </c>
      <c r="U1860" t="s">
        <v>1</v>
      </c>
      <c r="V1860" s="58">
        <v>7.1775000000000002</v>
      </c>
      <c r="W1860" s="38">
        <f t="shared" si="179"/>
        <v>510.80459770114936</v>
      </c>
    </row>
    <row r="1861" spans="1:23" s="15" customFormat="1">
      <c r="A1861" t="s">
        <v>2324</v>
      </c>
      <c r="B1861" s="20">
        <v>45756</v>
      </c>
      <c r="C1861" s="20">
        <v>45664</v>
      </c>
      <c r="D1861" t="s">
        <v>94</v>
      </c>
      <c r="E1861" t="s">
        <v>95</v>
      </c>
      <c r="F1861" s="19"/>
      <c r="G1861" t="s">
        <v>4439</v>
      </c>
      <c r="H1861" t="s">
        <v>997</v>
      </c>
      <c r="I1861" t="s">
        <v>998</v>
      </c>
      <c r="J1861" s="8" t="str">
        <f t="shared" si="174"/>
        <v>LID-</v>
      </c>
      <c r="K1861" t="s">
        <v>369</v>
      </c>
      <c r="L1861" s="46">
        <v>656</v>
      </c>
      <c r="M1861" t="s">
        <v>1472</v>
      </c>
      <c r="N1861" t="s">
        <v>11</v>
      </c>
      <c r="O1861" s="49">
        <v>3.64</v>
      </c>
      <c r="P1861" s="9">
        <f t="shared" si="178"/>
        <v>2387.84</v>
      </c>
      <c r="Q1861" s="10">
        <f t="shared" si="175"/>
        <v>7.3003400000000003</v>
      </c>
      <c r="R1861" s="10">
        <f t="shared" si="176"/>
        <v>0.49859999999999999</v>
      </c>
      <c r="S1861" s="11">
        <f t="shared" si="177"/>
        <v>327.08</v>
      </c>
      <c r="T1861" s="10" t="s">
        <v>349</v>
      </c>
      <c r="U1861" t="s">
        <v>368</v>
      </c>
      <c r="V1861" s="58">
        <v>7.1775000000000002</v>
      </c>
      <c r="W1861" s="38">
        <f t="shared" si="179"/>
        <v>332.68408220132358</v>
      </c>
    </row>
    <row r="1862" spans="1:23" s="15" customFormat="1">
      <c r="A1862" t="s">
        <v>4153</v>
      </c>
      <c r="B1862" s="20">
        <v>45757</v>
      </c>
      <c r="C1862" s="20">
        <v>45700</v>
      </c>
      <c r="D1862" t="s">
        <v>94</v>
      </c>
      <c r="E1862" t="s">
        <v>95</v>
      </c>
      <c r="F1862" s="19"/>
      <c r="G1862" t="s">
        <v>4449</v>
      </c>
      <c r="H1862" t="s">
        <v>997</v>
      </c>
      <c r="I1862" t="s">
        <v>998</v>
      </c>
      <c r="J1862" s="8" t="str">
        <f t="shared" si="174"/>
        <v>LID-</v>
      </c>
      <c r="K1862" t="s">
        <v>369</v>
      </c>
      <c r="L1862" s="46">
        <v>486</v>
      </c>
      <c r="M1862" t="s">
        <v>1472</v>
      </c>
      <c r="N1862" t="s">
        <v>11</v>
      </c>
      <c r="O1862" s="49">
        <v>3.64</v>
      </c>
      <c r="P1862" s="9">
        <f t="shared" si="178"/>
        <v>1769.04</v>
      </c>
      <c r="Q1862" s="10">
        <f t="shared" si="175"/>
        <v>7.3003400000000003</v>
      </c>
      <c r="R1862" s="10">
        <f t="shared" si="176"/>
        <v>0.49859999999999999</v>
      </c>
      <c r="S1862" s="11">
        <f t="shared" si="177"/>
        <v>242.32</v>
      </c>
      <c r="T1862" s="10" t="s">
        <v>349</v>
      </c>
      <c r="U1862" t="s">
        <v>368</v>
      </c>
      <c r="V1862" s="58">
        <v>7.1775000000000002</v>
      </c>
      <c r="W1862" s="38">
        <f t="shared" si="179"/>
        <v>246.47021943573665</v>
      </c>
    </row>
    <row r="1863" spans="1:23" s="15" customFormat="1">
      <c r="A1863" t="s">
        <v>4153</v>
      </c>
      <c r="B1863" s="20">
        <v>45756</v>
      </c>
      <c r="C1863" s="20">
        <v>45700</v>
      </c>
      <c r="D1863" t="s">
        <v>94</v>
      </c>
      <c r="E1863" t="s">
        <v>95</v>
      </c>
      <c r="F1863" s="19"/>
      <c r="G1863" t="s">
        <v>4439</v>
      </c>
      <c r="H1863" t="s">
        <v>997</v>
      </c>
      <c r="I1863" t="s">
        <v>998</v>
      </c>
      <c r="J1863" s="8" t="str">
        <f t="shared" si="174"/>
        <v>LID-</v>
      </c>
      <c r="K1863" t="s">
        <v>369</v>
      </c>
      <c r="L1863" s="46">
        <v>544</v>
      </c>
      <c r="M1863" t="s">
        <v>1472</v>
      </c>
      <c r="N1863" t="s">
        <v>11</v>
      </c>
      <c r="O1863" s="49">
        <v>3.64</v>
      </c>
      <c r="P1863" s="9">
        <f t="shared" si="178"/>
        <v>1980.16</v>
      </c>
      <c r="Q1863" s="10">
        <f t="shared" si="175"/>
        <v>7.3003400000000003</v>
      </c>
      <c r="R1863" s="10">
        <f t="shared" si="176"/>
        <v>0.49859999999999999</v>
      </c>
      <c r="S1863" s="11">
        <f t="shared" si="177"/>
        <v>271.24</v>
      </c>
      <c r="T1863" s="10" t="s">
        <v>349</v>
      </c>
      <c r="U1863" t="s">
        <v>368</v>
      </c>
      <c r="V1863" s="58">
        <v>7.1775000000000002</v>
      </c>
      <c r="W1863" s="38">
        <f t="shared" si="179"/>
        <v>275.88436084987808</v>
      </c>
    </row>
    <row r="1864" spans="1:23" s="15" customFormat="1">
      <c r="A1864" t="s">
        <v>4154</v>
      </c>
      <c r="B1864" s="20">
        <v>45775</v>
      </c>
      <c r="C1864" s="20">
        <v>45775</v>
      </c>
      <c r="D1864" t="s">
        <v>94</v>
      </c>
      <c r="E1864" t="s">
        <v>95</v>
      </c>
      <c r="F1864" s="19"/>
      <c r="G1864" t="s">
        <v>4434</v>
      </c>
      <c r="H1864" t="s">
        <v>997</v>
      </c>
      <c r="I1864" t="s">
        <v>998</v>
      </c>
      <c r="J1864" s="8" t="str">
        <f t="shared" si="174"/>
        <v>LID-</v>
      </c>
      <c r="K1864" t="s">
        <v>369</v>
      </c>
      <c r="L1864" s="46">
        <v>369</v>
      </c>
      <c r="M1864" t="s">
        <v>1472</v>
      </c>
      <c r="N1864" t="s">
        <v>11</v>
      </c>
      <c r="O1864" s="49">
        <v>3.64</v>
      </c>
      <c r="P1864" s="9">
        <f t="shared" si="178"/>
        <v>1343.16</v>
      </c>
      <c r="Q1864" s="10">
        <f t="shared" si="175"/>
        <v>7.3003400000000003</v>
      </c>
      <c r="R1864" s="10">
        <f t="shared" si="176"/>
        <v>0.49859999999999999</v>
      </c>
      <c r="S1864" s="11">
        <f t="shared" si="177"/>
        <v>183.98</v>
      </c>
      <c r="T1864" s="10" t="s">
        <v>349</v>
      </c>
      <c r="U1864" t="s">
        <v>368</v>
      </c>
      <c r="V1864" s="58">
        <v>7.1775000000000002</v>
      </c>
      <c r="W1864" s="38">
        <f t="shared" si="179"/>
        <v>187.13479623824449</v>
      </c>
    </row>
    <row r="1865" spans="1:23" s="15" customFormat="1">
      <c r="A1865" t="s">
        <v>4155</v>
      </c>
      <c r="B1865" s="20">
        <v>45763</v>
      </c>
      <c r="C1865" s="20">
        <v>45695</v>
      </c>
      <c r="D1865" t="s">
        <v>94</v>
      </c>
      <c r="E1865" t="s">
        <v>95</v>
      </c>
      <c r="F1865" s="19"/>
      <c r="G1865" t="s">
        <v>4450</v>
      </c>
      <c r="H1865" t="s">
        <v>3063</v>
      </c>
      <c r="I1865" t="s">
        <v>3279</v>
      </c>
      <c r="J1865" s="8" t="str">
        <f t="shared" si="174"/>
        <v>LID-</v>
      </c>
      <c r="K1865" t="s">
        <v>98</v>
      </c>
      <c r="L1865" s="46">
        <v>507</v>
      </c>
      <c r="M1865" t="s">
        <v>1472</v>
      </c>
      <c r="N1865" t="s">
        <v>11</v>
      </c>
      <c r="O1865" s="49">
        <v>3.7</v>
      </c>
      <c r="P1865" s="9">
        <f t="shared" si="178"/>
        <v>1875.9</v>
      </c>
      <c r="Q1865" s="10">
        <f t="shared" si="175"/>
        <v>7.3003400000000003</v>
      </c>
      <c r="R1865" s="10">
        <f t="shared" si="176"/>
        <v>0.50680000000000003</v>
      </c>
      <c r="S1865" s="11">
        <f t="shared" si="177"/>
        <v>256.95</v>
      </c>
      <c r="T1865" s="10" t="s">
        <v>349</v>
      </c>
      <c r="U1865" t="s">
        <v>368</v>
      </c>
      <c r="V1865" s="58">
        <v>7.1775000000000002</v>
      </c>
      <c r="W1865" s="38">
        <f t="shared" si="179"/>
        <v>261.35841170323931</v>
      </c>
    </row>
    <row r="1866" spans="1:23" s="15" customFormat="1">
      <c r="A1866" t="s">
        <v>4156</v>
      </c>
      <c r="B1866" s="20">
        <v>45761</v>
      </c>
      <c r="C1866" s="20">
        <v>45664</v>
      </c>
      <c r="D1866" t="s">
        <v>94</v>
      </c>
      <c r="E1866" t="s">
        <v>95</v>
      </c>
      <c r="F1866" s="19"/>
      <c r="G1866" t="s">
        <v>4451</v>
      </c>
      <c r="H1866" t="s">
        <v>1742</v>
      </c>
      <c r="I1866" t="s">
        <v>1743</v>
      </c>
      <c r="J1866" s="8" t="str">
        <f t="shared" si="174"/>
        <v>LID-</v>
      </c>
      <c r="K1866" t="s">
        <v>369</v>
      </c>
      <c r="L1866" s="46">
        <v>1030</v>
      </c>
      <c r="M1866" t="s">
        <v>1472</v>
      </c>
      <c r="N1866" t="s">
        <v>11</v>
      </c>
      <c r="O1866" s="49">
        <v>3.75</v>
      </c>
      <c r="P1866" s="9">
        <f t="shared" si="178"/>
        <v>3862.5</v>
      </c>
      <c r="Q1866" s="10">
        <f t="shared" si="175"/>
        <v>7.3003400000000003</v>
      </c>
      <c r="R1866" s="10">
        <f t="shared" si="176"/>
        <v>0.51370000000000005</v>
      </c>
      <c r="S1866" s="11">
        <f t="shared" si="177"/>
        <v>529.11</v>
      </c>
      <c r="T1866" s="10" t="s">
        <v>349</v>
      </c>
      <c r="U1866" t="s">
        <v>368</v>
      </c>
      <c r="V1866" s="58">
        <v>7.1775000000000002</v>
      </c>
      <c r="W1866" s="38">
        <f t="shared" si="179"/>
        <v>538.14002089864152</v>
      </c>
    </row>
    <row r="1867" spans="1:23" s="15" customFormat="1">
      <c r="A1867" t="s">
        <v>4157</v>
      </c>
      <c r="B1867" s="20">
        <v>45761</v>
      </c>
      <c r="C1867" s="20">
        <v>45700</v>
      </c>
      <c r="D1867" t="s">
        <v>94</v>
      </c>
      <c r="E1867" t="s">
        <v>95</v>
      </c>
      <c r="F1867" s="19"/>
      <c r="G1867" t="s">
        <v>4451</v>
      </c>
      <c r="H1867" t="s">
        <v>1742</v>
      </c>
      <c r="I1867" t="s">
        <v>1743</v>
      </c>
      <c r="J1867" s="8" t="str">
        <f t="shared" si="174"/>
        <v>LID-</v>
      </c>
      <c r="K1867" t="s">
        <v>369</v>
      </c>
      <c r="L1867" s="46">
        <v>30</v>
      </c>
      <c r="M1867" t="s">
        <v>1472</v>
      </c>
      <c r="N1867" t="s">
        <v>11</v>
      </c>
      <c r="O1867" s="49">
        <v>3.75</v>
      </c>
      <c r="P1867" s="9">
        <f t="shared" si="178"/>
        <v>112.5</v>
      </c>
      <c r="Q1867" s="10">
        <f t="shared" si="175"/>
        <v>7.3003400000000003</v>
      </c>
      <c r="R1867" s="10">
        <f t="shared" si="176"/>
        <v>0.51370000000000005</v>
      </c>
      <c r="S1867" s="11">
        <f t="shared" si="177"/>
        <v>15.41</v>
      </c>
      <c r="T1867" s="10" t="s">
        <v>349</v>
      </c>
      <c r="U1867" t="s">
        <v>368</v>
      </c>
      <c r="V1867" s="58">
        <v>7.1775000000000002</v>
      </c>
      <c r="W1867" s="38">
        <f t="shared" si="179"/>
        <v>15.67398119122257</v>
      </c>
    </row>
    <row r="1868" spans="1:23" s="15" customFormat="1">
      <c r="A1868" t="s">
        <v>4157</v>
      </c>
      <c r="B1868" s="20">
        <v>45757</v>
      </c>
      <c r="C1868" s="20">
        <v>45700</v>
      </c>
      <c r="D1868" t="s">
        <v>94</v>
      </c>
      <c r="E1868" t="s">
        <v>95</v>
      </c>
      <c r="F1868" s="19"/>
      <c r="G1868" t="s">
        <v>4449</v>
      </c>
      <c r="H1868" t="s">
        <v>1742</v>
      </c>
      <c r="I1868" t="s">
        <v>1743</v>
      </c>
      <c r="J1868" s="8" t="str">
        <f t="shared" si="174"/>
        <v>LID-</v>
      </c>
      <c r="K1868" t="s">
        <v>369</v>
      </c>
      <c r="L1868" s="46">
        <v>1000</v>
      </c>
      <c r="M1868" t="s">
        <v>1472</v>
      </c>
      <c r="N1868" t="s">
        <v>11</v>
      </c>
      <c r="O1868" s="49">
        <v>3.75</v>
      </c>
      <c r="P1868" s="9">
        <f t="shared" si="178"/>
        <v>3750</v>
      </c>
      <c r="Q1868" s="10">
        <f t="shared" si="175"/>
        <v>7.3003400000000003</v>
      </c>
      <c r="R1868" s="10">
        <f t="shared" si="176"/>
        <v>0.51370000000000005</v>
      </c>
      <c r="S1868" s="11">
        <f t="shared" si="177"/>
        <v>513.70000000000005</v>
      </c>
      <c r="T1868" s="10" t="s">
        <v>349</v>
      </c>
      <c r="U1868" t="s">
        <v>368</v>
      </c>
      <c r="V1868" s="58">
        <v>7.1775000000000002</v>
      </c>
      <c r="W1868" s="38">
        <f t="shared" si="179"/>
        <v>522.46603970741899</v>
      </c>
    </row>
    <row r="1869" spans="1:23" s="15" customFormat="1">
      <c r="A1869" t="s">
        <v>4158</v>
      </c>
      <c r="B1869" s="20">
        <v>45762</v>
      </c>
      <c r="C1869" s="20">
        <v>45700</v>
      </c>
      <c r="D1869" t="s">
        <v>94</v>
      </c>
      <c r="E1869" t="s">
        <v>95</v>
      </c>
      <c r="F1869" s="19"/>
      <c r="G1869" t="s">
        <v>4446</v>
      </c>
      <c r="H1869" t="s">
        <v>1742</v>
      </c>
      <c r="I1869" t="s">
        <v>1743</v>
      </c>
      <c r="J1869" s="8" t="str">
        <f t="shared" si="174"/>
        <v>LID-</v>
      </c>
      <c r="K1869" t="s">
        <v>369</v>
      </c>
      <c r="L1869" s="46">
        <v>1000</v>
      </c>
      <c r="M1869" t="s">
        <v>1472</v>
      </c>
      <c r="N1869" t="s">
        <v>11</v>
      </c>
      <c r="O1869" s="49">
        <v>3.75</v>
      </c>
      <c r="P1869" s="9">
        <f t="shared" si="178"/>
        <v>3750</v>
      </c>
      <c r="Q1869" s="10">
        <f t="shared" si="175"/>
        <v>7.3003400000000003</v>
      </c>
      <c r="R1869" s="10">
        <f t="shared" si="176"/>
        <v>0.51370000000000005</v>
      </c>
      <c r="S1869" s="11">
        <f t="shared" si="177"/>
        <v>513.70000000000005</v>
      </c>
      <c r="T1869" s="10" t="s">
        <v>349</v>
      </c>
      <c r="U1869" t="s">
        <v>368</v>
      </c>
      <c r="V1869" s="58">
        <v>7.1775000000000002</v>
      </c>
      <c r="W1869" s="38">
        <f t="shared" si="179"/>
        <v>522.46603970741899</v>
      </c>
    </row>
    <row r="1870" spans="1:23" s="15" customFormat="1">
      <c r="A1870" t="s">
        <v>4158</v>
      </c>
      <c r="B1870" s="20">
        <v>45761</v>
      </c>
      <c r="C1870" s="20">
        <v>45700</v>
      </c>
      <c r="D1870" t="s">
        <v>94</v>
      </c>
      <c r="E1870" t="s">
        <v>95</v>
      </c>
      <c r="F1870" s="19"/>
      <c r="G1870" t="s">
        <v>4451</v>
      </c>
      <c r="H1870" t="s">
        <v>1742</v>
      </c>
      <c r="I1870" t="s">
        <v>1743</v>
      </c>
      <c r="J1870" s="8" t="str">
        <f t="shared" si="174"/>
        <v>LID-</v>
      </c>
      <c r="K1870" t="s">
        <v>369</v>
      </c>
      <c r="L1870" s="46">
        <v>30</v>
      </c>
      <c r="M1870" t="s">
        <v>1472</v>
      </c>
      <c r="N1870" t="s">
        <v>11</v>
      </c>
      <c r="O1870" s="49">
        <v>3.75</v>
      </c>
      <c r="P1870" s="9">
        <f t="shared" si="178"/>
        <v>112.5</v>
      </c>
      <c r="Q1870" s="10">
        <f t="shared" si="175"/>
        <v>7.3003400000000003</v>
      </c>
      <c r="R1870" s="10">
        <f t="shared" si="176"/>
        <v>0.51370000000000005</v>
      </c>
      <c r="S1870" s="11">
        <f t="shared" si="177"/>
        <v>15.41</v>
      </c>
      <c r="T1870" s="10" t="s">
        <v>349</v>
      </c>
      <c r="U1870" t="s">
        <v>368</v>
      </c>
      <c r="V1870" s="58">
        <v>7.1775000000000002</v>
      </c>
      <c r="W1870" s="38">
        <f t="shared" si="179"/>
        <v>15.67398119122257</v>
      </c>
    </row>
    <row r="1871" spans="1:23" s="15" customFormat="1">
      <c r="A1871" t="s">
        <v>4159</v>
      </c>
      <c r="B1871" s="20">
        <v>45762</v>
      </c>
      <c r="C1871" s="20">
        <v>45742</v>
      </c>
      <c r="D1871" t="s">
        <v>696</v>
      </c>
      <c r="E1871" t="s">
        <v>697</v>
      </c>
      <c r="F1871" s="19"/>
      <c r="G1871" t="s">
        <v>4452</v>
      </c>
      <c r="H1871" t="s">
        <v>1537</v>
      </c>
      <c r="I1871" t="s">
        <v>1538</v>
      </c>
      <c r="J1871" s="8" t="str">
        <f t="shared" si="174"/>
        <v>ANYD</v>
      </c>
      <c r="K1871" t="s">
        <v>10</v>
      </c>
      <c r="L1871" s="46">
        <v>1900</v>
      </c>
      <c r="M1871" t="s">
        <v>1472</v>
      </c>
      <c r="N1871" t="s">
        <v>11</v>
      </c>
      <c r="O1871" s="49">
        <v>3.85</v>
      </c>
      <c r="P1871" s="9">
        <f t="shared" si="178"/>
        <v>7315</v>
      </c>
      <c r="Q1871" s="10">
        <f t="shared" si="175"/>
        <v>7.3003400000000003</v>
      </c>
      <c r="R1871" s="10">
        <f t="shared" si="176"/>
        <v>0.52739999999999998</v>
      </c>
      <c r="S1871" s="11">
        <f t="shared" si="177"/>
        <v>1002.06</v>
      </c>
      <c r="T1871" s="10" t="s">
        <v>349</v>
      </c>
      <c r="U1871" t="s">
        <v>36</v>
      </c>
      <c r="V1871" s="58">
        <v>7.1775000000000002</v>
      </c>
      <c r="W1871" s="38">
        <f t="shared" si="179"/>
        <v>1019.1570881226053</v>
      </c>
    </row>
    <row r="1872" spans="1:23" s="15" customFormat="1">
      <c r="A1872" t="s">
        <v>4160</v>
      </c>
      <c r="B1872" s="20">
        <v>45749</v>
      </c>
      <c r="C1872" s="20">
        <v>45742</v>
      </c>
      <c r="D1872" t="s">
        <v>569</v>
      </c>
      <c r="E1872" t="s">
        <v>570</v>
      </c>
      <c r="F1872" s="19"/>
      <c r="G1872" t="s">
        <v>4364</v>
      </c>
      <c r="H1872" t="s">
        <v>567</v>
      </c>
      <c r="I1872" t="s">
        <v>568</v>
      </c>
      <c r="J1872" s="8" t="str">
        <f t="shared" si="174"/>
        <v>ANYD</v>
      </c>
      <c r="K1872" t="s">
        <v>10</v>
      </c>
      <c r="L1872" s="46">
        <v>1050</v>
      </c>
      <c r="M1872" t="s">
        <v>1472</v>
      </c>
      <c r="N1872" t="s">
        <v>11</v>
      </c>
      <c r="O1872" s="49">
        <v>3.85</v>
      </c>
      <c r="P1872" s="9">
        <f t="shared" si="178"/>
        <v>4042.5</v>
      </c>
      <c r="Q1872" s="10">
        <f t="shared" si="175"/>
        <v>7.3003400000000003</v>
      </c>
      <c r="R1872" s="10">
        <f t="shared" si="176"/>
        <v>0.52739999999999998</v>
      </c>
      <c r="S1872" s="11">
        <f t="shared" si="177"/>
        <v>553.77</v>
      </c>
      <c r="T1872" s="10" t="s">
        <v>349</v>
      </c>
      <c r="U1872" t="s">
        <v>36</v>
      </c>
      <c r="V1872" s="58">
        <v>7.1775000000000002</v>
      </c>
      <c r="W1872" s="38">
        <f t="shared" si="179"/>
        <v>563.21839080459768</v>
      </c>
    </row>
    <row r="1873" spans="1:23" s="15" customFormat="1">
      <c r="A1873" t="s">
        <v>4161</v>
      </c>
      <c r="B1873" s="20">
        <v>45763</v>
      </c>
      <c r="C1873" s="20">
        <v>45762</v>
      </c>
      <c r="D1873" t="s">
        <v>569</v>
      </c>
      <c r="E1873" t="s">
        <v>570</v>
      </c>
      <c r="F1873" s="19"/>
      <c r="G1873" t="s">
        <v>4365</v>
      </c>
      <c r="H1873" t="s">
        <v>567</v>
      </c>
      <c r="I1873" t="s">
        <v>568</v>
      </c>
      <c r="J1873" s="8" t="str">
        <f t="shared" si="174"/>
        <v>ANYD</v>
      </c>
      <c r="K1873" t="s">
        <v>10</v>
      </c>
      <c r="L1873" s="46">
        <v>100</v>
      </c>
      <c r="M1873" t="s">
        <v>1472</v>
      </c>
      <c r="N1873" t="s">
        <v>11</v>
      </c>
      <c r="O1873" s="49">
        <v>3.85</v>
      </c>
      <c r="P1873" s="9">
        <f t="shared" si="178"/>
        <v>385</v>
      </c>
      <c r="Q1873" s="10">
        <f t="shared" si="175"/>
        <v>7.3003400000000003</v>
      </c>
      <c r="R1873" s="10">
        <f t="shared" si="176"/>
        <v>0.52739999999999998</v>
      </c>
      <c r="S1873" s="11">
        <f t="shared" si="177"/>
        <v>52.74</v>
      </c>
      <c r="T1873" s="10" t="s">
        <v>349</v>
      </c>
      <c r="U1873" t="s">
        <v>36</v>
      </c>
      <c r="V1873" s="58">
        <v>7.1775000000000002</v>
      </c>
      <c r="W1873" s="38">
        <f t="shared" si="179"/>
        <v>53.639846743295017</v>
      </c>
    </row>
    <row r="1874" spans="1:23" s="15" customFormat="1">
      <c r="A1874" t="s">
        <v>4162</v>
      </c>
      <c r="B1874" s="20">
        <v>45758</v>
      </c>
      <c r="C1874" s="20">
        <v>45729</v>
      </c>
      <c r="D1874" t="s">
        <v>709</v>
      </c>
      <c r="E1874" t="s">
        <v>710</v>
      </c>
      <c r="F1874" s="19"/>
      <c r="G1874" t="s">
        <v>4340</v>
      </c>
      <c r="H1874" t="s">
        <v>3728</v>
      </c>
      <c r="I1874" t="s">
        <v>3729</v>
      </c>
      <c r="J1874" s="8" t="str">
        <f t="shared" si="174"/>
        <v>HDL-</v>
      </c>
      <c r="K1874" t="s">
        <v>10</v>
      </c>
      <c r="L1874" s="46">
        <v>1030</v>
      </c>
      <c r="M1874" t="s">
        <v>1472</v>
      </c>
      <c r="N1874" t="s">
        <v>11</v>
      </c>
      <c r="O1874" s="49">
        <v>3.8557999999999999</v>
      </c>
      <c r="P1874" s="9">
        <f t="shared" si="178"/>
        <v>3971.47</v>
      </c>
      <c r="Q1874" s="10">
        <f t="shared" si="175"/>
        <v>7.3003400000000003</v>
      </c>
      <c r="R1874" s="10">
        <f t="shared" si="176"/>
        <v>0.5282</v>
      </c>
      <c r="S1874" s="11">
        <f t="shared" si="177"/>
        <v>544.04999999999995</v>
      </c>
      <c r="T1874" s="10" t="s">
        <v>349</v>
      </c>
      <c r="U1874" t="s">
        <v>228</v>
      </c>
      <c r="V1874" s="58">
        <v>7.1775000000000002</v>
      </c>
      <c r="W1874" s="38">
        <f t="shared" si="179"/>
        <v>553.32274468826188</v>
      </c>
    </row>
    <row r="1875" spans="1:23" s="15" customFormat="1">
      <c r="A1875" t="s">
        <v>2325</v>
      </c>
      <c r="B1875" s="20">
        <v>45761</v>
      </c>
      <c r="C1875" s="20">
        <v>45664</v>
      </c>
      <c r="D1875" t="s">
        <v>94</v>
      </c>
      <c r="E1875" t="s">
        <v>95</v>
      </c>
      <c r="F1875" s="19"/>
      <c r="G1875" t="s">
        <v>4453</v>
      </c>
      <c r="H1875" t="s">
        <v>1750</v>
      </c>
      <c r="I1875" t="s">
        <v>1751</v>
      </c>
      <c r="J1875" s="8" t="str">
        <f t="shared" si="174"/>
        <v>LID-</v>
      </c>
      <c r="K1875" t="s">
        <v>369</v>
      </c>
      <c r="L1875" s="46">
        <v>1070</v>
      </c>
      <c r="M1875" t="s">
        <v>1472</v>
      </c>
      <c r="N1875" t="s">
        <v>11</v>
      </c>
      <c r="O1875" s="49">
        <v>3.92</v>
      </c>
      <c r="P1875" s="9">
        <f t="shared" si="178"/>
        <v>4194.3999999999996</v>
      </c>
      <c r="Q1875" s="10">
        <f t="shared" si="175"/>
        <v>7.3003400000000003</v>
      </c>
      <c r="R1875" s="10">
        <f t="shared" si="176"/>
        <v>0.53700000000000003</v>
      </c>
      <c r="S1875" s="11">
        <f t="shared" si="177"/>
        <v>574.59</v>
      </c>
      <c r="T1875" s="10" t="s">
        <v>349</v>
      </c>
      <c r="U1875" t="s">
        <v>368</v>
      </c>
      <c r="V1875" s="58">
        <v>7.1775000000000002</v>
      </c>
      <c r="W1875" s="38">
        <f t="shared" si="179"/>
        <v>584.38174851967949</v>
      </c>
    </row>
    <row r="1876" spans="1:23" s="15" customFormat="1">
      <c r="A1876" t="s">
        <v>4163</v>
      </c>
      <c r="B1876" s="20">
        <v>45762</v>
      </c>
      <c r="C1876" s="20">
        <v>45700</v>
      </c>
      <c r="D1876" t="s">
        <v>94</v>
      </c>
      <c r="E1876" t="s">
        <v>95</v>
      </c>
      <c r="F1876" s="19"/>
      <c r="G1876" t="s">
        <v>4446</v>
      </c>
      <c r="H1876" t="s">
        <v>1750</v>
      </c>
      <c r="I1876" t="s">
        <v>1751</v>
      </c>
      <c r="J1876" s="8" t="str">
        <f t="shared" si="174"/>
        <v>LID-</v>
      </c>
      <c r="K1876" t="s">
        <v>369</v>
      </c>
      <c r="L1876" s="46">
        <v>691</v>
      </c>
      <c r="M1876" t="s">
        <v>1472</v>
      </c>
      <c r="N1876" t="s">
        <v>11</v>
      </c>
      <c r="O1876" s="49">
        <v>3.92</v>
      </c>
      <c r="P1876" s="9">
        <f t="shared" si="178"/>
        <v>2708.72</v>
      </c>
      <c r="Q1876" s="10">
        <f t="shared" si="175"/>
        <v>7.3003400000000003</v>
      </c>
      <c r="R1876" s="10">
        <f t="shared" si="176"/>
        <v>0.53700000000000003</v>
      </c>
      <c r="S1876" s="11">
        <f t="shared" si="177"/>
        <v>371.07</v>
      </c>
      <c r="T1876" s="10" t="s">
        <v>349</v>
      </c>
      <c r="U1876" t="s">
        <v>368</v>
      </c>
      <c r="V1876" s="58">
        <v>7.1775000000000002</v>
      </c>
      <c r="W1876" s="38">
        <f t="shared" si="179"/>
        <v>377.39045628700802</v>
      </c>
    </row>
    <row r="1877" spans="1:23" s="15" customFormat="1">
      <c r="A1877" t="s">
        <v>4163</v>
      </c>
      <c r="B1877" s="20">
        <v>45761</v>
      </c>
      <c r="C1877" s="20">
        <v>45700</v>
      </c>
      <c r="D1877" t="s">
        <v>94</v>
      </c>
      <c r="E1877" t="s">
        <v>95</v>
      </c>
      <c r="F1877" s="19"/>
      <c r="G1877" t="s">
        <v>4453</v>
      </c>
      <c r="H1877" t="s">
        <v>1750</v>
      </c>
      <c r="I1877" t="s">
        <v>1751</v>
      </c>
      <c r="J1877" s="8" t="str">
        <f t="shared" ref="J1877:J1940" si="180">+LEFT(U1877,4)</f>
        <v>LID-</v>
      </c>
      <c r="K1877" t="s">
        <v>369</v>
      </c>
      <c r="L1877" s="46">
        <v>290</v>
      </c>
      <c r="M1877" t="s">
        <v>1472</v>
      </c>
      <c r="N1877" t="s">
        <v>11</v>
      </c>
      <c r="O1877" s="49">
        <v>3.92</v>
      </c>
      <c r="P1877" s="9">
        <f t="shared" si="178"/>
        <v>1136.8</v>
      </c>
      <c r="Q1877" s="10">
        <f t="shared" ref="Q1877:Q1940" si="181">IF(N1877="HKD",7.8,IF(N1877="CNY",7.30034,1))</f>
        <v>7.3003400000000003</v>
      </c>
      <c r="R1877" s="10">
        <f t="shared" ref="R1877:R1940" si="182">+ROUND(O1877/Q1877,4)</f>
        <v>0.53700000000000003</v>
      </c>
      <c r="S1877" s="11">
        <f t="shared" ref="S1877:S1940" si="183">ROUND(R1877*L1877,2)</f>
        <v>155.72999999999999</v>
      </c>
      <c r="T1877" s="10" t="s">
        <v>349</v>
      </c>
      <c r="U1877" t="s">
        <v>368</v>
      </c>
      <c r="V1877" s="58">
        <v>7.1775000000000002</v>
      </c>
      <c r="W1877" s="38">
        <f t="shared" si="179"/>
        <v>158.38383838383837</v>
      </c>
    </row>
    <row r="1878" spans="1:23" s="15" customFormat="1">
      <c r="A1878" t="s">
        <v>4164</v>
      </c>
      <c r="B1878" s="20">
        <v>45755</v>
      </c>
      <c r="C1878" s="20">
        <v>45702</v>
      </c>
      <c r="D1878" t="s">
        <v>121</v>
      </c>
      <c r="E1878" t="s">
        <v>122</v>
      </c>
      <c r="F1878" s="19"/>
      <c r="G1878" t="s">
        <v>4395</v>
      </c>
      <c r="H1878" t="s">
        <v>3730</v>
      </c>
      <c r="I1878" t="s">
        <v>3731</v>
      </c>
      <c r="J1878" s="8" t="str">
        <f t="shared" si="180"/>
        <v>HDL-</v>
      </c>
      <c r="K1878" t="s">
        <v>10</v>
      </c>
      <c r="L1878" s="46">
        <v>1020</v>
      </c>
      <c r="M1878" t="s">
        <v>1472</v>
      </c>
      <c r="N1878" t="s">
        <v>11</v>
      </c>
      <c r="O1878" s="49">
        <v>3.9580000000000002</v>
      </c>
      <c r="P1878" s="9">
        <f t="shared" si="178"/>
        <v>4037.16</v>
      </c>
      <c r="Q1878" s="10">
        <f t="shared" si="181"/>
        <v>7.3003400000000003</v>
      </c>
      <c r="R1878" s="10">
        <f t="shared" si="182"/>
        <v>0.54220000000000002</v>
      </c>
      <c r="S1878" s="11">
        <f t="shared" si="183"/>
        <v>553.04</v>
      </c>
      <c r="T1878" s="10" t="s">
        <v>349</v>
      </c>
      <c r="U1878" t="s">
        <v>228</v>
      </c>
      <c r="V1878" s="58">
        <v>7.1775000000000002</v>
      </c>
      <c r="W1878" s="38">
        <f t="shared" si="179"/>
        <v>562.47439916405426</v>
      </c>
    </row>
    <row r="1879" spans="1:23" s="15" customFormat="1">
      <c r="A1879" t="s">
        <v>4165</v>
      </c>
      <c r="B1879" s="20">
        <v>45772</v>
      </c>
      <c r="C1879" s="20">
        <v>45723</v>
      </c>
      <c r="D1879" t="s">
        <v>121</v>
      </c>
      <c r="E1879" t="s">
        <v>122</v>
      </c>
      <c r="F1879" s="19"/>
      <c r="G1879" t="s">
        <v>4454</v>
      </c>
      <c r="H1879" t="s">
        <v>3732</v>
      </c>
      <c r="I1879" t="s">
        <v>3733</v>
      </c>
      <c r="J1879" s="8" t="str">
        <f t="shared" si="180"/>
        <v>HDL-</v>
      </c>
      <c r="K1879" t="s">
        <v>10</v>
      </c>
      <c r="L1879" s="46">
        <v>430</v>
      </c>
      <c r="M1879" t="s">
        <v>1472</v>
      </c>
      <c r="N1879" t="s">
        <v>11</v>
      </c>
      <c r="O1879" s="49">
        <v>3.9847999999999999</v>
      </c>
      <c r="P1879" s="9">
        <f t="shared" si="178"/>
        <v>1713.46</v>
      </c>
      <c r="Q1879" s="10">
        <f t="shared" si="181"/>
        <v>7.3003400000000003</v>
      </c>
      <c r="R1879" s="10">
        <f t="shared" si="182"/>
        <v>0.54579999999999995</v>
      </c>
      <c r="S1879" s="11">
        <f t="shared" si="183"/>
        <v>234.69</v>
      </c>
      <c r="T1879" s="10" t="s">
        <v>349</v>
      </c>
      <c r="U1879" t="s">
        <v>228</v>
      </c>
      <c r="V1879" s="58">
        <v>7.1775000000000002</v>
      </c>
      <c r="W1879" s="38">
        <f t="shared" si="179"/>
        <v>238.72713340299546</v>
      </c>
    </row>
    <row r="1880" spans="1:23" s="15" customFormat="1">
      <c r="A1880" t="s">
        <v>4165</v>
      </c>
      <c r="B1880" s="20">
        <v>45772</v>
      </c>
      <c r="C1880" s="20">
        <v>45723</v>
      </c>
      <c r="D1880" t="s">
        <v>121</v>
      </c>
      <c r="E1880" t="s">
        <v>122</v>
      </c>
      <c r="F1880" s="19"/>
      <c r="G1880" t="s">
        <v>4455</v>
      </c>
      <c r="H1880" t="s">
        <v>3732</v>
      </c>
      <c r="I1880" t="s">
        <v>3733</v>
      </c>
      <c r="J1880" s="8" t="str">
        <f t="shared" si="180"/>
        <v>HDL-</v>
      </c>
      <c r="K1880" t="s">
        <v>10</v>
      </c>
      <c r="L1880" s="46">
        <v>-405</v>
      </c>
      <c r="M1880" t="s">
        <v>1472</v>
      </c>
      <c r="N1880" t="s">
        <v>11</v>
      </c>
      <c r="O1880" s="49">
        <v>3.9847999999999999</v>
      </c>
      <c r="P1880" s="9">
        <f t="shared" si="178"/>
        <v>-1613.84</v>
      </c>
      <c r="Q1880" s="10">
        <f t="shared" si="181"/>
        <v>7.3003400000000003</v>
      </c>
      <c r="R1880" s="10">
        <f t="shared" si="182"/>
        <v>0.54579999999999995</v>
      </c>
      <c r="S1880" s="11">
        <f t="shared" si="183"/>
        <v>-221.05</v>
      </c>
      <c r="T1880" s="10" t="s">
        <v>349</v>
      </c>
      <c r="U1880" t="s">
        <v>228</v>
      </c>
      <c r="V1880" s="58">
        <v>7.1775000000000002</v>
      </c>
      <c r="W1880" s="38">
        <f t="shared" si="179"/>
        <v>-224.84764890282131</v>
      </c>
    </row>
    <row r="1881" spans="1:23" s="15" customFormat="1">
      <c r="A1881" t="s">
        <v>4165</v>
      </c>
      <c r="B1881" s="20">
        <v>45772</v>
      </c>
      <c r="C1881" s="20">
        <v>45723</v>
      </c>
      <c r="D1881" t="s">
        <v>121</v>
      </c>
      <c r="E1881" t="s">
        <v>122</v>
      </c>
      <c r="F1881" s="19"/>
      <c r="G1881" t="s">
        <v>4454</v>
      </c>
      <c r="H1881" t="s">
        <v>3732</v>
      </c>
      <c r="I1881" t="s">
        <v>3733</v>
      </c>
      <c r="J1881" s="8" t="str">
        <f t="shared" si="180"/>
        <v>HDL-</v>
      </c>
      <c r="K1881" t="s">
        <v>10</v>
      </c>
      <c r="L1881" s="46">
        <v>405</v>
      </c>
      <c r="M1881" t="s">
        <v>1472</v>
      </c>
      <c r="N1881" t="s">
        <v>11</v>
      </c>
      <c r="O1881" s="49">
        <v>3.9847999999999999</v>
      </c>
      <c r="P1881" s="9">
        <f t="shared" si="178"/>
        <v>1613.84</v>
      </c>
      <c r="Q1881" s="10">
        <f t="shared" si="181"/>
        <v>7.3003400000000003</v>
      </c>
      <c r="R1881" s="10">
        <f t="shared" si="182"/>
        <v>0.54579999999999995</v>
      </c>
      <c r="S1881" s="11">
        <f t="shared" si="183"/>
        <v>221.05</v>
      </c>
      <c r="T1881" s="10" t="s">
        <v>349</v>
      </c>
      <c r="U1881" t="s">
        <v>228</v>
      </c>
      <c r="V1881" s="58">
        <v>7.1775000000000002</v>
      </c>
      <c r="W1881" s="38">
        <f t="shared" si="179"/>
        <v>224.84764890282131</v>
      </c>
    </row>
    <row r="1882" spans="1:23" s="15" customFormat="1">
      <c r="A1882" t="s">
        <v>4165</v>
      </c>
      <c r="B1882" s="20">
        <v>45769</v>
      </c>
      <c r="C1882" s="20">
        <v>45723</v>
      </c>
      <c r="D1882" t="s">
        <v>121</v>
      </c>
      <c r="E1882" t="s">
        <v>122</v>
      </c>
      <c r="F1882" s="19"/>
      <c r="G1882" t="s">
        <v>4456</v>
      </c>
      <c r="H1882" t="s">
        <v>3732</v>
      </c>
      <c r="I1882" t="s">
        <v>3733</v>
      </c>
      <c r="J1882" s="8" t="str">
        <f t="shared" si="180"/>
        <v>HDL-</v>
      </c>
      <c r="K1882" t="s">
        <v>10</v>
      </c>
      <c r="L1882" s="46">
        <v>600</v>
      </c>
      <c r="M1882" t="s">
        <v>1472</v>
      </c>
      <c r="N1882" t="s">
        <v>11</v>
      </c>
      <c r="O1882" s="49">
        <v>3.9847999999999999</v>
      </c>
      <c r="P1882" s="9">
        <f t="shared" si="178"/>
        <v>2390.88</v>
      </c>
      <c r="Q1882" s="10">
        <f t="shared" si="181"/>
        <v>7.3003400000000003</v>
      </c>
      <c r="R1882" s="10">
        <f t="shared" si="182"/>
        <v>0.54579999999999995</v>
      </c>
      <c r="S1882" s="11">
        <f t="shared" si="183"/>
        <v>327.48</v>
      </c>
      <c r="T1882" s="10" t="s">
        <v>349</v>
      </c>
      <c r="U1882" t="s">
        <v>228</v>
      </c>
      <c r="V1882" s="58">
        <v>7.1775000000000002</v>
      </c>
      <c r="W1882" s="38">
        <f t="shared" si="179"/>
        <v>333.10762800417973</v>
      </c>
    </row>
    <row r="1883" spans="1:23" s="15" customFormat="1">
      <c r="A1883" t="s">
        <v>4166</v>
      </c>
      <c r="B1883" s="20">
        <v>45758</v>
      </c>
      <c r="C1883" s="20">
        <v>45729</v>
      </c>
      <c r="D1883" t="s">
        <v>709</v>
      </c>
      <c r="E1883" t="s">
        <v>710</v>
      </c>
      <c r="F1883" s="19"/>
      <c r="G1883" t="s">
        <v>4340</v>
      </c>
      <c r="H1883" t="s">
        <v>3734</v>
      </c>
      <c r="I1883" t="s">
        <v>3735</v>
      </c>
      <c r="J1883" s="8" t="str">
        <f t="shared" si="180"/>
        <v>HDL-</v>
      </c>
      <c r="K1883" t="s">
        <v>10</v>
      </c>
      <c r="L1883" s="46">
        <v>1030</v>
      </c>
      <c r="M1883" t="s">
        <v>1472</v>
      </c>
      <c r="N1883" t="s">
        <v>11</v>
      </c>
      <c r="O1883" s="49">
        <v>3.9895999999999998</v>
      </c>
      <c r="P1883" s="9">
        <f t="shared" si="178"/>
        <v>4109.29</v>
      </c>
      <c r="Q1883" s="10">
        <f t="shared" si="181"/>
        <v>7.3003400000000003</v>
      </c>
      <c r="R1883" s="10">
        <f t="shared" si="182"/>
        <v>0.54649999999999999</v>
      </c>
      <c r="S1883" s="11">
        <f t="shared" si="183"/>
        <v>562.9</v>
      </c>
      <c r="T1883" s="10" t="s">
        <v>349</v>
      </c>
      <c r="U1883" t="s">
        <v>228</v>
      </c>
      <c r="V1883" s="58">
        <v>7.1775000000000002</v>
      </c>
      <c r="W1883" s="38">
        <f t="shared" si="179"/>
        <v>572.52358063392535</v>
      </c>
    </row>
    <row r="1884" spans="1:23" s="15" customFormat="1">
      <c r="A1884" t="s">
        <v>4167</v>
      </c>
      <c r="B1884" s="20">
        <v>45776</v>
      </c>
      <c r="C1884" s="20">
        <v>45758</v>
      </c>
      <c r="D1884" t="s">
        <v>149</v>
      </c>
      <c r="E1884" t="s">
        <v>150</v>
      </c>
      <c r="F1884" s="19"/>
      <c r="G1884" t="s">
        <v>4448</v>
      </c>
      <c r="H1884" t="s">
        <v>3736</v>
      </c>
      <c r="I1884" t="s">
        <v>3737</v>
      </c>
      <c r="J1884" s="8" t="str">
        <f t="shared" si="180"/>
        <v>GLID</v>
      </c>
      <c r="K1884" t="s">
        <v>10</v>
      </c>
      <c r="L1884" s="46">
        <v>400</v>
      </c>
      <c r="M1884" t="s">
        <v>1472</v>
      </c>
      <c r="N1884" t="s">
        <v>11</v>
      </c>
      <c r="O1884" s="49">
        <v>4.0202</v>
      </c>
      <c r="P1884" s="9">
        <f t="shared" si="178"/>
        <v>1608.08</v>
      </c>
      <c r="Q1884" s="10">
        <f t="shared" si="181"/>
        <v>7.3003400000000003</v>
      </c>
      <c r="R1884" s="10">
        <f t="shared" si="182"/>
        <v>0.55069999999999997</v>
      </c>
      <c r="S1884" s="11">
        <f t="shared" si="183"/>
        <v>220.28</v>
      </c>
      <c r="T1884" s="10" t="s">
        <v>349</v>
      </c>
      <c r="U1884" t="s">
        <v>78</v>
      </c>
      <c r="V1884" s="58">
        <v>7.1775000000000002</v>
      </c>
      <c r="W1884" s="38">
        <f t="shared" si="179"/>
        <v>224.04458376872168</v>
      </c>
    </row>
    <row r="1885" spans="1:23" s="15" customFormat="1">
      <c r="A1885" t="s">
        <v>4168</v>
      </c>
      <c r="B1885" s="20">
        <v>45750</v>
      </c>
      <c r="C1885" s="20">
        <v>45723</v>
      </c>
      <c r="D1885" t="s">
        <v>696</v>
      </c>
      <c r="E1885" t="s">
        <v>697</v>
      </c>
      <c r="F1885" s="19"/>
      <c r="G1885" t="s">
        <v>4457</v>
      </c>
      <c r="H1885" t="s">
        <v>1539</v>
      </c>
      <c r="I1885" t="s">
        <v>1540</v>
      </c>
      <c r="J1885" s="8" t="str">
        <f t="shared" si="180"/>
        <v>ANYD</v>
      </c>
      <c r="K1885" t="s">
        <v>10</v>
      </c>
      <c r="L1885" s="46">
        <v>1000</v>
      </c>
      <c r="M1885" t="s">
        <v>1472</v>
      </c>
      <c r="N1885" t="s">
        <v>11</v>
      </c>
      <c r="O1885" s="49">
        <v>4.04</v>
      </c>
      <c r="P1885" s="9">
        <f t="shared" si="178"/>
        <v>4040</v>
      </c>
      <c r="Q1885" s="10">
        <f t="shared" si="181"/>
        <v>7.3003400000000003</v>
      </c>
      <c r="R1885" s="10">
        <f t="shared" si="182"/>
        <v>0.5534</v>
      </c>
      <c r="S1885" s="11">
        <f t="shared" si="183"/>
        <v>553.4</v>
      </c>
      <c r="T1885" s="10" t="s">
        <v>349</v>
      </c>
      <c r="U1885" t="s">
        <v>36</v>
      </c>
      <c r="V1885" s="58">
        <v>7.1775000000000002</v>
      </c>
      <c r="W1885" s="38">
        <f t="shared" si="179"/>
        <v>562.8700801114594</v>
      </c>
    </row>
    <row r="1886" spans="1:23" s="15" customFormat="1">
      <c r="A1886" t="s">
        <v>4169</v>
      </c>
      <c r="B1886" s="20">
        <v>45750</v>
      </c>
      <c r="C1886" s="20">
        <v>45723</v>
      </c>
      <c r="D1886" t="s">
        <v>696</v>
      </c>
      <c r="E1886" t="s">
        <v>697</v>
      </c>
      <c r="F1886" s="19"/>
      <c r="G1886" t="s">
        <v>4457</v>
      </c>
      <c r="H1886" t="s">
        <v>1539</v>
      </c>
      <c r="I1886" t="s">
        <v>1540</v>
      </c>
      <c r="J1886" s="8" t="str">
        <f t="shared" si="180"/>
        <v>ANYD</v>
      </c>
      <c r="K1886" t="s">
        <v>10</v>
      </c>
      <c r="L1886" s="46">
        <v>2050</v>
      </c>
      <c r="M1886" t="s">
        <v>1472</v>
      </c>
      <c r="N1886" t="s">
        <v>11</v>
      </c>
      <c r="O1886" s="49">
        <v>4.04</v>
      </c>
      <c r="P1886" s="9">
        <f t="shared" si="178"/>
        <v>8282</v>
      </c>
      <c r="Q1886" s="10">
        <f t="shared" si="181"/>
        <v>7.3003400000000003</v>
      </c>
      <c r="R1886" s="10">
        <f t="shared" si="182"/>
        <v>0.5534</v>
      </c>
      <c r="S1886" s="11">
        <f t="shared" si="183"/>
        <v>1134.47</v>
      </c>
      <c r="T1886" s="10" t="s">
        <v>349</v>
      </c>
      <c r="U1886" t="s">
        <v>36</v>
      </c>
      <c r="V1886" s="58">
        <v>7.1775000000000002</v>
      </c>
      <c r="W1886" s="38">
        <f t="shared" si="179"/>
        <v>1153.8836642284919</v>
      </c>
    </row>
    <row r="1887" spans="1:23" s="15" customFormat="1">
      <c r="A1887" t="s">
        <v>4170</v>
      </c>
      <c r="B1887" s="20">
        <v>45763</v>
      </c>
      <c r="C1887" s="20">
        <v>45742</v>
      </c>
      <c r="D1887" t="s">
        <v>696</v>
      </c>
      <c r="E1887" t="s">
        <v>697</v>
      </c>
      <c r="F1887" s="19"/>
      <c r="G1887" t="s">
        <v>4452</v>
      </c>
      <c r="H1887" t="s">
        <v>1539</v>
      </c>
      <c r="I1887" t="s">
        <v>1540</v>
      </c>
      <c r="J1887" s="8" t="str">
        <f t="shared" si="180"/>
        <v>ANYD</v>
      </c>
      <c r="K1887" t="s">
        <v>10</v>
      </c>
      <c r="L1887" s="46">
        <v>1600</v>
      </c>
      <c r="M1887" t="s">
        <v>1472</v>
      </c>
      <c r="N1887" t="s">
        <v>11</v>
      </c>
      <c r="O1887" s="49">
        <v>4.04</v>
      </c>
      <c r="P1887" s="9">
        <f t="shared" si="178"/>
        <v>6464</v>
      </c>
      <c r="Q1887" s="10">
        <f t="shared" si="181"/>
        <v>7.3003400000000003</v>
      </c>
      <c r="R1887" s="10">
        <f t="shared" si="182"/>
        <v>0.5534</v>
      </c>
      <c r="S1887" s="11">
        <f t="shared" si="183"/>
        <v>885.44</v>
      </c>
      <c r="T1887" s="10" t="s">
        <v>349</v>
      </c>
      <c r="U1887" t="s">
        <v>36</v>
      </c>
      <c r="V1887" s="58">
        <v>7.1775000000000002</v>
      </c>
      <c r="W1887" s="38">
        <f t="shared" si="179"/>
        <v>900.59212817833509</v>
      </c>
    </row>
    <row r="1888" spans="1:23" s="15" customFormat="1">
      <c r="A1888" t="s">
        <v>4171</v>
      </c>
      <c r="B1888" s="20">
        <v>45772</v>
      </c>
      <c r="C1888" s="20">
        <v>45720</v>
      </c>
      <c r="D1888" t="s">
        <v>94</v>
      </c>
      <c r="E1888" t="s">
        <v>95</v>
      </c>
      <c r="F1888" s="19"/>
      <c r="G1888" t="s">
        <v>4458</v>
      </c>
      <c r="H1888" t="s">
        <v>3738</v>
      </c>
      <c r="I1888" t="s">
        <v>3739</v>
      </c>
      <c r="J1888" s="8" t="str">
        <f t="shared" si="180"/>
        <v>LID-</v>
      </c>
      <c r="K1888" t="s">
        <v>98</v>
      </c>
      <c r="L1888" s="46">
        <v>410</v>
      </c>
      <c r="M1888" t="s">
        <v>1472</v>
      </c>
      <c r="N1888" t="s">
        <v>11</v>
      </c>
      <c r="O1888" s="49">
        <v>4.0599999999999996</v>
      </c>
      <c r="P1888" s="9">
        <f t="shared" si="178"/>
        <v>1664.6</v>
      </c>
      <c r="Q1888" s="10">
        <f t="shared" si="181"/>
        <v>7.3003400000000003</v>
      </c>
      <c r="R1888" s="10">
        <f t="shared" si="182"/>
        <v>0.55610000000000004</v>
      </c>
      <c r="S1888" s="11">
        <f t="shared" si="183"/>
        <v>228</v>
      </c>
      <c r="T1888" s="10" t="s">
        <v>349</v>
      </c>
      <c r="U1888" t="s">
        <v>368</v>
      </c>
      <c r="V1888" s="58">
        <v>7.1775000000000002</v>
      </c>
      <c r="W1888" s="38">
        <f t="shared" si="179"/>
        <v>231.91919191919192</v>
      </c>
    </row>
    <row r="1889" spans="1:23" s="15" customFormat="1">
      <c r="A1889" t="s">
        <v>4171</v>
      </c>
      <c r="B1889" s="20">
        <v>45771</v>
      </c>
      <c r="C1889" s="20">
        <v>45720</v>
      </c>
      <c r="D1889" t="s">
        <v>94</v>
      </c>
      <c r="E1889" t="s">
        <v>95</v>
      </c>
      <c r="F1889" s="19"/>
      <c r="G1889" t="s">
        <v>4459</v>
      </c>
      <c r="H1889" t="s">
        <v>3738</v>
      </c>
      <c r="I1889" t="s">
        <v>3739</v>
      </c>
      <c r="J1889" s="8" t="str">
        <f t="shared" si="180"/>
        <v>LID-</v>
      </c>
      <c r="K1889" t="s">
        <v>98</v>
      </c>
      <c r="L1889" s="46">
        <v>600</v>
      </c>
      <c r="M1889" t="s">
        <v>1472</v>
      </c>
      <c r="N1889" t="s">
        <v>11</v>
      </c>
      <c r="O1889" s="49">
        <v>4.0599999999999996</v>
      </c>
      <c r="P1889" s="9">
        <f t="shared" si="178"/>
        <v>2436</v>
      </c>
      <c r="Q1889" s="10">
        <f t="shared" si="181"/>
        <v>7.3003400000000003</v>
      </c>
      <c r="R1889" s="10">
        <f t="shared" si="182"/>
        <v>0.55610000000000004</v>
      </c>
      <c r="S1889" s="11">
        <f t="shared" si="183"/>
        <v>333.66</v>
      </c>
      <c r="T1889" s="10" t="s">
        <v>349</v>
      </c>
      <c r="U1889" t="s">
        <v>368</v>
      </c>
      <c r="V1889" s="58">
        <v>7.1775000000000002</v>
      </c>
      <c r="W1889" s="38">
        <f t="shared" si="179"/>
        <v>339.39393939393938</v>
      </c>
    </row>
    <row r="1890" spans="1:23" s="15" customFormat="1">
      <c r="A1890" t="s">
        <v>4172</v>
      </c>
      <c r="B1890" s="20">
        <v>45762</v>
      </c>
      <c r="C1890" s="20">
        <v>45729</v>
      </c>
      <c r="D1890" t="s">
        <v>149</v>
      </c>
      <c r="E1890" t="s">
        <v>150</v>
      </c>
      <c r="F1890" s="19"/>
      <c r="G1890" t="s">
        <v>4435</v>
      </c>
      <c r="H1890" t="s">
        <v>1758</v>
      </c>
      <c r="I1890" t="s">
        <v>1759</v>
      </c>
      <c r="J1890" s="8" t="str">
        <f t="shared" si="180"/>
        <v>GLID</v>
      </c>
      <c r="K1890" t="s">
        <v>10</v>
      </c>
      <c r="L1890" s="46">
        <v>898</v>
      </c>
      <c r="M1890" t="s">
        <v>1472</v>
      </c>
      <c r="N1890" t="s">
        <v>11</v>
      </c>
      <c r="O1890" s="49">
        <v>4.1127000000000002</v>
      </c>
      <c r="P1890" s="9">
        <f t="shared" si="178"/>
        <v>3693.2</v>
      </c>
      <c r="Q1890" s="10">
        <f t="shared" si="181"/>
        <v>7.3003400000000003</v>
      </c>
      <c r="R1890" s="10">
        <f t="shared" si="182"/>
        <v>0.56340000000000001</v>
      </c>
      <c r="S1890" s="11">
        <f t="shared" si="183"/>
        <v>505.93</v>
      </c>
      <c r="T1890" s="10" t="s">
        <v>349</v>
      </c>
      <c r="U1890" t="s">
        <v>78</v>
      </c>
      <c r="V1890" s="58">
        <v>7.1775000000000002</v>
      </c>
      <c r="W1890" s="38">
        <f t="shared" si="179"/>
        <v>514.55306165099273</v>
      </c>
    </row>
    <row r="1891" spans="1:23" s="15" customFormat="1">
      <c r="A1891" t="s">
        <v>4172</v>
      </c>
      <c r="B1891" s="20">
        <v>45755</v>
      </c>
      <c r="C1891" s="20">
        <v>45729</v>
      </c>
      <c r="D1891" t="s">
        <v>149</v>
      </c>
      <c r="E1891" t="s">
        <v>150</v>
      </c>
      <c r="F1891" s="19"/>
      <c r="G1891" t="s">
        <v>4424</v>
      </c>
      <c r="H1891" t="s">
        <v>1758</v>
      </c>
      <c r="I1891" t="s">
        <v>1759</v>
      </c>
      <c r="J1891" s="8" t="str">
        <f t="shared" si="180"/>
        <v>GLID</v>
      </c>
      <c r="K1891" t="s">
        <v>10</v>
      </c>
      <c r="L1891" s="46">
        <v>112</v>
      </c>
      <c r="M1891" t="s">
        <v>1472</v>
      </c>
      <c r="N1891" t="s">
        <v>11</v>
      </c>
      <c r="O1891" s="49">
        <v>4.1127000000000002</v>
      </c>
      <c r="P1891" s="9">
        <f t="shared" si="178"/>
        <v>460.62</v>
      </c>
      <c r="Q1891" s="10">
        <f t="shared" si="181"/>
        <v>7.3003400000000003</v>
      </c>
      <c r="R1891" s="10">
        <f t="shared" si="182"/>
        <v>0.56340000000000001</v>
      </c>
      <c r="S1891" s="11">
        <f t="shared" si="183"/>
        <v>63.1</v>
      </c>
      <c r="T1891" s="10" t="s">
        <v>349</v>
      </c>
      <c r="U1891" t="s">
        <v>78</v>
      </c>
      <c r="V1891" s="58">
        <v>7.1775000000000002</v>
      </c>
      <c r="W1891" s="38">
        <f t="shared" si="179"/>
        <v>64.175882967607109</v>
      </c>
    </row>
    <row r="1892" spans="1:23" s="15" customFormat="1">
      <c r="A1892" t="s">
        <v>4173</v>
      </c>
      <c r="B1892" s="20">
        <v>45758</v>
      </c>
      <c r="C1892" s="20">
        <v>45729</v>
      </c>
      <c r="D1892" t="s">
        <v>709</v>
      </c>
      <c r="E1892" t="s">
        <v>710</v>
      </c>
      <c r="F1892" s="19"/>
      <c r="G1892" t="s">
        <v>4340</v>
      </c>
      <c r="H1892" t="s">
        <v>3740</v>
      </c>
      <c r="I1892" t="s">
        <v>3741</v>
      </c>
      <c r="J1892" s="8" t="str">
        <f t="shared" si="180"/>
        <v>HDL-</v>
      </c>
      <c r="K1892" t="s">
        <v>10</v>
      </c>
      <c r="L1892" s="46">
        <v>1040</v>
      </c>
      <c r="M1892" t="s">
        <v>1472</v>
      </c>
      <c r="N1892" t="s">
        <v>11</v>
      </c>
      <c r="O1892" s="49">
        <v>4.1307999999999998</v>
      </c>
      <c r="P1892" s="9">
        <f t="shared" si="178"/>
        <v>4296.03</v>
      </c>
      <c r="Q1892" s="10">
        <f t="shared" si="181"/>
        <v>7.3003400000000003</v>
      </c>
      <c r="R1892" s="10">
        <f t="shared" si="182"/>
        <v>0.56579999999999997</v>
      </c>
      <c r="S1892" s="11">
        <f t="shared" si="183"/>
        <v>588.42999999999995</v>
      </c>
      <c r="T1892" s="10" t="s">
        <v>349</v>
      </c>
      <c r="U1892" t="s">
        <v>4560</v>
      </c>
      <c r="V1892" s="58">
        <v>7.1775000000000002</v>
      </c>
      <c r="W1892" s="38">
        <f t="shared" si="179"/>
        <v>598.54155346569132</v>
      </c>
    </row>
    <row r="1893" spans="1:23" s="15" customFormat="1">
      <c r="A1893" t="s">
        <v>4174</v>
      </c>
      <c r="B1893" s="20">
        <v>45758</v>
      </c>
      <c r="C1893" s="20">
        <v>45729</v>
      </c>
      <c r="D1893" t="s">
        <v>709</v>
      </c>
      <c r="E1893" t="s">
        <v>710</v>
      </c>
      <c r="F1893" s="19"/>
      <c r="G1893" t="s">
        <v>4340</v>
      </c>
      <c r="H1893" t="s">
        <v>3742</v>
      </c>
      <c r="I1893" t="s">
        <v>3743</v>
      </c>
      <c r="J1893" s="8" t="str">
        <f t="shared" si="180"/>
        <v>HDL-</v>
      </c>
      <c r="K1893" t="s">
        <v>10</v>
      </c>
      <c r="L1893" s="46">
        <v>1030</v>
      </c>
      <c r="M1893" t="s">
        <v>1472</v>
      </c>
      <c r="N1893" t="s">
        <v>11</v>
      </c>
      <c r="O1893" s="49">
        <v>4.1307999999999998</v>
      </c>
      <c r="P1893" s="9">
        <f t="shared" si="178"/>
        <v>4254.72</v>
      </c>
      <c r="Q1893" s="10">
        <f t="shared" si="181"/>
        <v>7.3003400000000003</v>
      </c>
      <c r="R1893" s="10">
        <f t="shared" si="182"/>
        <v>0.56579999999999997</v>
      </c>
      <c r="S1893" s="11">
        <f t="shared" si="183"/>
        <v>582.77</v>
      </c>
      <c r="T1893" s="10" t="s">
        <v>349</v>
      </c>
      <c r="U1893" t="s">
        <v>228</v>
      </c>
      <c r="V1893" s="58">
        <v>7.1775000000000002</v>
      </c>
      <c r="W1893" s="38">
        <f t="shared" si="179"/>
        <v>592.78634622082893</v>
      </c>
    </row>
    <row r="1894" spans="1:23" s="15" customFormat="1">
      <c r="A1894" t="s">
        <v>4175</v>
      </c>
      <c r="B1894" s="20">
        <v>45768</v>
      </c>
      <c r="C1894" s="20">
        <v>45723</v>
      </c>
      <c r="D1894" t="s">
        <v>121</v>
      </c>
      <c r="E1894" t="s">
        <v>122</v>
      </c>
      <c r="F1894" s="19"/>
      <c r="G1894" t="s">
        <v>4460</v>
      </c>
      <c r="H1894" t="s">
        <v>1744</v>
      </c>
      <c r="I1894" t="s">
        <v>1745</v>
      </c>
      <c r="J1894" s="8" t="str">
        <f t="shared" si="180"/>
        <v>HDL-</v>
      </c>
      <c r="K1894" t="s">
        <v>10</v>
      </c>
      <c r="L1894" s="46">
        <v>2040</v>
      </c>
      <c r="M1894" t="s">
        <v>1472</v>
      </c>
      <c r="N1894" t="s">
        <v>11</v>
      </c>
      <c r="O1894" s="49">
        <v>4.1566000000000001</v>
      </c>
      <c r="P1894" s="9">
        <f t="shared" si="178"/>
        <v>8479.4599999999991</v>
      </c>
      <c r="Q1894" s="10">
        <f t="shared" si="181"/>
        <v>7.3003400000000003</v>
      </c>
      <c r="R1894" s="10">
        <f t="shared" si="182"/>
        <v>0.56940000000000002</v>
      </c>
      <c r="S1894" s="11">
        <f t="shared" si="183"/>
        <v>1161.58</v>
      </c>
      <c r="T1894" s="10" t="s">
        <v>349</v>
      </c>
      <c r="U1894" t="s">
        <v>228</v>
      </c>
      <c r="V1894" s="58">
        <v>7.1775000000000002</v>
      </c>
      <c r="W1894" s="38">
        <f t="shared" si="179"/>
        <v>1181.3951933124347</v>
      </c>
    </row>
    <row r="1895" spans="1:23" s="15" customFormat="1">
      <c r="A1895" t="s">
        <v>2540</v>
      </c>
      <c r="B1895" s="20">
        <v>45768</v>
      </c>
      <c r="C1895" s="20">
        <v>45714</v>
      </c>
      <c r="D1895" t="s">
        <v>830</v>
      </c>
      <c r="E1895" t="s">
        <v>831</v>
      </c>
      <c r="F1895" s="19"/>
      <c r="G1895" t="s">
        <v>4461</v>
      </c>
      <c r="H1895" t="s">
        <v>3166</v>
      </c>
      <c r="I1895" t="s">
        <v>3376</v>
      </c>
      <c r="J1895" s="8" t="str">
        <f t="shared" si="180"/>
        <v>LID-</v>
      </c>
      <c r="K1895" t="s">
        <v>98</v>
      </c>
      <c r="L1895" s="46">
        <v>760</v>
      </c>
      <c r="M1895" t="s">
        <v>1472</v>
      </c>
      <c r="N1895" t="s">
        <v>11</v>
      </c>
      <c r="O1895" s="49">
        <v>4.2</v>
      </c>
      <c r="P1895" s="9">
        <f t="shared" si="178"/>
        <v>3192</v>
      </c>
      <c r="Q1895" s="10">
        <f t="shared" si="181"/>
        <v>7.3003400000000003</v>
      </c>
      <c r="R1895" s="10">
        <f t="shared" si="182"/>
        <v>0.57530000000000003</v>
      </c>
      <c r="S1895" s="11">
        <f t="shared" si="183"/>
        <v>437.23</v>
      </c>
      <c r="T1895" s="10" t="s">
        <v>349</v>
      </c>
      <c r="U1895" t="s">
        <v>368</v>
      </c>
      <c r="V1895" s="58">
        <v>7.1775000000000002</v>
      </c>
      <c r="W1895" s="38">
        <f t="shared" si="179"/>
        <v>444.72309299895505</v>
      </c>
    </row>
    <row r="1896" spans="1:23" s="15" customFormat="1">
      <c r="A1896" t="s">
        <v>2540</v>
      </c>
      <c r="B1896" s="20">
        <v>45765</v>
      </c>
      <c r="C1896" s="20">
        <v>45714</v>
      </c>
      <c r="D1896" t="s">
        <v>830</v>
      </c>
      <c r="E1896" t="s">
        <v>831</v>
      </c>
      <c r="F1896" s="19"/>
      <c r="G1896" t="s">
        <v>4462</v>
      </c>
      <c r="H1896" t="s">
        <v>3166</v>
      </c>
      <c r="I1896" t="s">
        <v>3376</v>
      </c>
      <c r="J1896" s="8" t="str">
        <f t="shared" si="180"/>
        <v>LID-</v>
      </c>
      <c r="K1896" t="s">
        <v>98</v>
      </c>
      <c r="L1896" s="46">
        <v>960</v>
      </c>
      <c r="M1896" t="s">
        <v>1472</v>
      </c>
      <c r="N1896" t="s">
        <v>11</v>
      </c>
      <c r="O1896" s="49">
        <v>4.2</v>
      </c>
      <c r="P1896" s="9">
        <f t="shared" si="178"/>
        <v>4032</v>
      </c>
      <c r="Q1896" s="10">
        <f t="shared" si="181"/>
        <v>7.3003400000000003</v>
      </c>
      <c r="R1896" s="10">
        <f t="shared" si="182"/>
        <v>0.57530000000000003</v>
      </c>
      <c r="S1896" s="11">
        <f t="shared" si="183"/>
        <v>552.29</v>
      </c>
      <c r="T1896" s="10" t="s">
        <v>349</v>
      </c>
      <c r="U1896" t="s">
        <v>368</v>
      </c>
      <c r="V1896" s="58">
        <v>7.1775000000000002</v>
      </c>
      <c r="W1896" s="38">
        <f t="shared" si="179"/>
        <v>561.7554858934169</v>
      </c>
    </row>
    <row r="1897" spans="1:23" s="15" customFormat="1">
      <c r="A1897" t="s">
        <v>2540</v>
      </c>
      <c r="B1897" s="20">
        <v>45764</v>
      </c>
      <c r="C1897" s="20">
        <v>45714</v>
      </c>
      <c r="D1897" t="s">
        <v>830</v>
      </c>
      <c r="E1897" t="s">
        <v>831</v>
      </c>
      <c r="F1897" s="19"/>
      <c r="G1897" t="s">
        <v>4463</v>
      </c>
      <c r="H1897" t="s">
        <v>3166</v>
      </c>
      <c r="I1897" t="s">
        <v>3376</v>
      </c>
      <c r="J1897" s="8" t="str">
        <f t="shared" si="180"/>
        <v>LID-</v>
      </c>
      <c r="K1897" t="s">
        <v>98</v>
      </c>
      <c r="L1897" s="46">
        <v>960</v>
      </c>
      <c r="M1897" t="s">
        <v>1472</v>
      </c>
      <c r="N1897" t="s">
        <v>11</v>
      </c>
      <c r="O1897" s="49">
        <v>4.2</v>
      </c>
      <c r="P1897" s="9">
        <f t="shared" si="178"/>
        <v>4032</v>
      </c>
      <c r="Q1897" s="10">
        <f t="shared" si="181"/>
        <v>7.3003400000000003</v>
      </c>
      <c r="R1897" s="10">
        <f t="shared" si="182"/>
        <v>0.57530000000000003</v>
      </c>
      <c r="S1897" s="11">
        <f t="shared" si="183"/>
        <v>552.29</v>
      </c>
      <c r="T1897" s="10" t="s">
        <v>349</v>
      </c>
      <c r="U1897" t="s">
        <v>368</v>
      </c>
      <c r="V1897" s="58">
        <v>7.1775000000000002</v>
      </c>
      <c r="W1897" s="38">
        <f t="shared" si="179"/>
        <v>561.7554858934169</v>
      </c>
    </row>
    <row r="1898" spans="1:23" s="15" customFormat="1">
      <c r="A1898" t="s">
        <v>2540</v>
      </c>
      <c r="B1898" s="20">
        <v>45762</v>
      </c>
      <c r="C1898" s="20">
        <v>45714</v>
      </c>
      <c r="D1898" t="s">
        <v>830</v>
      </c>
      <c r="E1898" t="s">
        <v>831</v>
      </c>
      <c r="F1898" s="19"/>
      <c r="G1898" t="s">
        <v>4464</v>
      </c>
      <c r="H1898" t="s">
        <v>3166</v>
      </c>
      <c r="I1898" t="s">
        <v>3376</v>
      </c>
      <c r="J1898" s="8" t="str">
        <f t="shared" si="180"/>
        <v>LID-</v>
      </c>
      <c r="K1898" t="s">
        <v>98</v>
      </c>
      <c r="L1898" s="46">
        <v>820</v>
      </c>
      <c r="M1898" t="s">
        <v>1472</v>
      </c>
      <c r="N1898" t="s">
        <v>11</v>
      </c>
      <c r="O1898" s="49">
        <v>4.2</v>
      </c>
      <c r="P1898" s="9">
        <f t="shared" si="178"/>
        <v>3444</v>
      </c>
      <c r="Q1898" s="10">
        <f t="shared" si="181"/>
        <v>7.3003400000000003</v>
      </c>
      <c r="R1898" s="10">
        <f t="shared" si="182"/>
        <v>0.57530000000000003</v>
      </c>
      <c r="S1898" s="11">
        <f t="shared" si="183"/>
        <v>471.75</v>
      </c>
      <c r="T1898" s="10" t="s">
        <v>349</v>
      </c>
      <c r="U1898" t="s">
        <v>368</v>
      </c>
      <c r="V1898" s="58">
        <v>7.1775000000000002</v>
      </c>
      <c r="W1898" s="38">
        <f t="shared" si="179"/>
        <v>479.83281086729363</v>
      </c>
    </row>
    <row r="1899" spans="1:23" s="15" customFormat="1">
      <c r="A1899" t="s">
        <v>2540</v>
      </c>
      <c r="B1899" s="20">
        <v>45761</v>
      </c>
      <c r="C1899" s="20">
        <v>45714</v>
      </c>
      <c r="D1899" t="s">
        <v>830</v>
      </c>
      <c r="E1899" t="s">
        <v>831</v>
      </c>
      <c r="F1899" s="19"/>
      <c r="G1899" t="s">
        <v>4465</v>
      </c>
      <c r="H1899" t="s">
        <v>3166</v>
      </c>
      <c r="I1899" t="s">
        <v>3376</v>
      </c>
      <c r="J1899" s="8" t="str">
        <f t="shared" si="180"/>
        <v>LID-</v>
      </c>
      <c r="K1899" t="s">
        <v>98</v>
      </c>
      <c r="L1899" s="46">
        <v>960</v>
      </c>
      <c r="M1899" t="s">
        <v>1472</v>
      </c>
      <c r="N1899" t="s">
        <v>11</v>
      </c>
      <c r="O1899" s="49">
        <v>4.2</v>
      </c>
      <c r="P1899" s="9">
        <f t="shared" si="178"/>
        <v>4032</v>
      </c>
      <c r="Q1899" s="10">
        <f t="shared" si="181"/>
        <v>7.3003400000000003</v>
      </c>
      <c r="R1899" s="10">
        <f t="shared" si="182"/>
        <v>0.57530000000000003</v>
      </c>
      <c r="S1899" s="11">
        <f t="shared" si="183"/>
        <v>552.29</v>
      </c>
      <c r="T1899" s="10" t="s">
        <v>349</v>
      </c>
      <c r="U1899" t="s">
        <v>368</v>
      </c>
      <c r="V1899" s="58">
        <v>7.1775000000000002</v>
      </c>
      <c r="W1899" s="38">
        <f t="shared" si="179"/>
        <v>561.7554858934169</v>
      </c>
    </row>
    <row r="1900" spans="1:23" s="15" customFormat="1">
      <c r="A1900" t="s">
        <v>2540</v>
      </c>
      <c r="B1900" s="20">
        <v>45757</v>
      </c>
      <c r="C1900" s="20">
        <v>45714</v>
      </c>
      <c r="D1900" t="s">
        <v>830</v>
      </c>
      <c r="E1900" t="s">
        <v>831</v>
      </c>
      <c r="F1900" s="19"/>
      <c r="G1900" t="s">
        <v>4466</v>
      </c>
      <c r="H1900" t="s">
        <v>3166</v>
      </c>
      <c r="I1900" t="s">
        <v>3376</v>
      </c>
      <c r="J1900" s="8" t="str">
        <f t="shared" si="180"/>
        <v>LID-</v>
      </c>
      <c r="K1900" t="s">
        <v>98</v>
      </c>
      <c r="L1900" s="46">
        <v>960</v>
      </c>
      <c r="M1900" t="s">
        <v>1472</v>
      </c>
      <c r="N1900" t="s">
        <v>11</v>
      </c>
      <c r="O1900" s="49">
        <v>4.2</v>
      </c>
      <c r="P1900" s="9">
        <f t="shared" si="178"/>
        <v>4032</v>
      </c>
      <c r="Q1900" s="10">
        <f t="shared" si="181"/>
        <v>7.3003400000000003</v>
      </c>
      <c r="R1900" s="10">
        <f t="shared" si="182"/>
        <v>0.57530000000000003</v>
      </c>
      <c r="S1900" s="11">
        <f t="shared" si="183"/>
        <v>552.29</v>
      </c>
      <c r="T1900" s="10" t="s">
        <v>349</v>
      </c>
      <c r="U1900" t="s">
        <v>368</v>
      </c>
      <c r="V1900" s="58">
        <v>7.1775000000000002</v>
      </c>
      <c r="W1900" s="38">
        <f t="shared" si="179"/>
        <v>561.7554858934169</v>
      </c>
    </row>
    <row r="1901" spans="1:23" s="15" customFormat="1">
      <c r="A1901" t="s">
        <v>2540</v>
      </c>
      <c r="B1901" s="20">
        <v>45755</v>
      </c>
      <c r="C1901" s="20">
        <v>45714</v>
      </c>
      <c r="D1901" t="s">
        <v>830</v>
      </c>
      <c r="E1901" t="s">
        <v>831</v>
      </c>
      <c r="F1901" s="19"/>
      <c r="G1901" t="s">
        <v>4467</v>
      </c>
      <c r="H1901" t="s">
        <v>3166</v>
      </c>
      <c r="I1901" t="s">
        <v>3376</v>
      </c>
      <c r="J1901" s="8" t="str">
        <f t="shared" si="180"/>
        <v>LID-</v>
      </c>
      <c r="K1901" t="s">
        <v>98</v>
      </c>
      <c r="L1901" s="46">
        <v>1920</v>
      </c>
      <c r="M1901" t="s">
        <v>1472</v>
      </c>
      <c r="N1901" t="s">
        <v>11</v>
      </c>
      <c r="O1901" s="49">
        <v>4.2</v>
      </c>
      <c r="P1901" s="9">
        <f t="shared" si="178"/>
        <v>8064</v>
      </c>
      <c r="Q1901" s="10">
        <f t="shared" si="181"/>
        <v>7.3003400000000003</v>
      </c>
      <c r="R1901" s="10">
        <f t="shared" si="182"/>
        <v>0.57530000000000003</v>
      </c>
      <c r="S1901" s="11">
        <f t="shared" si="183"/>
        <v>1104.58</v>
      </c>
      <c r="T1901" s="10" t="s">
        <v>349</v>
      </c>
      <c r="U1901" t="s">
        <v>368</v>
      </c>
      <c r="V1901" s="58">
        <v>7.1775000000000002</v>
      </c>
      <c r="W1901" s="38">
        <f t="shared" si="179"/>
        <v>1123.5109717868338</v>
      </c>
    </row>
    <row r="1902" spans="1:23" s="15" customFormat="1">
      <c r="A1902" t="s">
        <v>2540</v>
      </c>
      <c r="B1902" s="20">
        <v>45754</v>
      </c>
      <c r="C1902" s="20">
        <v>45714</v>
      </c>
      <c r="D1902" t="s">
        <v>830</v>
      </c>
      <c r="E1902" t="s">
        <v>831</v>
      </c>
      <c r="F1902" s="19"/>
      <c r="G1902" t="s">
        <v>4468</v>
      </c>
      <c r="H1902" t="s">
        <v>3166</v>
      </c>
      <c r="I1902" t="s">
        <v>3376</v>
      </c>
      <c r="J1902" s="8" t="str">
        <f t="shared" si="180"/>
        <v>LID-</v>
      </c>
      <c r="K1902" t="s">
        <v>98</v>
      </c>
      <c r="L1902" s="46">
        <v>960</v>
      </c>
      <c r="M1902" t="s">
        <v>1472</v>
      </c>
      <c r="N1902" t="s">
        <v>11</v>
      </c>
      <c r="O1902" s="49">
        <v>4.2</v>
      </c>
      <c r="P1902" s="9">
        <f t="shared" si="178"/>
        <v>4032</v>
      </c>
      <c r="Q1902" s="10">
        <f t="shared" si="181"/>
        <v>7.3003400000000003</v>
      </c>
      <c r="R1902" s="10">
        <f t="shared" si="182"/>
        <v>0.57530000000000003</v>
      </c>
      <c r="S1902" s="11">
        <f t="shared" si="183"/>
        <v>552.29</v>
      </c>
      <c r="T1902" s="10" t="s">
        <v>349</v>
      </c>
      <c r="U1902" t="s">
        <v>368</v>
      </c>
      <c r="V1902" s="58">
        <v>7.1775000000000002</v>
      </c>
      <c r="W1902" s="38">
        <f t="shared" si="179"/>
        <v>561.7554858934169</v>
      </c>
    </row>
    <row r="1903" spans="1:23" s="15" customFormat="1">
      <c r="A1903" t="s">
        <v>4176</v>
      </c>
      <c r="B1903" s="20">
        <v>45771</v>
      </c>
      <c r="C1903" s="20">
        <v>45714</v>
      </c>
      <c r="D1903" t="s">
        <v>830</v>
      </c>
      <c r="E1903" t="s">
        <v>831</v>
      </c>
      <c r="F1903" s="19"/>
      <c r="G1903" t="s">
        <v>4469</v>
      </c>
      <c r="H1903" t="s">
        <v>3166</v>
      </c>
      <c r="I1903" t="s">
        <v>3376</v>
      </c>
      <c r="J1903" s="8" t="str">
        <f t="shared" si="180"/>
        <v>LID-</v>
      </c>
      <c r="K1903" t="s">
        <v>98</v>
      </c>
      <c r="L1903" s="46">
        <v>1090</v>
      </c>
      <c r="M1903" t="s">
        <v>1472</v>
      </c>
      <c r="N1903" t="s">
        <v>11</v>
      </c>
      <c r="O1903" s="49">
        <v>4.2</v>
      </c>
      <c r="P1903" s="9">
        <f t="shared" si="178"/>
        <v>4578</v>
      </c>
      <c r="Q1903" s="10">
        <f t="shared" si="181"/>
        <v>7.3003400000000003</v>
      </c>
      <c r="R1903" s="10">
        <f t="shared" si="182"/>
        <v>0.57530000000000003</v>
      </c>
      <c r="S1903" s="11">
        <f t="shared" si="183"/>
        <v>627.08000000000004</v>
      </c>
      <c r="T1903" s="10" t="s">
        <v>349</v>
      </c>
      <c r="U1903" t="s">
        <v>368</v>
      </c>
      <c r="V1903" s="58">
        <v>7.1775000000000002</v>
      </c>
      <c r="W1903" s="38">
        <f t="shared" si="179"/>
        <v>637.82654127481715</v>
      </c>
    </row>
    <row r="1904" spans="1:23" s="15" customFormat="1">
      <c r="A1904" t="s">
        <v>4176</v>
      </c>
      <c r="B1904" s="20">
        <v>45770</v>
      </c>
      <c r="C1904" s="20">
        <v>45714</v>
      </c>
      <c r="D1904" t="s">
        <v>830</v>
      </c>
      <c r="E1904" t="s">
        <v>831</v>
      </c>
      <c r="F1904" s="19"/>
      <c r="G1904" t="s">
        <v>4470</v>
      </c>
      <c r="H1904" t="s">
        <v>3166</v>
      </c>
      <c r="I1904" t="s">
        <v>3376</v>
      </c>
      <c r="J1904" s="8" t="str">
        <f t="shared" si="180"/>
        <v>LID-</v>
      </c>
      <c r="K1904" t="s">
        <v>98</v>
      </c>
      <c r="L1904" s="46">
        <v>1000</v>
      </c>
      <c r="M1904" t="s">
        <v>1472</v>
      </c>
      <c r="N1904" t="s">
        <v>11</v>
      </c>
      <c r="O1904" s="49">
        <v>4.2</v>
      </c>
      <c r="P1904" s="9">
        <f t="shared" si="178"/>
        <v>4200</v>
      </c>
      <c r="Q1904" s="10">
        <f t="shared" si="181"/>
        <v>7.3003400000000003</v>
      </c>
      <c r="R1904" s="10">
        <f t="shared" si="182"/>
        <v>0.57530000000000003</v>
      </c>
      <c r="S1904" s="11">
        <f t="shared" si="183"/>
        <v>575.29999999999995</v>
      </c>
      <c r="T1904" s="10" t="s">
        <v>349</v>
      </c>
      <c r="U1904" t="s">
        <v>368</v>
      </c>
      <c r="V1904" s="58">
        <v>7.1775000000000002</v>
      </c>
      <c r="W1904" s="38">
        <f t="shared" si="179"/>
        <v>585.16196447230925</v>
      </c>
    </row>
    <row r="1905" spans="1:23" s="15" customFormat="1">
      <c r="A1905" t="s">
        <v>4176</v>
      </c>
      <c r="B1905" s="20">
        <v>45769</v>
      </c>
      <c r="C1905" s="20">
        <v>45714</v>
      </c>
      <c r="D1905" t="s">
        <v>830</v>
      </c>
      <c r="E1905" t="s">
        <v>831</v>
      </c>
      <c r="F1905" s="19"/>
      <c r="G1905" t="s">
        <v>4471</v>
      </c>
      <c r="H1905" t="s">
        <v>3166</v>
      </c>
      <c r="I1905" t="s">
        <v>3376</v>
      </c>
      <c r="J1905" s="8" t="str">
        <f t="shared" si="180"/>
        <v>LID-</v>
      </c>
      <c r="K1905" t="s">
        <v>98</v>
      </c>
      <c r="L1905" s="46">
        <v>1000</v>
      </c>
      <c r="M1905" t="s">
        <v>1472</v>
      </c>
      <c r="N1905" t="s">
        <v>11</v>
      </c>
      <c r="O1905" s="49">
        <v>4.2</v>
      </c>
      <c r="P1905" s="9">
        <f t="shared" si="178"/>
        <v>4200</v>
      </c>
      <c r="Q1905" s="10">
        <f t="shared" si="181"/>
        <v>7.3003400000000003</v>
      </c>
      <c r="R1905" s="10">
        <f t="shared" si="182"/>
        <v>0.57530000000000003</v>
      </c>
      <c r="S1905" s="11">
        <f t="shared" si="183"/>
        <v>575.29999999999995</v>
      </c>
      <c r="T1905" s="10" t="s">
        <v>349</v>
      </c>
      <c r="U1905" t="s">
        <v>368</v>
      </c>
      <c r="V1905" s="58">
        <v>7.1775000000000002</v>
      </c>
      <c r="W1905" s="38">
        <f t="shared" si="179"/>
        <v>585.16196447230925</v>
      </c>
    </row>
    <row r="1906" spans="1:23" s="15" customFormat="1">
      <c r="A1906" t="s">
        <v>4176</v>
      </c>
      <c r="B1906" s="20">
        <v>45768</v>
      </c>
      <c r="C1906" s="20">
        <v>45714</v>
      </c>
      <c r="D1906" t="s">
        <v>830</v>
      </c>
      <c r="E1906" t="s">
        <v>831</v>
      </c>
      <c r="F1906" s="19"/>
      <c r="G1906" t="s">
        <v>4472</v>
      </c>
      <c r="H1906" t="s">
        <v>3166</v>
      </c>
      <c r="I1906" t="s">
        <v>3376</v>
      </c>
      <c r="J1906" s="8" t="str">
        <f t="shared" si="180"/>
        <v>LID-</v>
      </c>
      <c r="K1906" t="s">
        <v>98</v>
      </c>
      <c r="L1906" s="46">
        <v>960</v>
      </c>
      <c r="M1906" t="s">
        <v>1472</v>
      </c>
      <c r="N1906" t="s">
        <v>11</v>
      </c>
      <c r="O1906" s="49">
        <v>4.2</v>
      </c>
      <c r="P1906" s="9">
        <f t="shared" si="178"/>
        <v>4032</v>
      </c>
      <c r="Q1906" s="10">
        <f t="shared" si="181"/>
        <v>7.3003400000000003</v>
      </c>
      <c r="R1906" s="10">
        <f t="shared" si="182"/>
        <v>0.57530000000000003</v>
      </c>
      <c r="S1906" s="11">
        <f t="shared" si="183"/>
        <v>552.29</v>
      </c>
      <c r="T1906" s="10" t="s">
        <v>349</v>
      </c>
      <c r="U1906" t="s">
        <v>368</v>
      </c>
      <c r="V1906" s="58">
        <v>7.1775000000000002</v>
      </c>
      <c r="W1906" s="38">
        <f t="shared" si="179"/>
        <v>561.7554858934169</v>
      </c>
    </row>
    <row r="1907" spans="1:23" s="15" customFormat="1">
      <c r="A1907" t="s">
        <v>4177</v>
      </c>
      <c r="B1907" s="20">
        <v>45776</v>
      </c>
      <c r="C1907" s="20">
        <v>45714</v>
      </c>
      <c r="D1907" t="s">
        <v>830</v>
      </c>
      <c r="E1907" t="s">
        <v>831</v>
      </c>
      <c r="F1907" s="19"/>
      <c r="G1907" t="s">
        <v>4473</v>
      </c>
      <c r="H1907" t="s">
        <v>3166</v>
      </c>
      <c r="I1907" t="s">
        <v>3376</v>
      </c>
      <c r="J1907" s="8" t="str">
        <f t="shared" si="180"/>
        <v>LID-</v>
      </c>
      <c r="K1907" t="s">
        <v>98</v>
      </c>
      <c r="L1907" s="46">
        <v>1000</v>
      </c>
      <c r="M1907" t="s">
        <v>1472</v>
      </c>
      <c r="N1907" t="s">
        <v>11</v>
      </c>
      <c r="O1907" s="49">
        <v>4.2</v>
      </c>
      <c r="P1907" s="9">
        <f t="shared" si="178"/>
        <v>4200</v>
      </c>
      <c r="Q1907" s="10">
        <f t="shared" si="181"/>
        <v>7.3003400000000003</v>
      </c>
      <c r="R1907" s="10">
        <f t="shared" si="182"/>
        <v>0.57530000000000003</v>
      </c>
      <c r="S1907" s="11">
        <f t="shared" si="183"/>
        <v>575.29999999999995</v>
      </c>
      <c r="T1907" s="10" t="s">
        <v>349</v>
      </c>
      <c r="U1907" t="s">
        <v>368</v>
      </c>
      <c r="V1907" s="58">
        <v>7.1775000000000002</v>
      </c>
      <c r="W1907" s="38">
        <f t="shared" si="179"/>
        <v>585.16196447230925</v>
      </c>
    </row>
    <row r="1908" spans="1:23" s="15" customFormat="1">
      <c r="A1908" t="s">
        <v>4177</v>
      </c>
      <c r="B1908" s="20">
        <v>45775</v>
      </c>
      <c r="C1908" s="20">
        <v>45714</v>
      </c>
      <c r="D1908" t="s">
        <v>830</v>
      </c>
      <c r="E1908" t="s">
        <v>831</v>
      </c>
      <c r="F1908" s="19"/>
      <c r="G1908" t="s">
        <v>4474</v>
      </c>
      <c r="H1908" t="s">
        <v>3166</v>
      </c>
      <c r="I1908" t="s">
        <v>3376</v>
      </c>
      <c r="J1908" s="8" t="str">
        <f t="shared" si="180"/>
        <v>LID-</v>
      </c>
      <c r="K1908" t="s">
        <v>98</v>
      </c>
      <c r="L1908" s="46">
        <v>3000</v>
      </c>
      <c r="M1908" t="s">
        <v>1472</v>
      </c>
      <c r="N1908" t="s">
        <v>11</v>
      </c>
      <c r="O1908" s="49">
        <v>4.2</v>
      </c>
      <c r="P1908" s="9">
        <f t="shared" si="178"/>
        <v>12600</v>
      </c>
      <c r="Q1908" s="10">
        <f t="shared" si="181"/>
        <v>7.3003400000000003</v>
      </c>
      <c r="R1908" s="10">
        <f t="shared" si="182"/>
        <v>0.57530000000000003</v>
      </c>
      <c r="S1908" s="11">
        <f t="shared" si="183"/>
        <v>1725.9</v>
      </c>
      <c r="T1908" s="10" t="s">
        <v>349</v>
      </c>
      <c r="U1908" t="s">
        <v>368</v>
      </c>
      <c r="V1908" s="58">
        <v>7.1775000000000002</v>
      </c>
      <c r="W1908" s="38">
        <f t="shared" si="179"/>
        <v>1755.4858934169279</v>
      </c>
    </row>
    <row r="1909" spans="1:23" s="15" customFormat="1">
      <c r="A1909" t="s">
        <v>4177</v>
      </c>
      <c r="B1909" s="20">
        <v>45772</v>
      </c>
      <c r="C1909" s="20">
        <v>45714</v>
      </c>
      <c r="D1909" t="s">
        <v>830</v>
      </c>
      <c r="E1909" t="s">
        <v>831</v>
      </c>
      <c r="F1909" s="19"/>
      <c r="G1909" t="s">
        <v>4475</v>
      </c>
      <c r="H1909" t="s">
        <v>3166</v>
      </c>
      <c r="I1909" t="s">
        <v>3376</v>
      </c>
      <c r="J1909" s="8" t="str">
        <f t="shared" si="180"/>
        <v>LID-</v>
      </c>
      <c r="K1909" t="s">
        <v>98</v>
      </c>
      <c r="L1909" s="46">
        <v>1000</v>
      </c>
      <c r="M1909" t="s">
        <v>1472</v>
      </c>
      <c r="N1909" t="s">
        <v>11</v>
      </c>
      <c r="O1909" s="49">
        <v>4.2</v>
      </c>
      <c r="P1909" s="9">
        <f t="shared" si="178"/>
        <v>4200</v>
      </c>
      <c r="Q1909" s="10">
        <f t="shared" si="181"/>
        <v>7.3003400000000003</v>
      </c>
      <c r="R1909" s="10">
        <f t="shared" si="182"/>
        <v>0.57530000000000003</v>
      </c>
      <c r="S1909" s="11">
        <f t="shared" si="183"/>
        <v>575.29999999999995</v>
      </c>
      <c r="T1909" s="10" t="s">
        <v>349</v>
      </c>
      <c r="U1909" t="s">
        <v>368</v>
      </c>
      <c r="V1909" s="58">
        <v>7.1775000000000002</v>
      </c>
      <c r="W1909" s="38">
        <f t="shared" si="179"/>
        <v>585.16196447230925</v>
      </c>
    </row>
    <row r="1910" spans="1:23" s="15" customFormat="1">
      <c r="A1910" t="s">
        <v>4178</v>
      </c>
      <c r="B1910" s="20">
        <v>45777</v>
      </c>
      <c r="C1910" s="20">
        <v>45763</v>
      </c>
      <c r="D1910" t="s">
        <v>830</v>
      </c>
      <c r="E1910" t="s">
        <v>831</v>
      </c>
      <c r="F1910" s="19"/>
      <c r="G1910" t="s">
        <v>4476</v>
      </c>
      <c r="H1910" t="s">
        <v>3744</v>
      </c>
      <c r="I1910" t="s">
        <v>3745</v>
      </c>
      <c r="J1910" s="8" t="str">
        <f t="shared" si="180"/>
        <v>LID-</v>
      </c>
      <c r="K1910" t="s">
        <v>98</v>
      </c>
      <c r="L1910" s="46">
        <v>-1010</v>
      </c>
      <c r="M1910" t="s">
        <v>1472</v>
      </c>
      <c r="N1910" t="s">
        <v>11</v>
      </c>
      <c r="O1910" s="49">
        <v>4.25</v>
      </c>
      <c r="P1910" s="9">
        <f t="shared" si="178"/>
        <v>-4292.5</v>
      </c>
      <c r="Q1910" s="10">
        <f t="shared" si="181"/>
        <v>7.3003400000000003</v>
      </c>
      <c r="R1910" s="10">
        <f t="shared" si="182"/>
        <v>0.58220000000000005</v>
      </c>
      <c r="S1910" s="11">
        <f t="shared" si="183"/>
        <v>-588.02</v>
      </c>
      <c r="T1910" s="10" t="s">
        <v>349</v>
      </c>
      <c r="U1910" t="s">
        <v>368</v>
      </c>
      <c r="V1910" s="58">
        <v>7.1775000000000002</v>
      </c>
      <c r="W1910" s="38">
        <f t="shared" si="179"/>
        <v>-598.04946011842571</v>
      </c>
    </row>
    <row r="1911" spans="1:23" s="15" customFormat="1">
      <c r="A1911" t="s">
        <v>4178</v>
      </c>
      <c r="B1911" s="20">
        <v>45776</v>
      </c>
      <c r="C1911" s="20">
        <v>45763</v>
      </c>
      <c r="D1911" t="s">
        <v>830</v>
      </c>
      <c r="E1911" t="s">
        <v>831</v>
      </c>
      <c r="F1911" s="19"/>
      <c r="G1911" t="s">
        <v>4477</v>
      </c>
      <c r="H1911" t="s">
        <v>3744</v>
      </c>
      <c r="I1911" t="s">
        <v>3745</v>
      </c>
      <c r="J1911" s="8" t="str">
        <f t="shared" si="180"/>
        <v>LID-</v>
      </c>
      <c r="K1911" t="s">
        <v>98</v>
      </c>
      <c r="L1911" s="46">
        <v>1010</v>
      </c>
      <c r="M1911" t="s">
        <v>1472</v>
      </c>
      <c r="N1911" t="s">
        <v>11</v>
      </c>
      <c r="O1911" s="49">
        <v>4.25</v>
      </c>
      <c r="P1911" s="9">
        <f t="shared" si="178"/>
        <v>4292.5</v>
      </c>
      <c r="Q1911" s="10">
        <f t="shared" si="181"/>
        <v>7.3003400000000003</v>
      </c>
      <c r="R1911" s="10">
        <f t="shared" si="182"/>
        <v>0.58220000000000005</v>
      </c>
      <c r="S1911" s="11">
        <f t="shared" si="183"/>
        <v>588.02</v>
      </c>
      <c r="T1911" s="10" t="s">
        <v>349</v>
      </c>
      <c r="U1911" t="s">
        <v>368</v>
      </c>
      <c r="V1911" s="58">
        <v>7.1775000000000002</v>
      </c>
      <c r="W1911" s="38">
        <f t="shared" si="179"/>
        <v>598.04946011842571</v>
      </c>
    </row>
    <row r="1912" spans="1:23" s="15" customFormat="1">
      <c r="A1912" t="s">
        <v>2535</v>
      </c>
      <c r="B1912" s="20">
        <v>45758</v>
      </c>
      <c r="C1912" s="20">
        <v>45714</v>
      </c>
      <c r="D1912" t="s">
        <v>94</v>
      </c>
      <c r="E1912" t="s">
        <v>95</v>
      </c>
      <c r="F1912" s="19"/>
      <c r="G1912" t="s">
        <v>4478</v>
      </c>
      <c r="H1912" t="s">
        <v>3164</v>
      </c>
      <c r="I1912" t="s">
        <v>3374</v>
      </c>
      <c r="J1912" s="8" t="str">
        <f t="shared" si="180"/>
        <v>LID-</v>
      </c>
      <c r="K1912" t="s">
        <v>98</v>
      </c>
      <c r="L1912" s="46">
        <v>45</v>
      </c>
      <c r="M1912" t="s">
        <v>1472</v>
      </c>
      <c r="N1912" t="s">
        <v>11</v>
      </c>
      <c r="O1912" s="49">
        <v>4.26</v>
      </c>
      <c r="P1912" s="9">
        <f t="shared" si="178"/>
        <v>191.7</v>
      </c>
      <c r="Q1912" s="10">
        <f t="shared" si="181"/>
        <v>7.3003400000000003</v>
      </c>
      <c r="R1912" s="10">
        <f t="shared" si="182"/>
        <v>0.58350000000000002</v>
      </c>
      <c r="S1912" s="11">
        <f t="shared" si="183"/>
        <v>26.26</v>
      </c>
      <c r="T1912" s="10" t="s">
        <v>349</v>
      </c>
      <c r="U1912" t="s">
        <v>368</v>
      </c>
      <c r="V1912" s="58">
        <v>7.1775000000000002</v>
      </c>
      <c r="W1912" s="38">
        <f t="shared" si="179"/>
        <v>26.708463949843257</v>
      </c>
    </row>
    <row r="1913" spans="1:23" s="15" customFormat="1">
      <c r="A1913" t="s">
        <v>2535</v>
      </c>
      <c r="B1913" s="20">
        <v>45757</v>
      </c>
      <c r="C1913" s="20">
        <v>45714</v>
      </c>
      <c r="D1913" t="s">
        <v>94</v>
      </c>
      <c r="E1913" t="s">
        <v>95</v>
      </c>
      <c r="F1913" s="19"/>
      <c r="G1913" t="s">
        <v>4479</v>
      </c>
      <c r="H1913" t="s">
        <v>3164</v>
      </c>
      <c r="I1913" t="s">
        <v>3374</v>
      </c>
      <c r="J1913" s="8" t="str">
        <f t="shared" si="180"/>
        <v>LID-</v>
      </c>
      <c r="K1913" t="s">
        <v>98</v>
      </c>
      <c r="L1913" s="46">
        <v>600</v>
      </c>
      <c r="M1913" t="s">
        <v>1472</v>
      </c>
      <c r="N1913" t="s">
        <v>11</v>
      </c>
      <c r="O1913" s="49">
        <v>4.26</v>
      </c>
      <c r="P1913" s="9">
        <f t="shared" si="178"/>
        <v>2556</v>
      </c>
      <c r="Q1913" s="10">
        <f t="shared" si="181"/>
        <v>7.3003400000000003</v>
      </c>
      <c r="R1913" s="10">
        <f t="shared" si="182"/>
        <v>0.58350000000000002</v>
      </c>
      <c r="S1913" s="11">
        <f t="shared" si="183"/>
        <v>350.1</v>
      </c>
      <c r="T1913" s="10" t="s">
        <v>349</v>
      </c>
      <c r="U1913" t="s">
        <v>368</v>
      </c>
      <c r="V1913" s="58">
        <v>7.1775000000000002</v>
      </c>
      <c r="W1913" s="38">
        <f t="shared" si="179"/>
        <v>356.11285266457679</v>
      </c>
    </row>
    <row r="1914" spans="1:23" s="15" customFormat="1">
      <c r="A1914" t="s">
        <v>2535</v>
      </c>
      <c r="B1914" s="20">
        <v>45757</v>
      </c>
      <c r="C1914" s="20">
        <v>45714</v>
      </c>
      <c r="D1914" t="s">
        <v>94</v>
      </c>
      <c r="E1914" t="s">
        <v>95</v>
      </c>
      <c r="F1914" s="19"/>
      <c r="G1914" t="s">
        <v>4480</v>
      </c>
      <c r="H1914" t="s">
        <v>3164</v>
      </c>
      <c r="I1914" t="s">
        <v>3374</v>
      </c>
      <c r="J1914" s="8" t="str">
        <f t="shared" si="180"/>
        <v>LID-</v>
      </c>
      <c r="K1914" t="s">
        <v>98</v>
      </c>
      <c r="L1914" s="46">
        <v>553</v>
      </c>
      <c r="M1914" t="s">
        <v>1472</v>
      </c>
      <c r="N1914" t="s">
        <v>11</v>
      </c>
      <c r="O1914" s="49">
        <v>4.26</v>
      </c>
      <c r="P1914" s="9">
        <f t="shared" si="178"/>
        <v>2355.7800000000002</v>
      </c>
      <c r="Q1914" s="10">
        <f t="shared" si="181"/>
        <v>7.3003400000000003</v>
      </c>
      <c r="R1914" s="10">
        <f t="shared" si="182"/>
        <v>0.58350000000000002</v>
      </c>
      <c r="S1914" s="11">
        <f t="shared" si="183"/>
        <v>322.68</v>
      </c>
      <c r="T1914" s="10" t="s">
        <v>349</v>
      </c>
      <c r="U1914" t="s">
        <v>368</v>
      </c>
      <c r="V1914" s="58">
        <v>7.1775000000000002</v>
      </c>
      <c r="W1914" s="38">
        <f t="shared" si="179"/>
        <v>328.21734587251825</v>
      </c>
    </row>
    <row r="1915" spans="1:23" s="15" customFormat="1">
      <c r="A1915" t="s">
        <v>2535</v>
      </c>
      <c r="B1915" s="20">
        <v>45755</v>
      </c>
      <c r="C1915" s="20">
        <v>45714</v>
      </c>
      <c r="D1915" t="s">
        <v>94</v>
      </c>
      <c r="E1915" t="s">
        <v>95</v>
      </c>
      <c r="F1915" s="19"/>
      <c r="G1915" t="s">
        <v>4481</v>
      </c>
      <c r="H1915" t="s">
        <v>3164</v>
      </c>
      <c r="I1915" t="s">
        <v>3374</v>
      </c>
      <c r="J1915" s="8" t="str">
        <f t="shared" si="180"/>
        <v>LID-</v>
      </c>
      <c r="K1915" t="s">
        <v>98</v>
      </c>
      <c r="L1915" s="46">
        <v>630</v>
      </c>
      <c r="M1915" t="s">
        <v>1472</v>
      </c>
      <c r="N1915" t="s">
        <v>11</v>
      </c>
      <c r="O1915" s="49">
        <v>4.26</v>
      </c>
      <c r="P1915" s="9">
        <f t="shared" si="178"/>
        <v>2683.8</v>
      </c>
      <c r="Q1915" s="10">
        <f t="shared" si="181"/>
        <v>7.3003400000000003</v>
      </c>
      <c r="R1915" s="10">
        <f t="shared" si="182"/>
        <v>0.58350000000000002</v>
      </c>
      <c r="S1915" s="11">
        <f t="shared" si="183"/>
        <v>367.61</v>
      </c>
      <c r="T1915" s="10" t="s">
        <v>349</v>
      </c>
      <c r="U1915" t="s">
        <v>368</v>
      </c>
      <c r="V1915" s="58">
        <v>7.1775000000000002</v>
      </c>
      <c r="W1915" s="38">
        <f t="shared" si="179"/>
        <v>373.91849529780563</v>
      </c>
    </row>
    <row r="1916" spans="1:23" s="15" customFormat="1">
      <c r="A1916" t="s">
        <v>2535</v>
      </c>
      <c r="B1916" s="20">
        <v>45754</v>
      </c>
      <c r="C1916" s="20">
        <v>45714</v>
      </c>
      <c r="D1916" t="s">
        <v>94</v>
      </c>
      <c r="E1916" t="s">
        <v>95</v>
      </c>
      <c r="F1916" s="19"/>
      <c r="G1916" t="s">
        <v>4482</v>
      </c>
      <c r="H1916" t="s">
        <v>3164</v>
      </c>
      <c r="I1916" t="s">
        <v>3374</v>
      </c>
      <c r="J1916" s="8" t="str">
        <f t="shared" si="180"/>
        <v>LID-</v>
      </c>
      <c r="K1916" t="s">
        <v>98</v>
      </c>
      <c r="L1916" s="46">
        <v>1270</v>
      </c>
      <c r="M1916" t="s">
        <v>1472</v>
      </c>
      <c r="N1916" t="s">
        <v>11</v>
      </c>
      <c r="O1916" s="49">
        <v>4.26</v>
      </c>
      <c r="P1916" s="9">
        <f t="shared" si="178"/>
        <v>5410.2</v>
      </c>
      <c r="Q1916" s="10">
        <f t="shared" si="181"/>
        <v>7.3003400000000003</v>
      </c>
      <c r="R1916" s="10">
        <f t="shared" si="182"/>
        <v>0.58350000000000002</v>
      </c>
      <c r="S1916" s="11">
        <f t="shared" si="183"/>
        <v>741.05</v>
      </c>
      <c r="T1916" s="10" t="s">
        <v>349</v>
      </c>
      <c r="U1916" t="s">
        <v>368</v>
      </c>
      <c r="V1916" s="58">
        <v>7.1775000000000002</v>
      </c>
      <c r="W1916" s="38">
        <f t="shared" si="179"/>
        <v>753.77220480668745</v>
      </c>
    </row>
    <row r="1917" spans="1:23" s="15" customFormat="1">
      <c r="A1917" t="s">
        <v>2535</v>
      </c>
      <c r="B1917" s="20">
        <v>45754</v>
      </c>
      <c r="C1917" s="20">
        <v>45714</v>
      </c>
      <c r="D1917" t="s">
        <v>94</v>
      </c>
      <c r="E1917" t="s">
        <v>95</v>
      </c>
      <c r="F1917" s="19"/>
      <c r="G1917" t="s">
        <v>4483</v>
      </c>
      <c r="H1917" t="s">
        <v>3164</v>
      </c>
      <c r="I1917" t="s">
        <v>3374</v>
      </c>
      <c r="J1917" s="8" t="str">
        <f t="shared" si="180"/>
        <v>LID-</v>
      </c>
      <c r="K1917" t="s">
        <v>98</v>
      </c>
      <c r="L1917" s="46">
        <v>1890</v>
      </c>
      <c r="M1917" t="s">
        <v>1472</v>
      </c>
      <c r="N1917" t="s">
        <v>11</v>
      </c>
      <c r="O1917" s="49">
        <v>4.26</v>
      </c>
      <c r="P1917" s="9">
        <f t="shared" si="178"/>
        <v>8051.4</v>
      </c>
      <c r="Q1917" s="10">
        <f t="shared" si="181"/>
        <v>7.3003400000000003</v>
      </c>
      <c r="R1917" s="10">
        <f t="shared" si="182"/>
        <v>0.58350000000000002</v>
      </c>
      <c r="S1917" s="11">
        <f t="shared" si="183"/>
        <v>1102.82</v>
      </c>
      <c r="T1917" s="10" t="s">
        <v>349</v>
      </c>
      <c r="U1917" t="s">
        <v>368</v>
      </c>
      <c r="V1917" s="58">
        <v>7.1775000000000002</v>
      </c>
      <c r="W1917" s="38">
        <f t="shared" si="179"/>
        <v>1121.7554858934168</v>
      </c>
    </row>
    <row r="1918" spans="1:23" s="15" customFormat="1">
      <c r="A1918" t="s">
        <v>4179</v>
      </c>
      <c r="B1918" s="20">
        <v>45761</v>
      </c>
      <c r="C1918" s="20">
        <v>45714</v>
      </c>
      <c r="D1918" t="s">
        <v>94</v>
      </c>
      <c r="E1918" t="s">
        <v>95</v>
      </c>
      <c r="F1918" s="19"/>
      <c r="G1918" t="s">
        <v>4484</v>
      </c>
      <c r="H1918" t="s">
        <v>3164</v>
      </c>
      <c r="I1918" t="s">
        <v>3374</v>
      </c>
      <c r="J1918" s="8" t="str">
        <f t="shared" si="180"/>
        <v>LID-</v>
      </c>
      <c r="K1918" t="s">
        <v>98</v>
      </c>
      <c r="L1918" s="46">
        <v>265</v>
      </c>
      <c r="M1918" t="s">
        <v>1472</v>
      </c>
      <c r="N1918" t="s">
        <v>11</v>
      </c>
      <c r="O1918" s="49">
        <v>4.26</v>
      </c>
      <c r="P1918" s="9">
        <f t="shared" si="178"/>
        <v>1128.9000000000001</v>
      </c>
      <c r="Q1918" s="10">
        <f t="shared" si="181"/>
        <v>7.3003400000000003</v>
      </c>
      <c r="R1918" s="10">
        <f t="shared" si="182"/>
        <v>0.58350000000000002</v>
      </c>
      <c r="S1918" s="11">
        <f t="shared" si="183"/>
        <v>154.63</v>
      </c>
      <c r="T1918" s="10" t="s">
        <v>349</v>
      </c>
      <c r="U1918" t="s">
        <v>368</v>
      </c>
      <c r="V1918" s="58">
        <v>7.1775000000000002</v>
      </c>
      <c r="W1918" s="38">
        <f t="shared" si="179"/>
        <v>157.2831765935214</v>
      </c>
    </row>
    <row r="1919" spans="1:23" s="15" customFormat="1">
      <c r="A1919" t="s">
        <v>4179</v>
      </c>
      <c r="B1919" s="20">
        <v>45758</v>
      </c>
      <c r="C1919" s="20">
        <v>45714</v>
      </c>
      <c r="D1919" t="s">
        <v>94</v>
      </c>
      <c r="E1919" t="s">
        <v>95</v>
      </c>
      <c r="F1919" s="19"/>
      <c r="G1919" t="s">
        <v>4485</v>
      </c>
      <c r="H1919" t="s">
        <v>3164</v>
      </c>
      <c r="I1919" t="s">
        <v>3374</v>
      </c>
      <c r="J1919" s="8" t="str">
        <f t="shared" si="180"/>
        <v>LID-</v>
      </c>
      <c r="K1919" t="s">
        <v>98</v>
      </c>
      <c r="L1919" s="46">
        <v>250</v>
      </c>
      <c r="M1919" t="s">
        <v>1472</v>
      </c>
      <c r="N1919" t="s">
        <v>11</v>
      </c>
      <c r="O1919" s="49">
        <v>4.26</v>
      </c>
      <c r="P1919" s="9">
        <f t="shared" si="178"/>
        <v>1065</v>
      </c>
      <c r="Q1919" s="10">
        <f t="shared" si="181"/>
        <v>7.3003400000000003</v>
      </c>
      <c r="R1919" s="10">
        <f t="shared" si="182"/>
        <v>0.58350000000000002</v>
      </c>
      <c r="S1919" s="11">
        <f t="shared" si="183"/>
        <v>145.88</v>
      </c>
      <c r="T1919" s="10" t="s">
        <v>349</v>
      </c>
      <c r="U1919" t="s">
        <v>368</v>
      </c>
      <c r="V1919" s="58">
        <v>7.1775000000000002</v>
      </c>
      <c r="W1919" s="38">
        <f t="shared" si="179"/>
        <v>148.38035527690698</v>
      </c>
    </row>
    <row r="1920" spans="1:23" s="15" customFormat="1">
      <c r="A1920" t="s">
        <v>4179</v>
      </c>
      <c r="B1920" s="20">
        <v>45758</v>
      </c>
      <c r="C1920" s="20">
        <v>45714</v>
      </c>
      <c r="D1920" t="s">
        <v>94</v>
      </c>
      <c r="E1920" t="s">
        <v>95</v>
      </c>
      <c r="F1920" s="19"/>
      <c r="G1920" t="s">
        <v>4478</v>
      </c>
      <c r="H1920" t="s">
        <v>3164</v>
      </c>
      <c r="I1920" t="s">
        <v>3374</v>
      </c>
      <c r="J1920" s="8" t="str">
        <f t="shared" si="180"/>
        <v>LID-</v>
      </c>
      <c r="K1920" t="s">
        <v>98</v>
      </c>
      <c r="L1920" s="46">
        <v>795</v>
      </c>
      <c r="M1920" t="s">
        <v>1472</v>
      </c>
      <c r="N1920" t="s">
        <v>11</v>
      </c>
      <c r="O1920" s="49">
        <v>4.26</v>
      </c>
      <c r="P1920" s="9">
        <f t="shared" si="178"/>
        <v>3386.7</v>
      </c>
      <c r="Q1920" s="10">
        <f t="shared" si="181"/>
        <v>7.3003400000000003</v>
      </c>
      <c r="R1920" s="10">
        <f t="shared" si="182"/>
        <v>0.58350000000000002</v>
      </c>
      <c r="S1920" s="11">
        <f t="shared" si="183"/>
        <v>463.88</v>
      </c>
      <c r="T1920" s="10" t="s">
        <v>349</v>
      </c>
      <c r="U1920" t="s">
        <v>368</v>
      </c>
      <c r="V1920" s="58">
        <v>7.1775000000000002</v>
      </c>
      <c r="W1920" s="38">
        <f t="shared" si="179"/>
        <v>471.84952978056424</v>
      </c>
    </row>
    <row r="1921" spans="1:23" s="15" customFormat="1">
      <c r="A1921" t="s">
        <v>4180</v>
      </c>
      <c r="B1921" s="20">
        <v>45768</v>
      </c>
      <c r="C1921" s="20">
        <v>45714</v>
      </c>
      <c r="D1921" t="s">
        <v>94</v>
      </c>
      <c r="E1921" t="s">
        <v>95</v>
      </c>
      <c r="F1921" s="19"/>
      <c r="G1921" t="s">
        <v>4486</v>
      </c>
      <c r="H1921" t="s">
        <v>3164</v>
      </c>
      <c r="I1921" t="s">
        <v>3374</v>
      </c>
      <c r="J1921" s="8" t="str">
        <f t="shared" si="180"/>
        <v>LID-</v>
      </c>
      <c r="K1921" t="s">
        <v>98</v>
      </c>
      <c r="L1921" s="46">
        <v>3055</v>
      </c>
      <c r="M1921" t="s">
        <v>1472</v>
      </c>
      <c r="N1921" t="s">
        <v>11</v>
      </c>
      <c r="O1921" s="49">
        <v>4.26</v>
      </c>
      <c r="P1921" s="9">
        <f t="shared" si="178"/>
        <v>13014.3</v>
      </c>
      <c r="Q1921" s="10">
        <f t="shared" si="181"/>
        <v>7.3003400000000003</v>
      </c>
      <c r="R1921" s="10">
        <f t="shared" si="182"/>
        <v>0.58350000000000002</v>
      </c>
      <c r="S1921" s="11">
        <f t="shared" si="183"/>
        <v>1782.59</v>
      </c>
      <c r="T1921" s="10" t="s">
        <v>349</v>
      </c>
      <c r="U1921" t="s">
        <v>368</v>
      </c>
      <c r="V1921" s="58">
        <v>7.1775000000000002</v>
      </c>
      <c r="W1921" s="38">
        <f t="shared" si="179"/>
        <v>1813.2079414838033</v>
      </c>
    </row>
    <row r="1922" spans="1:23" s="15" customFormat="1">
      <c r="A1922" t="s">
        <v>4180</v>
      </c>
      <c r="B1922" s="20">
        <v>45761</v>
      </c>
      <c r="C1922" s="20">
        <v>45714</v>
      </c>
      <c r="D1922" t="s">
        <v>94</v>
      </c>
      <c r="E1922" t="s">
        <v>95</v>
      </c>
      <c r="F1922" s="19"/>
      <c r="G1922" t="s">
        <v>4484</v>
      </c>
      <c r="H1922" t="s">
        <v>3164</v>
      </c>
      <c r="I1922" t="s">
        <v>3374</v>
      </c>
      <c r="J1922" s="8" t="str">
        <f t="shared" si="180"/>
        <v>LID-</v>
      </c>
      <c r="K1922" t="s">
        <v>98</v>
      </c>
      <c r="L1922" s="46">
        <v>475</v>
      </c>
      <c r="M1922" t="s">
        <v>1472</v>
      </c>
      <c r="N1922" t="s">
        <v>11</v>
      </c>
      <c r="O1922" s="49">
        <v>4.26</v>
      </c>
      <c r="P1922" s="9">
        <f t="shared" ref="P1922:P1985" si="184">ROUND(O1922*L1922,2)</f>
        <v>2023.5</v>
      </c>
      <c r="Q1922" s="10">
        <f t="shared" si="181"/>
        <v>7.3003400000000003</v>
      </c>
      <c r="R1922" s="10">
        <f t="shared" si="182"/>
        <v>0.58350000000000002</v>
      </c>
      <c r="S1922" s="11">
        <f t="shared" si="183"/>
        <v>277.16000000000003</v>
      </c>
      <c r="T1922" s="10" t="s">
        <v>349</v>
      </c>
      <c r="U1922" t="s">
        <v>368</v>
      </c>
      <c r="V1922" s="58">
        <v>7.1775000000000002</v>
      </c>
      <c r="W1922" s="38">
        <f t="shared" ref="W1922:W1985" si="185">IF(N1922="CNY",O1922/V1922*L1922,1)</f>
        <v>281.92267502612327</v>
      </c>
    </row>
    <row r="1923" spans="1:23" s="15" customFormat="1">
      <c r="A1923" t="s">
        <v>4181</v>
      </c>
      <c r="B1923" s="20">
        <v>45775</v>
      </c>
      <c r="C1923" s="20">
        <v>45714</v>
      </c>
      <c r="D1923" t="s">
        <v>94</v>
      </c>
      <c r="E1923" t="s">
        <v>95</v>
      </c>
      <c r="F1923" s="19"/>
      <c r="G1923" t="s">
        <v>4487</v>
      </c>
      <c r="H1923" t="s">
        <v>3164</v>
      </c>
      <c r="I1923" t="s">
        <v>3374</v>
      </c>
      <c r="J1923" s="8" t="str">
        <f t="shared" si="180"/>
        <v>LID-</v>
      </c>
      <c r="K1923" t="s">
        <v>98</v>
      </c>
      <c r="L1923" s="46">
        <v>2160</v>
      </c>
      <c r="M1923" t="s">
        <v>1472</v>
      </c>
      <c r="N1923" t="s">
        <v>11</v>
      </c>
      <c r="O1923" s="49">
        <v>4.26</v>
      </c>
      <c r="P1923" s="9">
        <f t="shared" si="184"/>
        <v>9201.6</v>
      </c>
      <c r="Q1923" s="10">
        <f t="shared" si="181"/>
        <v>7.3003400000000003</v>
      </c>
      <c r="R1923" s="10">
        <f t="shared" si="182"/>
        <v>0.58350000000000002</v>
      </c>
      <c r="S1923" s="11">
        <f t="shared" si="183"/>
        <v>1260.3599999999999</v>
      </c>
      <c r="T1923" s="10" t="s">
        <v>349</v>
      </c>
      <c r="U1923" t="s">
        <v>368</v>
      </c>
      <c r="V1923" s="58">
        <v>7.1775000000000002</v>
      </c>
      <c r="W1923" s="38">
        <f t="shared" si="185"/>
        <v>1282.0062695924764</v>
      </c>
    </row>
    <row r="1924" spans="1:23" s="15" customFormat="1">
      <c r="A1924" t="s">
        <v>4181</v>
      </c>
      <c r="B1924" s="20">
        <v>45768</v>
      </c>
      <c r="C1924" s="20">
        <v>45714</v>
      </c>
      <c r="D1924" t="s">
        <v>94</v>
      </c>
      <c r="E1924" t="s">
        <v>95</v>
      </c>
      <c r="F1924" s="19"/>
      <c r="G1924" t="s">
        <v>4486</v>
      </c>
      <c r="H1924" t="s">
        <v>3164</v>
      </c>
      <c r="I1924" t="s">
        <v>3374</v>
      </c>
      <c r="J1924" s="8" t="str">
        <f t="shared" si="180"/>
        <v>LID-</v>
      </c>
      <c r="K1924" t="s">
        <v>98</v>
      </c>
      <c r="L1924" s="46">
        <v>25</v>
      </c>
      <c r="M1924" t="s">
        <v>1472</v>
      </c>
      <c r="N1924" t="s">
        <v>11</v>
      </c>
      <c r="O1924" s="49">
        <v>4.26</v>
      </c>
      <c r="P1924" s="9">
        <f t="shared" si="184"/>
        <v>106.5</v>
      </c>
      <c r="Q1924" s="10">
        <f t="shared" si="181"/>
        <v>7.3003400000000003</v>
      </c>
      <c r="R1924" s="10">
        <f t="shared" si="182"/>
        <v>0.58350000000000002</v>
      </c>
      <c r="S1924" s="11">
        <f t="shared" si="183"/>
        <v>14.59</v>
      </c>
      <c r="T1924" s="10" t="s">
        <v>349</v>
      </c>
      <c r="U1924" t="s">
        <v>368</v>
      </c>
      <c r="V1924" s="58">
        <v>7.1775000000000002</v>
      </c>
      <c r="W1924" s="38">
        <f t="shared" si="185"/>
        <v>14.8380355276907</v>
      </c>
    </row>
    <row r="1925" spans="1:23" s="15" customFormat="1">
      <c r="A1925" t="s">
        <v>4182</v>
      </c>
      <c r="B1925" s="20">
        <v>45762</v>
      </c>
      <c r="C1925" s="20">
        <v>45742</v>
      </c>
      <c r="D1925" t="s">
        <v>696</v>
      </c>
      <c r="E1925" t="s">
        <v>697</v>
      </c>
      <c r="F1925" s="19"/>
      <c r="G1925" t="s">
        <v>4452</v>
      </c>
      <c r="H1925" t="s">
        <v>1541</v>
      </c>
      <c r="I1925" t="s">
        <v>1542</v>
      </c>
      <c r="J1925" s="8" t="str">
        <f t="shared" si="180"/>
        <v>ANYD</v>
      </c>
      <c r="K1925" t="s">
        <v>10</v>
      </c>
      <c r="L1925" s="46">
        <v>1600</v>
      </c>
      <c r="M1925" t="s">
        <v>1472</v>
      </c>
      <c r="N1925" t="s">
        <v>11</v>
      </c>
      <c r="O1925" s="49">
        <v>4.29</v>
      </c>
      <c r="P1925" s="9">
        <f t="shared" si="184"/>
        <v>6864</v>
      </c>
      <c r="Q1925" s="10">
        <f t="shared" si="181"/>
        <v>7.3003400000000003</v>
      </c>
      <c r="R1925" s="10">
        <f t="shared" si="182"/>
        <v>0.58760000000000001</v>
      </c>
      <c r="S1925" s="11">
        <f t="shared" si="183"/>
        <v>940.16</v>
      </c>
      <c r="T1925" s="10" t="s">
        <v>349</v>
      </c>
      <c r="U1925" t="s">
        <v>36</v>
      </c>
      <c r="V1925" s="58">
        <v>7.1775000000000002</v>
      </c>
      <c r="W1925" s="38">
        <f t="shared" si="185"/>
        <v>956.32183908045965</v>
      </c>
    </row>
    <row r="1926" spans="1:23" s="15" customFormat="1">
      <c r="A1926" t="s">
        <v>2537</v>
      </c>
      <c r="B1926" s="20">
        <v>45764</v>
      </c>
      <c r="C1926" s="20">
        <v>45714</v>
      </c>
      <c r="D1926" t="s">
        <v>94</v>
      </c>
      <c r="E1926" t="s">
        <v>95</v>
      </c>
      <c r="F1926" s="19"/>
      <c r="G1926" t="s">
        <v>4488</v>
      </c>
      <c r="H1926" t="s">
        <v>3165</v>
      </c>
      <c r="I1926" t="s">
        <v>3375</v>
      </c>
      <c r="J1926" s="8" t="str">
        <f t="shared" si="180"/>
        <v>LID-</v>
      </c>
      <c r="K1926" t="s">
        <v>98</v>
      </c>
      <c r="L1926" s="46">
        <v>70</v>
      </c>
      <c r="M1926" t="s">
        <v>1472</v>
      </c>
      <c r="N1926" t="s">
        <v>11</v>
      </c>
      <c r="O1926" s="49">
        <v>4.37</v>
      </c>
      <c r="P1926" s="9">
        <f t="shared" si="184"/>
        <v>305.89999999999998</v>
      </c>
      <c r="Q1926" s="10">
        <f t="shared" si="181"/>
        <v>7.3003400000000003</v>
      </c>
      <c r="R1926" s="10">
        <f t="shared" si="182"/>
        <v>0.59860000000000002</v>
      </c>
      <c r="S1926" s="11">
        <f t="shared" si="183"/>
        <v>41.9</v>
      </c>
      <c r="T1926" s="10" t="s">
        <v>349</v>
      </c>
      <c r="U1926" t="s">
        <v>368</v>
      </c>
      <c r="V1926" s="58">
        <v>7.1775000000000002</v>
      </c>
      <c r="W1926" s="38">
        <f t="shared" si="185"/>
        <v>42.619296412399862</v>
      </c>
    </row>
    <row r="1927" spans="1:23" s="15" customFormat="1">
      <c r="A1927" t="s">
        <v>2537</v>
      </c>
      <c r="B1927" s="20">
        <v>45763</v>
      </c>
      <c r="C1927" s="20">
        <v>45714</v>
      </c>
      <c r="D1927" t="s">
        <v>94</v>
      </c>
      <c r="E1927" t="s">
        <v>95</v>
      </c>
      <c r="F1927" s="19"/>
      <c r="G1927" t="s">
        <v>4489</v>
      </c>
      <c r="H1927" t="s">
        <v>3165</v>
      </c>
      <c r="I1927" t="s">
        <v>3375</v>
      </c>
      <c r="J1927" s="8" t="str">
        <f t="shared" si="180"/>
        <v>LID-</v>
      </c>
      <c r="K1927" t="s">
        <v>98</v>
      </c>
      <c r="L1927" s="46">
        <v>630</v>
      </c>
      <c r="M1927" t="s">
        <v>1472</v>
      </c>
      <c r="N1927" t="s">
        <v>11</v>
      </c>
      <c r="O1927" s="49">
        <v>4.37</v>
      </c>
      <c r="P1927" s="9">
        <f t="shared" si="184"/>
        <v>2753.1</v>
      </c>
      <c r="Q1927" s="10">
        <f t="shared" si="181"/>
        <v>7.3003400000000003</v>
      </c>
      <c r="R1927" s="10">
        <f t="shared" si="182"/>
        <v>0.59860000000000002</v>
      </c>
      <c r="S1927" s="11">
        <f t="shared" si="183"/>
        <v>377.12</v>
      </c>
      <c r="T1927" s="10" t="s">
        <v>349</v>
      </c>
      <c r="U1927" t="s">
        <v>368</v>
      </c>
      <c r="V1927" s="58">
        <v>7.1775000000000002</v>
      </c>
      <c r="W1927" s="38">
        <f t="shared" si="185"/>
        <v>383.57366771159872</v>
      </c>
    </row>
    <row r="1928" spans="1:23" s="15" customFormat="1">
      <c r="A1928" t="s">
        <v>2537</v>
      </c>
      <c r="B1928" s="20">
        <v>45750</v>
      </c>
      <c r="C1928" s="20">
        <v>45714</v>
      </c>
      <c r="D1928" t="s">
        <v>94</v>
      </c>
      <c r="E1928" t="s">
        <v>95</v>
      </c>
      <c r="F1928" s="19"/>
      <c r="G1928" t="s">
        <v>4490</v>
      </c>
      <c r="H1928" t="s">
        <v>3165</v>
      </c>
      <c r="I1928" t="s">
        <v>3375</v>
      </c>
      <c r="J1928" s="8" t="str">
        <f t="shared" si="180"/>
        <v>LID-</v>
      </c>
      <c r="K1928" t="s">
        <v>98</v>
      </c>
      <c r="L1928" s="46">
        <v>1205</v>
      </c>
      <c r="M1928" t="s">
        <v>1472</v>
      </c>
      <c r="N1928" t="s">
        <v>11</v>
      </c>
      <c r="O1928" s="49">
        <v>4.37</v>
      </c>
      <c r="P1928" s="9">
        <f t="shared" si="184"/>
        <v>5265.85</v>
      </c>
      <c r="Q1928" s="10">
        <f t="shared" si="181"/>
        <v>7.3003400000000003</v>
      </c>
      <c r="R1928" s="10">
        <f t="shared" si="182"/>
        <v>0.59860000000000002</v>
      </c>
      <c r="S1928" s="11">
        <f t="shared" si="183"/>
        <v>721.31</v>
      </c>
      <c r="T1928" s="10" t="s">
        <v>349</v>
      </c>
      <c r="U1928" t="s">
        <v>368</v>
      </c>
      <c r="V1928" s="58">
        <v>7.1775000000000002</v>
      </c>
      <c r="W1928" s="38">
        <f t="shared" si="185"/>
        <v>733.66074538488328</v>
      </c>
    </row>
    <row r="1929" spans="1:23" s="15" customFormat="1">
      <c r="A1929" t="s">
        <v>4183</v>
      </c>
      <c r="B1929" s="20">
        <v>45769</v>
      </c>
      <c r="C1929" s="20">
        <v>45714</v>
      </c>
      <c r="D1929" t="s">
        <v>94</v>
      </c>
      <c r="E1929" t="s">
        <v>95</v>
      </c>
      <c r="F1929" s="19"/>
      <c r="G1929" t="s">
        <v>4491</v>
      </c>
      <c r="H1929" t="s">
        <v>3165</v>
      </c>
      <c r="I1929" t="s">
        <v>3375</v>
      </c>
      <c r="J1929" s="8" t="str">
        <f t="shared" si="180"/>
        <v>LID-</v>
      </c>
      <c r="K1929" t="s">
        <v>98</v>
      </c>
      <c r="L1929" s="46">
        <v>60</v>
      </c>
      <c r="M1929" t="s">
        <v>1472</v>
      </c>
      <c r="N1929" t="s">
        <v>11</v>
      </c>
      <c r="O1929" s="49">
        <v>4.37</v>
      </c>
      <c r="P1929" s="9">
        <f t="shared" si="184"/>
        <v>262.2</v>
      </c>
      <c r="Q1929" s="10">
        <f t="shared" si="181"/>
        <v>7.3003400000000003</v>
      </c>
      <c r="R1929" s="10">
        <f t="shared" si="182"/>
        <v>0.59860000000000002</v>
      </c>
      <c r="S1929" s="11">
        <f t="shared" si="183"/>
        <v>35.92</v>
      </c>
      <c r="T1929" s="10" t="s">
        <v>349</v>
      </c>
      <c r="U1929" t="s">
        <v>368</v>
      </c>
      <c r="V1929" s="58">
        <v>7.1775000000000002</v>
      </c>
      <c r="W1929" s="38">
        <f t="shared" si="185"/>
        <v>36.530825496342736</v>
      </c>
    </row>
    <row r="1930" spans="1:23" s="15" customFormat="1">
      <c r="A1930" t="s">
        <v>4183</v>
      </c>
      <c r="B1930" s="20">
        <v>45768</v>
      </c>
      <c r="C1930" s="20">
        <v>45714</v>
      </c>
      <c r="D1930" t="s">
        <v>94</v>
      </c>
      <c r="E1930" t="s">
        <v>95</v>
      </c>
      <c r="F1930" s="19"/>
      <c r="G1930" t="s">
        <v>4486</v>
      </c>
      <c r="H1930" t="s">
        <v>3165</v>
      </c>
      <c r="I1930" t="s">
        <v>3375</v>
      </c>
      <c r="J1930" s="8" t="str">
        <f t="shared" si="180"/>
        <v>LID-</v>
      </c>
      <c r="K1930" t="s">
        <v>98</v>
      </c>
      <c r="L1930" s="46">
        <v>600</v>
      </c>
      <c r="M1930" t="s">
        <v>1472</v>
      </c>
      <c r="N1930" t="s">
        <v>11</v>
      </c>
      <c r="O1930" s="49">
        <v>4.37</v>
      </c>
      <c r="P1930" s="9">
        <f t="shared" si="184"/>
        <v>2622</v>
      </c>
      <c r="Q1930" s="10">
        <f t="shared" si="181"/>
        <v>7.3003400000000003</v>
      </c>
      <c r="R1930" s="10">
        <f t="shared" si="182"/>
        <v>0.59860000000000002</v>
      </c>
      <c r="S1930" s="11">
        <f t="shared" si="183"/>
        <v>359.16</v>
      </c>
      <c r="T1930" s="10" t="s">
        <v>349</v>
      </c>
      <c r="U1930" t="s">
        <v>368</v>
      </c>
      <c r="V1930" s="58">
        <v>7.1775000000000002</v>
      </c>
      <c r="W1930" s="38">
        <f t="shared" si="185"/>
        <v>365.30825496342737</v>
      </c>
    </row>
    <row r="1931" spans="1:23" s="15" customFormat="1">
      <c r="A1931" t="s">
        <v>4183</v>
      </c>
      <c r="B1931" s="20">
        <v>45765</v>
      </c>
      <c r="C1931" s="20">
        <v>45714</v>
      </c>
      <c r="D1931" t="s">
        <v>94</v>
      </c>
      <c r="E1931" t="s">
        <v>95</v>
      </c>
      <c r="F1931" s="19"/>
      <c r="G1931" t="s">
        <v>4336</v>
      </c>
      <c r="H1931" t="s">
        <v>3165</v>
      </c>
      <c r="I1931" t="s">
        <v>3375</v>
      </c>
      <c r="J1931" s="8" t="str">
        <f t="shared" si="180"/>
        <v>LID-</v>
      </c>
      <c r="K1931" t="s">
        <v>98</v>
      </c>
      <c r="L1931" s="46">
        <v>610</v>
      </c>
      <c r="M1931" t="s">
        <v>1472</v>
      </c>
      <c r="N1931" t="s">
        <v>11</v>
      </c>
      <c r="O1931" s="49">
        <v>4.37</v>
      </c>
      <c r="P1931" s="9">
        <f t="shared" si="184"/>
        <v>2665.7</v>
      </c>
      <c r="Q1931" s="10">
        <f t="shared" si="181"/>
        <v>7.3003400000000003</v>
      </c>
      <c r="R1931" s="10">
        <f t="shared" si="182"/>
        <v>0.59860000000000002</v>
      </c>
      <c r="S1931" s="11">
        <f t="shared" si="183"/>
        <v>365.15</v>
      </c>
      <c r="T1931" s="10" t="s">
        <v>349</v>
      </c>
      <c r="U1931" t="s">
        <v>368</v>
      </c>
      <c r="V1931" s="58">
        <v>7.1775000000000002</v>
      </c>
      <c r="W1931" s="38">
        <f t="shared" si="185"/>
        <v>371.39672587948451</v>
      </c>
    </row>
    <row r="1932" spans="1:23" s="15" customFormat="1">
      <c r="A1932" t="s">
        <v>4183</v>
      </c>
      <c r="B1932" s="20">
        <v>45764</v>
      </c>
      <c r="C1932" s="20">
        <v>45714</v>
      </c>
      <c r="D1932" t="s">
        <v>94</v>
      </c>
      <c r="E1932" t="s">
        <v>95</v>
      </c>
      <c r="F1932" s="19"/>
      <c r="G1932" t="s">
        <v>4488</v>
      </c>
      <c r="H1932" t="s">
        <v>3165</v>
      </c>
      <c r="I1932" t="s">
        <v>3375</v>
      </c>
      <c r="J1932" s="8" t="str">
        <f t="shared" si="180"/>
        <v>LID-</v>
      </c>
      <c r="K1932" t="s">
        <v>98</v>
      </c>
      <c r="L1932" s="46">
        <v>1250</v>
      </c>
      <c r="M1932" t="s">
        <v>1472</v>
      </c>
      <c r="N1932" t="s">
        <v>11</v>
      </c>
      <c r="O1932" s="49">
        <v>4.37</v>
      </c>
      <c r="P1932" s="9">
        <f t="shared" si="184"/>
        <v>5462.5</v>
      </c>
      <c r="Q1932" s="10">
        <f t="shared" si="181"/>
        <v>7.3003400000000003</v>
      </c>
      <c r="R1932" s="10">
        <f t="shared" si="182"/>
        <v>0.59860000000000002</v>
      </c>
      <c r="S1932" s="11">
        <f t="shared" si="183"/>
        <v>748.25</v>
      </c>
      <c r="T1932" s="10" t="s">
        <v>349</v>
      </c>
      <c r="U1932" t="s">
        <v>368</v>
      </c>
      <c r="V1932" s="58">
        <v>7.1775000000000002</v>
      </c>
      <c r="W1932" s="38">
        <f t="shared" si="185"/>
        <v>761.05886450714036</v>
      </c>
    </row>
    <row r="1933" spans="1:23" s="15" customFormat="1">
      <c r="A1933" t="s">
        <v>4184</v>
      </c>
      <c r="B1933" s="20">
        <v>45772</v>
      </c>
      <c r="C1933" s="20">
        <v>45714</v>
      </c>
      <c r="D1933" t="s">
        <v>94</v>
      </c>
      <c r="E1933" t="s">
        <v>95</v>
      </c>
      <c r="F1933" s="19"/>
      <c r="G1933" t="s">
        <v>4492</v>
      </c>
      <c r="H1933" t="s">
        <v>3165</v>
      </c>
      <c r="I1933" t="s">
        <v>3375</v>
      </c>
      <c r="J1933" s="8" t="str">
        <f t="shared" si="180"/>
        <v>LID-</v>
      </c>
      <c r="K1933" t="s">
        <v>98</v>
      </c>
      <c r="L1933" s="46">
        <v>600</v>
      </c>
      <c r="M1933" t="s">
        <v>1472</v>
      </c>
      <c r="N1933" t="s">
        <v>11</v>
      </c>
      <c r="O1933" s="49">
        <v>4.37</v>
      </c>
      <c r="P1933" s="9">
        <f t="shared" si="184"/>
        <v>2622</v>
      </c>
      <c r="Q1933" s="10">
        <f t="shared" si="181"/>
        <v>7.3003400000000003</v>
      </c>
      <c r="R1933" s="10">
        <f t="shared" si="182"/>
        <v>0.59860000000000002</v>
      </c>
      <c r="S1933" s="11">
        <f t="shared" si="183"/>
        <v>359.16</v>
      </c>
      <c r="T1933" s="10" t="s">
        <v>349</v>
      </c>
      <c r="U1933" t="s">
        <v>368</v>
      </c>
      <c r="V1933" s="58">
        <v>7.1775000000000002</v>
      </c>
      <c r="W1933" s="38">
        <f t="shared" si="185"/>
        <v>365.30825496342737</v>
      </c>
    </row>
    <row r="1934" spans="1:23" s="15" customFormat="1">
      <c r="A1934" t="s">
        <v>4184</v>
      </c>
      <c r="B1934" s="20">
        <v>45772</v>
      </c>
      <c r="C1934" s="20">
        <v>45714</v>
      </c>
      <c r="D1934" t="s">
        <v>94</v>
      </c>
      <c r="E1934" t="s">
        <v>95</v>
      </c>
      <c r="F1934" s="19"/>
      <c r="G1934" t="s">
        <v>4493</v>
      </c>
      <c r="H1934" t="s">
        <v>3165</v>
      </c>
      <c r="I1934" t="s">
        <v>3375</v>
      </c>
      <c r="J1934" s="8" t="str">
        <f t="shared" si="180"/>
        <v>LID-</v>
      </c>
      <c r="K1934" t="s">
        <v>98</v>
      </c>
      <c r="L1934" s="46">
        <v>810</v>
      </c>
      <c r="M1934" t="s">
        <v>1472</v>
      </c>
      <c r="N1934" t="s">
        <v>11</v>
      </c>
      <c r="O1934" s="49">
        <v>4.37</v>
      </c>
      <c r="P1934" s="9">
        <f t="shared" si="184"/>
        <v>3539.7</v>
      </c>
      <c r="Q1934" s="10">
        <f t="shared" si="181"/>
        <v>7.3003400000000003</v>
      </c>
      <c r="R1934" s="10">
        <f t="shared" si="182"/>
        <v>0.59860000000000002</v>
      </c>
      <c r="S1934" s="11">
        <f t="shared" si="183"/>
        <v>484.87</v>
      </c>
      <c r="T1934" s="10" t="s">
        <v>349</v>
      </c>
      <c r="U1934" t="s">
        <v>368</v>
      </c>
      <c r="V1934" s="58">
        <v>7.1775000000000002</v>
      </c>
      <c r="W1934" s="38">
        <f t="shared" si="185"/>
        <v>493.16614420062695</v>
      </c>
    </row>
    <row r="1935" spans="1:23" s="15" customFormat="1">
      <c r="A1935" t="s">
        <v>4184</v>
      </c>
      <c r="B1935" s="20">
        <v>45769</v>
      </c>
      <c r="C1935" s="20">
        <v>45714</v>
      </c>
      <c r="D1935" t="s">
        <v>94</v>
      </c>
      <c r="E1935" t="s">
        <v>95</v>
      </c>
      <c r="F1935" s="19"/>
      <c r="G1935" t="s">
        <v>4491</v>
      </c>
      <c r="H1935" t="s">
        <v>3165</v>
      </c>
      <c r="I1935" t="s">
        <v>3375</v>
      </c>
      <c r="J1935" s="8" t="str">
        <f t="shared" si="180"/>
        <v>LID-</v>
      </c>
      <c r="K1935" t="s">
        <v>98</v>
      </c>
      <c r="L1935" s="46">
        <v>240</v>
      </c>
      <c r="M1935" t="s">
        <v>1472</v>
      </c>
      <c r="N1935" t="s">
        <v>11</v>
      </c>
      <c r="O1935" s="49">
        <v>4.37</v>
      </c>
      <c r="P1935" s="9">
        <f t="shared" si="184"/>
        <v>1048.8</v>
      </c>
      <c r="Q1935" s="10">
        <f t="shared" si="181"/>
        <v>7.3003400000000003</v>
      </c>
      <c r="R1935" s="10">
        <f t="shared" si="182"/>
        <v>0.59860000000000002</v>
      </c>
      <c r="S1935" s="11">
        <f t="shared" si="183"/>
        <v>143.66</v>
      </c>
      <c r="T1935" s="10" t="s">
        <v>349</v>
      </c>
      <c r="U1935" t="s">
        <v>368</v>
      </c>
      <c r="V1935" s="58">
        <v>7.1775000000000002</v>
      </c>
      <c r="W1935" s="38">
        <f t="shared" si="185"/>
        <v>146.12330198537094</v>
      </c>
    </row>
    <row r="1936" spans="1:23" s="15" customFormat="1">
      <c r="A1936" t="s">
        <v>4185</v>
      </c>
      <c r="B1936" s="20">
        <v>45764</v>
      </c>
      <c r="C1936" s="20">
        <v>45750</v>
      </c>
      <c r="D1936" t="s">
        <v>149</v>
      </c>
      <c r="E1936" t="s">
        <v>150</v>
      </c>
      <c r="F1936" s="19"/>
      <c r="G1936" t="s">
        <v>4494</v>
      </c>
      <c r="H1936" t="s">
        <v>1190</v>
      </c>
      <c r="I1936" t="s">
        <v>1191</v>
      </c>
      <c r="J1936" s="8" t="str">
        <f t="shared" si="180"/>
        <v>GLID</v>
      </c>
      <c r="K1936" t="s">
        <v>10</v>
      </c>
      <c r="L1936" s="46">
        <v>3264</v>
      </c>
      <c r="M1936" t="s">
        <v>1472</v>
      </c>
      <c r="N1936" t="s">
        <v>11</v>
      </c>
      <c r="O1936" s="49">
        <v>4.3726000000000003</v>
      </c>
      <c r="P1936" s="9">
        <f t="shared" si="184"/>
        <v>14272.17</v>
      </c>
      <c r="Q1936" s="10">
        <f t="shared" si="181"/>
        <v>7.3003400000000003</v>
      </c>
      <c r="R1936" s="10">
        <f t="shared" si="182"/>
        <v>0.59899999999999998</v>
      </c>
      <c r="S1936" s="11">
        <f t="shared" si="183"/>
        <v>1955.14</v>
      </c>
      <c r="T1936" s="10" t="s">
        <v>349</v>
      </c>
      <c r="U1936" t="s">
        <v>78</v>
      </c>
      <c r="V1936" s="58">
        <v>7.1775000000000002</v>
      </c>
      <c r="W1936" s="38">
        <f t="shared" si="185"/>
        <v>1988.4592685475445</v>
      </c>
    </row>
    <row r="1937" spans="1:23" s="15" customFormat="1">
      <c r="A1937" t="s">
        <v>4185</v>
      </c>
      <c r="B1937" s="20">
        <v>45762</v>
      </c>
      <c r="C1937" s="20">
        <v>45750</v>
      </c>
      <c r="D1937" t="s">
        <v>149</v>
      </c>
      <c r="E1937" t="s">
        <v>150</v>
      </c>
      <c r="F1937" s="19"/>
      <c r="G1937" t="s">
        <v>4435</v>
      </c>
      <c r="H1937" t="s">
        <v>1190</v>
      </c>
      <c r="I1937" t="s">
        <v>1191</v>
      </c>
      <c r="J1937" s="8" t="str">
        <f t="shared" si="180"/>
        <v>GLID</v>
      </c>
      <c r="K1937" t="s">
        <v>10</v>
      </c>
      <c r="L1937" s="46">
        <v>766</v>
      </c>
      <c r="M1937" t="s">
        <v>1472</v>
      </c>
      <c r="N1937" t="s">
        <v>11</v>
      </c>
      <c r="O1937" s="49">
        <v>4.3726000000000003</v>
      </c>
      <c r="P1937" s="9">
        <f t="shared" si="184"/>
        <v>3349.41</v>
      </c>
      <c r="Q1937" s="10">
        <f t="shared" si="181"/>
        <v>7.3003400000000003</v>
      </c>
      <c r="R1937" s="10">
        <f t="shared" si="182"/>
        <v>0.59899999999999998</v>
      </c>
      <c r="S1937" s="11">
        <f t="shared" si="183"/>
        <v>458.83</v>
      </c>
      <c r="T1937" s="10" t="s">
        <v>349</v>
      </c>
      <c r="U1937" t="s">
        <v>78</v>
      </c>
      <c r="V1937" s="58">
        <v>7.1775000000000002</v>
      </c>
      <c r="W1937" s="38">
        <f t="shared" si="185"/>
        <v>466.65435040055729</v>
      </c>
    </row>
    <row r="1938" spans="1:23" s="15" customFormat="1">
      <c r="A1938" t="s">
        <v>4186</v>
      </c>
      <c r="B1938" s="20">
        <v>45758</v>
      </c>
      <c r="C1938" s="20">
        <v>45728</v>
      </c>
      <c r="D1938" t="s">
        <v>94</v>
      </c>
      <c r="E1938" t="s">
        <v>95</v>
      </c>
      <c r="F1938" s="19"/>
      <c r="G1938" t="s">
        <v>4495</v>
      </c>
      <c r="H1938" t="s">
        <v>3746</v>
      </c>
      <c r="I1938" t="s">
        <v>3747</v>
      </c>
      <c r="J1938" s="8" t="str">
        <f t="shared" si="180"/>
        <v>LID-</v>
      </c>
      <c r="K1938" t="s">
        <v>98</v>
      </c>
      <c r="L1938" s="46">
        <v>1000</v>
      </c>
      <c r="M1938" t="s">
        <v>1472</v>
      </c>
      <c r="N1938" t="s">
        <v>11</v>
      </c>
      <c r="O1938" s="49">
        <v>4.4000000000000004</v>
      </c>
      <c r="P1938" s="9">
        <f t="shared" si="184"/>
        <v>4400</v>
      </c>
      <c r="Q1938" s="10">
        <f t="shared" si="181"/>
        <v>7.3003400000000003</v>
      </c>
      <c r="R1938" s="10">
        <f t="shared" si="182"/>
        <v>0.60270000000000001</v>
      </c>
      <c r="S1938" s="11">
        <f t="shared" si="183"/>
        <v>602.70000000000005</v>
      </c>
      <c r="T1938" s="10" t="s">
        <v>349</v>
      </c>
      <c r="U1938" t="s">
        <v>368</v>
      </c>
      <c r="V1938" s="58">
        <v>7.1775000000000002</v>
      </c>
      <c r="W1938" s="38">
        <f t="shared" si="185"/>
        <v>613.0268199233717</v>
      </c>
    </row>
    <row r="1939" spans="1:23" s="15" customFormat="1">
      <c r="A1939" t="s">
        <v>4187</v>
      </c>
      <c r="B1939" s="20">
        <v>45775</v>
      </c>
      <c r="C1939" s="20">
        <v>45695</v>
      </c>
      <c r="D1939" t="s">
        <v>651</v>
      </c>
      <c r="E1939" t="s">
        <v>652</v>
      </c>
      <c r="F1939" s="19"/>
      <c r="G1939" t="s">
        <v>4399</v>
      </c>
      <c r="H1939" t="s">
        <v>1760</v>
      </c>
      <c r="I1939" t="s">
        <v>1761</v>
      </c>
      <c r="J1939" s="8" t="str">
        <f t="shared" si="180"/>
        <v>KNOB</v>
      </c>
      <c r="K1939" t="s">
        <v>10</v>
      </c>
      <c r="L1939" s="46">
        <v>6200</v>
      </c>
      <c r="M1939" t="s">
        <v>1472</v>
      </c>
      <c r="N1939" t="s">
        <v>11</v>
      </c>
      <c r="O1939" s="49">
        <v>4.4320000000000004</v>
      </c>
      <c r="P1939" s="9">
        <f t="shared" si="184"/>
        <v>27478.400000000001</v>
      </c>
      <c r="Q1939" s="10">
        <f t="shared" si="181"/>
        <v>7.3003400000000003</v>
      </c>
      <c r="R1939" s="10">
        <f t="shared" si="182"/>
        <v>0.60709999999999997</v>
      </c>
      <c r="S1939" s="11">
        <f t="shared" si="183"/>
        <v>3764.02</v>
      </c>
      <c r="T1939" s="10" t="s">
        <v>349</v>
      </c>
      <c r="U1939" t="s">
        <v>32</v>
      </c>
      <c r="V1939" s="58">
        <v>7.1775000000000002</v>
      </c>
      <c r="W1939" s="38">
        <f t="shared" si="185"/>
        <v>3828.4082201323586</v>
      </c>
    </row>
    <row r="1940" spans="1:23" s="15" customFormat="1">
      <c r="A1940" t="s">
        <v>4188</v>
      </c>
      <c r="B1940" s="20">
        <v>45755</v>
      </c>
      <c r="C1940" s="20">
        <v>45749</v>
      </c>
      <c r="D1940" t="s">
        <v>5</v>
      </c>
      <c r="E1940" t="s">
        <v>6</v>
      </c>
      <c r="F1940" s="19"/>
      <c r="G1940" t="s">
        <v>4417</v>
      </c>
      <c r="H1940" t="s">
        <v>3748</v>
      </c>
      <c r="I1940" t="s">
        <v>3749</v>
      </c>
      <c r="J1940" s="8" t="str">
        <f t="shared" si="180"/>
        <v>BOX-</v>
      </c>
      <c r="K1940" t="s">
        <v>10</v>
      </c>
      <c r="L1940" s="46">
        <v>1010</v>
      </c>
      <c r="M1940" t="s">
        <v>1472</v>
      </c>
      <c r="N1940" t="s">
        <v>11</v>
      </c>
      <c r="O1940" s="49">
        <v>4.46</v>
      </c>
      <c r="P1940" s="9">
        <f t="shared" si="184"/>
        <v>4504.6000000000004</v>
      </c>
      <c r="Q1940" s="10">
        <f t="shared" si="181"/>
        <v>7.3003400000000003</v>
      </c>
      <c r="R1940" s="10">
        <f t="shared" si="182"/>
        <v>0.6109</v>
      </c>
      <c r="S1940" s="11">
        <f t="shared" si="183"/>
        <v>617.01</v>
      </c>
      <c r="T1940" s="10" t="s">
        <v>349</v>
      </c>
      <c r="U1940" t="s">
        <v>1</v>
      </c>
      <c r="V1940" s="58">
        <v>7.1775000000000002</v>
      </c>
      <c r="W1940" s="38">
        <f t="shared" si="185"/>
        <v>627.60013932427717</v>
      </c>
    </row>
    <row r="1941" spans="1:23" s="15" customFormat="1">
      <c r="A1941" t="s">
        <v>4189</v>
      </c>
      <c r="B1941" s="20">
        <v>45762</v>
      </c>
      <c r="C1941" s="20">
        <v>45742</v>
      </c>
      <c r="D1941" t="s">
        <v>696</v>
      </c>
      <c r="E1941" t="s">
        <v>697</v>
      </c>
      <c r="F1941" s="19"/>
      <c r="G1941" t="s">
        <v>4452</v>
      </c>
      <c r="H1941" t="s">
        <v>1543</v>
      </c>
      <c r="I1941" t="s">
        <v>1544</v>
      </c>
      <c r="J1941" s="8" t="str">
        <f t="shared" ref="J1941:J2004" si="186">+LEFT(U1941,4)</f>
        <v>ANYD</v>
      </c>
      <c r="K1941" t="s">
        <v>10</v>
      </c>
      <c r="L1941" s="46">
        <v>1600</v>
      </c>
      <c r="M1941" t="s">
        <v>1472</v>
      </c>
      <c r="N1941" t="s">
        <v>11</v>
      </c>
      <c r="O1941" s="49">
        <v>4.53</v>
      </c>
      <c r="P1941" s="9">
        <f t="shared" si="184"/>
        <v>7248</v>
      </c>
      <c r="Q1941" s="10">
        <f t="shared" ref="Q1941:Q2004" si="187">IF(N1941="HKD",7.8,IF(N1941="CNY",7.30034,1))</f>
        <v>7.3003400000000003</v>
      </c>
      <c r="R1941" s="10">
        <f t="shared" ref="R1941:R2004" si="188">+ROUND(O1941/Q1941,4)</f>
        <v>0.62050000000000005</v>
      </c>
      <c r="S1941" s="11">
        <f t="shared" ref="S1941:S2004" si="189">ROUND(R1941*L1941,2)</f>
        <v>992.8</v>
      </c>
      <c r="T1941" s="10" t="s">
        <v>349</v>
      </c>
      <c r="U1941" t="s">
        <v>36</v>
      </c>
      <c r="V1941" s="58">
        <v>7.1775000000000002</v>
      </c>
      <c r="W1941" s="38">
        <f t="shared" si="185"/>
        <v>1009.8223615464996</v>
      </c>
    </row>
    <row r="1942" spans="1:23" s="15" customFormat="1">
      <c r="A1942" t="s">
        <v>4190</v>
      </c>
      <c r="B1942" s="20">
        <v>45757</v>
      </c>
      <c r="C1942" s="20">
        <v>45714</v>
      </c>
      <c r="D1942" t="s">
        <v>830</v>
      </c>
      <c r="E1942" t="s">
        <v>831</v>
      </c>
      <c r="F1942" s="19"/>
      <c r="G1942" t="s">
        <v>4466</v>
      </c>
      <c r="H1942" t="s">
        <v>3750</v>
      </c>
      <c r="I1942" t="s">
        <v>3751</v>
      </c>
      <c r="J1942" s="8" t="str">
        <f t="shared" si="186"/>
        <v>LID-</v>
      </c>
      <c r="K1942" t="s">
        <v>98</v>
      </c>
      <c r="L1942" s="46">
        <v>1008</v>
      </c>
      <c r="M1942" t="s">
        <v>1472</v>
      </c>
      <c r="N1942" t="s">
        <v>11</v>
      </c>
      <c r="O1942" s="49">
        <v>4.5999999999999996</v>
      </c>
      <c r="P1942" s="9">
        <f t="shared" si="184"/>
        <v>4636.8</v>
      </c>
      <c r="Q1942" s="10">
        <f t="shared" si="187"/>
        <v>7.3003400000000003</v>
      </c>
      <c r="R1942" s="10">
        <f t="shared" si="188"/>
        <v>0.63009999999999999</v>
      </c>
      <c r="S1942" s="11">
        <f t="shared" si="189"/>
        <v>635.14</v>
      </c>
      <c r="T1942" s="10" t="s">
        <v>349</v>
      </c>
      <c r="U1942" t="s">
        <v>368</v>
      </c>
      <c r="V1942" s="58">
        <v>7.1775000000000002</v>
      </c>
      <c r="W1942" s="38">
        <f t="shared" si="185"/>
        <v>646.0188087774294</v>
      </c>
    </row>
    <row r="1943" spans="1:23" s="15" customFormat="1">
      <c r="A1943" t="s">
        <v>4191</v>
      </c>
      <c r="B1943" s="20">
        <v>45762</v>
      </c>
      <c r="C1943" s="20">
        <v>45714</v>
      </c>
      <c r="D1943" t="s">
        <v>830</v>
      </c>
      <c r="E1943" t="s">
        <v>831</v>
      </c>
      <c r="F1943" s="19"/>
      <c r="G1943" t="s">
        <v>4464</v>
      </c>
      <c r="H1943" t="s">
        <v>3750</v>
      </c>
      <c r="I1943" t="s">
        <v>3751</v>
      </c>
      <c r="J1943" s="8" t="str">
        <f t="shared" si="186"/>
        <v>LID-</v>
      </c>
      <c r="K1943" t="s">
        <v>98</v>
      </c>
      <c r="L1943" s="46">
        <v>560</v>
      </c>
      <c r="M1943" t="s">
        <v>1472</v>
      </c>
      <c r="N1943" t="s">
        <v>11</v>
      </c>
      <c r="O1943" s="49">
        <v>4.5999999999999996</v>
      </c>
      <c r="P1943" s="9">
        <f t="shared" si="184"/>
        <v>2576</v>
      </c>
      <c r="Q1943" s="10">
        <f t="shared" si="187"/>
        <v>7.3003400000000003</v>
      </c>
      <c r="R1943" s="10">
        <f t="shared" si="188"/>
        <v>0.63009999999999999</v>
      </c>
      <c r="S1943" s="11">
        <f t="shared" si="189"/>
        <v>352.86</v>
      </c>
      <c r="T1943" s="10" t="s">
        <v>349</v>
      </c>
      <c r="U1943" t="s">
        <v>368</v>
      </c>
      <c r="V1943" s="58">
        <v>7.1775000000000002</v>
      </c>
      <c r="W1943" s="38">
        <f t="shared" si="185"/>
        <v>358.89933820968298</v>
      </c>
    </row>
    <row r="1944" spans="1:23" s="15" customFormat="1">
      <c r="A1944" t="s">
        <v>4191</v>
      </c>
      <c r="B1944" s="20">
        <v>45761</v>
      </c>
      <c r="C1944" s="20">
        <v>45714</v>
      </c>
      <c r="D1944" t="s">
        <v>830</v>
      </c>
      <c r="E1944" t="s">
        <v>831</v>
      </c>
      <c r="F1944" s="19"/>
      <c r="G1944" t="s">
        <v>4465</v>
      </c>
      <c r="H1944" t="s">
        <v>3750</v>
      </c>
      <c r="I1944" t="s">
        <v>3751</v>
      </c>
      <c r="J1944" s="8" t="str">
        <f t="shared" si="186"/>
        <v>LID-</v>
      </c>
      <c r="K1944" t="s">
        <v>98</v>
      </c>
      <c r="L1944" s="46">
        <v>960</v>
      </c>
      <c r="M1944" t="s">
        <v>1472</v>
      </c>
      <c r="N1944" t="s">
        <v>11</v>
      </c>
      <c r="O1944" s="49">
        <v>4.5999999999999996</v>
      </c>
      <c r="P1944" s="9">
        <f t="shared" si="184"/>
        <v>4416</v>
      </c>
      <c r="Q1944" s="10">
        <f t="shared" si="187"/>
        <v>7.3003400000000003</v>
      </c>
      <c r="R1944" s="10">
        <f t="shared" si="188"/>
        <v>0.63009999999999999</v>
      </c>
      <c r="S1944" s="11">
        <f t="shared" si="189"/>
        <v>604.9</v>
      </c>
      <c r="T1944" s="10" t="s">
        <v>349</v>
      </c>
      <c r="U1944" t="s">
        <v>368</v>
      </c>
      <c r="V1944" s="58">
        <v>7.1775000000000002</v>
      </c>
      <c r="W1944" s="38">
        <f t="shared" si="185"/>
        <v>615.25600835945659</v>
      </c>
    </row>
    <row r="1945" spans="1:23" s="15" customFormat="1">
      <c r="A1945" t="s">
        <v>4192</v>
      </c>
      <c r="B1945" s="20">
        <v>45776</v>
      </c>
      <c r="C1945" s="20">
        <v>45769</v>
      </c>
      <c r="D1945" t="s">
        <v>149</v>
      </c>
      <c r="E1945" t="s">
        <v>150</v>
      </c>
      <c r="F1945" s="19"/>
      <c r="G1945" t="s">
        <v>4448</v>
      </c>
      <c r="H1945" t="s">
        <v>3752</v>
      </c>
      <c r="I1945" t="s">
        <v>3753</v>
      </c>
      <c r="J1945" s="8" t="str">
        <f t="shared" si="186"/>
        <v>GLID</v>
      </c>
      <c r="K1945" t="s">
        <v>10</v>
      </c>
      <c r="L1945" s="46">
        <v>810</v>
      </c>
      <c r="M1945" t="s">
        <v>1472</v>
      </c>
      <c r="N1945" t="s">
        <v>11</v>
      </c>
      <c r="O1945" s="49">
        <v>4.6165000000000003</v>
      </c>
      <c r="P1945" s="9">
        <f t="shared" si="184"/>
        <v>3739.37</v>
      </c>
      <c r="Q1945" s="10">
        <f t="shared" si="187"/>
        <v>7.3003400000000003</v>
      </c>
      <c r="R1945" s="10">
        <f t="shared" si="188"/>
        <v>0.63239999999999996</v>
      </c>
      <c r="S1945" s="11">
        <f t="shared" si="189"/>
        <v>512.24</v>
      </c>
      <c r="T1945" s="10" t="s">
        <v>349</v>
      </c>
      <c r="U1945" t="s">
        <v>78</v>
      </c>
      <c r="V1945" s="58">
        <v>7.1775000000000002</v>
      </c>
      <c r="W1945" s="38">
        <f t="shared" si="185"/>
        <v>520.9843260188087</v>
      </c>
    </row>
    <row r="1946" spans="1:23" s="15" customFormat="1">
      <c r="A1946" t="s">
        <v>4193</v>
      </c>
      <c r="B1946" s="20">
        <v>45768</v>
      </c>
      <c r="C1946" s="20">
        <v>45729</v>
      </c>
      <c r="D1946" t="s">
        <v>981</v>
      </c>
      <c r="E1946" t="s">
        <v>982</v>
      </c>
      <c r="F1946" s="19"/>
      <c r="G1946" t="s">
        <v>4496</v>
      </c>
      <c r="H1946" t="s">
        <v>3754</v>
      </c>
      <c r="I1946" t="s">
        <v>3755</v>
      </c>
      <c r="J1946" s="8" t="str">
        <f t="shared" si="186"/>
        <v>HDL-</v>
      </c>
      <c r="K1946" t="s">
        <v>10</v>
      </c>
      <c r="L1946" s="46">
        <v>520</v>
      </c>
      <c r="M1946" t="s">
        <v>1472</v>
      </c>
      <c r="N1946" t="s">
        <v>11</v>
      </c>
      <c r="O1946" s="49">
        <v>4.6555</v>
      </c>
      <c r="P1946" s="9">
        <f t="shared" si="184"/>
        <v>2420.86</v>
      </c>
      <c r="Q1946" s="10">
        <f t="shared" si="187"/>
        <v>7.3003400000000003</v>
      </c>
      <c r="R1946" s="10">
        <f t="shared" si="188"/>
        <v>0.63770000000000004</v>
      </c>
      <c r="S1946" s="11">
        <f t="shared" si="189"/>
        <v>331.6</v>
      </c>
      <c r="T1946" s="10" t="s">
        <v>349</v>
      </c>
      <c r="U1946" t="s">
        <v>228</v>
      </c>
      <c r="V1946" s="58">
        <v>7.1775000000000002</v>
      </c>
      <c r="W1946" s="38">
        <f t="shared" si="185"/>
        <v>337.284569836294</v>
      </c>
    </row>
    <row r="1947" spans="1:23" s="15" customFormat="1">
      <c r="A1947" t="s">
        <v>4194</v>
      </c>
      <c r="B1947" s="20">
        <v>45755</v>
      </c>
      <c r="C1947" s="20">
        <v>45749</v>
      </c>
      <c r="D1947" t="s">
        <v>5</v>
      </c>
      <c r="E1947" t="s">
        <v>6</v>
      </c>
      <c r="F1947" s="19"/>
      <c r="G1947" t="s">
        <v>4417</v>
      </c>
      <c r="H1947" t="s">
        <v>3756</v>
      </c>
      <c r="I1947" t="s">
        <v>3757</v>
      </c>
      <c r="J1947" s="8" t="str">
        <f t="shared" si="186"/>
        <v>BOX-</v>
      </c>
      <c r="K1947" t="s">
        <v>10</v>
      </c>
      <c r="L1947" s="46">
        <v>1010</v>
      </c>
      <c r="M1947" t="s">
        <v>1472</v>
      </c>
      <c r="N1947" t="s">
        <v>11</v>
      </c>
      <c r="O1947" s="49">
        <v>4.66</v>
      </c>
      <c r="P1947" s="9">
        <f t="shared" si="184"/>
        <v>4706.6000000000004</v>
      </c>
      <c r="Q1947" s="10">
        <f t="shared" si="187"/>
        <v>7.3003400000000003</v>
      </c>
      <c r="R1947" s="10">
        <f t="shared" si="188"/>
        <v>0.63829999999999998</v>
      </c>
      <c r="S1947" s="11">
        <f t="shared" si="189"/>
        <v>644.67999999999995</v>
      </c>
      <c r="T1947" s="10" t="s">
        <v>349</v>
      </c>
      <c r="U1947" t="s">
        <v>1</v>
      </c>
      <c r="V1947" s="58">
        <v>7.1775000000000002</v>
      </c>
      <c r="W1947" s="38">
        <f t="shared" si="185"/>
        <v>655.74364332985022</v>
      </c>
    </row>
    <row r="1948" spans="1:23" s="15" customFormat="1">
      <c r="A1948" t="s">
        <v>4195</v>
      </c>
      <c r="B1948" s="20">
        <v>45776</v>
      </c>
      <c r="C1948" s="20">
        <v>45695</v>
      </c>
      <c r="D1948" t="s">
        <v>569</v>
      </c>
      <c r="E1948" t="s">
        <v>570</v>
      </c>
      <c r="F1948" s="19"/>
      <c r="G1948" t="s">
        <v>4386</v>
      </c>
      <c r="H1948" t="s">
        <v>1764</v>
      </c>
      <c r="I1948" t="s">
        <v>1765</v>
      </c>
      <c r="J1948" s="8" t="str">
        <f t="shared" si="186"/>
        <v>MISC</v>
      </c>
      <c r="K1948" t="s">
        <v>10</v>
      </c>
      <c r="L1948" s="46">
        <v>1100</v>
      </c>
      <c r="M1948" t="s">
        <v>1472</v>
      </c>
      <c r="N1948" t="s">
        <v>11</v>
      </c>
      <c r="O1948" s="49">
        <v>4.6900000000000004</v>
      </c>
      <c r="P1948" s="9">
        <f t="shared" si="184"/>
        <v>5159</v>
      </c>
      <c r="Q1948" s="10">
        <f t="shared" si="187"/>
        <v>7.3003400000000003</v>
      </c>
      <c r="R1948" s="10">
        <f t="shared" si="188"/>
        <v>0.64239999999999997</v>
      </c>
      <c r="S1948" s="11">
        <f t="shared" si="189"/>
        <v>706.64</v>
      </c>
      <c r="T1948" s="10" t="s">
        <v>349</v>
      </c>
      <c r="U1948" t="s">
        <v>25</v>
      </c>
      <c r="V1948" s="58">
        <v>7.1775000000000002</v>
      </c>
      <c r="W1948" s="38">
        <f t="shared" si="185"/>
        <v>718.77394636015322</v>
      </c>
    </row>
    <row r="1949" spans="1:23" s="15" customFormat="1">
      <c r="A1949" t="s">
        <v>4196</v>
      </c>
      <c r="B1949" s="20">
        <v>45776</v>
      </c>
      <c r="C1949" s="20">
        <v>45756</v>
      </c>
      <c r="D1949" t="s">
        <v>149</v>
      </c>
      <c r="E1949" t="s">
        <v>150</v>
      </c>
      <c r="F1949" s="19"/>
      <c r="G1949" t="s">
        <v>4448</v>
      </c>
      <c r="H1949" t="s">
        <v>3102</v>
      </c>
      <c r="I1949" t="s">
        <v>3317</v>
      </c>
      <c r="J1949" s="8" t="str">
        <f t="shared" si="186"/>
        <v>GLID</v>
      </c>
      <c r="K1949" t="s">
        <v>10</v>
      </c>
      <c r="L1949" s="46">
        <v>1020</v>
      </c>
      <c r="M1949" t="s">
        <v>1472</v>
      </c>
      <c r="N1949" t="s">
        <v>11</v>
      </c>
      <c r="O1949" s="49">
        <v>4.8014000000000001</v>
      </c>
      <c r="P1949" s="9">
        <f t="shared" si="184"/>
        <v>4897.43</v>
      </c>
      <c r="Q1949" s="10">
        <f t="shared" si="187"/>
        <v>7.3003400000000003</v>
      </c>
      <c r="R1949" s="10">
        <f t="shared" si="188"/>
        <v>0.65769999999999995</v>
      </c>
      <c r="S1949" s="11">
        <f t="shared" si="189"/>
        <v>670.85</v>
      </c>
      <c r="T1949" s="10" t="s">
        <v>349</v>
      </c>
      <c r="U1949" t="s">
        <v>78</v>
      </c>
      <c r="V1949" s="58">
        <v>7.1775000000000002</v>
      </c>
      <c r="W1949" s="38">
        <f t="shared" si="185"/>
        <v>682.33061650992693</v>
      </c>
    </row>
    <row r="1950" spans="1:23" s="15" customFormat="1">
      <c r="A1950" t="s">
        <v>4197</v>
      </c>
      <c r="B1950" s="20">
        <v>45763</v>
      </c>
      <c r="C1950" s="20">
        <v>45716</v>
      </c>
      <c r="D1950" t="s">
        <v>569</v>
      </c>
      <c r="E1950" t="s">
        <v>570</v>
      </c>
      <c r="F1950" s="19"/>
      <c r="G1950" t="s">
        <v>4365</v>
      </c>
      <c r="H1950" t="s">
        <v>1408</v>
      </c>
      <c r="I1950" t="s">
        <v>1409</v>
      </c>
      <c r="J1950" s="8" t="str">
        <f t="shared" si="186"/>
        <v>ANYD</v>
      </c>
      <c r="K1950" t="s">
        <v>10</v>
      </c>
      <c r="L1950" s="46">
        <v>2000</v>
      </c>
      <c r="M1950" t="s">
        <v>1472</v>
      </c>
      <c r="N1950" t="s">
        <v>11</v>
      </c>
      <c r="O1950" s="49">
        <v>4.8019999999999996</v>
      </c>
      <c r="P1950" s="9">
        <f t="shared" si="184"/>
        <v>9604</v>
      </c>
      <c r="Q1950" s="10">
        <f t="shared" si="187"/>
        <v>7.3003400000000003</v>
      </c>
      <c r="R1950" s="10">
        <f t="shared" si="188"/>
        <v>0.65780000000000005</v>
      </c>
      <c r="S1950" s="11">
        <f t="shared" si="189"/>
        <v>1315.6</v>
      </c>
      <c r="T1950" s="10" t="s">
        <v>349</v>
      </c>
      <c r="U1950" t="s">
        <v>36</v>
      </c>
      <c r="V1950" s="58">
        <v>7.1775000000000002</v>
      </c>
      <c r="W1950" s="38">
        <f t="shared" si="185"/>
        <v>1338.0703587600137</v>
      </c>
    </row>
    <row r="1951" spans="1:23" s="15" customFormat="1">
      <c r="A1951" t="s">
        <v>4198</v>
      </c>
      <c r="B1951" s="20">
        <v>45764</v>
      </c>
      <c r="C1951" s="20">
        <v>45695</v>
      </c>
      <c r="D1951" t="s">
        <v>830</v>
      </c>
      <c r="E1951" t="s">
        <v>831</v>
      </c>
      <c r="F1951" s="19"/>
      <c r="G1951" t="s">
        <v>4497</v>
      </c>
      <c r="H1951" t="s">
        <v>834</v>
      </c>
      <c r="I1951" t="s">
        <v>835</v>
      </c>
      <c r="J1951" s="8" t="str">
        <f t="shared" si="186"/>
        <v>SKU-</v>
      </c>
      <c r="K1951" t="s">
        <v>98</v>
      </c>
      <c r="L1951" s="46">
        <v>1750</v>
      </c>
      <c r="M1951" t="s">
        <v>1472</v>
      </c>
      <c r="N1951" t="s">
        <v>11</v>
      </c>
      <c r="O1951" s="49">
        <v>4.9154</v>
      </c>
      <c r="P1951" s="9">
        <f t="shared" si="184"/>
        <v>8601.9500000000007</v>
      </c>
      <c r="Q1951" s="10">
        <f t="shared" si="187"/>
        <v>7.3003400000000003</v>
      </c>
      <c r="R1951" s="10">
        <f t="shared" si="188"/>
        <v>0.67330000000000001</v>
      </c>
      <c r="S1951" s="11">
        <f t="shared" si="189"/>
        <v>1178.28</v>
      </c>
      <c r="T1951" s="10" t="s">
        <v>349</v>
      </c>
      <c r="U1951" t="s">
        <v>2</v>
      </c>
      <c r="V1951" s="58">
        <v>7.1775000000000002</v>
      </c>
      <c r="W1951" s="38">
        <f t="shared" si="185"/>
        <v>1198.4604667363287</v>
      </c>
    </row>
    <row r="1952" spans="1:23" s="15" customFormat="1">
      <c r="A1952" t="s">
        <v>4199</v>
      </c>
      <c r="B1952" s="20">
        <v>45768</v>
      </c>
      <c r="C1952" s="20">
        <v>45729</v>
      </c>
      <c r="D1952" t="s">
        <v>981</v>
      </c>
      <c r="E1952" t="s">
        <v>982</v>
      </c>
      <c r="F1952" s="19"/>
      <c r="G1952" t="s">
        <v>4496</v>
      </c>
      <c r="H1952" t="s">
        <v>3758</v>
      </c>
      <c r="I1952" t="s">
        <v>3759</v>
      </c>
      <c r="J1952" s="8" t="str">
        <f t="shared" si="186"/>
        <v>HDL-</v>
      </c>
      <c r="K1952" t="s">
        <v>10</v>
      </c>
      <c r="L1952" s="46">
        <v>520</v>
      </c>
      <c r="M1952" t="s">
        <v>1472</v>
      </c>
      <c r="N1952" t="s">
        <v>11</v>
      </c>
      <c r="O1952" s="49">
        <v>4.9706999999999999</v>
      </c>
      <c r="P1952" s="9">
        <f t="shared" si="184"/>
        <v>2584.7600000000002</v>
      </c>
      <c r="Q1952" s="10">
        <f t="shared" si="187"/>
        <v>7.3003400000000003</v>
      </c>
      <c r="R1952" s="10">
        <f t="shared" si="188"/>
        <v>0.68089999999999995</v>
      </c>
      <c r="S1952" s="11">
        <f t="shared" si="189"/>
        <v>354.07</v>
      </c>
      <c r="T1952" s="10" t="s">
        <v>349</v>
      </c>
      <c r="U1952" t="s">
        <v>228</v>
      </c>
      <c r="V1952" s="58">
        <v>7.1775000000000002</v>
      </c>
      <c r="W1952" s="38">
        <f t="shared" si="185"/>
        <v>360.12037617554859</v>
      </c>
    </row>
    <row r="1953" spans="1:23" s="15" customFormat="1">
      <c r="A1953" t="s">
        <v>4200</v>
      </c>
      <c r="B1953" s="20">
        <v>45769</v>
      </c>
      <c r="C1953" s="20">
        <v>45755</v>
      </c>
      <c r="D1953" t="s">
        <v>280</v>
      </c>
      <c r="E1953" t="s">
        <v>281</v>
      </c>
      <c r="F1953" s="19"/>
      <c r="G1953" t="s">
        <v>4431</v>
      </c>
      <c r="H1953" t="s">
        <v>278</v>
      </c>
      <c r="I1953" t="s">
        <v>279</v>
      </c>
      <c r="J1953" s="8" t="str">
        <f t="shared" si="186"/>
        <v>BOX-</v>
      </c>
      <c r="K1953" t="s">
        <v>10</v>
      </c>
      <c r="L1953" s="46">
        <v>3050</v>
      </c>
      <c r="M1953" t="s">
        <v>1472</v>
      </c>
      <c r="N1953" t="s">
        <v>11</v>
      </c>
      <c r="O1953" s="49">
        <v>5</v>
      </c>
      <c r="P1953" s="9">
        <f t="shared" si="184"/>
        <v>15250</v>
      </c>
      <c r="Q1953" s="10">
        <f t="shared" si="187"/>
        <v>7.3003400000000003</v>
      </c>
      <c r="R1953" s="10">
        <f t="shared" si="188"/>
        <v>0.68489999999999995</v>
      </c>
      <c r="S1953" s="11">
        <f t="shared" si="189"/>
        <v>2088.9499999999998</v>
      </c>
      <c r="T1953" s="10" t="s">
        <v>349</v>
      </c>
      <c r="U1953" t="s">
        <v>1</v>
      </c>
      <c r="V1953" s="58">
        <v>7.1775000000000002</v>
      </c>
      <c r="W1953" s="38">
        <f t="shared" si="185"/>
        <v>2124.6952281435038</v>
      </c>
    </row>
    <row r="1954" spans="1:23" s="15" customFormat="1">
      <c r="A1954" t="s">
        <v>4201</v>
      </c>
      <c r="B1954" s="20">
        <v>45769</v>
      </c>
      <c r="C1954" s="20">
        <v>45755</v>
      </c>
      <c r="D1954" t="s">
        <v>280</v>
      </c>
      <c r="E1954" t="s">
        <v>281</v>
      </c>
      <c r="F1954" s="19"/>
      <c r="G1954" t="s">
        <v>4431</v>
      </c>
      <c r="H1954" t="s">
        <v>278</v>
      </c>
      <c r="I1954" t="s">
        <v>279</v>
      </c>
      <c r="J1954" s="8" t="str">
        <f t="shared" si="186"/>
        <v>BOX-</v>
      </c>
      <c r="K1954" t="s">
        <v>10</v>
      </c>
      <c r="L1954" s="46">
        <v>200</v>
      </c>
      <c r="M1954" t="s">
        <v>1472</v>
      </c>
      <c r="N1954" t="s">
        <v>11</v>
      </c>
      <c r="O1954" s="49">
        <v>5</v>
      </c>
      <c r="P1954" s="9">
        <f t="shared" si="184"/>
        <v>1000</v>
      </c>
      <c r="Q1954" s="10">
        <f t="shared" si="187"/>
        <v>7.3003400000000003</v>
      </c>
      <c r="R1954" s="10">
        <f t="shared" si="188"/>
        <v>0.68489999999999995</v>
      </c>
      <c r="S1954" s="11">
        <f t="shared" si="189"/>
        <v>136.97999999999999</v>
      </c>
      <c r="T1954" s="10" t="s">
        <v>349</v>
      </c>
      <c r="U1954" t="s">
        <v>1</v>
      </c>
      <c r="V1954" s="58">
        <v>7.1775000000000002</v>
      </c>
      <c r="W1954" s="38">
        <f t="shared" si="185"/>
        <v>139.32427725531173</v>
      </c>
    </row>
    <row r="1955" spans="1:23" s="15" customFormat="1">
      <c r="A1955" t="s">
        <v>4202</v>
      </c>
      <c r="B1955" s="20">
        <v>45762</v>
      </c>
      <c r="C1955" s="20">
        <v>45737</v>
      </c>
      <c r="D1955" t="s">
        <v>149</v>
      </c>
      <c r="E1955" t="s">
        <v>150</v>
      </c>
      <c r="F1955" s="19"/>
      <c r="G1955" t="s">
        <v>4435</v>
      </c>
      <c r="H1955" t="s">
        <v>3760</v>
      </c>
      <c r="I1955" t="s">
        <v>3761</v>
      </c>
      <c r="J1955" s="8" t="str">
        <f t="shared" si="186"/>
        <v>GLID</v>
      </c>
      <c r="K1955" t="s">
        <v>10</v>
      </c>
      <c r="L1955" s="46">
        <v>520</v>
      </c>
      <c r="M1955" t="s">
        <v>1472</v>
      </c>
      <c r="N1955" t="s">
        <v>11</v>
      </c>
      <c r="O1955" s="49">
        <v>5.0648999999999997</v>
      </c>
      <c r="P1955" s="9">
        <f t="shared" si="184"/>
        <v>2633.75</v>
      </c>
      <c r="Q1955" s="10">
        <f t="shared" si="187"/>
        <v>7.3003400000000003</v>
      </c>
      <c r="R1955" s="10">
        <f t="shared" si="188"/>
        <v>0.69379999999999997</v>
      </c>
      <c r="S1955" s="11">
        <f t="shared" si="189"/>
        <v>360.78</v>
      </c>
      <c r="T1955" s="10" t="s">
        <v>349</v>
      </c>
      <c r="U1955" t="s">
        <v>78</v>
      </c>
      <c r="V1955" s="58">
        <v>7.1775000000000002</v>
      </c>
      <c r="W1955" s="38">
        <f t="shared" si="185"/>
        <v>366.94503657262277</v>
      </c>
    </row>
    <row r="1956" spans="1:23" s="15" customFormat="1">
      <c r="A1956" t="s">
        <v>4203</v>
      </c>
      <c r="B1956" s="20">
        <v>45765</v>
      </c>
      <c r="C1956" s="20">
        <v>45695</v>
      </c>
      <c r="D1956" t="s">
        <v>830</v>
      </c>
      <c r="E1956" t="s">
        <v>831</v>
      </c>
      <c r="F1956" s="19"/>
      <c r="G1956" t="s">
        <v>4498</v>
      </c>
      <c r="H1956" t="s">
        <v>828</v>
      </c>
      <c r="I1956" t="s">
        <v>829</v>
      </c>
      <c r="J1956" s="8" t="str">
        <f t="shared" si="186"/>
        <v>SKU-</v>
      </c>
      <c r="K1956" t="s">
        <v>98</v>
      </c>
      <c r="L1956" s="46">
        <v>1100</v>
      </c>
      <c r="M1956" t="s">
        <v>1472</v>
      </c>
      <c r="N1956" t="s">
        <v>11</v>
      </c>
      <c r="O1956" s="49">
        <v>5.0862999999999996</v>
      </c>
      <c r="P1956" s="9">
        <f t="shared" si="184"/>
        <v>5594.93</v>
      </c>
      <c r="Q1956" s="10">
        <f t="shared" si="187"/>
        <v>7.3003400000000003</v>
      </c>
      <c r="R1956" s="10">
        <f t="shared" si="188"/>
        <v>0.69669999999999999</v>
      </c>
      <c r="S1956" s="11">
        <f t="shared" si="189"/>
        <v>766.37</v>
      </c>
      <c r="T1956" s="10" t="s">
        <v>349</v>
      </c>
      <c r="U1956" t="s">
        <v>2</v>
      </c>
      <c r="V1956" s="58">
        <v>7.1775000000000002</v>
      </c>
      <c r="W1956" s="38">
        <f t="shared" si="185"/>
        <v>779.50957854406124</v>
      </c>
    </row>
    <row r="1957" spans="1:23" s="15" customFormat="1">
      <c r="A1957" t="s">
        <v>4204</v>
      </c>
      <c r="B1957" s="20">
        <v>45769</v>
      </c>
      <c r="C1957" s="20">
        <v>45695</v>
      </c>
      <c r="D1957" t="s">
        <v>143</v>
      </c>
      <c r="E1957" t="s">
        <v>144</v>
      </c>
      <c r="F1957" s="19"/>
      <c r="G1957" t="s">
        <v>4499</v>
      </c>
      <c r="H1957" t="s">
        <v>141</v>
      </c>
      <c r="I1957" t="s">
        <v>142</v>
      </c>
      <c r="J1957" s="8" t="str">
        <f t="shared" si="186"/>
        <v>KNOB</v>
      </c>
      <c r="K1957" t="s">
        <v>10</v>
      </c>
      <c r="L1957" s="46">
        <v>6200</v>
      </c>
      <c r="M1957" t="s">
        <v>1472</v>
      </c>
      <c r="N1957" t="s">
        <v>11</v>
      </c>
      <c r="O1957" s="49">
        <v>5.0999999999999996</v>
      </c>
      <c r="P1957" s="9">
        <f t="shared" si="184"/>
        <v>31620</v>
      </c>
      <c r="Q1957" s="10">
        <f t="shared" si="187"/>
        <v>7.3003400000000003</v>
      </c>
      <c r="R1957" s="10">
        <f t="shared" si="188"/>
        <v>0.6986</v>
      </c>
      <c r="S1957" s="11">
        <f t="shared" si="189"/>
        <v>4331.32</v>
      </c>
      <c r="T1957" s="10" t="s">
        <v>349</v>
      </c>
      <c r="U1957" t="s">
        <v>32</v>
      </c>
      <c r="V1957" s="58">
        <v>7.1775000000000002</v>
      </c>
      <c r="W1957" s="38">
        <f t="shared" si="185"/>
        <v>4405.4336468129568</v>
      </c>
    </row>
    <row r="1958" spans="1:23" s="15" customFormat="1">
      <c r="A1958" t="s">
        <v>4205</v>
      </c>
      <c r="B1958" s="20">
        <v>45754</v>
      </c>
      <c r="C1958" s="20">
        <v>45706</v>
      </c>
      <c r="D1958" t="s">
        <v>143</v>
      </c>
      <c r="E1958" t="s">
        <v>144</v>
      </c>
      <c r="F1958" s="19"/>
      <c r="G1958" t="s">
        <v>4500</v>
      </c>
      <c r="H1958" t="s">
        <v>141</v>
      </c>
      <c r="I1958" t="s">
        <v>142</v>
      </c>
      <c r="J1958" s="8" t="str">
        <f t="shared" si="186"/>
        <v>KNOB</v>
      </c>
      <c r="K1958" t="s">
        <v>10</v>
      </c>
      <c r="L1958" s="46">
        <v>5000</v>
      </c>
      <c r="M1958" t="s">
        <v>1472</v>
      </c>
      <c r="N1958" t="s">
        <v>11</v>
      </c>
      <c r="O1958" s="49">
        <v>5.0999999999999996</v>
      </c>
      <c r="P1958" s="9">
        <f t="shared" si="184"/>
        <v>25500</v>
      </c>
      <c r="Q1958" s="10">
        <f t="shared" si="187"/>
        <v>7.3003400000000003</v>
      </c>
      <c r="R1958" s="10">
        <f t="shared" si="188"/>
        <v>0.6986</v>
      </c>
      <c r="S1958" s="11">
        <f t="shared" si="189"/>
        <v>3493</v>
      </c>
      <c r="T1958" s="10" t="s">
        <v>349</v>
      </c>
      <c r="U1958" t="s">
        <v>32</v>
      </c>
      <c r="V1958" s="58">
        <v>7.1775000000000002</v>
      </c>
      <c r="W1958" s="38">
        <f t="shared" si="185"/>
        <v>3552.769070010449</v>
      </c>
    </row>
    <row r="1959" spans="1:23" s="15" customFormat="1">
      <c r="A1959" t="s">
        <v>4206</v>
      </c>
      <c r="B1959" s="20">
        <v>45769</v>
      </c>
      <c r="C1959" s="20">
        <v>45706</v>
      </c>
      <c r="D1959" t="s">
        <v>143</v>
      </c>
      <c r="E1959" t="s">
        <v>144</v>
      </c>
      <c r="F1959" s="19"/>
      <c r="G1959" t="s">
        <v>4499</v>
      </c>
      <c r="H1959" t="s">
        <v>141</v>
      </c>
      <c r="I1959" t="s">
        <v>142</v>
      </c>
      <c r="J1959" s="8" t="str">
        <f t="shared" si="186"/>
        <v>KNOB</v>
      </c>
      <c r="K1959" t="s">
        <v>10</v>
      </c>
      <c r="L1959" s="46">
        <v>6500</v>
      </c>
      <c r="M1959" t="s">
        <v>1472</v>
      </c>
      <c r="N1959" t="s">
        <v>11</v>
      </c>
      <c r="O1959" s="49">
        <v>5.0999999999999996</v>
      </c>
      <c r="P1959" s="9">
        <f t="shared" si="184"/>
        <v>33150</v>
      </c>
      <c r="Q1959" s="10">
        <f t="shared" si="187"/>
        <v>7.3003400000000003</v>
      </c>
      <c r="R1959" s="10">
        <f t="shared" si="188"/>
        <v>0.6986</v>
      </c>
      <c r="S1959" s="11">
        <f t="shared" si="189"/>
        <v>4540.8999999999996</v>
      </c>
      <c r="T1959" s="10" t="s">
        <v>349</v>
      </c>
      <c r="U1959" t="s">
        <v>32</v>
      </c>
      <c r="V1959" s="58">
        <v>7.1775000000000002</v>
      </c>
      <c r="W1959" s="38">
        <f t="shared" si="185"/>
        <v>4618.5997910135839</v>
      </c>
    </row>
    <row r="1960" spans="1:23" s="15" customFormat="1">
      <c r="A1960" t="s">
        <v>4207</v>
      </c>
      <c r="B1960" s="20">
        <v>45756</v>
      </c>
      <c r="C1960" s="20">
        <v>45729</v>
      </c>
      <c r="D1960" t="s">
        <v>143</v>
      </c>
      <c r="E1960" t="s">
        <v>144</v>
      </c>
      <c r="F1960" s="19"/>
      <c r="G1960" t="s">
        <v>4501</v>
      </c>
      <c r="H1960" t="s">
        <v>141</v>
      </c>
      <c r="I1960" t="s">
        <v>142</v>
      </c>
      <c r="J1960" s="8" t="str">
        <f t="shared" si="186"/>
        <v>KNOB</v>
      </c>
      <c r="K1960" t="s">
        <v>10</v>
      </c>
      <c r="L1960" s="46">
        <v>1110</v>
      </c>
      <c r="M1960" t="s">
        <v>1472</v>
      </c>
      <c r="N1960" t="s">
        <v>11</v>
      </c>
      <c r="O1960" s="49">
        <v>5.0999999999999996</v>
      </c>
      <c r="P1960" s="9">
        <f t="shared" si="184"/>
        <v>5661</v>
      </c>
      <c r="Q1960" s="10">
        <f t="shared" si="187"/>
        <v>7.3003400000000003</v>
      </c>
      <c r="R1960" s="10">
        <f t="shared" si="188"/>
        <v>0.6986</v>
      </c>
      <c r="S1960" s="11">
        <f t="shared" si="189"/>
        <v>775.45</v>
      </c>
      <c r="T1960" s="10" t="s">
        <v>349</v>
      </c>
      <c r="U1960" t="s">
        <v>32</v>
      </c>
      <c r="V1960" s="58">
        <v>7.1775000000000002</v>
      </c>
      <c r="W1960" s="38">
        <f t="shared" si="185"/>
        <v>788.71473354231966</v>
      </c>
    </row>
    <row r="1961" spans="1:23" s="15" customFormat="1">
      <c r="A1961" t="s">
        <v>4207</v>
      </c>
      <c r="B1961" s="20">
        <v>45754</v>
      </c>
      <c r="C1961" s="20">
        <v>45729</v>
      </c>
      <c r="D1961" t="s">
        <v>143</v>
      </c>
      <c r="E1961" t="s">
        <v>144</v>
      </c>
      <c r="F1961" s="19"/>
      <c r="G1961" t="s">
        <v>4500</v>
      </c>
      <c r="H1961" t="s">
        <v>141</v>
      </c>
      <c r="I1961" t="s">
        <v>142</v>
      </c>
      <c r="J1961" s="8" t="str">
        <f t="shared" si="186"/>
        <v>KNOB</v>
      </c>
      <c r="K1961" t="s">
        <v>10</v>
      </c>
      <c r="L1961" s="46">
        <v>40</v>
      </c>
      <c r="M1961" t="s">
        <v>1472</v>
      </c>
      <c r="N1961" t="s">
        <v>11</v>
      </c>
      <c r="O1961" s="49">
        <v>5.0999999999999996</v>
      </c>
      <c r="P1961" s="9">
        <f t="shared" si="184"/>
        <v>204</v>
      </c>
      <c r="Q1961" s="10">
        <f t="shared" si="187"/>
        <v>7.3003400000000003</v>
      </c>
      <c r="R1961" s="10">
        <f t="shared" si="188"/>
        <v>0.6986</v>
      </c>
      <c r="S1961" s="11">
        <f t="shared" si="189"/>
        <v>27.94</v>
      </c>
      <c r="T1961" s="10" t="s">
        <v>349</v>
      </c>
      <c r="U1961" t="s">
        <v>32</v>
      </c>
      <c r="V1961" s="58">
        <v>7.1775000000000002</v>
      </c>
      <c r="W1961" s="38">
        <f t="shared" si="185"/>
        <v>28.422152560083592</v>
      </c>
    </row>
    <row r="1962" spans="1:23" s="15" customFormat="1">
      <c r="A1962" t="s">
        <v>4208</v>
      </c>
      <c r="B1962" s="20">
        <v>45755</v>
      </c>
      <c r="C1962" s="20">
        <v>45749</v>
      </c>
      <c r="D1962" t="s">
        <v>5</v>
      </c>
      <c r="E1962" t="s">
        <v>6</v>
      </c>
      <c r="F1962" s="19"/>
      <c r="G1962" t="s">
        <v>4502</v>
      </c>
      <c r="H1962" t="s">
        <v>1774</v>
      </c>
      <c r="I1962" t="s">
        <v>1775</v>
      </c>
      <c r="J1962" s="8" t="str">
        <f t="shared" si="186"/>
        <v>BOX-</v>
      </c>
      <c r="K1962" t="s">
        <v>10</v>
      </c>
      <c r="L1962" s="46">
        <v>1010</v>
      </c>
      <c r="M1962" t="s">
        <v>1472</v>
      </c>
      <c r="N1962" t="s">
        <v>11</v>
      </c>
      <c r="O1962" s="49">
        <v>5.17</v>
      </c>
      <c r="P1962" s="9">
        <f t="shared" si="184"/>
        <v>5221.7</v>
      </c>
      <c r="Q1962" s="10">
        <f t="shared" si="187"/>
        <v>7.3003400000000003</v>
      </c>
      <c r="R1962" s="10">
        <f t="shared" si="188"/>
        <v>0.70820000000000005</v>
      </c>
      <c r="S1962" s="11">
        <f t="shared" si="189"/>
        <v>715.28</v>
      </c>
      <c r="T1962" s="10" t="s">
        <v>349</v>
      </c>
      <c r="U1962" t="s">
        <v>1</v>
      </c>
      <c r="V1962" s="58">
        <v>7.1775000000000002</v>
      </c>
      <c r="W1962" s="38">
        <f t="shared" si="185"/>
        <v>727.50957854406124</v>
      </c>
    </row>
    <row r="1963" spans="1:23" s="15" customFormat="1">
      <c r="A1963" t="s">
        <v>4209</v>
      </c>
      <c r="B1963" s="20">
        <v>45755</v>
      </c>
      <c r="C1963" s="20">
        <v>45749</v>
      </c>
      <c r="D1963" t="s">
        <v>5</v>
      </c>
      <c r="E1963" t="s">
        <v>6</v>
      </c>
      <c r="F1963" s="19"/>
      <c r="G1963" t="s">
        <v>4417</v>
      </c>
      <c r="H1963" t="s">
        <v>3762</v>
      </c>
      <c r="I1963" t="s">
        <v>3763</v>
      </c>
      <c r="J1963" s="8" t="str">
        <f t="shared" si="186"/>
        <v>BOX-</v>
      </c>
      <c r="K1963" t="s">
        <v>10</v>
      </c>
      <c r="L1963" s="46">
        <v>1010</v>
      </c>
      <c r="M1963" t="s">
        <v>1472</v>
      </c>
      <c r="N1963" t="s">
        <v>11</v>
      </c>
      <c r="O1963" s="49">
        <v>5.19</v>
      </c>
      <c r="P1963" s="9">
        <f t="shared" si="184"/>
        <v>5241.8999999999996</v>
      </c>
      <c r="Q1963" s="10">
        <f t="shared" si="187"/>
        <v>7.3003400000000003</v>
      </c>
      <c r="R1963" s="10">
        <f t="shared" si="188"/>
        <v>0.71089999999999998</v>
      </c>
      <c r="S1963" s="11">
        <f t="shared" si="189"/>
        <v>718.01</v>
      </c>
      <c r="T1963" s="10" t="s">
        <v>349</v>
      </c>
      <c r="U1963" t="s">
        <v>1</v>
      </c>
      <c r="V1963" s="58">
        <v>7.1775000000000002</v>
      </c>
      <c r="W1963" s="38">
        <f t="shared" si="185"/>
        <v>730.32392894461861</v>
      </c>
    </row>
    <row r="1964" spans="1:23" s="15" customFormat="1">
      <c r="A1964" t="s">
        <v>2069</v>
      </c>
      <c r="B1964" s="20">
        <v>45765</v>
      </c>
      <c r="C1964" s="20">
        <v>45646</v>
      </c>
      <c r="D1964" t="s">
        <v>866</v>
      </c>
      <c r="E1964" t="s">
        <v>867</v>
      </c>
      <c r="F1964" s="19"/>
      <c r="G1964" t="s">
        <v>4503</v>
      </c>
      <c r="H1964" t="s">
        <v>34</v>
      </c>
      <c r="I1964" t="s">
        <v>35</v>
      </c>
      <c r="J1964" s="8" t="str">
        <f t="shared" si="186"/>
        <v>ANYD</v>
      </c>
      <c r="K1964" t="s">
        <v>10</v>
      </c>
      <c r="L1964" s="46">
        <v>13008</v>
      </c>
      <c r="M1964" t="s">
        <v>1472</v>
      </c>
      <c r="N1964" t="s">
        <v>11</v>
      </c>
      <c r="O1964" s="49">
        <v>5.2389000000000001</v>
      </c>
      <c r="P1964" s="9">
        <f t="shared" si="184"/>
        <v>68147.61</v>
      </c>
      <c r="Q1964" s="10">
        <f t="shared" si="187"/>
        <v>7.3003400000000003</v>
      </c>
      <c r="R1964" s="10">
        <f t="shared" si="188"/>
        <v>0.71760000000000002</v>
      </c>
      <c r="S1964" s="11">
        <f t="shared" si="189"/>
        <v>9334.5400000000009</v>
      </c>
      <c r="T1964" s="10" t="s">
        <v>349</v>
      </c>
      <c r="U1964" t="s">
        <v>36</v>
      </c>
      <c r="V1964" s="58">
        <v>7.1775000000000002</v>
      </c>
      <c r="W1964" s="38">
        <f t="shared" si="185"/>
        <v>9494.6166771159878</v>
      </c>
    </row>
    <row r="1965" spans="1:23" s="15" customFormat="1">
      <c r="A1965" t="s">
        <v>2070</v>
      </c>
      <c r="B1965" s="20">
        <v>45765</v>
      </c>
      <c r="C1965" s="20">
        <v>45309</v>
      </c>
      <c r="D1965" t="s">
        <v>866</v>
      </c>
      <c r="E1965" t="s">
        <v>867</v>
      </c>
      <c r="F1965" s="19"/>
      <c r="G1965" t="s">
        <v>4504</v>
      </c>
      <c r="H1965" t="s">
        <v>1497</v>
      </c>
      <c r="I1965" t="s">
        <v>1498</v>
      </c>
      <c r="J1965" s="8" t="str">
        <f t="shared" si="186"/>
        <v>ANYD</v>
      </c>
      <c r="K1965" t="s">
        <v>10</v>
      </c>
      <c r="L1965" s="46">
        <v>3000</v>
      </c>
      <c r="M1965" t="s">
        <v>1472</v>
      </c>
      <c r="N1965" t="s">
        <v>11</v>
      </c>
      <c r="O1965" s="49">
        <v>5.3574999999999999</v>
      </c>
      <c r="P1965" s="9">
        <f t="shared" si="184"/>
        <v>16072.5</v>
      </c>
      <c r="Q1965" s="10">
        <f t="shared" si="187"/>
        <v>7.3003400000000003</v>
      </c>
      <c r="R1965" s="10">
        <f t="shared" si="188"/>
        <v>0.7339</v>
      </c>
      <c r="S1965" s="11">
        <f t="shared" si="189"/>
        <v>2201.6999999999998</v>
      </c>
      <c r="T1965" s="10" t="s">
        <v>349</v>
      </c>
      <c r="U1965" t="s">
        <v>36</v>
      </c>
      <c r="V1965" s="58">
        <v>7.1775000000000002</v>
      </c>
      <c r="W1965" s="38">
        <f t="shared" si="185"/>
        <v>2239.2894461859978</v>
      </c>
    </row>
    <row r="1966" spans="1:23" s="15" customFormat="1">
      <c r="A1966" t="s">
        <v>910</v>
      </c>
      <c r="B1966" s="20">
        <v>45765</v>
      </c>
      <c r="C1966" s="20">
        <v>45287</v>
      </c>
      <c r="D1966" t="s">
        <v>866</v>
      </c>
      <c r="E1966" t="s">
        <v>867</v>
      </c>
      <c r="F1966" s="19"/>
      <c r="G1966" t="s">
        <v>4505</v>
      </c>
      <c r="H1966" t="s">
        <v>908</v>
      </c>
      <c r="I1966" t="s">
        <v>909</v>
      </c>
      <c r="J1966" s="8" t="str">
        <f t="shared" si="186"/>
        <v>ANYD</v>
      </c>
      <c r="K1966" t="s">
        <v>10</v>
      </c>
      <c r="L1966" s="46">
        <v>2016</v>
      </c>
      <c r="M1966" t="s">
        <v>1472</v>
      </c>
      <c r="N1966" t="s">
        <v>11</v>
      </c>
      <c r="O1966" s="49">
        <v>5.3804999999999996</v>
      </c>
      <c r="P1966" s="9">
        <f t="shared" si="184"/>
        <v>10847.09</v>
      </c>
      <c r="Q1966" s="10">
        <f t="shared" si="187"/>
        <v>7.3003400000000003</v>
      </c>
      <c r="R1966" s="10">
        <f t="shared" si="188"/>
        <v>0.73699999999999999</v>
      </c>
      <c r="S1966" s="11">
        <f t="shared" si="189"/>
        <v>1485.79</v>
      </c>
      <c r="T1966" s="10" t="s">
        <v>349</v>
      </c>
      <c r="U1966" t="s">
        <v>36</v>
      </c>
      <c r="V1966" s="58">
        <v>7.1775000000000002</v>
      </c>
      <c r="W1966" s="38">
        <f t="shared" si="185"/>
        <v>1511.2626959247648</v>
      </c>
    </row>
    <row r="1967" spans="1:23" s="15" customFormat="1">
      <c r="A1967" t="s">
        <v>4210</v>
      </c>
      <c r="B1967" s="20">
        <v>45764</v>
      </c>
      <c r="C1967" s="20">
        <v>45761</v>
      </c>
      <c r="D1967" t="s">
        <v>5</v>
      </c>
      <c r="E1967" t="s">
        <v>6</v>
      </c>
      <c r="F1967" s="19"/>
      <c r="G1967" t="s">
        <v>4409</v>
      </c>
      <c r="H1967" t="s">
        <v>3764</v>
      </c>
      <c r="I1967" t="s">
        <v>3765</v>
      </c>
      <c r="J1967" s="8" t="str">
        <f t="shared" si="186"/>
        <v>SHTS</v>
      </c>
      <c r="K1967" t="s">
        <v>10</v>
      </c>
      <c r="L1967" s="46">
        <v>505</v>
      </c>
      <c r="M1967" t="s">
        <v>1472</v>
      </c>
      <c r="N1967" t="s">
        <v>11</v>
      </c>
      <c r="O1967" s="49">
        <v>5.41</v>
      </c>
      <c r="P1967" s="9">
        <f t="shared" si="184"/>
        <v>2732.05</v>
      </c>
      <c r="Q1967" s="10">
        <f t="shared" si="187"/>
        <v>7.3003400000000003</v>
      </c>
      <c r="R1967" s="10">
        <f t="shared" si="188"/>
        <v>0.74109999999999998</v>
      </c>
      <c r="S1967" s="11">
        <f t="shared" si="189"/>
        <v>374.26</v>
      </c>
      <c r="T1967" s="10" t="s">
        <v>349</v>
      </c>
      <c r="U1967" t="s">
        <v>9</v>
      </c>
      <c r="V1967" s="58">
        <v>7.1775000000000002</v>
      </c>
      <c r="W1967" s="38">
        <f t="shared" si="185"/>
        <v>380.64089167537441</v>
      </c>
    </row>
    <row r="1968" spans="1:23" s="15" customFormat="1">
      <c r="A1968" t="s">
        <v>4211</v>
      </c>
      <c r="B1968" s="20">
        <v>45754</v>
      </c>
      <c r="C1968" s="20">
        <v>45695</v>
      </c>
      <c r="D1968" t="s">
        <v>696</v>
      </c>
      <c r="E1968" t="s">
        <v>697</v>
      </c>
      <c r="F1968" s="19"/>
      <c r="G1968" t="s">
        <v>4506</v>
      </c>
      <c r="H1968" t="s">
        <v>694</v>
      </c>
      <c r="I1968" t="s">
        <v>695</v>
      </c>
      <c r="J1968" s="8" t="str">
        <f t="shared" si="186"/>
        <v>ANYD</v>
      </c>
      <c r="K1968" t="s">
        <v>10</v>
      </c>
      <c r="L1968" s="46">
        <v>2600</v>
      </c>
      <c r="M1968" t="s">
        <v>1472</v>
      </c>
      <c r="N1968" t="s">
        <v>11</v>
      </c>
      <c r="O1968" s="49">
        <v>5.49</v>
      </c>
      <c r="P1968" s="9">
        <f t="shared" si="184"/>
        <v>14274</v>
      </c>
      <c r="Q1968" s="10">
        <f t="shared" si="187"/>
        <v>7.3003400000000003</v>
      </c>
      <c r="R1968" s="10">
        <f t="shared" si="188"/>
        <v>0.752</v>
      </c>
      <c r="S1968" s="11">
        <f t="shared" si="189"/>
        <v>1955.2</v>
      </c>
      <c r="T1968" s="10" t="s">
        <v>349</v>
      </c>
      <c r="U1968" t="s">
        <v>36</v>
      </c>
      <c r="V1968" s="58">
        <v>7.1775000000000002</v>
      </c>
      <c r="W1968" s="38">
        <f t="shared" si="185"/>
        <v>1988.7147335423197</v>
      </c>
    </row>
    <row r="1969" spans="1:23" s="15" customFormat="1">
      <c r="A1969" t="s">
        <v>4211</v>
      </c>
      <c r="B1969" s="20">
        <v>45750</v>
      </c>
      <c r="C1969" s="20">
        <v>45695</v>
      </c>
      <c r="D1969" t="s">
        <v>696</v>
      </c>
      <c r="E1969" t="s">
        <v>697</v>
      </c>
      <c r="F1969" s="19"/>
      <c r="G1969" t="s">
        <v>4507</v>
      </c>
      <c r="H1969" t="s">
        <v>694</v>
      </c>
      <c r="I1969" t="s">
        <v>695</v>
      </c>
      <c r="J1969" s="8" t="str">
        <f t="shared" si="186"/>
        <v>ANYD</v>
      </c>
      <c r="K1969" t="s">
        <v>10</v>
      </c>
      <c r="L1969" s="46">
        <v>1500</v>
      </c>
      <c r="M1969" t="s">
        <v>1472</v>
      </c>
      <c r="N1969" t="s">
        <v>11</v>
      </c>
      <c r="O1969" s="49">
        <v>5.49</v>
      </c>
      <c r="P1969" s="9">
        <f t="shared" si="184"/>
        <v>8235</v>
      </c>
      <c r="Q1969" s="10">
        <f t="shared" si="187"/>
        <v>7.3003400000000003</v>
      </c>
      <c r="R1969" s="10">
        <f t="shared" si="188"/>
        <v>0.752</v>
      </c>
      <c r="S1969" s="11">
        <f t="shared" si="189"/>
        <v>1128</v>
      </c>
      <c r="T1969" s="10" t="s">
        <v>349</v>
      </c>
      <c r="U1969" t="s">
        <v>36</v>
      </c>
      <c r="V1969" s="58">
        <v>7.1775000000000002</v>
      </c>
      <c r="W1969" s="38">
        <f t="shared" si="185"/>
        <v>1147.3354231974922</v>
      </c>
    </row>
    <row r="1970" spans="1:23" s="15" customFormat="1">
      <c r="A1970" t="s">
        <v>4212</v>
      </c>
      <c r="B1970" s="20">
        <v>45754</v>
      </c>
      <c r="C1970" s="20">
        <v>45695</v>
      </c>
      <c r="D1970" t="s">
        <v>696</v>
      </c>
      <c r="E1970" t="s">
        <v>697</v>
      </c>
      <c r="F1970" s="19"/>
      <c r="G1970" t="s">
        <v>4506</v>
      </c>
      <c r="H1970" t="s">
        <v>694</v>
      </c>
      <c r="I1970" t="s">
        <v>695</v>
      </c>
      <c r="J1970" s="8" t="str">
        <f t="shared" si="186"/>
        <v>ANYD</v>
      </c>
      <c r="K1970" t="s">
        <v>10</v>
      </c>
      <c r="L1970" s="46">
        <v>2050</v>
      </c>
      <c r="M1970" t="s">
        <v>1472</v>
      </c>
      <c r="N1970" t="s">
        <v>11</v>
      </c>
      <c r="O1970" s="49">
        <v>5.49</v>
      </c>
      <c r="P1970" s="9">
        <f t="shared" si="184"/>
        <v>11254.5</v>
      </c>
      <c r="Q1970" s="10">
        <f t="shared" si="187"/>
        <v>7.3003400000000003</v>
      </c>
      <c r="R1970" s="10">
        <f t="shared" si="188"/>
        <v>0.752</v>
      </c>
      <c r="S1970" s="11">
        <f t="shared" si="189"/>
        <v>1541.6</v>
      </c>
      <c r="T1970" s="10" t="s">
        <v>349</v>
      </c>
      <c r="U1970" t="s">
        <v>36</v>
      </c>
      <c r="V1970" s="58">
        <v>7.1775000000000002</v>
      </c>
      <c r="W1970" s="38">
        <f t="shared" si="185"/>
        <v>1568.0250783699059</v>
      </c>
    </row>
    <row r="1971" spans="1:23" s="15" customFormat="1">
      <c r="A1971" t="s">
        <v>4213</v>
      </c>
      <c r="B1971" s="20">
        <v>45762</v>
      </c>
      <c r="C1971" s="20">
        <v>45716</v>
      </c>
      <c r="D1971" t="s">
        <v>696</v>
      </c>
      <c r="E1971" t="s">
        <v>697</v>
      </c>
      <c r="F1971" s="19"/>
      <c r="G1971" t="s">
        <v>4508</v>
      </c>
      <c r="H1971" t="s">
        <v>694</v>
      </c>
      <c r="I1971" t="s">
        <v>695</v>
      </c>
      <c r="J1971" s="8" t="str">
        <f t="shared" si="186"/>
        <v>ANYD</v>
      </c>
      <c r="K1971" t="s">
        <v>10</v>
      </c>
      <c r="L1971" s="46">
        <v>1600</v>
      </c>
      <c r="M1971" t="s">
        <v>1472</v>
      </c>
      <c r="N1971" t="s">
        <v>11</v>
      </c>
      <c r="O1971" s="49">
        <v>5.49</v>
      </c>
      <c r="P1971" s="9">
        <f t="shared" si="184"/>
        <v>8784</v>
      </c>
      <c r="Q1971" s="10">
        <f t="shared" si="187"/>
        <v>7.3003400000000003</v>
      </c>
      <c r="R1971" s="10">
        <f t="shared" si="188"/>
        <v>0.752</v>
      </c>
      <c r="S1971" s="11">
        <f t="shared" si="189"/>
        <v>1203.2</v>
      </c>
      <c r="T1971" s="10" t="s">
        <v>349</v>
      </c>
      <c r="U1971" t="s">
        <v>36</v>
      </c>
      <c r="V1971" s="58">
        <v>7.1775000000000002</v>
      </c>
      <c r="W1971" s="38">
        <f t="shared" si="185"/>
        <v>1223.8244514106582</v>
      </c>
    </row>
    <row r="1972" spans="1:23" s="15" customFormat="1">
      <c r="A1972" t="s">
        <v>4214</v>
      </c>
      <c r="B1972" s="20">
        <v>45762</v>
      </c>
      <c r="C1972" s="20">
        <v>45716</v>
      </c>
      <c r="D1972" t="s">
        <v>696</v>
      </c>
      <c r="E1972" t="s">
        <v>697</v>
      </c>
      <c r="F1972" s="19"/>
      <c r="G1972" t="s">
        <v>4508</v>
      </c>
      <c r="H1972" t="s">
        <v>694</v>
      </c>
      <c r="I1972" t="s">
        <v>695</v>
      </c>
      <c r="J1972" s="8" t="str">
        <f t="shared" si="186"/>
        <v>ANYD</v>
      </c>
      <c r="K1972" t="s">
        <v>10</v>
      </c>
      <c r="L1972" s="46">
        <v>2300</v>
      </c>
      <c r="M1972" t="s">
        <v>1472</v>
      </c>
      <c r="N1972" t="s">
        <v>11</v>
      </c>
      <c r="O1972" s="49">
        <v>5.49</v>
      </c>
      <c r="P1972" s="9">
        <f t="shared" si="184"/>
        <v>12627</v>
      </c>
      <c r="Q1972" s="10">
        <f t="shared" si="187"/>
        <v>7.3003400000000003</v>
      </c>
      <c r="R1972" s="10">
        <f t="shared" si="188"/>
        <v>0.752</v>
      </c>
      <c r="S1972" s="11">
        <f t="shared" si="189"/>
        <v>1729.6</v>
      </c>
      <c r="T1972" s="10" t="s">
        <v>349</v>
      </c>
      <c r="U1972" t="s">
        <v>36</v>
      </c>
      <c r="V1972" s="58">
        <v>7.1775000000000002</v>
      </c>
      <c r="W1972" s="38">
        <f t="shared" si="185"/>
        <v>1759.2476489028213</v>
      </c>
    </row>
    <row r="1973" spans="1:23" s="15" customFormat="1">
      <c r="A1973" t="s">
        <v>4215</v>
      </c>
      <c r="B1973" s="20">
        <v>45764</v>
      </c>
      <c r="C1973" s="20">
        <v>45761</v>
      </c>
      <c r="D1973" t="s">
        <v>5</v>
      </c>
      <c r="E1973" t="s">
        <v>6</v>
      </c>
      <c r="F1973" s="19"/>
      <c r="G1973" t="s">
        <v>4409</v>
      </c>
      <c r="H1973" t="s">
        <v>3766</v>
      </c>
      <c r="I1973" t="s">
        <v>3767</v>
      </c>
      <c r="J1973" s="8" t="str">
        <f t="shared" si="186"/>
        <v>SHTS</v>
      </c>
      <c r="K1973" t="s">
        <v>10</v>
      </c>
      <c r="L1973" s="46">
        <v>505</v>
      </c>
      <c r="M1973" t="s">
        <v>1472</v>
      </c>
      <c r="N1973" t="s">
        <v>11</v>
      </c>
      <c r="O1973" s="49">
        <v>5.54</v>
      </c>
      <c r="P1973" s="9">
        <f t="shared" si="184"/>
        <v>2797.7</v>
      </c>
      <c r="Q1973" s="10">
        <f t="shared" si="187"/>
        <v>7.3003400000000003</v>
      </c>
      <c r="R1973" s="10">
        <f t="shared" si="188"/>
        <v>0.75890000000000002</v>
      </c>
      <c r="S1973" s="11">
        <f t="shared" si="189"/>
        <v>383.24</v>
      </c>
      <c r="T1973" s="10" t="s">
        <v>349</v>
      </c>
      <c r="U1973" t="s">
        <v>9</v>
      </c>
      <c r="V1973" s="58">
        <v>7.1775000000000002</v>
      </c>
      <c r="W1973" s="38">
        <f t="shared" si="185"/>
        <v>389.78753047718561</v>
      </c>
    </row>
    <row r="1974" spans="1:23" s="15" customFormat="1">
      <c r="A1974" t="s">
        <v>4216</v>
      </c>
      <c r="B1974" s="20">
        <v>45762</v>
      </c>
      <c r="C1974" s="20">
        <v>45728</v>
      </c>
      <c r="D1974" t="s">
        <v>149</v>
      </c>
      <c r="E1974" t="s">
        <v>150</v>
      </c>
      <c r="F1974" s="19"/>
      <c r="G1974" t="s">
        <v>4435</v>
      </c>
      <c r="H1974" t="s">
        <v>3768</v>
      </c>
      <c r="I1974" t="s">
        <v>3769</v>
      </c>
      <c r="J1974" s="8" t="str">
        <f t="shared" si="186"/>
        <v>GLID</v>
      </c>
      <c r="K1974" t="s">
        <v>10</v>
      </c>
      <c r="L1974" s="46">
        <v>530</v>
      </c>
      <c r="M1974" t="s">
        <v>1472</v>
      </c>
      <c r="N1974" t="s">
        <v>11</v>
      </c>
      <c r="O1974" s="49">
        <v>5.7447999999999997</v>
      </c>
      <c r="P1974" s="9">
        <f t="shared" si="184"/>
        <v>3044.74</v>
      </c>
      <c r="Q1974" s="10">
        <f t="shared" si="187"/>
        <v>7.3003400000000003</v>
      </c>
      <c r="R1974" s="10">
        <f t="shared" si="188"/>
        <v>0.78690000000000004</v>
      </c>
      <c r="S1974" s="11">
        <f t="shared" si="189"/>
        <v>417.06</v>
      </c>
      <c r="T1974" s="10" t="s">
        <v>349</v>
      </c>
      <c r="U1974" t="s">
        <v>78</v>
      </c>
      <c r="V1974" s="58">
        <v>7.1775000000000002</v>
      </c>
      <c r="W1974" s="38">
        <f t="shared" si="185"/>
        <v>424.20675722744687</v>
      </c>
    </row>
    <row r="1975" spans="1:23" s="15" customFormat="1">
      <c r="A1975" t="s">
        <v>4217</v>
      </c>
      <c r="B1975" s="20">
        <v>45768</v>
      </c>
      <c r="C1975" s="20">
        <v>45720</v>
      </c>
      <c r="D1975" t="s">
        <v>143</v>
      </c>
      <c r="E1975" t="s">
        <v>144</v>
      </c>
      <c r="F1975" s="19"/>
      <c r="G1975" t="s">
        <v>4509</v>
      </c>
      <c r="H1975" t="s">
        <v>3770</v>
      </c>
      <c r="I1975" t="s">
        <v>3771</v>
      </c>
      <c r="J1975" s="8" t="str">
        <f t="shared" si="186"/>
        <v>LHDL</v>
      </c>
      <c r="K1975" t="s">
        <v>10</v>
      </c>
      <c r="L1975" s="46">
        <v>1010</v>
      </c>
      <c r="M1975" t="s">
        <v>1472</v>
      </c>
      <c r="N1975" t="s">
        <v>11</v>
      </c>
      <c r="O1975" s="49">
        <v>5.7778999999999998</v>
      </c>
      <c r="P1975" s="9">
        <f t="shared" si="184"/>
        <v>5835.68</v>
      </c>
      <c r="Q1975" s="10">
        <f t="shared" si="187"/>
        <v>7.3003400000000003</v>
      </c>
      <c r="R1975" s="10">
        <f t="shared" si="188"/>
        <v>0.79149999999999998</v>
      </c>
      <c r="S1975" s="11">
        <f t="shared" si="189"/>
        <v>799.42</v>
      </c>
      <c r="T1975" s="10" t="s">
        <v>349</v>
      </c>
      <c r="U1975" t="s">
        <v>125</v>
      </c>
      <c r="V1975" s="58">
        <v>7.1775000000000002</v>
      </c>
      <c r="W1975" s="38">
        <f t="shared" si="185"/>
        <v>813.05175896900028</v>
      </c>
    </row>
    <row r="1976" spans="1:23" s="15" customFormat="1">
      <c r="A1976" t="s">
        <v>4218</v>
      </c>
      <c r="B1976" s="20">
        <v>45776</v>
      </c>
      <c r="C1976" s="20">
        <v>45695</v>
      </c>
      <c r="D1976" t="s">
        <v>569</v>
      </c>
      <c r="E1976" t="s">
        <v>570</v>
      </c>
      <c r="F1976" s="19"/>
      <c r="G1976" t="s">
        <v>4386</v>
      </c>
      <c r="H1976" t="s">
        <v>1780</v>
      </c>
      <c r="I1976" t="s">
        <v>1781</v>
      </c>
      <c r="J1976" s="8" t="str">
        <f t="shared" si="186"/>
        <v>MISC</v>
      </c>
      <c r="K1976" t="s">
        <v>10</v>
      </c>
      <c r="L1976" s="46">
        <v>2620</v>
      </c>
      <c r="M1976" t="s">
        <v>1472</v>
      </c>
      <c r="N1976" t="s">
        <v>11</v>
      </c>
      <c r="O1976" s="49">
        <v>5.8996000000000004</v>
      </c>
      <c r="P1976" s="9">
        <f t="shared" si="184"/>
        <v>15456.95</v>
      </c>
      <c r="Q1976" s="10">
        <f t="shared" si="187"/>
        <v>7.3003400000000003</v>
      </c>
      <c r="R1976" s="10">
        <f t="shared" si="188"/>
        <v>0.80810000000000004</v>
      </c>
      <c r="S1976" s="11">
        <f t="shared" si="189"/>
        <v>2117.2199999999998</v>
      </c>
      <c r="T1976" s="10" t="s">
        <v>349</v>
      </c>
      <c r="U1976" t="s">
        <v>25</v>
      </c>
      <c r="V1976" s="58">
        <v>7.1775000000000002</v>
      </c>
      <c r="W1976" s="38">
        <f t="shared" si="185"/>
        <v>2153.5286659700455</v>
      </c>
    </row>
    <row r="1977" spans="1:23" s="15" customFormat="1">
      <c r="A1977" t="s">
        <v>4219</v>
      </c>
      <c r="B1977" s="20">
        <v>45750</v>
      </c>
      <c r="C1977" s="20">
        <v>45680</v>
      </c>
      <c r="D1977" t="s">
        <v>696</v>
      </c>
      <c r="E1977" t="s">
        <v>697</v>
      </c>
      <c r="F1977" s="19"/>
      <c r="G1977" t="s">
        <v>4507</v>
      </c>
      <c r="H1977" t="s">
        <v>700</v>
      </c>
      <c r="I1977" t="s">
        <v>701</v>
      </c>
      <c r="J1977" s="8" t="str">
        <f t="shared" si="186"/>
        <v>ANYD</v>
      </c>
      <c r="K1977" t="s">
        <v>10</v>
      </c>
      <c r="L1977" s="46">
        <v>3300</v>
      </c>
      <c r="M1977" t="s">
        <v>1472</v>
      </c>
      <c r="N1977" t="s">
        <v>11</v>
      </c>
      <c r="O1977" s="49">
        <v>6.01</v>
      </c>
      <c r="P1977" s="9">
        <f t="shared" si="184"/>
        <v>19833</v>
      </c>
      <c r="Q1977" s="10">
        <f t="shared" si="187"/>
        <v>7.3003400000000003</v>
      </c>
      <c r="R1977" s="10">
        <f t="shared" si="188"/>
        <v>0.82320000000000004</v>
      </c>
      <c r="S1977" s="11">
        <f t="shared" si="189"/>
        <v>2716.56</v>
      </c>
      <c r="T1977" s="10" t="s">
        <v>349</v>
      </c>
      <c r="U1977" t="s">
        <v>36</v>
      </c>
      <c r="V1977" s="58">
        <v>7.1775000000000002</v>
      </c>
      <c r="W1977" s="38">
        <f t="shared" si="185"/>
        <v>2763.2183908045977</v>
      </c>
    </row>
    <row r="1978" spans="1:23" s="15" customFormat="1">
      <c r="A1978" t="s">
        <v>868</v>
      </c>
      <c r="B1978" s="20">
        <v>45765</v>
      </c>
      <c r="C1978" s="20">
        <v>45309</v>
      </c>
      <c r="D1978" t="s">
        <v>866</v>
      </c>
      <c r="E1978" t="s">
        <v>867</v>
      </c>
      <c r="F1978" s="19"/>
      <c r="G1978" t="s">
        <v>4504</v>
      </c>
      <c r="H1978" t="s">
        <v>864</v>
      </c>
      <c r="I1978" t="s">
        <v>865</v>
      </c>
      <c r="J1978" s="8" t="str">
        <f t="shared" si="186"/>
        <v>ANYD</v>
      </c>
      <c r="K1978" t="s">
        <v>10</v>
      </c>
      <c r="L1978" s="46">
        <v>2000</v>
      </c>
      <c r="M1978" t="s">
        <v>1472</v>
      </c>
      <c r="N1978" t="s">
        <v>11</v>
      </c>
      <c r="O1978" s="49">
        <v>6.0212000000000003</v>
      </c>
      <c r="P1978" s="9">
        <f t="shared" si="184"/>
        <v>12042.4</v>
      </c>
      <c r="Q1978" s="10">
        <f t="shared" si="187"/>
        <v>7.3003400000000003</v>
      </c>
      <c r="R1978" s="10">
        <f t="shared" si="188"/>
        <v>0.82479999999999998</v>
      </c>
      <c r="S1978" s="11">
        <f t="shared" si="189"/>
        <v>1649.6</v>
      </c>
      <c r="T1978" s="10" t="s">
        <v>349</v>
      </c>
      <c r="U1978" t="s">
        <v>36</v>
      </c>
      <c r="V1978" s="58">
        <v>7.1775000000000002</v>
      </c>
      <c r="W1978" s="38">
        <f t="shared" si="185"/>
        <v>1677.7986764193663</v>
      </c>
    </row>
    <row r="1979" spans="1:23" s="15" customFormat="1">
      <c r="A1979" t="s">
        <v>4220</v>
      </c>
      <c r="B1979" s="20">
        <v>45765</v>
      </c>
      <c r="C1979" s="20">
        <v>45720</v>
      </c>
      <c r="D1979" t="s">
        <v>143</v>
      </c>
      <c r="E1979" t="s">
        <v>144</v>
      </c>
      <c r="F1979" s="19"/>
      <c r="G1979" t="s">
        <v>4510</v>
      </c>
      <c r="H1979" t="s">
        <v>3772</v>
      </c>
      <c r="I1979" t="s">
        <v>3773</v>
      </c>
      <c r="J1979" s="8" t="str">
        <f t="shared" si="186"/>
        <v>LHDL</v>
      </c>
      <c r="K1979" t="s">
        <v>10</v>
      </c>
      <c r="L1979" s="46">
        <v>930</v>
      </c>
      <c r="M1979" t="s">
        <v>1472</v>
      </c>
      <c r="N1979" t="s">
        <v>11</v>
      </c>
      <c r="O1979" s="49">
        <v>6.1544999999999996</v>
      </c>
      <c r="P1979" s="9">
        <f t="shared" si="184"/>
        <v>5723.69</v>
      </c>
      <c r="Q1979" s="10">
        <f t="shared" si="187"/>
        <v>7.3003400000000003</v>
      </c>
      <c r="R1979" s="10">
        <f t="shared" si="188"/>
        <v>0.84299999999999997</v>
      </c>
      <c r="S1979" s="11">
        <f t="shared" si="189"/>
        <v>783.99</v>
      </c>
      <c r="T1979" s="10" t="s">
        <v>349</v>
      </c>
      <c r="U1979" t="s">
        <v>125</v>
      </c>
      <c r="V1979" s="58">
        <v>7.1775000000000002</v>
      </c>
      <c r="W1979" s="38">
        <f t="shared" si="185"/>
        <v>797.44827586206895</v>
      </c>
    </row>
    <row r="1980" spans="1:23" s="15" customFormat="1">
      <c r="A1980" t="s">
        <v>4221</v>
      </c>
      <c r="B1980" s="20">
        <v>45769</v>
      </c>
      <c r="C1980" s="20">
        <v>45728</v>
      </c>
      <c r="D1980" t="s">
        <v>149</v>
      </c>
      <c r="E1980" t="s">
        <v>150</v>
      </c>
      <c r="F1980" s="19"/>
      <c r="G1980" t="s">
        <v>4511</v>
      </c>
      <c r="H1980" t="s">
        <v>3774</v>
      </c>
      <c r="I1980" t="s">
        <v>3775</v>
      </c>
      <c r="J1980" s="8" t="str">
        <f t="shared" si="186"/>
        <v>GLID</v>
      </c>
      <c r="K1980" t="s">
        <v>10</v>
      </c>
      <c r="L1980" s="46">
        <v>520</v>
      </c>
      <c r="M1980" t="s">
        <v>1472</v>
      </c>
      <c r="N1980" t="s">
        <v>11</v>
      </c>
      <c r="O1980" s="49">
        <v>6.3079999999999998</v>
      </c>
      <c r="P1980" s="9">
        <f t="shared" si="184"/>
        <v>3280.16</v>
      </c>
      <c r="Q1980" s="10">
        <f t="shared" si="187"/>
        <v>7.3003400000000003</v>
      </c>
      <c r="R1980" s="10">
        <f t="shared" si="188"/>
        <v>0.86409999999999998</v>
      </c>
      <c r="S1980" s="11">
        <f t="shared" si="189"/>
        <v>449.33</v>
      </c>
      <c r="T1980" s="10" t="s">
        <v>349</v>
      </c>
      <c r="U1980" t="s">
        <v>78</v>
      </c>
      <c r="V1980" s="58">
        <v>7.1775000000000002</v>
      </c>
      <c r="W1980" s="38">
        <f t="shared" si="185"/>
        <v>457.00592128178329</v>
      </c>
    </row>
    <row r="1981" spans="1:23" s="15" customFormat="1">
      <c r="A1981" t="s">
        <v>4222</v>
      </c>
      <c r="B1981" s="20">
        <v>45748</v>
      </c>
      <c r="C1981" s="20">
        <v>45702</v>
      </c>
      <c r="D1981" t="s">
        <v>263</v>
      </c>
      <c r="E1981" t="s">
        <v>0</v>
      </c>
      <c r="F1981" s="19"/>
      <c r="G1981" t="s">
        <v>4512</v>
      </c>
      <c r="H1981" t="s">
        <v>261</v>
      </c>
      <c r="I1981" t="s">
        <v>262</v>
      </c>
      <c r="J1981" s="8" t="str">
        <f t="shared" si="186"/>
        <v>LHDL</v>
      </c>
      <c r="K1981" t="s">
        <v>10</v>
      </c>
      <c r="L1981" s="46">
        <v>2050</v>
      </c>
      <c r="M1981" t="s">
        <v>1472</v>
      </c>
      <c r="N1981" t="s">
        <v>11</v>
      </c>
      <c r="O1981" s="49">
        <v>6.3621999999999996</v>
      </c>
      <c r="P1981" s="9">
        <f t="shared" si="184"/>
        <v>13042.51</v>
      </c>
      <c r="Q1981" s="10">
        <f t="shared" si="187"/>
        <v>7.3003400000000003</v>
      </c>
      <c r="R1981" s="10">
        <f t="shared" si="188"/>
        <v>0.87150000000000005</v>
      </c>
      <c r="S1981" s="11">
        <f t="shared" si="189"/>
        <v>1786.58</v>
      </c>
      <c r="T1981" s="10" t="s">
        <v>349</v>
      </c>
      <c r="U1981" t="s">
        <v>125</v>
      </c>
      <c r="V1981" s="58">
        <v>7.1775000000000002</v>
      </c>
      <c r="W1981" s="38">
        <f t="shared" si="185"/>
        <v>1817.1382793451758</v>
      </c>
    </row>
    <row r="1982" spans="1:23" s="15" customFormat="1">
      <c r="A1982" t="s">
        <v>4223</v>
      </c>
      <c r="B1982" s="20">
        <v>45772</v>
      </c>
      <c r="C1982" s="20">
        <v>45768</v>
      </c>
      <c r="D1982" t="s">
        <v>4328</v>
      </c>
      <c r="E1982" t="s">
        <v>4329</v>
      </c>
      <c r="F1982" s="19"/>
      <c r="G1982" t="s">
        <v>4426</v>
      </c>
      <c r="H1982" t="s">
        <v>3776</v>
      </c>
      <c r="I1982" t="s">
        <v>3777</v>
      </c>
      <c r="J1982" s="8" t="str">
        <f t="shared" si="186"/>
        <v>SSM-</v>
      </c>
      <c r="K1982" t="s">
        <v>10</v>
      </c>
      <c r="L1982" s="46">
        <v>22681</v>
      </c>
      <c r="M1982" t="s">
        <v>186</v>
      </c>
      <c r="N1982" t="s">
        <v>11</v>
      </c>
      <c r="O1982" s="49">
        <v>6.5487000000000002</v>
      </c>
      <c r="P1982" s="9">
        <f t="shared" si="184"/>
        <v>148531.06</v>
      </c>
      <c r="Q1982" s="10">
        <f t="shared" si="187"/>
        <v>7.3003400000000003</v>
      </c>
      <c r="R1982" s="10">
        <f t="shared" si="188"/>
        <v>0.89700000000000002</v>
      </c>
      <c r="S1982" s="11">
        <f t="shared" si="189"/>
        <v>20344.86</v>
      </c>
      <c r="T1982" s="10" t="s">
        <v>349</v>
      </c>
      <c r="U1982" t="s">
        <v>33</v>
      </c>
      <c r="V1982" s="58">
        <v>7.1775000000000002</v>
      </c>
      <c r="W1982" s="38">
        <f t="shared" si="185"/>
        <v>20693.983239289446</v>
      </c>
    </row>
    <row r="1983" spans="1:23" s="15" customFormat="1">
      <c r="A1983" t="s">
        <v>291</v>
      </c>
      <c r="B1983" s="20">
        <v>45748</v>
      </c>
      <c r="C1983" s="20">
        <v>45670</v>
      </c>
      <c r="D1983" t="s">
        <v>287</v>
      </c>
      <c r="E1983" t="s">
        <v>288</v>
      </c>
      <c r="F1983" s="19"/>
      <c r="G1983" t="s">
        <v>4513</v>
      </c>
      <c r="H1983" t="s">
        <v>76</v>
      </c>
      <c r="I1983" t="s">
        <v>77</v>
      </c>
      <c r="J1983" s="8" t="str">
        <f t="shared" si="186"/>
        <v>GLID</v>
      </c>
      <c r="K1983" t="s">
        <v>10</v>
      </c>
      <c r="L1983" s="46">
        <v>110</v>
      </c>
      <c r="M1983" t="s">
        <v>1472</v>
      </c>
      <c r="N1983" t="s">
        <v>11</v>
      </c>
      <c r="O1983" s="49">
        <v>6.5929000000000002</v>
      </c>
      <c r="P1983" s="9">
        <f t="shared" si="184"/>
        <v>725.22</v>
      </c>
      <c r="Q1983" s="10">
        <f t="shared" si="187"/>
        <v>7.3003400000000003</v>
      </c>
      <c r="R1983" s="10">
        <f t="shared" si="188"/>
        <v>0.90310000000000001</v>
      </c>
      <c r="S1983" s="11">
        <f t="shared" si="189"/>
        <v>99.34</v>
      </c>
      <c r="T1983" s="10" t="s">
        <v>349</v>
      </c>
      <c r="U1983" t="s">
        <v>78</v>
      </c>
      <c r="V1983" s="58">
        <v>7.1775000000000002</v>
      </c>
      <c r="W1983" s="38">
        <f t="shared" si="185"/>
        <v>101.04061302681991</v>
      </c>
    </row>
    <row r="1984" spans="1:23" s="15" customFormat="1">
      <c r="A1984" t="s">
        <v>2344</v>
      </c>
      <c r="B1984" s="20">
        <v>45748</v>
      </c>
      <c r="C1984" s="20">
        <v>45677</v>
      </c>
      <c r="D1984" t="s">
        <v>287</v>
      </c>
      <c r="E1984" t="s">
        <v>288</v>
      </c>
      <c r="F1984" s="19"/>
      <c r="G1984" t="s">
        <v>4513</v>
      </c>
      <c r="H1984" t="s">
        <v>79</v>
      </c>
      <c r="I1984" t="s">
        <v>80</v>
      </c>
      <c r="J1984" s="8" t="str">
        <f t="shared" si="186"/>
        <v>ANYD</v>
      </c>
      <c r="K1984" t="s">
        <v>10</v>
      </c>
      <c r="L1984" s="46">
        <v>120</v>
      </c>
      <c r="M1984" t="s">
        <v>1472</v>
      </c>
      <c r="N1984" t="s">
        <v>11</v>
      </c>
      <c r="O1984" s="49">
        <v>6.5929000000000002</v>
      </c>
      <c r="P1984" s="9">
        <f t="shared" si="184"/>
        <v>791.15</v>
      </c>
      <c r="Q1984" s="10">
        <f t="shared" si="187"/>
        <v>7.3003400000000003</v>
      </c>
      <c r="R1984" s="10">
        <f t="shared" si="188"/>
        <v>0.90310000000000001</v>
      </c>
      <c r="S1984" s="11">
        <f t="shared" si="189"/>
        <v>108.37</v>
      </c>
      <c r="T1984" s="10" t="s">
        <v>349</v>
      </c>
      <c r="U1984" t="s">
        <v>36</v>
      </c>
      <c r="V1984" s="58">
        <v>7.1775000000000002</v>
      </c>
      <c r="W1984" s="38">
        <f t="shared" si="185"/>
        <v>110.22612330198537</v>
      </c>
    </row>
    <row r="1985" spans="1:23" s="15" customFormat="1">
      <c r="A1985" t="s">
        <v>4224</v>
      </c>
      <c r="B1985" s="20">
        <v>45763</v>
      </c>
      <c r="C1985" s="20">
        <v>45744</v>
      </c>
      <c r="D1985" t="s">
        <v>287</v>
      </c>
      <c r="E1985" t="s">
        <v>288</v>
      </c>
      <c r="F1985" s="19"/>
      <c r="G1985" t="s">
        <v>4514</v>
      </c>
      <c r="H1985" t="s">
        <v>81</v>
      </c>
      <c r="I1985" t="s">
        <v>82</v>
      </c>
      <c r="J1985" s="8" t="str">
        <f t="shared" si="186"/>
        <v>ANYD</v>
      </c>
      <c r="K1985" t="s">
        <v>10</v>
      </c>
      <c r="L1985" s="46">
        <v>1670</v>
      </c>
      <c r="M1985" t="s">
        <v>1472</v>
      </c>
      <c r="N1985" t="s">
        <v>11</v>
      </c>
      <c r="O1985" s="49">
        <v>6.5929000000000002</v>
      </c>
      <c r="P1985" s="9">
        <f t="shared" si="184"/>
        <v>11010.14</v>
      </c>
      <c r="Q1985" s="10">
        <f t="shared" si="187"/>
        <v>7.3003400000000003</v>
      </c>
      <c r="R1985" s="10">
        <f t="shared" si="188"/>
        <v>0.90310000000000001</v>
      </c>
      <c r="S1985" s="11">
        <f t="shared" si="189"/>
        <v>1508.18</v>
      </c>
      <c r="T1985" s="10" t="s">
        <v>349</v>
      </c>
      <c r="U1985" t="s">
        <v>36</v>
      </c>
      <c r="V1985" s="58">
        <v>7.1775000000000002</v>
      </c>
      <c r="W1985" s="38">
        <f t="shared" si="185"/>
        <v>1533.9802159526296</v>
      </c>
    </row>
    <row r="1986" spans="1:23" s="15" customFormat="1">
      <c r="A1986" t="s">
        <v>4224</v>
      </c>
      <c r="B1986" s="20">
        <v>45756</v>
      </c>
      <c r="C1986" s="20">
        <v>45744</v>
      </c>
      <c r="D1986" t="s">
        <v>287</v>
      </c>
      <c r="E1986" t="s">
        <v>288</v>
      </c>
      <c r="F1986" s="19"/>
      <c r="G1986" t="s">
        <v>4515</v>
      </c>
      <c r="H1986" t="s">
        <v>81</v>
      </c>
      <c r="I1986" t="s">
        <v>82</v>
      </c>
      <c r="J1986" s="8" t="str">
        <f t="shared" si="186"/>
        <v>ANYD</v>
      </c>
      <c r="K1986" t="s">
        <v>10</v>
      </c>
      <c r="L1986" s="46">
        <v>2460</v>
      </c>
      <c r="M1986" t="s">
        <v>1472</v>
      </c>
      <c r="N1986" t="s">
        <v>11</v>
      </c>
      <c r="O1986" s="49">
        <v>6.5929000000000002</v>
      </c>
      <c r="P1986" s="9">
        <f t="shared" ref="P1986:P2049" si="190">ROUND(O1986*L1986,2)</f>
        <v>16218.53</v>
      </c>
      <c r="Q1986" s="10">
        <f t="shared" si="187"/>
        <v>7.3003400000000003</v>
      </c>
      <c r="R1986" s="10">
        <f t="shared" si="188"/>
        <v>0.90310000000000001</v>
      </c>
      <c r="S1986" s="11">
        <f t="shared" si="189"/>
        <v>2221.63</v>
      </c>
      <c r="T1986" s="10" t="s">
        <v>349</v>
      </c>
      <c r="U1986" t="s">
        <v>36</v>
      </c>
      <c r="V1986" s="58">
        <v>7.1775000000000002</v>
      </c>
      <c r="W1986" s="38">
        <f t="shared" ref="W1986:W2049" si="191">IF(N1986="CNY",O1986/V1986*L1986,1)</f>
        <v>2259.6355276907002</v>
      </c>
    </row>
    <row r="1987" spans="1:23" s="15" customFormat="1">
      <c r="A1987" t="s">
        <v>876</v>
      </c>
      <c r="B1987" s="20">
        <v>45765</v>
      </c>
      <c r="C1987" s="20">
        <v>45287</v>
      </c>
      <c r="D1987" t="s">
        <v>866</v>
      </c>
      <c r="E1987" t="s">
        <v>867</v>
      </c>
      <c r="F1987" s="19"/>
      <c r="G1987" t="s">
        <v>4505</v>
      </c>
      <c r="H1987" t="s">
        <v>874</v>
      </c>
      <c r="I1987" t="s">
        <v>875</v>
      </c>
      <c r="J1987" s="8" t="str">
        <f t="shared" si="186"/>
        <v>ANYD</v>
      </c>
      <c r="K1987" t="s">
        <v>10</v>
      </c>
      <c r="L1987" s="46">
        <v>5000</v>
      </c>
      <c r="M1987" t="s">
        <v>1472</v>
      </c>
      <c r="N1987" t="s">
        <v>11</v>
      </c>
      <c r="O1987" s="49">
        <v>6.6637000000000004</v>
      </c>
      <c r="P1987" s="9">
        <f t="shared" si="190"/>
        <v>33318.5</v>
      </c>
      <c r="Q1987" s="10">
        <f t="shared" si="187"/>
        <v>7.3003400000000003</v>
      </c>
      <c r="R1987" s="10">
        <f t="shared" si="188"/>
        <v>0.91279999999999994</v>
      </c>
      <c r="S1987" s="11">
        <f t="shared" si="189"/>
        <v>4564</v>
      </c>
      <c r="T1987" s="10" t="s">
        <v>349</v>
      </c>
      <c r="U1987" t="s">
        <v>36</v>
      </c>
      <c r="V1987" s="58">
        <v>7.1775000000000002</v>
      </c>
      <c r="W1987" s="38">
        <f t="shared" si="191"/>
        <v>4642.075931731104</v>
      </c>
    </row>
    <row r="1988" spans="1:23" s="15" customFormat="1">
      <c r="A1988" t="s">
        <v>4225</v>
      </c>
      <c r="B1988" s="20">
        <v>45755</v>
      </c>
      <c r="C1988" s="20">
        <v>45706</v>
      </c>
      <c r="D1988" t="s">
        <v>5</v>
      </c>
      <c r="E1988" t="s">
        <v>6</v>
      </c>
      <c r="F1988" s="19"/>
      <c r="G1988" t="s">
        <v>4417</v>
      </c>
      <c r="H1988" t="s">
        <v>390</v>
      </c>
      <c r="I1988" t="s">
        <v>391</v>
      </c>
      <c r="J1988" s="8" t="str">
        <f t="shared" si="186"/>
        <v>BOX-</v>
      </c>
      <c r="K1988" t="s">
        <v>10</v>
      </c>
      <c r="L1988" s="46">
        <v>2020</v>
      </c>
      <c r="M1988" t="s">
        <v>1472</v>
      </c>
      <c r="N1988" t="s">
        <v>11</v>
      </c>
      <c r="O1988" s="49">
        <v>6.88</v>
      </c>
      <c r="P1988" s="9">
        <f t="shared" si="190"/>
        <v>13897.6</v>
      </c>
      <c r="Q1988" s="10">
        <f t="shared" si="187"/>
        <v>7.3003400000000003</v>
      </c>
      <c r="R1988" s="10">
        <f t="shared" si="188"/>
        <v>0.94240000000000002</v>
      </c>
      <c r="S1988" s="11">
        <f t="shared" si="189"/>
        <v>1903.65</v>
      </c>
      <c r="T1988" s="10" t="s">
        <v>349</v>
      </c>
      <c r="U1988" t="s">
        <v>1</v>
      </c>
      <c r="V1988" s="58">
        <v>7.1775000000000002</v>
      </c>
      <c r="W1988" s="38">
        <f t="shared" si="191"/>
        <v>1936.2730755834205</v>
      </c>
    </row>
    <row r="1989" spans="1:23" s="15" customFormat="1">
      <c r="A1989" t="s">
        <v>4226</v>
      </c>
      <c r="B1989" s="20">
        <v>45755</v>
      </c>
      <c r="C1989" s="20">
        <v>45706</v>
      </c>
      <c r="D1989" t="s">
        <v>5</v>
      </c>
      <c r="E1989" t="s">
        <v>6</v>
      </c>
      <c r="F1989" s="19"/>
      <c r="G1989" t="s">
        <v>4417</v>
      </c>
      <c r="H1989" t="s">
        <v>390</v>
      </c>
      <c r="I1989" t="s">
        <v>391</v>
      </c>
      <c r="J1989" s="8" t="str">
        <f t="shared" si="186"/>
        <v>BOX-</v>
      </c>
      <c r="K1989" t="s">
        <v>10</v>
      </c>
      <c r="L1989" s="46">
        <v>1010</v>
      </c>
      <c r="M1989" t="s">
        <v>1472</v>
      </c>
      <c r="N1989" t="s">
        <v>11</v>
      </c>
      <c r="O1989" s="49">
        <v>6.88</v>
      </c>
      <c r="P1989" s="9">
        <f t="shared" si="190"/>
        <v>6948.8</v>
      </c>
      <c r="Q1989" s="10">
        <f t="shared" si="187"/>
        <v>7.3003400000000003</v>
      </c>
      <c r="R1989" s="10">
        <f t="shared" si="188"/>
        <v>0.94240000000000002</v>
      </c>
      <c r="S1989" s="11">
        <f t="shared" si="189"/>
        <v>951.82</v>
      </c>
      <c r="T1989" s="10" t="s">
        <v>349</v>
      </c>
      <c r="U1989" t="s">
        <v>1</v>
      </c>
      <c r="V1989" s="58">
        <v>7.1775000000000002</v>
      </c>
      <c r="W1989" s="38">
        <f t="shared" si="191"/>
        <v>968.13653779171023</v>
      </c>
    </row>
    <row r="1990" spans="1:23" s="15" customFormat="1">
      <c r="A1990" t="s">
        <v>4227</v>
      </c>
      <c r="B1990" s="20">
        <v>45769</v>
      </c>
      <c r="C1990" s="20">
        <v>45702</v>
      </c>
      <c r="D1990" t="s">
        <v>121</v>
      </c>
      <c r="E1990" t="s">
        <v>122</v>
      </c>
      <c r="F1990" s="19"/>
      <c r="G1990" t="s">
        <v>4516</v>
      </c>
      <c r="H1990" t="s">
        <v>3778</v>
      </c>
      <c r="I1990" t="s">
        <v>3779</v>
      </c>
      <c r="J1990" s="8" t="str">
        <f t="shared" si="186"/>
        <v>HDL-</v>
      </c>
      <c r="K1990" t="s">
        <v>10</v>
      </c>
      <c r="L1990" s="46">
        <v>2040</v>
      </c>
      <c r="M1990" t="s">
        <v>1472</v>
      </c>
      <c r="N1990" t="s">
        <v>11</v>
      </c>
      <c r="O1990" s="49">
        <v>7.3367000000000004</v>
      </c>
      <c r="P1990" s="9">
        <f t="shared" si="190"/>
        <v>14966.87</v>
      </c>
      <c r="Q1990" s="10">
        <f t="shared" si="187"/>
        <v>7.3003400000000003</v>
      </c>
      <c r="R1990" s="10">
        <f t="shared" si="188"/>
        <v>1.0049999999999999</v>
      </c>
      <c r="S1990" s="11">
        <f t="shared" si="189"/>
        <v>2050.1999999999998</v>
      </c>
      <c r="T1990" s="10" t="s">
        <v>349</v>
      </c>
      <c r="U1990" t="s">
        <v>228</v>
      </c>
      <c r="V1990" s="58">
        <v>7.1775000000000002</v>
      </c>
      <c r="W1990" s="38">
        <f t="shared" si="191"/>
        <v>2085.248066875653</v>
      </c>
    </row>
    <row r="1991" spans="1:23" s="15" customFormat="1">
      <c r="A1991" t="s">
        <v>4228</v>
      </c>
      <c r="B1991" s="20">
        <v>45761</v>
      </c>
      <c r="C1991" s="20">
        <v>45702</v>
      </c>
      <c r="D1991" t="s">
        <v>287</v>
      </c>
      <c r="E1991" t="s">
        <v>288</v>
      </c>
      <c r="F1991" s="19"/>
      <c r="G1991" t="s">
        <v>4517</v>
      </c>
      <c r="H1991" t="s">
        <v>3064</v>
      </c>
      <c r="I1991" t="s">
        <v>83</v>
      </c>
      <c r="J1991" s="8" t="str">
        <f t="shared" si="186"/>
        <v>ANYD</v>
      </c>
      <c r="K1991" t="s">
        <v>10</v>
      </c>
      <c r="L1991" s="46">
        <v>5000</v>
      </c>
      <c r="M1991" t="s">
        <v>1472</v>
      </c>
      <c r="N1991" t="s">
        <v>11</v>
      </c>
      <c r="O1991" s="49">
        <v>7.3479999999999999</v>
      </c>
      <c r="P1991" s="9">
        <f t="shared" si="190"/>
        <v>36740</v>
      </c>
      <c r="Q1991" s="10">
        <f t="shared" si="187"/>
        <v>7.3003400000000003</v>
      </c>
      <c r="R1991" s="10">
        <f t="shared" si="188"/>
        <v>1.0065</v>
      </c>
      <c r="S1991" s="11">
        <f t="shared" si="189"/>
        <v>5032.5</v>
      </c>
      <c r="T1991" s="10" t="s">
        <v>349</v>
      </c>
      <c r="U1991" t="s">
        <v>36</v>
      </c>
      <c r="V1991" s="58">
        <v>7.1775000000000002</v>
      </c>
      <c r="W1991" s="38">
        <f t="shared" si="191"/>
        <v>5118.7739463601538</v>
      </c>
    </row>
    <row r="1992" spans="1:23" s="15" customFormat="1">
      <c r="A1992" t="s">
        <v>4228</v>
      </c>
      <c r="B1992" s="20">
        <v>45758</v>
      </c>
      <c r="C1992" s="20">
        <v>45702</v>
      </c>
      <c r="D1992" t="s">
        <v>287</v>
      </c>
      <c r="E1992" t="s">
        <v>288</v>
      </c>
      <c r="F1992" s="19"/>
      <c r="G1992" t="s">
        <v>4518</v>
      </c>
      <c r="H1992" t="s">
        <v>3064</v>
      </c>
      <c r="I1992" t="s">
        <v>83</v>
      </c>
      <c r="J1992" s="8" t="str">
        <f t="shared" si="186"/>
        <v>ANYD</v>
      </c>
      <c r="K1992" t="s">
        <v>10</v>
      </c>
      <c r="L1992" s="46">
        <v>-5000</v>
      </c>
      <c r="M1992" t="s">
        <v>1472</v>
      </c>
      <c r="N1992" t="s">
        <v>11</v>
      </c>
      <c r="O1992" s="49">
        <v>7.3479999999999999</v>
      </c>
      <c r="P1992" s="9">
        <f t="shared" si="190"/>
        <v>-36740</v>
      </c>
      <c r="Q1992" s="10">
        <f t="shared" si="187"/>
        <v>7.3003400000000003</v>
      </c>
      <c r="R1992" s="10">
        <f t="shared" si="188"/>
        <v>1.0065</v>
      </c>
      <c r="S1992" s="11">
        <f t="shared" si="189"/>
        <v>-5032.5</v>
      </c>
      <c r="T1992" s="10" t="s">
        <v>349</v>
      </c>
      <c r="U1992" t="s">
        <v>36</v>
      </c>
      <c r="V1992" s="58">
        <v>7.1775000000000002</v>
      </c>
      <c r="W1992" s="38">
        <f t="shared" si="191"/>
        <v>-5118.7739463601538</v>
      </c>
    </row>
    <row r="1993" spans="1:23" s="15" customFormat="1">
      <c r="A1993" t="s">
        <v>4228</v>
      </c>
      <c r="B1993" s="20">
        <v>45757</v>
      </c>
      <c r="C1993" s="20">
        <v>45702</v>
      </c>
      <c r="D1993" t="s">
        <v>287</v>
      </c>
      <c r="E1993" t="s">
        <v>288</v>
      </c>
      <c r="F1993" s="19"/>
      <c r="G1993" t="s">
        <v>4519</v>
      </c>
      <c r="H1993" t="s">
        <v>3064</v>
      </c>
      <c r="I1993" t="s">
        <v>83</v>
      </c>
      <c r="J1993" s="8" t="str">
        <f t="shared" si="186"/>
        <v>ANYD</v>
      </c>
      <c r="K1993" t="s">
        <v>10</v>
      </c>
      <c r="L1993" s="46">
        <v>5000</v>
      </c>
      <c r="M1993" t="s">
        <v>1472</v>
      </c>
      <c r="N1993" t="s">
        <v>11</v>
      </c>
      <c r="O1993" s="49">
        <v>7.3479999999999999</v>
      </c>
      <c r="P1993" s="9">
        <f t="shared" si="190"/>
        <v>36740</v>
      </c>
      <c r="Q1993" s="10">
        <f t="shared" si="187"/>
        <v>7.3003400000000003</v>
      </c>
      <c r="R1993" s="10">
        <f t="shared" si="188"/>
        <v>1.0065</v>
      </c>
      <c r="S1993" s="11">
        <f t="shared" si="189"/>
        <v>5032.5</v>
      </c>
      <c r="T1993" s="10" t="s">
        <v>349</v>
      </c>
      <c r="U1993" t="s">
        <v>36</v>
      </c>
      <c r="V1993" s="58">
        <v>7.1775000000000002</v>
      </c>
      <c r="W1993" s="38">
        <f t="shared" si="191"/>
        <v>5118.7739463601538</v>
      </c>
    </row>
    <row r="1994" spans="1:23" s="15" customFormat="1">
      <c r="A1994" t="s">
        <v>4229</v>
      </c>
      <c r="B1994" s="20">
        <v>45755</v>
      </c>
      <c r="C1994" s="20">
        <v>45695</v>
      </c>
      <c r="D1994" t="s">
        <v>121</v>
      </c>
      <c r="E1994" t="s">
        <v>122</v>
      </c>
      <c r="F1994" s="19"/>
      <c r="G1994" t="s">
        <v>4395</v>
      </c>
      <c r="H1994" t="s">
        <v>1790</v>
      </c>
      <c r="I1994" t="s">
        <v>1791</v>
      </c>
      <c r="J1994" s="8" t="str">
        <f t="shared" si="186"/>
        <v>LHDL</v>
      </c>
      <c r="K1994" t="s">
        <v>10</v>
      </c>
      <c r="L1994" s="46">
        <v>500</v>
      </c>
      <c r="M1994" t="s">
        <v>1472</v>
      </c>
      <c r="N1994" t="s">
        <v>11</v>
      </c>
      <c r="O1994" s="49">
        <v>7.3506999999999998</v>
      </c>
      <c r="P1994" s="9">
        <f t="shared" si="190"/>
        <v>3675.35</v>
      </c>
      <c r="Q1994" s="10">
        <f t="shared" si="187"/>
        <v>7.3003400000000003</v>
      </c>
      <c r="R1994" s="10">
        <f t="shared" si="188"/>
        <v>1.0068999999999999</v>
      </c>
      <c r="S1994" s="11">
        <f t="shared" si="189"/>
        <v>503.45</v>
      </c>
      <c r="T1994" s="10" t="s">
        <v>349</v>
      </c>
      <c r="U1994" t="s">
        <v>125</v>
      </c>
      <c r="V1994" s="58">
        <v>7.1775000000000002</v>
      </c>
      <c r="W1994" s="38">
        <f t="shared" si="191"/>
        <v>512.06548241030987</v>
      </c>
    </row>
    <row r="1995" spans="1:23" s="15" customFormat="1">
      <c r="A1995" t="s">
        <v>4230</v>
      </c>
      <c r="B1995" s="20">
        <v>45755</v>
      </c>
      <c r="C1995" s="20">
        <v>45695</v>
      </c>
      <c r="D1995" t="s">
        <v>121</v>
      </c>
      <c r="E1995" t="s">
        <v>122</v>
      </c>
      <c r="F1995" s="19"/>
      <c r="G1995" t="s">
        <v>4395</v>
      </c>
      <c r="H1995" t="s">
        <v>1792</v>
      </c>
      <c r="I1995" t="s">
        <v>1793</v>
      </c>
      <c r="J1995" s="8" t="str">
        <f t="shared" si="186"/>
        <v>LHDL</v>
      </c>
      <c r="K1995" t="s">
        <v>10</v>
      </c>
      <c r="L1995" s="46">
        <v>510</v>
      </c>
      <c r="M1995" t="s">
        <v>1472</v>
      </c>
      <c r="N1995" t="s">
        <v>11</v>
      </c>
      <c r="O1995" s="49">
        <v>7.3506999999999998</v>
      </c>
      <c r="P1995" s="9">
        <f t="shared" si="190"/>
        <v>3748.86</v>
      </c>
      <c r="Q1995" s="10">
        <f t="shared" si="187"/>
        <v>7.3003400000000003</v>
      </c>
      <c r="R1995" s="10">
        <f t="shared" si="188"/>
        <v>1.0068999999999999</v>
      </c>
      <c r="S1995" s="11">
        <f t="shared" si="189"/>
        <v>513.52</v>
      </c>
      <c r="T1995" s="10" t="s">
        <v>349</v>
      </c>
      <c r="U1995" t="s">
        <v>125</v>
      </c>
      <c r="V1995" s="58">
        <v>7.1775000000000002</v>
      </c>
      <c r="W1995" s="38">
        <f t="shared" si="191"/>
        <v>522.30679205851607</v>
      </c>
    </row>
    <row r="1996" spans="1:23" s="15" customFormat="1">
      <c r="A1996" t="s">
        <v>4231</v>
      </c>
      <c r="B1996" s="20">
        <v>45755</v>
      </c>
      <c r="C1996" s="20">
        <v>45695</v>
      </c>
      <c r="D1996" t="s">
        <v>121</v>
      </c>
      <c r="E1996" t="s">
        <v>122</v>
      </c>
      <c r="F1996" s="19"/>
      <c r="G1996" t="s">
        <v>4395</v>
      </c>
      <c r="H1996" t="s">
        <v>3059</v>
      </c>
      <c r="I1996" t="s">
        <v>963</v>
      </c>
      <c r="J1996" s="8" t="str">
        <f t="shared" si="186"/>
        <v>LHDL</v>
      </c>
      <c r="K1996" t="s">
        <v>10</v>
      </c>
      <c r="L1996" s="46">
        <v>570</v>
      </c>
      <c r="M1996" t="s">
        <v>1472</v>
      </c>
      <c r="N1996" t="s">
        <v>11</v>
      </c>
      <c r="O1996" s="49">
        <v>7.3506999999999998</v>
      </c>
      <c r="P1996" s="9">
        <f t="shared" si="190"/>
        <v>4189.8999999999996</v>
      </c>
      <c r="Q1996" s="10">
        <f t="shared" si="187"/>
        <v>7.3003400000000003</v>
      </c>
      <c r="R1996" s="10">
        <f t="shared" si="188"/>
        <v>1.0068999999999999</v>
      </c>
      <c r="S1996" s="11">
        <f t="shared" si="189"/>
        <v>573.92999999999995</v>
      </c>
      <c r="T1996" s="10" t="s">
        <v>349</v>
      </c>
      <c r="U1996" t="s">
        <v>125</v>
      </c>
      <c r="V1996" s="58">
        <v>7.1775000000000002</v>
      </c>
      <c r="W1996" s="38">
        <f t="shared" si="191"/>
        <v>583.75464994775325</v>
      </c>
    </row>
    <row r="1997" spans="1:23" s="15" customFormat="1">
      <c r="A1997" t="s">
        <v>4231</v>
      </c>
      <c r="B1997" s="20">
        <v>45755</v>
      </c>
      <c r="C1997" s="20">
        <v>45695</v>
      </c>
      <c r="D1997" t="s">
        <v>121</v>
      </c>
      <c r="E1997" t="s">
        <v>122</v>
      </c>
      <c r="F1997" s="19"/>
      <c r="G1997" t="s">
        <v>4520</v>
      </c>
      <c r="H1997" t="s">
        <v>3059</v>
      </c>
      <c r="I1997" t="s">
        <v>963</v>
      </c>
      <c r="J1997" s="8" t="str">
        <f t="shared" si="186"/>
        <v>LHDL</v>
      </c>
      <c r="K1997" t="s">
        <v>10</v>
      </c>
      <c r="L1997" s="46">
        <v>-560</v>
      </c>
      <c r="M1997" t="s">
        <v>1472</v>
      </c>
      <c r="N1997" t="s">
        <v>11</v>
      </c>
      <c r="O1997" s="49">
        <v>7.3506999999999998</v>
      </c>
      <c r="P1997" s="9">
        <f t="shared" si="190"/>
        <v>-4116.3900000000003</v>
      </c>
      <c r="Q1997" s="10">
        <f t="shared" si="187"/>
        <v>7.3003400000000003</v>
      </c>
      <c r="R1997" s="10">
        <f t="shared" si="188"/>
        <v>1.0068999999999999</v>
      </c>
      <c r="S1997" s="11">
        <f t="shared" si="189"/>
        <v>-563.86</v>
      </c>
      <c r="T1997" s="10" t="s">
        <v>349</v>
      </c>
      <c r="U1997" t="s">
        <v>125</v>
      </c>
      <c r="V1997" s="58">
        <v>7.1775000000000002</v>
      </c>
      <c r="W1997" s="38">
        <f t="shared" si="191"/>
        <v>-573.51334029954705</v>
      </c>
    </row>
    <row r="1998" spans="1:23" s="15" customFormat="1">
      <c r="A1998" t="s">
        <v>4231</v>
      </c>
      <c r="B1998" s="20">
        <v>45755</v>
      </c>
      <c r="C1998" s="20">
        <v>45695</v>
      </c>
      <c r="D1998" t="s">
        <v>121</v>
      </c>
      <c r="E1998" t="s">
        <v>122</v>
      </c>
      <c r="F1998" s="19"/>
      <c r="G1998" t="s">
        <v>4395</v>
      </c>
      <c r="H1998" t="s">
        <v>3059</v>
      </c>
      <c r="I1998" t="s">
        <v>963</v>
      </c>
      <c r="J1998" s="8" t="str">
        <f t="shared" si="186"/>
        <v>LHDL</v>
      </c>
      <c r="K1998" t="s">
        <v>10</v>
      </c>
      <c r="L1998" s="46">
        <v>560</v>
      </c>
      <c r="M1998" t="s">
        <v>1472</v>
      </c>
      <c r="N1998" t="s">
        <v>11</v>
      </c>
      <c r="O1998" s="49">
        <v>7.3506999999999998</v>
      </c>
      <c r="P1998" s="9">
        <f t="shared" si="190"/>
        <v>4116.3900000000003</v>
      </c>
      <c r="Q1998" s="10">
        <f t="shared" si="187"/>
        <v>7.3003400000000003</v>
      </c>
      <c r="R1998" s="10">
        <f t="shared" si="188"/>
        <v>1.0068999999999999</v>
      </c>
      <c r="S1998" s="11">
        <f t="shared" si="189"/>
        <v>563.86</v>
      </c>
      <c r="T1998" s="10" t="s">
        <v>349</v>
      </c>
      <c r="U1998" t="s">
        <v>125</v>
      </c>
      <c r="V1998" s="58">
        <v>7.1775000000000002</v>
      </c>
      <c r="W1998" s="38">
        <f t="shared" si="191"/>
        <v>573.51334029954705</v>
      </c>
    </row>
    <row r="1999" spans="1:23" s="15" customFormat="1">
      <c r="A1999" t="s">
        <v>4232</v>
      </c>
      <c r="B1999" s="20">
        <v>45748</v>
      </c>
      <c r="C1999" s="20">
        <v>45730</v>
      </c>
      <c r="D1999" t="s">
        <v>287</v>
      </c>
      <c r="E1999" t="s">
        <v>288</v>
      </c>
      <c r="F1999" s="19"/>
      <c r="G1999" t="s">
        <v>4513</v>
      </c>
      <c r="H1999" t="s">
        <v>860</v>
      </c>
      <c r="I1999" t="s">
        <v>861</v>
      </c>
      <c r="J1999" s="8" t="str">
        <f t="shared" si="186"/>
        <v>GLID</v>
      </c>
      <c r="K1999" t="s">
        <v>10</v>
      </c>
      <c r="L1999" s="46">
        <v>1800</v>
      </c>
      <c r="M1999" t="s">
        <v>1472</v>
      </c>
      <c r="N1999" t="s">
        <v>11</v>
      </c>
      <c r="O1999" s="49">
        <v>7.42</v>
      </c>
      <c r="P1999" s="9">
        <f t="shared" si="190"/>
        <v>13356</v>
      </c>
      <c r="Q1999" s="10">
        <f t="shared" si="187"/>
        <v>7.3003400000000003</v>
      </c>
      <c r="R1999" s="10">
        <f t="shared" si="188"/>
        <v>1.0164</v>
      </c>
      <c r="S1999" s="11">
        <f t="shared" si="189"/>
        <v>1829.52</v>
      </c>
      <c r="T1999" s="10" t="s">
        <v>349</v>
      </c>
      <c r="U1999" t="s">
        <v>78</v>
      </c>
      <c r="V1999" s="58">
        <v>7.1775000000000002</v>
      </c>
      <c r="W1999" s="38">
        <f t="shared" si="191"/>
        <v>1860.8150470219434</v>
      </c>
    </row>
    <row r="2000" spans="1:23" s="15" customFormat="1">
      <c r="A2000" t="s">
        <v>4233</v>
      </c>
      <c r="B2000" s="20">
        <v>45748</v>
      </c>
      <c r="C2000" s="20">
        <v>45730</v>
      </c>
      <c r="D2000" t="s">
        <v>287</v>
      </c>
      <c r="E2000" t="s">
        <v>288</v>
      </c>
      <c r="F2000" s="19"/>
      <c r="G2000" t="s">
        <v>4513</v>
      </c>
      <c r="H2000" t="s">
        <v>857</v>
      </c>
      <c r="I2000" t="s">
        <v>858</v>
      </c>
      <c r="J2000" s="8" t="str">
        <f t="shared" si="186"/>
        <v>GLID</v>
      </c>
      <c r="K2000" t="s">
        <v>10</v>
      </c>
      <c r="L2000" s="46">
        <v>1000</v>
      </c>
      <c r="M2000" t="s">
        <v>1472</v>
      </c>
      <c r="N2000" t="s">
        <v>11</v>
      </c>
      <c r="O2000" s="49">
        <v>7.42</v>
      </c>
      <c r="P2000" s="9">
        <f t="shared" si="190"/>
        <v>7420</v>
      </c>
      <c r="Q2000" s="10">
        <f t="shared" si="187"/>
        <v>7.3003400000000003</v>
      </c>
      <c r="R2000" s="10">
        <f t="shared" si="188"/>
        <v>1.0164</v>
      </c>
      <c r="S2000" s="11">
        <f t="shared" si="189"/>
        <v>1016.4</v>
      </c>
      <c r="T2000" s="10" t="s">
        <v>349</v>
      </c>
      <c r="U2000" t="s">
        <v>78</v>
      </c>
      <c r="V2000" s="58">
        <v>7.1775000000000002</v>
      </c>
      <c r="W2000" s="38">
        <f t="shared" si="191"/>
        <v>1033.786137234413</v>
      </c>
    </row>
    <row r="2001" spans="1:23" s="15" customFormat="1">
      <c r="A2001" t="s">
        <v>4234</v>
      </c>
      <c r="B2001" s="20">
        <v>45756</v>
      </c>
      <c r="C2001" s="20">
        <v>45741</v>
      </c>
      <c r="D2001" t="s">
        <v>287</v>
      </c>
      <c r="E2001" t="s">
        <v>288</v>
      </c>
      <c r="F2001" s="19"/>
      <c r="G2001" t="s">
        <v>4515</v>
      </c>
      <c r="H2001" t="s">
        <v>1557</v>
      </c>
      <c r="I2001" t="s">
        <v>1558</v>
      </c>
      <c r="J2001" s="8" t="str">
        <f t="shared" si="186"/>
        <v>ANYD</v>
      </c>
      <c r="K2001" t="s">
        <v>10</v>
      </c>
      <c r="L2001" s="46">
        <v>2200</v>
      </c>
      <c r="M2001" t="s">
        <v>1472</v>
      </c>
      <c r="N2001" t="s">
        <v>11</v>
      </c>
      <c r="O2001" s="49">
        <v>7.42</v>
      </c>
      <c r="P2001" s="9">
        <f t="shared" si="190"/>
        <v>16324</v>
      </c>
      <c r="Q2001" s="10">
        <f t="shared" si="187"/>
        <v>7.3003400000000003</v>
      </c>
      <c r="R2001" s="10">
        <f t="shared" si="188"/>
        <v>1.0164</v>
      </c>
      <c r="S2001" s="11">
        <f t="shared" si="189"/>
        <v>2236.08</v>
      </c>
      <c r="T2001" s="10" t="s">
        <v>349</v>
      </c>
      <c r="U2001" t="s">
        <v>36</v>
      </c>
      <c r="V2001" s="58">
        <v>7.1775000000000002</v>
      </c>
      <c r="W2001" s="38">
        <f t="shared" si="191"/>
        <v>2274.3295019157085</v>
      </c>
    </row>
    <row r="2002" spans="1:23" s="15" customFormat="1">
      <c r="A2002" t="s">
        <v>4235</v>
      </c>
      <c r="B2002" s="20">
        <v>45755</v>
      </c>
      <c r="C2002" s="20">
        <v>45695</v>
      </c>
      <c r="D2002" t="s">
        <v>121</v>
      </c>
      <c r="E2002" t="s">
        <v>122</v>
      </c>
      <c r="F2002" s="19"/>
      <c r="G2002" t="s">
        <v>4395</v>
      </c>
      <c r="H2002" t="s">
        <v>1794</v>
      </c>
      <c r="I2002" t="s">
        <v>1795</v>
      </c>
      <c r="J2002" s="8" t="str">
        <f t="shared" si="186"/>
        <v>LHDL</v>
      </c>
      <c r="K2002" t="s">
        <v>10</v>
      </c>
      <c r="L2002" s="46">
        <v>510</v>
      </c>
      <c r="M2002" t="s">
        <v>1472</v>
      </c>
      <c r="N2002" t="s">
        <v>11</v>
      </c>
      <c r="O2002" s="49">
        <v>7.4212999999999996</v>
      </c>
      <c r="P2002" s="9">
        <f t="shared" si="190"/>
        <v>3784.86</v>
      </c>
      <c r="Q2002" s="10">
        <f t="shared" si="187"/>
        <v>7.3003400000000003</v>
      </c>
      <c r="R2002" s="10">
        <f t="shared" si="188"/>
        <v>1.0165999999999999</v>
      </c>
      <c r="S2002" s="11">
        <f t="shared" si="189"/>
        <v>518.47</v>
      </c>
      <c r="T2002" s="10" t="s">
        <v>349</v>
      </c>
      <c r="U2002" t="s">
        <v>125</v>
      </c>
      <c r="V2002" s="58">
        <v>7.1775000000000002</v>
      </c>
      <c r="W2002" s="38">
        <f t="shared" si="191"/>
        <v>527.3233019853709</v>
      </c>
    </row>
    <row r="2003" spans="1:23" s="15" customFormat="1">
      <c r="A2003" t="s">
        <v>2283</v>
      </c>
      <c r="B2003" s="20">
        <v>45748</v>
      </c>
      <c r="C2003" s="20">
        <v>45596</v>
      </c>
      <c r="D2003" t="s">
        <v>287</v>
      </c>
      <c r="E2003" t="s">
        <v>288</v>
      </c>
      <c r="F2003" s="19"/>
      <c r="G2003" t="s">
        <v>4513</v>
      </c>
      <c r="H2003" t="s">
        <v>3064</v>
      </c>
      <c r="I2003" t="s">
        <v>83</v>
      </c>
      <c r="J2003" s="8" t="str">
        <f t="shared" si="186"/>
        <v>ANYD</v>
      </c>
      <c r="K2003" t="s">
        <v>10</v>
      </c>
      <c r="L2003" s="46">
        <v>79</v>
      </c>
      <c r="M2003" t="s">
        <v>1472</v>
      </c>
      <c r="N2003" t="s">
        <v>11</v>
      </c>
      <c r="O2003" s="49">
        <v>7.4237000000000002</v>
      </c>
      <c r="P2003" s="9">
        <f t="shared" si="190"/>
        <v>586.47</v>
      </c>
      <c r="Q2003" s="10">
        <f t="shared" si="187"/>
        <v>7.3003400000000003</v>
      </c>
      <c r="R2003" s="10">
        <f t="shared" si="188"/>
        <v>1.0168999999999999</v>
      </c>
      <c r="S2003" s="11">
        <f t="shared" si="189"/>
        <v>80.34</v>
      </c>
      <c r="T2003" s="10" t="s">
        <v>349</v>
      </c>
      <c r="U2003" t="s">
        <v>36</v>
      </c>
      <c r="V2003" s="58">
        <v>7.1775000000000002</v>
      </c>
      <c r="W2003" s="38">
        <f t="shared" si="191"/>
        <v>81.70982932776036</v>
      </c>
    </row>
    <row r="2004" spans="1:23" s="15" customFormat="1">
      <c r="A2004" t="s">
        <v>2342</v>
      </c>
      <c r="B2004" s="20">
        <v>45748</v>
      </c>
      <c r="C2004" s="20">
        <v>45674</v>
      </c>
      <c r="D2004" t="s">
        <v>287</v>
      </c>
      <c r="E2004" t="s">
        <v>288</v>
      </c>
      <c r="F2004" s="19"/>
      <c r="G2004" t="s">
        <v>4513</v>
      </c>
      <c r="H2004" t="s">
        <v>3064</v>
      </c>
      <c r="I2004" t="s">
        <v>83</v>
      </c>
      <c r="J2004" s="8" t="str">
        <f t="shared" si="186"/>
        <v>ANYD</v>
      </c>
      <c r="K2004" t="s">
        <v>10</v>
      </c>
      <c r="L2004" s="46">
        <v>90</v>
      </c>
      <c r="M2004" t="s">
        <v>1472</v>
      </c>
      <c r="N2004" t="s">
        <v>11</v>
      </c>
      <c r="O2004" s="49">
        <v>7.4237000000000002</v>
      </c>
      <c r="P2004" s="9">
        <f t="shared" si="190"/>
        <v>668.13</v>
      </c>
      <c r="Q2004" s="10">
        <f t="shared" si="187"/>
        <v>7.3003400000000003</v>
      </c>
      <c r="R2004" s="10">
        <f t="shared" si="188"/>
        <v>1.0168999999999999</v>
      </c>
      <c r="S2004" s="11">
        <f t="shared" si="189"/>
        <v>91.52</v>
      </c>
      <c r="T2004" s="10" t="s">
        <v>349</v>
      </c>
      <c r="U2004" t="s">
        <v>36</v>
      </c>
      <c r="V2004" s="58">
        <v>7.1775000000000002</v>
      </c>
      <c r="W2004" s="38">
        <f t="shared" si="191"/>
        <v>93.087147335423197</v>
      </c>
    </row>
    <row r="2005" spans="1:23" s="15" customFormat="1">
      <c r="A2005" t="s">
        <v>4236</v>
      </c>
      <c r="B2005" s="20">
        <v>45758</v>
      </c>
      <c r="C2005" s="20">
        <v>45727</v>
      </c>
      <c r="D2005" t="s">
        <v>287</v>
      </c>
      <c r="E2005" t="s">
        <v>288</v>
      </c>
      <c r="F2005" s="19"/>
      <c r="G2005" t="s">
        <v>4521</v>
      </c>
      <c r="H2005" t="s">
        <v>3064</v>
      </c>
      <c r="I2005" t="s">
        <v>83</v>
      </c>
      <c r="J2005" s="8" t="str">
        <f t="shared" ref="J2005:J2068" si="192">+LEFT(U2005,4)</f>
        <v>ANYD</v>
      </c>
      <c r="K2005" t="s">
        <v>10</v>
      </c>
      <c r="L2005" s="46">
        <v>2050</v>
      </c>
      <c r="M2005" t="s">
        <v>1472</v>
      </c>
      <c r="N2005" t="s">
        <v>11</v>
      </c>
      <c r="O2005" s="49">
        <v>7.4237000000000002</v>
      </c>
      <c r="P2005" s="9">
        <f t="shared" si="190"/>
        <v>15218.59</v>
      </c>
      <c r="Q2005" s="10">
        <f t="shared" ref="Q2005:Q2068" si="193">IF(N2005="HKD",7.8,IF(N2005="CNY",7.30034,1))</f>
        <v>7.3003400000000003</v>
      </c>
      <c r="R2005" s="10">
        <f t="shared" ref="R2005:R2068" si="194">+ROUND(O2005/Q2005,4)</f>
        <v>1.0168999999999999</v>
      </c>
      <c r="S2005" s="11">
        <f t="shared" ref="S2005:S2068" si="195">ROUND(R2005*L2005,2)</f>
        <v>2084.65</v>
      </c>
      <c r="T2005" s="10" t="s">
        <v>349</v>
      </c>
      <c r="U2005" t="s">
        <v>36</v>
      </c>
      <c r="V2005" s="58">
        <v>7.1775000000000002</v>
      </c>
      <c r="W2005" s="38">
        <f t="shared" si="191"/>
        <v>2120.3183559735285</v>
      </c>
    </row>
    <row r="2006" spans="1:23" s="15" customFormat="1">
      <c r="A2006" t="s">
        <v>4237</v>
      </c>
      <c r="B2006" s="20">
        <v>45749</v>
      </c>
      <c r="C2006" s="20">
        <v>45729</v>
      </c>
      <c r="D2006" t="s">
        <v>2819</v>
      </c>
      <c r="E2006" t="s">
        <v>2820</v>
      </c>
      <c r="F2006" s="19"/>
      <c r="G2006" t="s">
        <v>4522</v>
      </c>
      <c r="H2006" t="s">
        <v>3133</v>
      </c>
      <c r="I2006" t="s">
        <v>3343</v>
      </c>
      <c r="J2006" s="8" t="str">
        <f t="shared" si="192"/>
        <v>HDL-</v>
      </c>
      <c r="K2006" t="s">
        <v>10</v>
      </c>
      <c r="L2006" s="46">
        <v>1010</v>
      </c>
      <c r="M2006" t="s">
        <v>1472</v>
      </c>
      <c r="N2006" t="s">
        <v>11</v>
      </c>
      <c r="O2006" s="49">
        <v>7.4577999999999998</v>
      </c>
      <c r="P2006" s="9">
        <f t="shared" si="190"/>
        <v>7532.38</v>
      </c>
      <c r="Q2006" s="10">
        <f t="shared" si="193"/>
        <v>7.3003400000000003</v>
      </c>
      <c r="R2006" s="10">
        <f t="shared" si="194"/>
        <v>1.0216000000000001</v>
      </c>
      <c r="S2006" s="11">
        <f t="shared" si="195"/>
        <v>1031.82</v>
      </c>
      <c r="T2006" s="10" t="s">
        <v>349</v>
      </c>
      <c r="U2006" t="s">
        <v>228</v>
      </c>
      <c r="V2006" s="58">
        <v>7.1775000000000002</v>
      </c>
      <c r="W2006" s="38">
        <f t="shared" si="191"/>
        <v>1049.4431208638105</v>
      </c>
    </row>
    <row r="2007" spans="1:23" s="15" customFormat="1">
      <c r="A2007" t="s">
        <v>4238</v>
      </c>
      <c r="B2007" s="20">
        <v>45768</v>
      </c>
      <c r="C2007" s="20">
        <v>45729</v>
      </c>
      <c r="D2007" t="s">
        <v>981</v>
      </c>
      <c r="E2007" t="s">
        <v>982</v>
      </c>
      <c r="F2007" s="19"/>
      <c r="G2007" t="s">
        <v>4496</v>
      </c>
      <c r="H2007" t="s">
        <v>3076</v>
      </c>
      <c r="I2007" t="s">
        <v>3292</v>
      </c>
      <c r="J2007" s="8" t="str">
        <f t="shared" si="192"/>
        <v>HDL-</v>
      </c>
      <c r="K2007" t="s">
        <v>10</v>
      </c>
      <c r="L2007" s="46">
        <v>1010</v>
      </c>
      <c r="M2007" t="s">
        <v>1472</v>
      </c>
      <c r="N2007" t="s">
        <v>11</v>
      </c>
      <c r="O2007" s="49">
        <v>7.4710000000000001</v>
      </c>
      <c r="P2007" s="9">
        <f t="shared" si="190"/>
        <v>7545.71</v>
      </c>
      <c r="Q2007" s="10">
        <f t="shared" si="193"/>
        <v>7.3003400000000003</v>
      </c>
      <c r="R2007" s="10">
        <f t="shared" si="194"/>
        <v>1.0234000000000001</v>
      </c>
      <c r="S2007" s="11">
        <f t="shared" si="195"/>
        <v>1033.6300000000001</v>
      </c>
      <c r="T2007" s="10" t="s">
        <v>349</v>
      </c>
      <c r="U2007" t="s">
        <v>228</v>
      </c>
      <c r="V2007" s="58">
        <v>7.1775000000000002</v>
      </c>
      <c r="W2007" s="38">
        <f t="shared" si="191"/>
        <v>1051.3005921281783</v>
      </c>
    </row>
    <row r="2008" spans="1:23" s="15" customFormat="1">
      <c r="A2008" t="s">
        <v>4239</v>
      </c>
      <c r="B2008" s="20">
        <v>45768</v>
      </c>
      <c r="C2008" s="20">
        <v>45729</v>
      </c>
      <c r="D2008" t="s">
        <v>981</v>
      </c>
      <c r="E2008" t="s">
        <v>982</v>
      </c>
      <c r="F2008" s="19"/>
      <c r="G2008" t="s">
        <v>4496</v>
      </c>
      <c r="H2008" t="s">
        <v>3077</v>
      </c>
      <c r="I2008" t="s">
        <v>3293</v>
      </c>
      <c r="J2008" s="8" t="str">
        <f t="shared" si="192"/>
        <v>HDL-</v>
      </c>
      <c r="K2008" t="s">
        <v>10</v>
      </c>
      <c r="L2008" s="46">
        <v>1010</v>
      </c>
      <c r="M2008" t="s">
        <v>1472</v>
      </c>
      <c r="N2008" t="s">
        <v>11</v>
      </c>
      <c r="O2008" s="49">
        <v>7.4710000000000001</v>
      </c>
      <c r="P2008" s="9">
        <f t="shared" si="190"/>
        <v>7545.71</v>
      </c>
      <c r="Q2008" s="10">
        <f t="shared" si="193"/>
        <v>7.3003400000000003</v>
      </c>
      <c r="R2008" s="10">
        <f t="shared" si="194"/>
        <v>1.0234000000000001</v>
      </c>
      <c r="S2008" s="11">
        <f t="shared" si="195"/>
        <v>1033.6300000000001</v>
      </c>
      <c r="T2008" s="10" t="s">
        <v>349</v>
      </c>
      <c r="U2008" t="s">
        <v>228</v>
      </c>
      <c r="V2008" s="58">
        <v>7.1775000000000002</v>
      </c>
      <c r="W2008" s="38">
        <f t="shared" si="191"/>
        <v>1051.3005921281783</v>
      </c>
    </row>
    <row r="2009" spans="1:23" s="15" customFormat="1">
      <c r="A2009" t="s">
        <v>2488</v>
      </c>
      <c r="B2009" s="20">
        <v>45754</v>
      </c>
      <c r="C2009" s="20">
        <v>45712</v>
      </c>
      <c r="D2009" t="s">
        <v>2257</v>
      </c>
      <c r="E2009" t="s">
        <v>2258</v>
      </c>
      <c r="F2009" s="19"/>
      <c r="G2009" t="s">
        <v>4523</v>
      </c>
      <c r="H2009" t="s">
        <v>3148</v>
      </c>
      <c r="I2009" t="s">
        <v>3358</v>
      </c>
      <c r="J2009" s="8" t="str">
        <f t="shared" si="192"/>
        <v>HDL-</v>
      </c>
      <c r="K2009" t="s">
        <v>10</v>
      </c>
      <c r="L2009" s="46">
        <v>1300</v>
      </c>
      <c r="M2009" t="s">
        <v>1472</v>
      </c>
      <c r="N2009" t="s">
        <v>11</v>
      </c>
      <c r="O2009" s="49">
        <v>7.4931000000000001</v>
      </c>
      <c r="P2009" s="9">
        <f t="shared" si="190"/>
        <v>9741.0300000000007</v>
      </c>
      <c r="Q2009" s="10">
        <f t="shared" si="193"/>
        <v>7.3003400000000003</v>
      </c>
      <c r="R2009" s="10">
        <f t="shared" si="194"/>
        <v>1.0264</v>
      </c>
      <c r="S2009" s="11">
        <f t="shared" si="195"/>
        <v>1334.32</v>
      </c>
      <c r="T2009" s="10" t="s">
        <v>349</v>
      </c>
      <c r="U2009" t="s">
        <v>228</v>
      </c>
      <c r="V2009" s="58">
        <v>7.1775000000000002</v>
      </c>
      <c r="W2009" s="38">
        <f t="shared" si="191"/>
        <v>1357.1619644723091</v>
      </c>
    </row>
    <row r="2010" spans="1:23" s="15" customFormat="1">
      <c r="A2010" t="s">
        <v>4240</v>
      </c>
      <c r="B2010" s="20">
        <v>45754</v>
      </c>
      <c r="C2010" s="20">
        <v>45712</v>
      </c>
      <c r="D2010" t="s">
        <v>2257</v>
      </c>
      <c r="E2010" t="s">
        <v>2258</v>
      </c>
      <c r="F2010" s="19"/>
      <c r="G2010" t="s">
        <v>4523</v>
      </c>
      <c r="H2010" t="s">
        <v>3148</v>
      </c>
      <c r="I2010" t="s">
        <v>3358</v>
      </c>
      <c r="J2010" s="8" t="str">
        <f t="shared" si="192"/>
        <v>HDL-</v>
      </c>
      <c r="K2010" t="s">
        <v>10</v>
      </c>
      <c r="L2010" s="46">
        <v>2500</v>
      </c>
      <c r="M2010" t="s">
        <v>1472</v>
      </c>
      <c r="N2010" t="s">
        <v>11</v>
      </c>
      <c r="O2010" s="49">
        <v>7.4931000000000001</v>
      </c>
      <c r="P2010" s="9">
        <f t="shared" si="190"/>
        <v>18732.75</v>
      </c>
      <c r="Q2010" s="10">
        <f t="shared" si="193"/>
        <v>7.3003400000000003</v>
      </c>
      <c r="R2010" s="10">
        <f t="shared" si="194"/>
        <v>1.0264</v>
      </c>
      <c r="S2010" s="11">
        <f t="shared" si="195"/>
        <v>2566</v>
      </c>
      <c r="T2010" s="10" t="s">
        <v>349</v>
      </c>
      <c r="U2010" t="s">
        <v>228</v>
      </c>
      <c r="V2010" s="58">
        <v>7.1775000000000002</v>
      </c>
      <c r="W2010" s="38">
        <f t="shared" si="191"/>
        <v>2609.9268547544407</v>
      </c>
    </row>
    <row r="2011" spans="1:23" s="15" customFormat="1">
      <c r="A2011" t="s">
        <v>4241</v>
      </c>
      <c r="B2011" s="20">
        <v>45761</v>
      </c>
      <c r="C2011" s="20">
        <v>45712</v>
      </c>
      <c r="D2011" t="s">
        <v>2257</v>
      </c>
      <c r="E2011" t="s">
        <v>2258</v>
      </c>
      <c r="F2011" s="19"/>
      <c r="G2011" t="s">
        <v>4524</v>
      </c>
      <c r="H2011" t="s">
        <v>3148</v>
      </c>
      <c r="I2011" t="s">
        <v>3358</v>
      </c>
      <c r="J2011" s="8" t="str">
        <f t="shared" si="192"/>
        <v>HDL-</v>
      </c>
      <c r="K2011" t="s">
        <v>10</v>
      </c>
      <c r="L2011" s="46">
        <v>3000</v>
      </c>
      <c r="M2011" t="s">
        <v>1472</v>
      </c>
      <c r="N2011" t="s">
        <v>11</v>
      </c>
      <c r="O2011" s="49">
        <v>7.4931000000000001</v>
      </c>
      <c r="P2011" s="9">
        <f t="shared" si="190"/>
        <v>22479.3</v>
      </c>
      <c r="Q2011" s="10">
        <f t="shared" si="193"/>
        <v>7.3003400000000003</v>
      </c>
      <c r="R2011" s="10">
        <f t="shared" si="194"/>
        <v>1.0264</v>
      </c>
      <c r="S2011" s="11">
        <f t="shared" si="195"/>
        <v>3079.2</v>
      </c>
      <c r="T2011" s="10" t="s">
        <v>349</v>
      </c>
      <c r="U2011" t="s">
        <v>228</v>
      </c>
      <c r="V2011" s="58">
        <v>7.1775000000000002</v>
      </c>
      <c r="W2011" s="38">
        <f t="shared" si="191"/>
        <v>3131.9122257053291</v>
      </c>
    </row>
    <row r="2012" spans="1:23" s="15" customFormat="1">
      <c r="A2012" t="s">
        <v>4242</v>
      </c>
      <c r="B2012" s="20">
        <v>45762</v>
      </c>
      <c r="C2012" s="20">
        <v>45712</v>
      </c>
      <c r="D2012" t="s">
        <v>2257</v>
      </c>
      <c r="E2012" t="s">
        <v>2258</v>
      </c>
      <c r="F2012" s="19"/>
      <c r="G2012" t="s">
        <v>4525</v>
      </c>
      <c r="H2012" t="s">
        <v>3148</v>
      </c>
      <c r="I2012" t="s">
        <v>3358</v>
      </c>
      <c r="J2012" s="8" t="str">
        <f t="shared" si="192"/>
        <v>HDL-</v>
      </c>
      <c r="K2012" t="s">
        <v>10</v>
      </c>
      <c r="L2012" s="46">
        <v>2500</v>
      </c>
      <c r="M2012" t="s">
        <v>1472</v>
      </c>
      <c r="N2012" t="s">
        <v>11</v>
      </c>
      <c r="O2012" s="49">
        <v>7.4931000000000001</v>
      </c>
      <c r="P2012" s="9">
        <f t="shared" si="190"/>
        <v>18732.75</v>
      </c>
      <c r="Q2012" s="10">
        <f t="shared" si="193"/>
        <v>7.3003400000000003</v>
      </c>
      <c r="R2012" s="10">
        <f t="shared" si="194"/>
        <v>1.0264</v>
      </c>
      <c r="S2012" s="11">
        <f t="shared" si="195"/>
        <v>2566</v>
      </c>
      <c r="T2012" s="10" t="s">
        <v>349</v>
      </c>
      <c r="U2012" t="s">
        <v>228</v>
      </c>
      <c r="V2012" s="58">
        <v>7.1775000000000002</v>
      </c>
      <c r="W2012" s="38">
        <f t="shared" si="191"/>
        <v>2609.9268547544407</v>
      </c>
    </row>
    <row r="2013" spans="1:23" s="15" customFormat="1">
      <c r="A2013" t="s">
        <v>4243</v>
      </c>
      <c r="B2013" s="20">
        <v>45777</v>
      </c>
      <c r="C2013" s="20">
        <v>45712</v>
      </c>
      <c r="D2013" t="s">
        <v>2257</v>
      </c>
      <c r="E2013" t="s">
        <v>2258</v>
      </c>
      <c r="F2013" s="19"/>
      <c r="G2013" t="s">
        <v>4526</v>
      </c>
      <c r="H2013" t="s">
        <v>3148</v>
      </c>
      <c r="I2013" t="s">
        <v>3358</v>
      </c>
      <c r="J2013" s="8" t="str">
        <f t="shared" si="192"/>
        <v>HDL-</v>
      </c>
      <c r="K2013" t="s">
        <v>10</v>
      </c>
      <c r="L2013" s="46">
        <v>3600</v>
      </c>
      <c r="M2013" t="s">
        <v>1472</v>
      </c>
      <c r="N2013" t="s">
        <v>11</v>
      </c>
      <c r="O2013" s="49">
        <v>7.4931000000000001</v>
      </c>
      <c r="P2013" s="9">
        <f t="shared" si="190"/>
        <v>26975.16</v>
      </c>
      <c r="Q2013" s="10">
        <f t="shared" si="193"/>
        <v>7.3003400000000003</v>
      </c>
      <c r="R2013" s="10">
        <f t="shared" si="194"/>
        <v>1.0264</v>
      </c>
      <c r="S2013" s="11">
        <f t="shared" si="195"/>
        <v>3695.04</v>
      </c>
      <c r="T2013" s="10" t="s">
        <v>349</v>
      </c>
      <c r="U2013" t="s">
        <v>228</v>
      </c>
      <c r="V2013" s="58">
        <v>7.1775000000000002</v>
      </c>
      <c r="W2013" s="38">
        <f t="shared" si="191"/>
        <v>3758.2946708463946</v>
      </c>
    </row>
    <row r="2014" spans="1:23" s="15" customFormat="1">
      <c r="A2014" t="s">
        <v>2494</v>
      </c>
      <c r="B2014" s="20">
        <v>45754</v>
      </c>
      <c r="C2014" s="20">
        <v>45713</v>
      </c>
      <c r="D2014" t="s">
        <v>2257</v>
      </c>
      <c r="E2014" t="s">
        <v>2258</v>
      </c>
      <c r="F2014" s="19"/>
      <c r="G2014" t="s">
        <v>4523</v>
      </c>
      <c r="H2014" t="s">
        <v>1798</v>
      </c>
      <c r="I2014" t="s">
        <v>1799</v>
      </c>
      <c r="J2014" s="8" t="str">
        <f t="shared" si="192"/>
        <v>HDL-</v>
      </c>
      <c r="K2014" t="s">
        <v>10</v>
      </c>
      <c r="L2014" s="46">
        <v>800</v>
      </c>
      <c r="M2014" t="s">
        <v>1472</v>
      </c>
      <c r="N2014" t="s">
        <v>11</v>
      </c>
      <c r="O2014" s="49">
        <v>7.4931000000000001</v>
      </c>
      <c r="P2014" s="9">
        <f t="shared" si="190"/>
        <v>5994.48</v>
      </c>
      <c r="Q2014" s="10">
        <f t="shared" si="193"/>
        <v>7.3003400000000003</v>
      </c>
      <c r="R2014" s="10">
        <f t="shared" si="194"/>
        <v>1.0264</v>
      </c>
      <c r="S2014" s="11">
        <f t="shared" si="195"/>
        <v>821.12</v>
      </c>
      <c r="T2014" s="10" t="s">
        <v>349</v>
      </c>
      <c r="U2014" t="s">
        <v>228</v>
      </c>
      <c r="V2014" s="58">
        <v>7.1775000000000002</v>
      </c>
      <c r="W2014" s="38">
        <f t="shared" si="191"/>
        <v>835.17659352142107</v>
      </c>
    </row>
    <row r="2015" spans="1:23" s="15" customFormat="1">
      <c r="A2015" t="s">
        <v>4244</v>
      </c>
      <c r="B2015" s="20">
        <v>45761</v>
      </c>
      <c r="C2015" s="20">
        <v>45713</v>
      </c>
      <c r="D2015" t="s">
        <v>2257</v>
      </c>
      <c r="E2015" t="s">
        <v>2258</v>
      </c>
      <c r="F2015" s="19"/>
      <c r="G2015" t="s">
        <v>4524</v>
      </c>
      <c r="H2015" t="s">
        <v>1798</v>
      </c>
      <c r="I2015" t="s">
        <v>1799</v>
      </c>
      <c r="J2015" s="8" t="str">
        <f t="shared" si="192"/>
        <v>HDL-</v>
      </c>
      <c r="K2015" t="s">
        <v>10</v>
      </c>
      <c r="L2015" s="46">
        <v>3000</v>
      </c>
      <c r="M2015" t="s">
        <v>1472</v>
      </c>
      <c r="N2015" t="s">
        <v>11</v>
      </c>
      <c r="O2015" s="49">
        <v>7.4931000000000001</v>
      </c>
      <c r="P2015" s="9">
        <f t="shared" si="190"/>
        <v>22479.3</v>
      </c>
      <c r="Q2015" s="10">
        <f t="shared" si="193"/>
        <v>7.3003400000000003</v>
      </c>
      <c r="R2015" s="10">
        <f t="shared" si="194"/>
        <v>1.0264</v>
      </c>
      <c r="S2015" s="11">
        <f t="shared" si="195"/>
        <v>3079.2</v>
      </c>
      <c r="T2015" s="10" t="s">
        <v>349</v>
      </c>
      <c r="U2015" t="s">
        <v>228</v>
      </c>
      <c r="V2015" s="58">
        <v>7.1775000000000002</v>
      </c>
      <c r="W2015" s="38">
        <f t="shared" si="191"/>
        <v>3131.9122257053291</v>
      </c>
    </row>
    <row r="2016" spans="1:23" s="15" customFormat="1">
      <c r="A2016" t="s">
        <v>4245</v>
      </c>
      <c r="B2016" s="20">
        <v>45762</v>
      </c>
      <c r="C2016" s="20">
        <v>45713</v>
      </c>
      <c r="D2016" t="s">
        <v>2257</v>
      </c>
      <c r="E2016" t="s">
        <v>2258</v>
      </c>
      <c r="F2016" s="19"/>
      <c r="G2016" t="s">
        <v>4525</v>
      </c>
      <c r="H2016" t="s">
        <v>1798</v>
      </c>
      <c r="I2016" t="s">
        <v>1799</v>
      </c>
      <c r="J2016" s="8" t="str">
        <f t="shared" si="192"/>
        <v>HDL-</v>
      </c>
      <c r="K2016" t="s">
        <v>10</v>
      </c>
      <c r="L2016" s="46">
        <v>3000</v>
      </c>
      <c r="M2016" t="s">
        <v>1472</v>
      </c>
      <c r="N2016" t="s">
        <v>11</v>
      </c>
      <c r="O2016" s="49">
        <v>7.4931000000000001</v>
      </c>
      <c r="P2016" s="9">
        <f t="shared" si="190"/>
        <v>22479.3</v>
      </c>
      <c r="Q2016" s="10">
        <f t="shared" si="193"/>
        <v>7.3003400000000003</v>
      </c>
      <c r="R2016" s="10">
        <f t="shared" si="194"/>
        <v>1.0264</v>
      </c>
      <c r="S2016" s="11">
        <f t="shared" si="195"/>
        <v>3079.2</v>
      </c>
      <c r="T2016" s="10" t="s">
        <v>349</v>
      </c>
      <c r="U2016" t="s">
        <v>228</v>
      </c>
      <c r="V2016" s="58">
        <v>7.1775000000000002</v>
      </c>
      <c r="W2016" s="38">
        <f t="shared" si="191"/>
        <v>3131.9122257053291</v>
      </c>
    </row>
    <row r="2017" spans="1:23" s="15" customFormat="1">
      <c r="A2017" t="s">
        <v>4246</v>
      </c>
      <c r="B2017" s="20">
        <v>45777</v>
      </c>
      <c r="C2017" s="20">
        <v>45713</v>
      </c>
      <c r="D2017" t="s">
        <v>2257</v>
      </c>
      <c r="E2017" t="s">
        <v>2258</v>
      </c>
      <c r="F2017" s="19"/>
      <c r="G2017" t="s">
        <v>4526</v>
      </c>
      <c r="H2017" t="s">
        <v>1798</v>
      </c>
      <c r="I2017" t="s">
        <v>1799</v>
      </c>
      <c r="J2017" s="8" t="str">
        <f t="shared" si="192"/>
        <v>HDL-</v>
      </c>
      <c r="K2017" t="s">
        <v>10</v>
      </c>
      <c r="L2017" s="46">
        <v>3000</v>
      </c>
      <c r="M2017" t="s">
        <v>1472</v>
      </c>
      <c r="N2017" t="s">
        <v>11</v>
      </c>
      <c r="O2017" s="49">
        <v>7.4931000000000001</v>
      </c>
      <c r="P2017" s="9">
        <f t="shared" si="190"/>
        <v>22479.3</v>
      </c>
      <c r="Q2017" s="10">
        <f t="shared" si="193"/>
        <v>7.3003400000000003</v>
      </c>
      <c r="R2017" s="10">
        <f t="shared" si="194"/>
        <v>1.0264</v>
      </c>
      <c r="S2017" s="11">
        <f t="shared" si="195"/>
        <v>3079.2</v>
      </c>
      <c r="T2017" s="10" t="s">
        <v>349</v>
      </c>
      <c r="U2017" t="s">
        <v>228</v>
      </c>
      <c r="V2017" s="58">
        <v>7.1775000000000002</v>
      </c>
      <c r="W2017" s="38">
        <f t="shared" si="191"/>
        <v>3131.9122257053291</v>
      </c>
    </row>
    <row r="2018" spans="1:23" s="15" customFormat="1">
      <c r="A2018" t="s">
        <v>2501</v>
      </c>
      <c r="B2018" s="20">
        <v>45754</v>
      </c>
      <c r="C2018" s="20">
        <v>45713</v>
      </c>
      <c r="D2018" t="s">
        <v>2257</v>
      </c>
      <c r="E2018" t="s">
        <v>2258</v>
      </c>
      <c r="F2018" s="19"/>
      <c r="G2018" t="s">
        <v>4523</v>
      </c>
      <c r="H2018" t="s">
        <v>1800</v>
      </c>
      <c r="I2018" t="s">
        <v>1801</v>
      </c>
      <c r="J2018" s="8" t="str">
        <f t="shared" si="192"/>
        <v>HDL-</v>
      </c>
      <c r="K2018" t="s">
        <v>10</v>
      </c>
      <c r="L2018" s="46">
        <v>1820</v>
      </c>
      <c r="M2018" t="s">
        <v>1472</v>
      </c>
      <c r="N2018" t="s">
        <v>11</v>
      </c>
      <c r="O2018" s="49">
        <v>7.4931000000000001</v>
      </c>
      <c r="P2018" s="9">
        <f t="shared" si="190"/>
        <v>13637.44</v>
      </c>
      <c r="Q2018" s="10">
        <f t="shared" si="193"/>
        <v>7.3003400000000003</v>
      </c>
      <c r="R2018" s="10">
        <f t="shared" si="194"/>
        <v>1.0264</v>
      </c>
      <c r="S2018" s="11">
        <f t="shared" si="195"/>
        <v>1868.05</v>
      </c>
      <c r="T2018" s="10" t="s">
        <v>349</v>
      </c>
      <c r="U2018" t="s">
        <v>228</v>
      </c>
      <c r="V2018" s="58">
        <v>7.1775000000000002</v>
      </c>
      <c r="W2018" s="38">
        <f t="shared" si="191"/>
        <v>1900.0267502612328</v>
      </c>
    </row>
    <row r="2019" spans="1:23" s="15" customFormat="1">
      <c r="A2019" t="s">
        <v>4247</v>
      </c>
      <c r="B2019" s="20">
        <v>45761</v>
      </c>
      <c r="C2019" s="20">
        <v>45713</v>
      </c>
      <c r="D2019" t="s">
        <v>2257</v>
      </c>
      <c r="E2019" t="s">
        <v>2258</v>
      </c>
      <c r="F2019" s="19"/>
      <c r="G2019" t="s">
        <v>4524</v>
      </c>
      <c r="H2019" t="s">
        <v>1800</v>
      </c>
      <c r="I2019" t="s">
        <v>1801</v>
      </c>
      <c r="J2019" s="8" t="str">
        <f t="shared" si="192"/>
        <v>HDL-</v>
      </c>
      <c r="K2019" t="s">
        <v>10</v>
      </c>
      <c r="L2019" s="46">
        <v>4020</v>
      </c>
      <c r="M2019" t="s">
        <v>1472</v>
      </c>
      <c r="N2019" t="s">
        <v>11</v>
      </c>
      <c r="O2019" s="49">
        <v>7.4931000000000001</v>
      </c>
      <c r="P2019" s="9">
        <f t="shared" si="190"/>
        <v>30122.26</v>
      </c>
      <c r="Q2019" s="10">
        <f t="shared" si="193"/>
        <v>7.3003400000000003</v>
      </c>
      <c r="R2019" s="10">
        <f t="shared" si="194"/>
        <v>1.0264</v>
      </c>
      <c r="S2019" s="11">
        <f t="shared" si="195"/>
        <v>4126.13</v>
      </c>
      <c r="T2019" s="10" t="s">
        <v>349</v>
      </c>
      <c r="U2019" t="s">
        <v>228</v>
      </c>
      <c r="V2019" s="58">
        <v>7.1775000000000002</v>
      </c>
      <c r="W2019" s="38">
        <f t="shared" si="191"/>
        <v>4196.7623824451412</v>
      </c>
    </row>
    <row r="2020" spans="1:23" s="15" customFormat="1">
      <c r="A2020" t="s">
        <v>4248</v>
      </c>
      <c r="B2020" s="20">
        <v>45762</v>
      </c>
      <c r="C2020" s="20">
        <v>45713</v>
      </c>
      <c r="D2020" t="s">
        <v>2257</v>
      </c>
      <c r="E2020" t="s">
        <v>2258</v>
      </c>
      <c r="F2020" s="19"/>
      <c r="G2020" t="s">
        <v>4525</v>
      </c>
      <c r="H2020" t="s">
        <v>1800</v>
      </c>
      <c r="I2020" t="s">
        <v>1801</v>
      </c>
      <c r="J2020" s="8" t="str">
        <f t="shared" si="192"/>
        <v>HDL-</v>
      </c>
      <c r="K2020" t="s">
        <v>10</v>
      </c>
      <c r="L2020" s="46">
        <v>4530</v>
      </c>
      <c r="M2020" t="s">
        <v>1472</v>
      </c>
      <c r="N2020" t="s">
        <v>11</v>
      </c>
      <c r="O2020" s="49">
        <v>7.4931000000000001</v>
      </c>
      <c r="P2020" s="9">
        <f t="shared" si="190"/>
        <v>33943.74</v>
      </c>
      <c r="Q2020" s="10">
        <f t="shared" si="193"/>
        <v>7.3003400000000003</v>
      </c>
      <c r="R2020" s="10">
        <f t="shared" si="194"/>
        <v>1.0264</v>
      </c>
      <c r="S2020" s="11">
        <f t="shared" si="195"/>
        <v>4649.59</v>
      </c>
      <c r="T2020" s="10" t="s">
        <v>349</v>
      </c>
      <c r="U2020" t="s">
        <v>228</v>
      </c>
      <c r="V2020" s="58">
        <v>7.1775000000000002</v>
      </c>
      <c r="W2020" s="38">
        <f t="shared" si="191"/>
        <v>4729.1874608150465</v>
      </c>
    </row>
    <row r="2021" spans="1:23" s="15" customFormat="1">
      <c r="A2021" t="s">
        <v>4249</v>
      </c>
      <c r="B2021" s="20">
        <v>45777</v>
      </c>
      <c r="C2021" s="20">
        <v>45713</v>
      </c>
      <c r="D2021" t="s">
        <v>2257</v>
      </c>
      <c r="E2021" t="s">
        <v>2258</v>
      </c>
      <c r="F2021" s="19"/>
      <c r="G2021" t="s">
        <v>4526</v>
      </c>
      <c r="H2021" t="s">
        <v>1800</v>
      </c>
      <c r="I2021" t="s">
        <v>1801</v>
      </c>
      <c r="J2021" s="8" t="str">
        <f t="shared" si="192"/>
        <v>HDL-</v>
      </c>
      <c r="K2021" t="s">
        <v>10</v>
      </c>
      <c r="L2021" s="46">
        <v>4530</v>
      </c>
      <c r="M2021" t="s">
        <v>1472</v>
      </c>
      <c r="N2021" t="s">
        <v>11</v>
      </c>
      <c r="O2021" s="49">
        <v>7.4931000000000001</v>
      </c>
      <c r="P2021" s="9">
        <f t="shared" si="190"/>
        <v>33943.74</v>
      </c>
      <c r="Q2021" s="10">
        <f t="shared" si="193"/>
        <v>7.3003400000000003</v>
      </c>
      <c r="R2021" s="10">
        <f t="shared" si="194"/>
        <v>1.0264</v>
      </c>
      <c r="S2021" s="11">
        <f t="shared" si="195"/>
        <v>4649.59</v>
      </c>
      <c r="T2021" s="10" t="s">
        <v>349</v>
      </c>
      <c r="U2021" t="s">
        <v>228</v>
      </c>
      <c r="V2021" s="58">
        <v>7.1775000000000002</v>
      </c>
      <c r="W2021" s="38">
        <f t="shared" si="191"/>
        <v>4729.1874608150465</v>
      </c>
    </row>
    <row r="2022" spans="1:23" s="15" customFormat="1">
      <c r="A2022" t="s">
        <v>4250</v>
      </c>
      <c r="B2022" s="20">
        <v>45769</v>
      </c>
      <c r="C2022" s="20">
        <v>45713</v>
      </c>
      <c r="D2022" t="s">
        <v>2257</v>
      </c>
      <c r="E2022" t="s">
        <v>2258</v>
      </c>
      <c r="F2022" s="19"/>
      <c r="G2022" t="s">
        <v>4527</v>
      </c>
      <c r="H2022" t="s">
        <v>3152</v>
      </c>
      <c r="I2022" t="s">
        <v>3362</v>
      </c>
      <c r="J2022" s="8" t="str">
        <f t="shared" si="192"/>
        <v>HDL-</v>
      </c>
      <c r="K2022" t="s">
        <v>10</v>
      </c>
      <c r="L2022" s="46">
        <v>4500</v>
      </c>
      <c r="M2022" t="s">
        <v>1472</v>
      </c>
      <c r="N2022" t="s">
        <v>11</v>
      </c>
      <c r="O2022" s="49">
        <v>7.4931000000000001</v>
      </c>
      <c r="P2022" s="9">
        <f t="shared" si="190"/>
        <v>33718.949999999997</v>
      </c>
      <c r="Q2022" s="10">
        <f t="shared" si="193"/>
        <v>7.3003400000000003</v>
      </c>
      <c r="R2022" s="10">
        <f t="shared" si="194"/>
        <v>1.0264</v>
      </c>
      <c r="S2022" s="11">
        <f t="shared" si="195"/>
        <v>4618.8</v>
      </c>
      <c r="T2022" s="10" t="s">
        <v>349</v>
      </c>
      <c r="U2022" t="s">
        <v>228</v>
      </c>
      <c r="V2022" s="58">
        <v>7.1775000000000002</v>
      </c>
      <c r="W2022" s="38">
        <f t="shared" si="191"/>
        <v>4697.8683385579934</v>
      </c>
    </row>
    <row r="2023" spans="1:23" s="15" customFormat="1">
      <c r="A2023" t="s">
        <v>4251</v>
      </c>
      <c r="B2023" s="20">
        <v>45769</v>
      </c>
      <c r="C2023" s="20">
        <v>45713</v>
      </c>
      <c r="D2023" t="s">
        <v>2257</v>
      </c>
      <c r="E2023" t="s">
        <v>2258</v>
      </c>
      <c r="F2023" s="19"/>
      <c r="G2023" t="s">
        <v>4527</v>
      </c>
      <c r="H2023" t="s">
        <v>1802</v>
      </c>
      <c r="I2023" t="s">
        <v>1803</v>
      </c>
      <c r="J2023" s="8" t="str">
        <f t="shared" si="192"/>
        <v>HDL-</v>
      </c>
      <c r="K2023" t="s">
        <v>10</v>
      </c>
      <c r="L2023" s="46">
        <v>2520</v>
      </c>
      <c r="M2023" t="s">
        <v>1472</v>
      </c>
      <c r="N2023" t="s">
        <v>11</v>
      </c>
      <c r="O2023" s="49">
        <v>7.4931000000000001</v>
      </c>
      <c r="P2023" s="9">
        <f t="shared" si="190"/>
        <v>18882.61</v>
      </c>
      <c r="Q2023" s="10">
        <f t="shared" si="193"/>
        <v>7.3003400000000003</v>
      </c>
      <c r="R2023" s="10">
        <f t="shared" si="194"/>
        <v>1.0264</v>
      </c>
      <c r="S2023" s="11">
        <f t="shared" si="195"/>
        <v>2586.5300000000002</v>
      </c>
      <c r="T2023" s="10" t="s">
        <v>349</v>
      </c>
      <c r="U2023" t="s">
        <v>228</v>
      </c>
      <c r="V2023" s="58">
        <v>7.1775000000000002</v>
      </c>
      <c r="W2023" s="38">
        <f t="shared" si="191"/>
        <v>2630.8062695924764</v>
      </c>
    </row>
    <row r="2024" spans="1:23" s="15" customFormat="1">
      <c r="A2024" t="s">
        <v>4252</v>
      </c>
      <c r="B2024" s="20">
        <v>45772</v>
      </c>
      <c r="C2024" s="20">
        <v>45713</v>
      </c>
      <c r="D2024" t="s">
        <v>2257</v>
      </c>
      <c r="E2024" t="s">
        <v>2258</v>
      </c>
      <c r="F2024" s="19"/>
      <c r="G2024" t="s">
        <v>4528</v>
      </c>
      <c r="H2024" t="s">
        <v>1802</v>
      </c>
      <c r="I2024" t="s">
        <v>1803</v>
      </c>
      <c r="J2024" s="8" t="str">
        <f t="shared" si="192"/>
        <v>HDL-</v>
      </c>
      <c r="K2024" t="s">
        <v>10</v>
      </c>
      <c r="L2024" s="46">
        <v>3600</v>
      </c>
      <c r="M2024" t="s">
        <v>1472</v>
      </c>
      <c r="N2024" t="s">
        <v>11</v>
      </c>
      <c r="O2024" s="49">
        <v>7.4931000000000001</v>
      </c>
      <c r="P2024" s="9">
        <f t="shared" si="190"/>
        <v>26975.16</v>
      </c>
      <c r="Q2024" s="10">
        <f t="shared" si="193"/>
        <v>7.3003400000000003</v>
      </c>
      <c r="R2024" s="10">
        <f t="shared" si="194"/>
        <v>1.0264</v>
      </c>
      <c r="S2024" s="11">
        <f t="shared" si="195"/>
        <v>3695.04</v>
      </c>
      <c r="T2024" s="10" t="s">
        <v>349</v>
      </c>
      <c r="U2024" t="s">
        <v>228</v>
      </c>
      <c r="V2024" s="58">
        <v>7.1775000000000002</v>
      </c>
      <c r="W2024" s="38">
        <f t="shared" si="191"/>
        <v>3758.2946708463946</v>
      </c>
    </row>
    <row r="2025" spans="1:23" s="15" customFormat="1">
      <c r="A2025" t="s">
        <v>4253</v>
      </c>
      <c r="B2025" s="20">
        <v>45769</v>
      </c>
      <c r="C2025" s="20">
        <v>45713</v>
      </c>
      <c r="D2025" t="s">
        <v>2257</v>
      </c>
      <c r="E2025" t="s">
        <v>2258</v>
      </c>
      <c r="F2025" s="19"/>
      <c r="G2025" t="s">
        <v>4527</v>
      </c>
      <c r="H2025" t="s">
        <v>3152</v>
      </c>
      <c r="I2025" t="s">
        <v>3362</v>
      </c>
      <c r="J2025" s="8" t="str">
        <f t="shared" si="192"/>
        <v>HDL-</v>
      </c>
      <c r="K2025" t="s">
        <v>10</v>
      </c>
      <c r="L2025" s="46">
        <v>3100</v>
      </c>
      <c r="M2025" t="s">
        <v>1472</v>
      </c>
      <c r="N2025" t="s">
        <v>11</v>
      </c>
      <c r="O2025" s="49">
        <v>7.4931000000000001</v>
      </c>
      <c r="P2025" s="9">
        <f t="shared" si="190"/>
        <v>23228.61</v>
      </c>
      <c r="Q2025" s="10">
        <f t="shared" si="193"/>
        <v>7.3003400000000003</v>
      </c>
      <c r="R2025" s="10">
        <f t="shared" si="194"/>
        <v>1.0264</v>
      </c>
      <c r="S2025" s="11">
        <f t="shared" si="195"/>
        <v>3181.84</v>
      </c>
      <c r="T2025" s="10" t="s">
        <v>349</v>
      </c>
      <c r="U2025" t="s">
        <v>228</v>
      </c>
      <c r="V2025" s="58">
        <v>7.1775000000000002</v>
      </c>
      <c r="W2025" s="38">
        <f t="shared" si="191"/>
        <v>3236.3092998955067</v>
      </c>
    </row>
    <row r="2026" spans="1:23" s="15" customFormat="1">
      <c r="A2026" t="s">
        <v>2391</v>
      </c>
      <c r="B2026" s="20">
        <v>45748</v>
      </c>
      <c r="C2026" s="20">
        <v>45695</v>
      </c>
      <c r="D2026" t="s">
        <v>287</v>
      </c>
      <c r="E2026" t="s">
        <v>288</v>
      </c>
      <c r="F2026" s="19"/>
      <c r="G2026" t="s">
        <v>4513</v>
      </c>
      <c r="H2026" t="s">
        <v>703</v>
      </c>
      <c r="I2026" t="s">
        <v>704</v>
      </c>
      <c r="J2026" s="8" t="str">
        <f t="shared" si="192"/>
        <v>ANYD</v>
      </c>
      <c r="K2026" t="s">
        <v>10</v>
      </c>
      <c r="L2026" s="46">
        <v>90</v>
      </c>
      <c r="M2026" t="s">
        <v>1472</v>
      </c>
      <c r="N2026" t="s">
        <v>11</v>
      </c>
      <c r="O2026" s="49">
        <v>7.5751999999999997</v>
      </c>
      <c r="P2026" s="9">
        <f t="shared" si="190"/>
        <v>681.77</v>
      </c>
      <c r="Q2026" s="10">
        <f t="shared" si="193"/>
        <v>7.3003400000000003</v>
      </c>
      <c r="R2026" s="10">
        <f t="shared" si="194"/>
        <v>1.0377000000000001</v>
      </c>
      <c r="S2026" s="11">
        <f t="shared" si="195"/>
        <v>93.39</v>
      </c>
      <c r="T2026" s="10" t="s">
        <v>349</v>
      </c>
      <c r="U2026" t="s">
        <v>36</v>
      </c>
      <c r="V2026" s="58">
        <v>7.1775000000000002</v>
      </c>
      <c r="W2026" s="38">
        <f t="shared" si="191"/>
        <v>94.986833855799361</v>
      </c>
    </row>
    <row r="2027" spans="1:23" s="15" customFormat="1">
      <c r="A2027" t="s">
        <v>4254</v>
      </c>
      <c r="B2027" s="20">
        <v>45756</v>
      </c>
      <c r="C2027" s="20">
        <v>45702</v>
      </c>
      <c r="D2027" t="s">
        <v>287</v>
      </c>
      <c r="E2027" t="s">
        <v>288</v>
      </c>
      <c r="F2027" s="19"/>
      <c r="G2027" t="s">
        <v>4515</v>
      </c>
      <c r="H2027" t="s">
        <v>935</v>
      </c>
      <c r="I2027" t="s">
        <v>936</v>
      </c>
      <c r="J2027" s="8" t="str">
        <f t="shared" si="192"/>
        <v>ANYD</v>
      </c>
      <c r="K2027" t="s">
        <v>10</v>
      </c>
      <c r="L2027" s="46">
        <v>1900</v>
      </c>
      <c r="M2027" t="s">
        <v>1472</v>
      </c>
      <c r="N2027" t="s">
        <v>11</v>
      </c>
      <c r="O2027" s="49">
        <v>7.5751999999999997</v>
      </c>
      <c r="P2027" s="9">
        <f t="shared" si="190"/>
        <v>14392.88</v>
      </c>
      <c r="Q2027" s="10">
        <f t="shared" si="193"/>
        <v>7.3003400000000003</v>
      </c>
      <c r="R2027" s="10">
        <f t="shared" si="194"/>
        <v>1.0377000000000001</v>
      </c>
      <c r="S2027" s="11">
        <f t="shared" si="195"/>
        <v>1971.63</v>
      </c>
      <c r="T2027" s="10" t="s">
        <v>349</v>
      </c>
      <c r="U2027" t="s">
        <v>36</v>
      </c>
      <c r="V2027" s="58">
        <v>7.1775000000000002</v>
      </c>
      <c r="W2027" s="38">
        <f t="shared" si="191"/>
        <v>2005.2776036224309</v>
      </c>
    </row>
    <row r="2028" spans="1:23" s="15" customFormat="1">
      <c r="A2028" t="s">
        <v>4255</v>
      </c>
      <c r="B2028" s="20">
        <v>45755</v>
      </c>
      <c r="C2028" s="20">
        <v>45749</v>
      </c>
      <c r="D2028" t="s">
        <v>5</v>
      </c>
      <c r="E2028" t="s">
        <v>6</v>
      </c>
      <c r="F2028" s="19"/>
      <c r="G2028" t="s">
        <v>4502</v>
      </c>
      <c r="H2028" t="s">
        <v>480</v>
      </c>
      <c r="I2028" t="s">
        <v>481</v>
      </c>
      <c r="J2028" s="8" t="str">
        <f t="shared" si="192"/>
        <v>BOX-</v>
      </c>
      <c r="K2028" t="s">
        <v>10</v>
      </c>
      <c r="L2028" s="46">
        <v>1010</v>
      </c>
      <c r="M2028" t="s">
        <v>1472</v>
      </c>
      <c r="N2028" t="s">
        <v>11</v>
      </c>
      <c r="O2028" s="49">
        <v>7.6</v>
      </c>
      <c r="P2028" s="9">
        <f t="shared" si="190"/>
        <v>7676</v>
      </c>
      <c r="Q2028" s="10">
        <f t="shared" si="193"/>
        <v>7.3003400000000003</v>
      </c>
      <c r="R2028" s="10">
        <f t="shared" si="194"/>
        <v>1.0409999999999999</v>
      </c>
      <c r="S2028" s="11">
        <f t="shared" si="195"/>
        <v>1051.4100000000001</v>
      </c>
      <c r="T2028" s="10" t="s">
        <v>349</v>
      </c>
      <c r="U2028" t="s">
        <v>1</v>
      </c>
      <c r="V2028" s="58">
        <v>7.1775000000000002</v>
      </c>
      <c r="W2028" s="38">
        <f t="shared" si="191"/>
        <v>1069.4531522117727</v>
      </c>
    </row>
    <row r="2029" spans="1:23" s="15" customFormat="1">
      <c r="A2029" t="s">
        <v>4256</v>
      </c>
      <c r="B2029" s="20">
        <v>45754</v>
      </c>
      <c r="C2029" s="20">
        <v>45713</v>
      </c>
      <c r="D2029" t="s">
        <v>2257</v>
      </c>
      <c r="E2029" t="s">
        <v>2258</v>
      </c>
      <c r="F2029" s="19"/>
      <c r="G2029" t="s">
        <v>4523</v>
      </c>
      <c r="H2029" t="s">
        <v>3192</v>
      </c>
      <c r="I2029" t="s">
        <v>3399</v>
      </c>
      <c r="J2029" s="8" t="str">
        <f t="shared" si="192"/>
        <v>HDL-</v>
      </c>
      <c r="K2029" t="s">
        <v>10</v>
      </c>
      <c r="L2029" s="46">
        <v>1100</v>
      </c>
      <c r="M2029" t="s">
        <v>1472</v>
      </c>
      <c r="N2029" t="s">
        <v>11</v>
      </c>
      <c r="O2029" s="49">
        <v>7.6459999999999999</v>
      </c>
      <c r="P2029" s="9">
        <f t="shared" si="190"/>
        <v>8410.6</v>
      </c>
      <c r="Q2029" s="10">
        <f t="shared" si="193"/>
        <v>7.3003400000000003</v>
      </c>
      <c r="R2029" s="10">
        <f t="shared" si="194"/>
        <v>1.0472999999999999</v>
      </c>
      <c r="S2029" s="11">
        <f t="shared" si="195"/>
        <v>1152.03</v>
      </c>
      <c r="T2029" s="10" t="s">
        <v>349</v>
      </c>
      <c r="U2029" t="s">
        <v>228</v>
      </c>
      <c r="V2029" s="58">
        <v>7.1775000000000002</v>
      </c>
      <c r="W2029" s="38">
        <f t="shared" si="191"/>
        <v>1171.8007662835248</v>
      </c>
    </row>
    <row r="2030" spans="1:23" s="15" customFormat="1">
      <c r="A2030" t="s">
        <v>4257</v>
      </c>
      <c r="B2030" s="20">
        <v>45772</v>
      </c>
      <c r="C2030" s="20">
        <v>45713</v>
      </c>
      <c r="D2030" t="s">
        <v>2257</v>
      </c>
      <c r="E2030" t="s">
        <v>2258</v>
      </c>
      <c r="F2030" s="19"/>
      <c r="G2030" t="s">
        <v>4528</v>
      </c>
      <c r="H2030" t="s">
        <v>3192</v>
      </c>
      <c r="I2030" t="s">
        <v>3399</v>
      </c>
      <c r="J2030" s="8" t="str">
        <f t="shared" si="192"/>
        <v>HDL-</v>
      </c>
      <c r="K2030" t="s">
        <v>10</v>
      </c>
      <c r="L2030" s="46">
        <v>900</v>
      </c>
      <c r="M2030" t="s">
        <v>1472</v>
      </c>
      <c r="N2030" t="s">
        <v>11</v>
      </c>
      <c r="O2030" s="49">
        <v>7.6459999999999999</v>
      </c>
      <c r="P2030" s="9">
        <f t="shared" si="190"/>
        <v>6881.4</v>
      </c>
      <c r="Q2030" s="10">
        <f t="shared" si="193"/>
        <v>7.3003400000000003</v>
      </c>
      <c r="R2030" s="10">
        <f t="shared" si="194"/>
        <v>1.0472999999999999</v>
      </c>
      <c r="S2030" s="11">
        <f t="shared" si="195"/>
        <v>942.57</v>
      </c>
      <c r="T2030" s="10" t="s">
        <v>349</v>
      </c>
      <c r="U2030" t="s">
        <v>228</v>
      </c>
      <c r="V2030" s="58">
        <v>7.1775000000000002</v>
      </c>
      <c r="W2030" s="38">
        <f t="shared" si="191"/>
        <v>958.74608150470215</v>
      </c>
    </row>
    <row r="2031" spans="1:23" s="15" customFormat="1">
      <c r="A2031" t="s">
        <v>4257</v>
      </c>
      <c r="B2031" s="20">
        <v>45768</v>
      </c>
      <c r="C2031" s="20">
        <v>45713</v>
      </c>
      <c r="D2031" t="s">
        <v>2257</v>
      </c>
      <c r="E2031" t="s">
        <v>2258</v>
      </c>
      <c r="F2031" s="19"/>
      <c r="G2031" t="s">
        <v>4529</v>
      </c>
      <c r="H2031" t="s">
        <v>3192</v>
      </c>
      <c r="I2031" t="s">
        <v>3399</v>
      </c>
      <c r="J2031" s="8" t="str">
        <f t="shared" si="192"/>
        <v>HDL-</v>
      </c>
      <c r="K2031" t="s">
        <v>10</v>
      </c>
      <c r="L2031" s="46">
        <v>200</v>
      </c>
      <c r="M2031" t="s">
        <v>1472</v>
      </c>
      <c r="N2031" t="s">
        <v>11</v>
      </c>
      <c r="O2031" s="49">
        <v>7.6459999999999999</v>
      </c>
      <c r="P2031" s="9">
        <f t="shared" si="190"/>
        <v>1529.2</v>
      </c>
      <c r="Q2031" s="10">
        <f t="shared" si="193"/>
        <v>7.3003400000000003</v>
      </c>
      <c r="R2031" s="10">
        <f t="shared" si="194"/>
        <v>1.0472999999999999</v>
      </c>
      <c r="S2031" s="11">
        <f t="shared" si="195"/>
        <v>209.46</v>
      </c>
      <c r="T2031" s="10" t="s">
        <v>349</v>
      </c>
      <c r="U2031" t="s">
        <v>228</v>
      </c>
      <c r="V2031" s="58">
        <v>7.1775000000000002</v>
      </c>
      <c r="W2031" s="38">
        <f t="shared" si="191"/>
        <v>213.05468477882269</v>
      </c>
    </row>
    <row r="2032" spans="1:23" s="15" customFormat="1">
      <c r="A2032" t="s">
        <v>4258</v>
      </c>
      <c r="B2032" s="20">
        <v>45768</v>
      </c>
      <c r="C2032" s="20">
        <v>45713</v>
      </c>
      <c r="D2032" t="s">
        <v>2257</v>
      </c>
      <c r="E2032" t="s">
        <v>2258</v>
      </c>
      <c r="F2032" s="19"/>
      <c r="G2032" t="s">
        <v>4529</v>
      </c>
      <c r="H2032" t="s">
        <v>3192</v>
      </c>
      <c r="I2032" t="s">
        <v>3399</v>
      </c>
      <c r="J2032" s="8" t="str">
        <f t="shared" si="192"/>
        <v>HDL-</v>
      </c>
      <c r="K2032" t="s">
        <v>10</v>
      </c>
      <c r="L2032" s="46">
        <v>600</v>
      </c>
      <c r="M2032" t="s">
        <v>1472</v>
      </c>
      <c r="N2032" t="s">
        <v>11</v>
      </c>
      <c r="O2032" s="49">
        <v>7.6459999999999999</v>
      </c>
      <c r="P2032" s="9">
        <f t="shared" si="190"/>
        <v>4587.6000000000004</v>
      </c>
      <c r="Q2032" s="10">
        <f t="shared" si="193"/>
        <v>7.3003400000000003</v>
      </c>
      <c r="R2032" s="10">
        <f t="shared" si="194"/>
        <v>1.0472999999999999</v>
      </c>
      <c r="S2032" s="11">
        <f t="shared" si="195"/>
        <v>628.38</v>
      </c>
      <c r="T2032" s="10" t="s">
        <v>349</v>
      </c>
      <c r="U2032" t="s">
        <v>228</v>
      </c>
      <c r="V2032" s="58">
        <v>7.1775000000000002</v>
      </c>
      <c r="W2032" s="38">
        <f t="shared" si="191"/>
        <v>639.1640543364681</v>
      </c>
    </row>
    <row r="2033" spans="1:23" s="15" customFormat="1">
      <c r="A2033" t="s">
        <v>4259</v>
      </c>
      <c r="B2033" s="20">
        <v>45768</v>
      </c>
      <c r="C2033" s="20">
        <v>45721</v>
      </c>
      <c r="D2033" t="s">
        <v>830</v>
      </c>
      <c r="E2033" t="s">
        <v>831</v>
      </c>
      <c r="F2033" s="19"/>
      <c r="G2033" t="s">
        <v>4530</v>
      </c>
      <c r="H2033" t="s">
        <v>928</v>
      </c>
      <c r="I2033" t="s">
        <v>929</v>
      </c>
      <c r="J2033" s="8" t="str">
        <f t="shared" si="192"/>
        <v>LID-</v>
      </c>
      <c r="K2033" t="s">
        <v>369</v>
      </c>
      <c r="L2033" s="46">
        <v>1030</v>
      </c>
      <c r="M2033" t="s">
        <v>1472</v>
      </c>
      <c r="N2033" t="s">
        <v>11</v>
      </c>
      <c r="O2033" s="49">
        <v>7.8</v>
      </c>
      <c r="P2033" s="9">
        <f t="shared" si="190"/>
        <v>8034</v>
      </c>
      <c r="Q2033" s="10">
        <f t="shared" si="193"/>
        <v>7.3003400000000003</v>
      </c>
      <c r="R2033" s="10">
        <f t="shared" si="194"/>
        <v>1.0684</v>
      </c>
      <c r="S2033" s="11">
        <f t="shared" si="195"/>
        <v>1100.45</v>
      </c>
      <c r="T2033" s="10" t="s">
        <v>349</v>
      </c>
      <c r="U2033" t="s">
        <v>368</v>
      </c>
      <c r="V2033" s="58">
        <v>7.1775000000000002</v>
      </c>
      <c r="W2033" s="38">
        <f t="shared" si="191"/>
        <v>1119.3312434691745</v>
      </c>
    </row>
    <row r="2034" spans="1:23" s="15" customFormat="1">
      <c r="A2034" t="s">
        <v>4260</v>
      </c>
      <c r="B2034" s="20">
        <v>45749</v>
      </c>
      <c r="C2034" s="20">
        <v>45729</v>
      </c>
      <c r="D2034" t="s">
        <v>2819</v>
      </c>
      <c r="E2034" t="s">
        <v>2820</v>
      </c>
      <c r="F2034" s="19"/>
      <c r="G2034" t="s">
        <v>4522</v>
      </c>
      <c r="H2034" t="s">
        <v>3780</v>
      </c>
      <c r="I2034" t="s">
        <v>3781</v>
      </c>
      <c r="J2034" s="8" t="str">
        <f t="shared" si="192"/>
        <v>HDL-</v>
      </c>
      <c r="K2034" t="s">
        <v>10</v>
      </c>
      <c r="L2034" s="46">
        <v>1030</v>
      </c>
      <c r="M2034" t="s">
        <v>1472</v>
      </c>
      <c r="N2034" t="s">
        <v>11</v>
      </c>
      <c r="O2034" s="49">
        <v>8.0116999999999994</v>
      </c>
      <c r="P2034" s="9">
        <f t="shared" si="190"/>
        <v>8252.0499999999993</v>
      </c>
      <c r="Q2034" s="10">
        <f t="shared" si="193"/>
        <v>7.3003400000000003</v>
      </c>
      <c r="R2034" s="10">
        <f t="shared" si="194"/>
        <v>1.0973999999999999</v>
      </c>
      <c r="S2034" s="11">
        <f t="shared" si="195"/>
        <v>1130.32</v>
      </c>
      <c r="T2034" s="10" t="s">
        <v>349</v>
      </c>
      <c r="U2034" t="s">
        <v>228</v>
      </c>
      <c r="V2034" s="58">
        <v>7.1775000000000002</v>
      </c>
      <c r="W2034" s="38">
        <f t="shared" si="191"/>
        <v>1149.7110414489723</v>
      </c>
    </row>
    <row r="2035" spans="1:23" s="15" customFormat="1">
      <c r="A2035" t="s">
        <v>4261</v>
      </c>
      <c r="B2035" s="20">
        <v>45768</v>
      </c>
      <c r="C2035" s="20">
        <v>45729</v>
      </c>
      <c r="D2035" t="s">
        <v>981</v>
      </c>
      <c r="E2035" t="s">
        <v>982</v>
      </c>
      <c r="F2035" s="19"/>
      <c r="G2035" t="s">
        <v>4496</v>
      </c>
      <c r="H2035" t="s">
        <v>3079</v>
      </c>
      <c r="I2035" t="s">
        <v>3295</v>
      </c>
      <c r="J2035" s="8" t="str">
        <f t="shared" si="192"/>
        <v>HDL-</v>
      </c>
      <c r="K2035" t="s">
        <v>10</v>
      </c>
      <c r="L2035" s="46">
        <v>1010</v>
      </c>
      <c r="M2035" t="s">
        <v>1472</v>
      </c>
      <c r="N2035" t="s">
        <v>11</v>
      </c>
      <c r="O2035" s="49">
        <v>8.0838999999999999</v>
      </c>
      <c r="P2035" s="9">
        <f t="shared" si="190"/>
        <v>8164.74</v>
      </c>
      <c r="Q2035" s="10">
        <f t="shared" si="193"/>
        <v>7.3003400000000003</v>
      </c>
      <c r="R2035" s="10">
        <f t="shared" si="194"/>
        <v>1.1073</v>
      </c>
      <c r="S2035" s="11">
        <f t="shared" si="195"/>
        <v>1118.3699999999999</v>
      </c>
      <c r="T2035" s="10" t="s">
        <v>349</v>
      </c>
      <c r="U2035" t="s">
        <v>228</v>
      </c>
      <c r="V2035" s="58">
        <v>7.1775000000000002</v>
      </c>
      <c r="W2035" s="38">
        <f t="shared" si="191"/>
        <v>1137.5463601532565</v>
      </c>
    </row>
    <row r="2036" spans="1:23" s="15" customFormat="1">
      <c r="A2036" t="s">
        <v>4262</v>
      </c>
      <c r="B2036" s="20">
        <v>45749</v>
      </c>
      <c r="C2036" s="20">
        <v>45730</v>
      </c>
      <c r="D2036" t="s">
        <v>287</v>
      </c>
      <c r="E2036" t="s">
        <v>288</v>
      </c>
      <c r="F2036" s="19"/>
      <c r="G2036" t="s">
        <v>4531</v>
      </c>
      <c r="H2036" t="s">
        <v>71</v>
      </c>
      <c r="I2036" t="s">
        <v>72</v>
      </c>
      <c r="J2036" s="8" t="str">
        <f t="shared" si="192"/>
        <v>ANYD</v>
      </c>
      <c r="K2036" t="s">
        <v>10</v>
      </c>
      <c r="L2036" s="46">
        <v>1050</v>
      </c>
      <c r="M2036" t="s">
        <v>1472</v>
      </c>
      <c r="N2036" t="s">
        <v>11</v>
      </c>
      <c r="O2036" s="49">
        <v>8.15</v>
      </c>
      <c r="P2036" s="9">
        <f t="shared" si="190"/>
        <v>8557.5</v>
      </c>
      <c r="Q2036" s="10">
        <f t="shared" si="193"/>
        <v>7.3003400000000003</v>
      </c>
      <c r="R2036" s="10">
        <f t="shared" si="194"/>
        <v>1.1164000000000001</v>
      </c>
      <c r="S2036" s="11">
        <f t="shared" si="195"/>
        <v>1172.22</v>
      </c>
      <c r="T2036" s="10" t="s">
        <v>349</v>
      </c>
      <c r="U2036" t="s">
        <v>36</v>
      </c>
      <c r="V2036" s="58">
        <v>7.1775000000000002</v>
      </c>
      <c r="W2036" s="38">
        <f t="shared" si="191"/>
        <v>1192.2675026123302</v>
      </c>
    </row>
    <row r="2037" spans="1:23" s="15" customFormat="1">
      <c r="A2037" t="s">
        <v>4263</v>
      </c>
      <c r="B2037" s="20">
        <v>45763</v>
      </c>
      <c r="C2037" s="20">
        <v>45747</v>
      </c>
      <c r="D2037" t="s">
        <v>287</v>
      </c>
      <c r="E2037" t="s">
        <v>288</v>
      </c>
      <c r="F2037" s="19"/>
      <c r="G2037" t="s">
        <v>4514</v>
      </c>
      <c r="H2037" t="s">
        <v>854</v>
      </c>
      <c r="I2037" t="s">
        <v>855</v>
      </c>
      <c r="J2037" s="8" t="str">
        <f t="shared" si="192"/>
        <v>GLID</v>
      </c>
      <c r="K2037" t="s">
        <v>10</v>
      </c>
      <c r="L2037" s="46">
        <v>1800</v>
      </c>
      <c r="M2037" t="s">
        <v>1472</v>
      </c>
      <c r="N2037" t="s">
        <v>11</v>
      </c>
      <c r="O2037" s="49">
        <v>8.15</v>
      </c>
      <c r="P2037" s="9">
        <f t="shared" si="190"/>
        <v>14670</v>
      </c>
      <c r="Q2037" s="10">
        <f t="shared" si="193"/>
        <v>7.3003400000000003</v>
      </c>
      <c r="R2037" s="10">
        <f t="shared" si="194"/>
        <v>1.1164000000000001</v>
      </c>
      <c r="S2037" s="11">
        <f t="shared" si="195"/>
        <v>2009.52</v>
      </c>
      <c r="T2037" s="10" t="s">
        <v>349</v>
      </c>
      <c r="U2037" t="s">
        <v>78</v>
      </c>
      <c r="V2037" s="58">
        <v>7.1775000000000002</v>
      </c>
      <c r="W2037" s="38">
        <f t="shared" si="191"/>
        <v>2043.8871473354234</v>
      </c>
    </row>
    <row r="2038" spans="1:23" s="15" customFormat="1">
      <c r="A2038" t="s">
        <v>4264</v>
      </c>
      <c r="B2038" s="20">
        <v>45764</v>
      </c>
      <c r="C2038" s="20">
        <v>45747</v>
      </c>
      <c r="D2038" t="s">
        <v>287</v>
      </c>
      <c r="E2038" t="s">
        <v>288</v>
      </c>
      <c r="F2038" s="19"/>
      <c r="G2038" t="s">
        <v>4532</v>
      </c>
      <c r="H2038" t="s">
        <v>851</v>
      </c>
      <c r="I2038" t="s">
        <v>852</v>
      </c>
      <c r="J2038" s="8" t="str">
        <f t="shared" si="192"/>
        <v>GLID</v>
      </c>
      <c r="K2038" t="s">
        <v>10</v>
      </c>
      <c r="L2038" s="46">
        <v>1800</v>
      </c>
      <c r="M2038" t="s">
        <v>1472</v>
      </c>
      <c r="N2038" t="s">
        <v>11</v>
      </c>
      <c r="O2038" s="49">
        <v>8.15</v>
      </c>
      <c r="P2038" s="9">
        <f t="shared" si="190"/>
        <v>14670</v>
      </c>
      <c r="Q2038" s="10">
        <f t="shared" si="193"/>
        <v>7.3003400000000003</v>
      </c>
      <c r="R2038" s="10">
        <f t="shared" si="194"/>
        <v>1.1164000000000001</v>
      </c>
      <c r="S2038" s="11">
        <f t="shared" si="195"/>
        <v>2009.52</v>
      </c>
      <c r="T2038" s="10" t="s">
        <v>349</v>
      </c>
      <c r="U2038" t="s">
        <v>78</v>
      </c>
      <c r="V2038" s="58">
        <v>7.1775000000000002</v>
      </c>
      <c r="W2038" s="38">
        <f t="shared" si="191"/>
        <v>2043.8871473354234</v>
      </c>
    </row>
    <row r="2039" spans="1:23" s="15" customFormat="1">
      <c r="A2039" t="s">
        <v>882</v>
      </c>
      <c r="B2039" s="20">
        <v>45765</v>
      </c>
      <c r="C2039" s="20">
        <v>45287</v>
      </c>
      <c r="D2039" t="s">
        <v>866</v>
      </c>
      <c r="E2039" t="s">
        <v>867</v>
      </c>
      <c r="F2039" s="19"/>
      <c r="G2039" t="s">
        <v>4505</v>
      </c>
      <c r="H2039" t="s">
        <v>880</v>
      </c>
      <c r="I2039" t="s">
        <v>881</v>
      </c>
      <c r="J2039" s="8" t="str">
        <f t="shared" si="192"/>
        <v>ANYD</v>
      </c>
      <c r="K2039" t="s">
        <v>10</v>
      </c>
      <c r="L2039" s="46">
        <v>2000</v>
      </c>
      <c r="M2039" t="s">
        <v>1472</v>
      </c>
      <c r="N2039" t="s">
        <v>11</v>
      </c>
      <c r="O2039" s="49">
        <v>8.1858000000000004</v>
      </c>
      <c r="P2039" s="9">
        <f t="shared" si="190"/>
        <v>16371.6</v>
      </c>
      <c r="Q2039" s="10">
        <f t="shared" si="193"/>
        <v>7.3003400000000003</v>
      </c>
      <c r="R2039" s="10">
        <f t="shared" si="194"/>
        <v>1.1213</v>
      </c>
      <c r="S2039" s="11">
        <f t="shared" si="195"/>
        <v>2242.6</v>
      </c>
      <c r="T2039" s="10" t="s">
        <v>349</v>
      </c>
      <c r="U2039" t="s">
        <v>36</v>
      </c>
      <c r="V2039" s="58">
        <v>7.1775000000000002</v>
      </c>
      <c r="W2039" s="38">
        <f t="shared" si="191"/>
        <v>2280.9613375130616</v>
      </c>
    </row>
    <row r="2040" spans="1:23" s="15" customFormat="1">
      <c r="A2040" t="s">
        <v>4265</v>
      </c>
      <c r="B2040" s="20">
        <v>45769</v>
      </c>
      <c r="C2040" s="20">
        <v>45768</v>
      </c>
      <c r="D2040" t="s">
        <v>5</v>
      </c>
      <c r="E2040" t="s">
        <v>6</v>
      </c>
      <c r="F2040" s="19"/>
      <c r="G2040" t="s">
        <v>4533</v>
      </c>
      <c r="H2040" t="s">
        <v>3782</v>
      </c>
      <c r="I2040" t="s">
        <v>3783</v>
      </c>
      <c r="J2040" s="8" t="str">
        <f t="shared" si="192"/>
        <v>BOX-</v>
      </c>
      <c r="K2040" t="s">
        <v>10</v>
      </c>
      <c r="L2040" s="46">
        <v>1010</v>
      </c>
      <c r="M2040" t="s">
        <v>1472</v>
      </c>
      <c r="N2040" t="s">
        <v>11</v>
      </c>
      <c r="O2040" s="49">
        <v>8.19</v>
      </c>
      <c r="P2040" s="9">
        <f t="shared" si="190"/>
        <v>8271.9</v>
      </c>
      <c r="Q2040" s="10">
        <f t="shared" si="193"/>
        <v>7.3003400000000003</v>
      </c>
      <c r="R2040" s="10">
        <f t="shared" si="194"/>
        <v>1.1218999999999999</v>
      </c>
      <c r="S2040" s="11">
        <f t="shared" si="195"/>
        <v>1133.1199999999999</v>
      </c>
      <c r="T2040" s="10" t="s">
        <v>349</v>
      </c>
      <c r="U2040" t="s">
        <v>1</v>
      </c>
      <c r="V2040" s="58">
        <v>7.1775000000000002</v>
      </c>
      <c r="W2040" s="38">
        <f t="shared" si="191"/>
        <v>1152.4764890282131</v>
      </c>
    </row>
    <row r="2041" spans="1:23" s="15" customFormat="1">
      <c r="A2041" t="s">
        <v>4266</v>
      </c>
      <c r="B2041" s="20">
        <v>45761</v>
      </c>
      <c r="C2041" s="20">
        <v>45712</v>
      </c>
      <c r="D2041" t="s">
        <v>2257</v>
      </c>
      <c r="E2041" t="s">
        <v>2258</v>
      </c>
      <c r="F2041" s="19"/>
      <c r="G2041" t="s">
        <v>4524</v>
      </c>
      <c r="H2041" t="s">
        <v>3147</v>
      </c>
      <c r="I2041" t="s">
        <v>3357</v>
      </c>
      <c r="J2041" s="8" t="str">
        <f t="shared" si="192"/>
        <v>HDL-</v>
      </c>
      <c r="K2041" t="s">
        <v>10</v>
      </c>
      <c r="L2041" s="46">
        <v>3450</v>
      </c>
      <c r="M2041" t="s">
        <v>1472</v>
      </c>
      <c r="N2041" t="s">
        <v>11</v>
      </c>
      <c r="O2041" s="49">
        <v>8.5710999999999995</v>
      </c>
      <c r="P2041" s="9">
        <f t="shared" si="190"/>
        <v>29570.3</v>
      </c>
      <c r="Q2041" s="10">
        <f t="shared" si="193"/>
        <v>7.3003400000000003</v>
      </c>
      <c r="R2041" s="10">
        <f t="shared" si="194"/>
        <v>1.1740999999999999</v>
      </c>
      <c r="S2041" s="11">
        <f t="shared" si="195"/>
        <v>4050.65</v>
      </c>
      <c r="T2041" s="10" t="s">
        <v>349</v>
      </c>
      <c r="U2041" t="s">
        <v>228</v>
      </c>
      <c r="V2041" s="58">
        <v>7.1775000000000002</v>
      </c>
      <c r="W2041" s="38">
        <f t="shared" si="191"/>
        <v>4119.8599791013585</v>
      </c>
    </row>
    <row r="2042" spans="1:23" s="15" customFormat="1">
      <c r="A2042" t="s">
        <v>4267</v>
      </c>
      <c r="B2042" s="20">
        <v>45754</v>
      </c>
      <c r="C2042" s="20">
        <v>45713</v>
      </c>
      <c r="D2042" t="s">
        <v>2257</v>
      </c>
      <c r="E2042" t="s">
        <v>2258</v>
      </c>
      <c r="F2042" s="19"/>
      <c r="G2042" t="s">
        <v>4523</v>
      </c>
      <c r="H2042" t="s">
        <v>3150</v>
      </c>
      <c r="I2042" t="s">
        <v>3360</v>
      </c>
      <c r="J2042" s="8" t="str">
        <f t="shared" si="192"/>
        <v>HDL-</v>
      </c>
      <c r="K2042" t="s">
        <v>10</v>
      </c>
      <c r="L2042" s="46">
        <v>3700</v>
      </c>
      <c r="M2042" t="s">
        <v>1472</v>
      </c>
      <c r="N2042" t="s">
        <v>11</v>
      </c>
      <c r="O2042" s="49">
        <v>8.5710999999999995</v>
      </c>
      <c r="P2042" s="9">
        <f t="shared" si="190"/>
        <v>31713.07</v>
      </c>
      <c r="Q2042" s="10">
        <f t="shared" si="193"/>
        <v>7.3003400000000003</v>
      </c>
      <c r="R2042" s="10">
        <f t="shared" si="194"/>
        <v>1.1740999999999999</v>
      </c>
      <c r="S2042" s="11">
        <f t="shared" si="195"/>
        <v>4344.17</v>
      </c>
      <c r="T2042" s="10" t="s">
        <v>349</v>
      </c>
      <c r="U2042" t="s">
        <v>228</v>
      </c>
      <c r="V2042" s="58">
        <v>7.1775000000000002</v>
      </c>
      <c r="W2042" s="38">
        <f t="shared" si="191"/>
        <v>4418.4005572971082</v>
      </c>
    </row>
    <row r="2043" spans="1:23" s="15" customFormat="1">
      <c r="A2043" t="s">
        <v>4268</v>
      </c>
      <c r="B2043" s="20">
        <v>45777</v>
      </c>
      <c r="C2043" s="20">
        <v>45727</v>
      </c>
      <c r="D2043" t="s">
        <v>2257</v>
      </c>
      <c r="E2043" t="s">
        <v>2258</v>
      </c>
      <c r="F2043" s="19"/>
      <c r="G2043" t="s">
        <v>4526</v>
      </c>
      <c r="H2043" t="s">
        <v>3147</v>
      </c>
      <c r="I2043" t="s">
        <v>3357</v>
      </c>
      <c r="J2043" s="8" t="str">
        <f t="shared" si="192"/>
        <v>HDL-</v>
      </c>
      <c r="K2043" t="s">
        <v>10</v>
      </c>
      <c r="L2043" s="46">
        <v>200</v>
      </c>
      <c r="M2043" t="s">
        <v>1472</v>
      </c>
      <c r="N2043" t="s">
        <v>11</v>
      </c>
      <c r="O2043" s="49">
        <v>8.5710999999999995</v>
      </c>
      <c r="P2043" s="9">
        <f t="shared" si="190"/>
        <v>1714.22</v>
      </c>
      <c r="Q2043" s="10">
        <f t="shared" si="193"/>
        <v>7.3003400000000003</v>
      </c>
      <c r="R2043" s="10">
        <f t="shared" si="194"/>
        <v>1.1740999999999999</v>
      </c>
      <c r="S2043" s="11">
        <f t="shared" si="195"/>
        <v>234.82</v>
      </c>
      <c r="T2043" s="10" t="s">
        <v>349</v>
      </c>
      <c r="U2043" t="s">
        <v>228</v>
      </c>
      <c r="V2043" s="58">
        <v>7.1775000000000002</v>
      </c>
      <c r="W2043" s="38">
        <f t="shared" si="191"/>
        <v>238.83246255660046</v>
      </c>
    </row>
    <row r="2044" spans="1:23" s="15" customFormat="1">
      <c r="A2044" t="s">
        <v>4268</v>
      </c>
      <c r="B2044" s="20">
        <v>45772</v>
      </c>
      <c r="C2044" s="20">
        <v>45727</v>
      </c>
      <c r="D2044" t="s">
        <v>2257</v>
      </c>
      <c r="E2044" t="s">
        <v>2258</v>
      </c>
      <c r="F2044" s="19"/>
      <c r="G2044" t="s">
        <v>4528</v>
      </c>
      <c r="H2044" t="s">
        <v>3147</v>
      </c>
      <c r="I2044" t="s">
        <v>3357</v>
      </c>
      <c r="J2044" s="8" t="str">
        <f t="shared" si="192"/>
        <v>HDL-</v>
      </c>
      <c r="K2044" t="s">
        <v>10</v>
      </c>
      <c r="L2044" s="46">
        <v>3300</v>
      </c>
      <c r="M2044" t="s">
        <v>1472</v>
      </c>
      <c r="N2044" t="s">
        <v>11</v>
      </c>
      <c r="O2044" s="49">
        <v>8.5710999999999995</v>
      </c>
      <c r="P2044" s="9">
        <f t="shared" si="190"/>
        <v>28284.63</v>
      </c>
      <c r="Q2044" s="10">
        <f t="shared" si="193"/>
        <v>7.3003400000000003</v>
      </c>
      <c r="R2044" s="10">
        <f t="shared" si="194"/>
        <v>1.1740999999999999</v>
      </c>
      <c r="S2044" s="11">
        <f t="shared" si="195"/>
        <v>3874.53</v>
      </c>
      <c r="T2044" s="10" t="s">
        <v>349</v>
      </c>
      <c r="U2044" t="s">
        <v>228</v>
      </c>
      <c r="V2044" s="58">
        <v>7.1775000000000002</v>
      </c>
      <c r="W2044" s="38">
        <f t="shared" si="191"/>
        <v>3940.7356321839079</v>
      </c>
    </row>
    <row r="2045" spans="1:23" s="15" customFormat="1">
      <c r="A2045" t="s">
        <v>4269</v>
      </c>
      <c r="B2045" s="20">
        <v>45777</v>
      </c>
      <c r="C2045" s="20">
        <v>45727</v>
      </c>
      <c r="D2045" t="s">
        <v>2257</v>
      </c>
      <c r="E2045" t="s">
        <v>2258</v>
      </c>
      <c r="F2045" s="19"/>
      <c r="G2045" t="s">
        <v>4526</v>
      </c>
      <c r="H2045" t="s">
        <v>3149</v>
      </c>
      <c r="I2045" t="s">
        <v>3359</v>
      </c>
      <c r="J2045" s="8" t="str">
        <f t="shared" si="192"/>
        <v>HDL-</v>
      </c>
      <c r="K2045" t="s">
        <v>10</v>
      </c>
      <c r="L2045" s="46">
        <v>4020</v>
      </c>
      <c r="M2045" t="s">
        <v>1472</v>
      </c>
      <c r="N2045" t="s">
        <v>11</v>
      </c>
      <c r="O2045" s="49">
        <v>8.5710999999999995</v>
      </c>
      <c r="P2045" s="9">
        <f t="shared" si="190"/>
        <v>34455.82</v>
      </c>
      <c r="Q2045" s="10">
        <f t="shared" si="193"/>
        <v>7.3003400000000003</v>
      </c>
      <c r="R2045" s="10">
        <f t="shared" si="194"/>
        <v>1.1740999999999999</v>
      </c>
      <c r="S2045" s="11">
        <f t="shared" si="195"/>
        <v>4719.88</v>
      </c>
      <c r="T2045" s="10" t="s">
        <v>349</v>
      </c>
      <c r="U2045" t="s">
        <v>228</v>
      </c>
      <c r="V2045" s="58">
        <v>7.1775000000000002</v>
      </c>
      <c r="W2045" s="38">
        <f t="shared" si="191"/>
        <v>4800.5324973876695</v>
      </c>
    </row>
    <row r="2046" spans="1:23" s="15" customFormat="1">
      <c r="A2046" t="s">
        <v>4270</v>
      </c>
      <c r="B2046" s="20">
        <v>45775</v>
      </c>
      <c r="C2046" s="20">
        <v>45727</v>
      </c>
      <c r="D2046" t="s">
        <v>2257</v>
      </c>
      <c r="E2046" t="s">
        <v>2258</v>
      </c>
      <c r="F2046" s="19"/>
      <c r="G2046" t="s">
        <v>4534</v>
      </c>
      <c r="H2046" t="s">
        <v>3150</v>
      </c>
      <c r="I2046" t="s">
        <v>3360</v>
      </c>
      <c r="J2046" s="8" t="str">
        <f t="shared" si="192"/>
        <v>HDL-</v>
      </c>
      <c r="K2046" t="s">
        <v>10</v>
      </c>
      <c r="L2046" s="46">
        <v>3200</v>
      </c>
      <c r="M2046" t="s">
        <v>1472</v>
      </c>
      <c r="N2046" t="s">
        <v>11</v>
      </c>
      <c r="O2046" s="49">
        <v>8.5710999999999995</v>
      </c>
      <c r="P2046" s="9">
        <f t="shared" si="190"/>
        <v>27427.52</v>
      </c>
      <c r="Q2046" s="10">
        <f t="shared" si="193"/>
        <v>7.3003400000000003</v>
      </c>
      <c r="R2046" s="10">
        <f t="shared" si="194"/>
        <v>1.1740999999999999</v>
      </c>
      <c r="S2046" s="11">
        <f t="shared" si="195"/>
        <v>3757.12</v>
      </c>
      <c r="T2046" s="10" t="s">
        <v>349</v>
      </c>
      <c r="U2046" t="s">
        <v>228</v>
      </c>
      <c r="V2046" s="58">
        <v>7.1775000000000002</v>
      </c>
      <c r="W2046" s="38">
        <f t="shared" si="191"/>
        <v>3821.3194009056074</v>
      </c>
    </row>
    <row r="2047" spans="1:23" s="15" customFormat="1">
      <c r="A2047" t="s">
        <v>4271</v>
      </c>
      <c r="B2047" s="20">
        <v>45762</v>
      </c>
      <c r="C2047" s="20">
        <v>45713</v>
      </c>
      <c r="D2047" t="s">
        <v>2257</v>
      </c>
      <c r="E2047" t="s">
        <v>2258</v>
      </c>
      <c r="F2047" s="19"/>
      <c r="G2047" t="s">
        <v>4525</v>
      </c>
      <c r="H2047" t="s">
        <v>3149</v>
      </c>
      <c r="I2047" t="s">
        <v>3359</v>
      </c>
      <c r="J2047" s="8" t="str">
        <f t="shared" si="192"/>
        <v>HDL-</v>
      </c>
      <c r="K2047" t="s">
        <v>10</v>
      </c>
      <c r="L2047" s="46">
        <v>3700</v>
      </c>
      <c r="M2047" t="s">
        <v>1472</v>
      </c>
      <c r="N2047" t="s">
        <v>11</v>
      </c>
      <c r="O2047" s="49">
        <v>8.7460000000000004</v>
      </c>
      <c r="P2047" s="9">
        <f t="shared" si="190"/>
        <v>32360.2</v>
      </c>
      <c r="Q2047" s="10">
        <f t="shared" si="193"/>
        <v>7.3003400000000003</v>
      </c>
      <c r="R2047" s="10">
        <f t="shared" si="194"/>
        <v>1.198</v>
      </c>
      <c r="S2047" s="11">
        <f t="shared" si="195"/>
        <v>4432.6000000000004</v>
      </c>
      <c r="T2047" s="10" t="s">
        <v>349</v>
      </c>
      <c r="U2047" t="s">
        <v>228</v>
      </c>
      <c r="V2047" s="58">
        <v>7.1775000000000002</v>
      </c>
      <c r="W2047" s="38">
        <f t="shared" si="191"/>
        <v>4508.5614768373389</v>
      </c>
    </row>
    <row r="2048" spans="1:23" s="15" customFormat="1">
      <c r="A2048" t="s">
        <v>4272</v>
      </c>
      <c r="B2048" s="20">
        <v>45777</v>
      </c>
      <c r="C2048" s="20">
        <v>45727</v>
      </c>
      <c r="D2048" t="s">
        <v>2257</v>
      </c>
      <c r="E2048" t="s">
        <v>2258</v>
      </c>
      <c r="F2048" s="19"/>
      <c r="G2048" t="s">
        <v>4526</v>
      </c>
      <c r="H2048" t="s">
        <v>3151</v>
      </c>
      <c r="I2048" t="s">
        <v>3361</v>
      </c>
      <c r="J2048" s="8" t="str">
        <f t="shared" si="192"/>
        <v>HDL-</v>
      </c>
      <c r="K2048" t="s">
        <v>10</v>
      </c>
      <c r="L2048" s="46">
        <v>1000</v>
      </c>
      <c r="M2048" t="s">
        <v>1472</v>
      </c>
      <c r="N2048" t="s">
        <v>11</v>
      </c>
      <c r="O2048" s="49">
        <v>8.7460000000000004</v>
      </c>
      <c r="P2048" s="9">
        <f t="shared" si="190"/>
        <v>8746</v>
      </c>
      <c r="Q2048" s="10">
        <f t="shared" si="193"/>
        <v>7.3003400000000003</v>
      </c>
      <c r="R2048" s="10">
        <f t="shared" si="194"/>
        <v>1.198</v>
      </c>
      <c r="S2048" s="11">
        <f t="shared" si="195"/>
        <v>1198</v>
      </c>
      <c r="T2048" s="10" t="s">
        <v>349</v>
      </c>
      <c r="U2048" t="s">
        <v>228</v>
      </c>
      <c r="V2048" s="58">
        <v>7.1775000000000002</v>
      </c>
      <c r="W2048" s="38">
        <f t="shared" si="191"/>
        <v>1218.5301288749563</v>
      </c>
    </row>
    <row r="2049" spans="1:23" s="15" customFormat="1">
      <c r="A2049" t="s">
        <v>4273</v>
      </c>
      <c r="B2049" s="20">
        <v>45777</v>
      </c>
      <c r="C2049" s="20">
        <v>45727</v>
      </c>
      <c r="D2049" t="s">
        <v>2257</v>
      </c>
      <c r="E2049" t="s">
        <v>2258</v>
      </c>
      <c r="F2049" s="19"/>
      <c r="G2049" t="s">
        <v>4526</v>
      </c>
      <c r="H2049" t="s">
        <v>3151</v>
      </c>
      <c r="I2049" t="s">
        <v>3361</v>
      </c>
      <c r="J2049" s="8" t="str">
        <f t="shared" si="192"/>
        <v>HDL-</v>
      </c>
      <c r="K2049" t="s">
        <v>10</v>
      </c>
      <c r="L2049" s="46">
        <v>3700</v>
      </c>
      <c r="M2049" t="s">
        <v>1472</v>
      </c>
      <c r="N2049" t="s">
        <v>11</v>
      </c>
      <c r="O2049" s="49">
        <v>8.7460000000000004</v>
      </c>
      <c r="P2049" s="9">
        <f t="shared" si="190"/>
        <v>32360.2</v>
      </c>
      <c r="Q2049" s="10">
        <f t="shared" si="193"/>
        <v>7.3003400000000003</v>
      </c>
      <c r="R2049" s="10">
        <f t="shared" si="194"/>
        <v>1.198</v>
      </c>
      <c r="S2049" s="11">
        <f t="shared" si="195"/>
        <v>4432.6000000000004</v>
      </c>
      <c r="T2049" s="10" t="s">
        <v>349</v>
      </c>
      <c r="U2049" t="s">
        <v>228</v>
      </c>
      <c r="V2049" s="58">
        <v>7.1775000000000002</v>
      </c>
      <c r="W2049" s="38">
        <f t="shared" si="191"/>
        <v>4508.5614768373389</v>
      </c>
    </row>
    <row r="2050" spans="1:23" s="15" customFormat="1">
      <c r="A2050" t="s">
        <v>4274</v>
      </c>
      <c r="B2050" s="20">
        <v>45776</v>
      </c>
      <c r="C2050" s="20">
        <v>45706</v>
      </c>
      <c r="D2050" t="s">
        <v>569</v>
      </c>
      <c r="E2050" t="s">
        <v>570</v>
      </c>
      <c r="F2050" s="19"/>
      <c r="G2050" t="s">
        <v>4386</v>
      </c>
      <c r="H2050" t="s">
        <v>256</v>
      </c>
      <c r="I2050" t="s">
        <v>257</v>
      </c>
      <c r="J2050" s="8" t="str">
        <f t="shared" si="192"/>
        <v>GLID</v>
      </c>
      <c r="K2050" t="s">
        <v>10</v>
      </c>
      <c r="L2050" s="46">
        <v>1410</v>
      </c>
      <c r="M2050" t="s">
        <v>1472</v>
      </c>
      <c r="N2050" t="s">
        <v>11</v>
      </c>
      <c r="O2050" s="49">
        <v>8.8800000000000008</v>
      </c>
      <c r="P2050" s="9">
        <f t="shared" ref="P2050:P2110" si="196">ROUND(O2050*L2050,2)</f>
        <v>12520.8</v>
      </c>
      <c r="Q2050" s="10">
        <f t="shared" si="193"/>
        <v>7.3003400000000003</v>
      </c>
      <c r="R2050" s="10">
        <f t="shared" si="194"/>
        <v>1.2163999999999999</v>
      </c>
      <c r="S2050" s="11">
        <f t="shared" si="195"/>
        <v>1715.12</v>
      </c>
      <c r="T2050" s="10" t="s">
        <v>349</v>
      </c>
      <c r="U2050" t="s">
        <v>78</v>
      </c>
      <c r="V2050" s="58">
        <v>7.1775000000000002</v>
      </c>
      <c r="W2050" s="38">
        <f t="shared" ref="W2050:W2110" si="197">IF(N2050="CNY",O2050/V2050*L2050,1)</f>
        <v>1744.4514106583074</v>
      </c>
    </row>
    <row r="2051" spans="1:23" s="15" customFormat="1">
      <c r="A2051" t="s">
        <v>4275</v>
      </c>
      <c r="B2051" s="20">
        <v>45762</v>
      </c>
      <c r="C2051" s="20">
        <v>45664</v>
      </c>
      <c r="D2051" t="s">
        <v>94</v>
      </c>
      <c r="E2051" t="s">
        <v>95</v>
      </c>
      <c r="F2051" s="19"/>
      <c r="G2051" t="s">
        <v>4441</v>
      </c>
      <c r="H2051" t="s">
        <v>3784</v>
      </c>
      <c r="I2051" t="s">
        <v>3785</v>
      </c>
      <c r="J2051" s="8" t="str">
        <f t="shared" si="192"/>
        <v>LID-</v>
      </c>
      <c r="K2051" t="s">
        <v>98</v>
      </c>
      <c r="L2051" s="46">
        <v>550</v>
      </c>
      <c r="M2051" t="s">
        <v>1472</v>
      </c>
      <c r="N2051" t="s">
        <v>11</v>
      </c>
      <c r="O2051" s="49">
        <v>8.9</v>
      </c>
      <c r="P2051" s="9">
        <f t="shared" si="196"/>
        <v>4895</v>
      </c>
      <c r="Q2051" s="10">
        <f t="shared" si="193"/>
        <v>7.3003400000000003</v>
      </c>
      <c r="R2051" s="10">
        <f t="shared" si="194"/>
        <v>1.2191000000000001</v>
      </c>
      <c r="S2051" s="11">
        <f t="shared" si="195"/>
        <v>670.51</v>
      </c>
      <c r="T2051" s="10" t="s">
        <v>349</v>
      </c>
      <c r="U2051" t="s">
        <v>368</v>
      </c>
      <c r="V2051" s="58">
        <v>7.1775000000000002</v>
      </c>
      <c r="W2051" s="38">
        <f t="shared" si="197"/>
        <v>681.99233716475101</v>
      </c>
    </row>
    <row r="2052" spans="1:23" s="15" customFormat="1">
      <c r="A2052" t="s">
        <v>4275</v>
      </c>
      <c r="B2052" s="20">
        <v>45761</v>
      </c>
      <c r="C2052" s="20">
        <v>45664</v>
      </c>
      <c r="D2052" t="s">
        <v>94</v>
      </c>
      <c r="E2052" t="s">
        <v>95</v>
      </c>
      <c r="F2052" s="19"/>
      <c r="G2052" t="s">
        <v>4535</v>
      </c>
      <c r="H2052" t="s">
        <v>3784</v>
      </c>
      <c r="I2052" t="s">
        <v>3785</v>
      </c>
      <c r="J2052" s="8" t="str">
        <f t="shared" si="192"/>
        <v>LID-</v>
      </c>
      <c r="K2052" t="s">
        <v>98</v>
      </c>
      <c r="L2052" s="46">
        <v>500</v>
      </c>
      <c r="M2052" t="s">
        <v>1472</v>
      </c>
      <c r="N2052" t="s">
        <v>11</v>
      </c>
      <c r="O2052" s="49">
        <v>8.9</v>
      </c>
      <c r="P2052" s="9">
        <f t="shared" si="196"/>
        <v>4450</v>
      </c>
      <c r="Q2052" s="10">
        <f t="shared" si="193"/>
        <v>7.3003400000000003</v>
      </c>
      <c r="R2052" s="10">
        <f t="shared" si="194"/>
        <v>1.2191000000000001</v>
      </c>
      <c r="S2052" s="11">
        <f t="shared" si="195"/>
        <v>609.54999999999995</v>
      </c>
      <c r="T2052" s="10" t="s">
        <v>349</v>
      </c>
      <c r="U2052" t="s">
        <v>368</v>
      </c>
      <c r="V2052" s="58">
        <v>7.1775000000000002</v>
      </c>
      <c r="W2052" s="38">
        <f t="shared" si="197"/>
        <v>619.99303378613729</v>
      </c>
    </row>
    <row r="2053" spans="1:23" s="15" customFormat="1">
      <c r="A2053" t="s">
        <v>4276</v>
      </c>
      <c r="B2053" s="20">
        <v>45764</v>
      </c>
      <c r="C2053" s="20">
        <v>45761</v>
      </c>
      <c r="D2053" t="s">
        <v>5</v>
      </c>
      <c r="E2053" t="s">
        <v>6</v>
      </c>
      <c r="F2053" s="19"/>
      <c r="G2053" t="s">
        <v>4536</v>
      </c>
      <c r="H2053" t="s">
        <v>3786</v>
      </c>
      <c r="I2053" t="s">
        <v>3787</v>
      </c>
      <c r="J2053" s="8" t="str">
        <f t="shared" si="192"/>
        <v>BOX-</v>
      </c>
      <c r="K2053" t="s">
        <v>10</v>
      </c>
      <c r="L2053" s="46">
        <v>505</v>
      </c>
      <c r="M2053" t="s">
        <v>1472</v>
      </c>
      <c r="N2053" t="s">
        <v>11</v>
      </c>
      <c r="O2053" s="49">
        <v>9.17</v>
      </c>
      <c r="P2053" s="9">
        <f t="shared" si="196"/>
        <v>4630.8500000000004</v>
      </c>
      <c r="Q2053" s="10">
        <f t="shared" si="193"/>
        <v>7.3003400000000003</v>
      </c>
      <c r="R2053" s="10">
        <f t="shared" si="194"/>
        <v>1.2561</v>
      </c>
      <c r="S2053" s="11">
        <f t="shared" si="195"/>
        <v>634.33000000000004</v>
      </c>
      <c r="T2053" s="10" t="s">
        <v>349</v>
      </c>
      <c r="U2053" t="s">
        <v>1</v>
      </c>
      <c r="V2053" s="58">
        <v>7.1775000000000002</v>
      </c>
      <c r="W2053" s="38">
        <f t="shared" si="197"/>
        <v>645.18982932776032</v>
      </c>
    </row>
    <row r="2054" spans="1:23" s="15" customFormat="1">
      <c r="A2054" t="s">
        <v>889</v>
      </c>
      <c r="B2054" s="20">
        <v>45765</v>
      </c>
      <c r="C2054" s="20">
        <v>45526</v>
      </c>
      <c r="D2054" t="s">
        <v>866</v>
      </c>
      <c r="E2054" t="s">
        <v>867</v>
      </c>
      <c r="F2054" s="19"/>
      <c r="G2054" t="s">
        <v>4537</v>
      </c>
      <c r="H2054" t="s">
        <v>887</v>
      </c>
      <c r="I2054" t="s">
        <v>888</v>
      </c>
      <c r="J2054" s="8" t="str">
        <f t="shared" si="192"/>
        <v>ANYD</v>
      </c>
      <c r="K2054" t="s">
        <v>10</v>
      </c>
      <c r="L2054" s="46">
        <v>544</v>
      </c>
      <c r="M2054" t="s">
        <v>1472</v>
      </c>
      <c r="N2054" t="s">
        <v>11</v>
      </c>
      <c r="O2054" s="49">
        <v>9.2124000000000006</v>
      </c>
      <c r="P2054" s="9">
        <f t="shared" si="196"/>
        <v>5011.55</v>
      </c>
      <c r="Q2054" s="10">
        <f t="shared" si="193"/>
        <v>7.3003400000000003</v>
      </c>
      <c r="R2054" s="10">
        <f t="shared" si="194"/>
        <v>1.2619</v>
      </c>
      <c r="S2054" s="11">
        <f t="shared" si="195"/>
        <v>686.47</v>
      </c>
      <c r="T2054" s="10" t="s">
        <v>349</v>
      </c>
      <c r="U2054" t="s">
        <v>36</v>
      </c>
      <c r="V2054" s="58">
        <v>7.1775000000000002</v>
      </c>
      <c r="W2054" s="38">
        <f t="shared" si="197"/>
        <v>698.22996865203754</v>
      </c>
    </row>
    <row r="2055" spans="1:23" s="15" customFormat="1">
      <c r="A2055" t="s">
        <v>4277</v>
      </c>
      <c r="B2055" s="20">
        <v>45755</v>
      </c>
      <c r="C2055" s="20">
        <v>45749</v>
      </c>
      <c r="D2055" t="s">
        <v>5</v>
      </c>
      <c r="E2055" t="s">
        <v>6</v>
      </c>
      <c r="F2055" s="19"/>
      <c r="G2055" t="s">
        <v>4538</v>
      </c>
      <c r="H2055" t="s">
        <v>387</v>
      </c>
      <c r="I2055" t="s">
        <v>388</v>
      </c>
      <c r="J2055" s="8" t="str">
        <f t="shared" si="192"/>
        <v>BOX-</v>
      </c>
      <c r="K2055" t="s">
        <v>10</v>
      </c>
      <c r="L2055" s="46">
        <v>1010</v>
      </c>
      <c r="M2055" t="s">
        <v>1472</v>
      </c>
      <c r="N2055" t="s">
        <v>11</v>
      </c>
      <c r="O2055" s="49">
        <v>9.35</v>
      </c>
      <c r="P2055" s="9">
        <f t="shared" si="196"/>
        <v>9443.5</v>
      </c>
      <c r="Q2055" s="10">
        <f t="shared" si="193"/>
        <v>7.3003400000000003</v>
      </c>
      <c r="R2055" s="10">
        <f t="shared" si="194"/>
        <v>1.2807999999999999</v>
      </c>
      <c r="S2055" s="11">
        <f t="shared" si="195"/>
        <v>1293.6099999999999</v>
      </c>
      <c r="T2055" s="10" t="s">
        <v>349</v>
      </c>
      <c r="U2055" t="s">
        <v>1</v>
      </c>
      <c r="V2055" s="58">
        <v>7.1775000000000002</v>
      </c>
      <c r="W2055" s="38">
        <f t="shared" si="197"/>
        <v>1315.7088122605362</v>
      </c>
    </row>
    <row r="2056" spans="1:23" s="15" customFormat="1">
      <c r="A2056" t="s">
        <v>4278</v>
      </c>
      <c r="B2056" s="20">
        <v>45764</v>
      </c>
      <c r="C2056" s="20">
        <v>45761</v>
      </c>
      <c r="D2056" t="s">
        <v>5</v>
      </c>
      <c r="E2056" t="s">
        <v>6</v>
      </c>
      <c r="F2056" s="19"/>
      <c r="G2056" t="s">
        <v>4536</v>
      </c>
      <c r="H2056" t="s">
        <v>3788</v>
      </c>
      <c r="I2056" t="s">
        <v>3789</v>
      </c>
      <c r="J2056" s="8" t="str">
        <f t="shared" si="192"/>
        <v>BOX-</v>
      </c>
      <c r="K2056" t="s">
        <v>10</v>
      </c>
      <c r="L2056" s="46">
        <v>505</v>
      </c>
      <c r="M2056" t="s">
        <v>1472</v>
      </c>
      <c r="N2056" t="s">
        <v>11</v>
      </c>
      <c r="O2056" s="49">
        <v>9.41</v>
      </c>
      <c r="P2056" s="9">
        <f t="shared" si="196"/>
        <v>4752.05</v>
      </c>
      <c r="Q2056" s="10">
        <f t="shared" si="193"/>
        <v>7.3003400000000003</v>
      </c>
      <c r="R2056" s="10">
        <f t="shared" si="194"/>
        <v>1.2889999999999999</v>
      </c>
      <c r="S2056" s="11">
        <f t="shared" si="195"/>
        <v>650.95000000000005</v>
      </c>
      <c r="T2056" s="10" t="s">
        <v>349</v>
      </c>
      <c r="U2056" t="s">
        <v>1</v>
      </c>
      <c r="V2056" s="58">
        <v>7.1775000000000002</v>
      </c>
      <c r="W2056" s="38">
        <f t="shared" si="197"/>
        <v>662.07593173110422</v>
      </c>
    </row>
    <row r="2057" spans="1:23" s="15" customFormat="1">
      <c r="A2057" t="s">
        <v>885</v>
      </c>
      <c r="B2057" s="20">
        <v>45765</v>
      </c>
      <c r="C2057" s="20">
        <v>45526</v>
      </c>
      <c r="D2057" t="s">
        <v>866</v>
      </c>
      <c r="E2057" t="s">
        <v>867</v>
      </c>
      <c r="F2057" s="19"/>
      <c r="G2057" t="s">
        <v>4537</v>
      </c>
      <c r="H2057" t="s">
        <v>883</v>
      </c>
      <c r="I2057" t="s">
        <v>884</v>
      </c>
      <c r="J2057" s="8" t="str">
        <f t="shared" si="192"/>
        <v>ANYD</v>
      </c>
      <c r="K2057" t="s">
        <v>10</v>
      </c>
      <c r="L2057" s="46">
        <v>5004</v>
      </c>
      <c r="M2057" t="s">
        <v>1472</v>
      </c>
      <c r="N2057" t="s">
        <v>11</v>
      </c>
      <c r="O2057" s="49">
        <v>9.7788000000000004</v>
      </c>
      <c r="P2057" s="9">
        <f t="shared" si="196"/>
        <v>48933.120000000003</v>
      </c>
      <c r="Q2057" s="10">
        <f t="shared" si="193"/>
        <v>7.3003400000000003</v>
      </c>
      <c r="R2057" s="10">
        <f t="shared" si="194"/>
        <v>1.3394999999999999</v>
      </c>
      <c r="S2057" s="11">
        <f t="shared" si="195"/>
        <v>6702.86</v>
      </c>
      <c r="T2057" s="10" t="s">
        <v>349</v>
      </c>
      <c r="U2057" t="s">
        <v>36</v>
      </c>
      <c r="V2057" s="58">
        <v>7.1775000000000002</v>
      </c>
      <c r="W2057" s="38">
        <f t="shared" si="197"/>
        <v>6817.5709090909095</v>
      </c>
    </row>
    <row r="2058" spans="1:23" s="15" customFormat="1">
      <c r="A2058" t="s">
        <v>4279</v>
      </c>
      <c r="B2058" s="20">
        <v>45769</v>
      </c>
      <c r="C2058" s="20">
        <v>45768</v>
      </c>
      <c r="D2058" t="s">
        <v>5</v>
      </c>
      <c r="E2058" t="s">
        <v>6</v>
      </c>
      <c r="F2058" s="19"/>
      <c r="G2058" t="s">
        <v>4533</v>
      </c>
      <c r="H2058" t="s">
        <v>3790</v>
      </c>
      <c r="I2058" t="s">
        <v>3791</v>
      </c>
      <c r="J2058" s="8" t="str">
        <f t="shared" si="192"/>
        <v>BOX-</v>
      </c>
      <c r="K2058" t="s">
        <v>10</v>
      </c>
      <c r="L2058" s="46">
        <v>1010</v>
      </c>
      <c r="M2058" t="s">
        <v>1472</v>
      </c>
      <c r="N2058" t="s">
        <v>11</v>
      </c>
      <c r="O2058" s="49">
        <v>10.65</v>
      </c>
      <c r="P2058" s="9">
        <f t="shared" si="196"/>
        <v>10756.5</v>
      </c>
      <c r="Q2058" s="10">
        <f t="shared" si="193"/>
        <v>7.3003400000000003</v>
      </c>
      <c r="R2058" s="10">
        <f t="shared" si="194"/>
        <v>1.4588000000000001</v>
      </c>
      <c r="S2058" s="11">
        <f t="shared" si="195"/>
        <v>1473.39</v>
      </c>
      <c r="T2058" s="10" t="s">
        <v>349</v>
      </c>
      <c r="U2058" t="s">
        <v>1</v>
      </c>
      <c r="V2058" s="58">
        <v>7.1775000000000002</v>
      </c>
      <c r="W2058" s="38">
        <f t="shared" si="197"/>
        <v>1498.6415882967608</v>
      </c>
    </row>
    <row r="2059" spans="1:23" s="15" customFormat="1">
      <c r="A2059" t="s">
        <v>4280</v>
      </c>
      <c r="B2059" s="20">
        <v>45771</v>
      </c>
      <c r="C2059" s="20">
        <v>45771</v>
      </c>
      <c r="D2059" t="s">
        <v>898</v>
      </c>
      <c r="E2059" t="s">
        <v>899</v>
      </c>
      <c r="F2059" s="19"/>
      <c r="G2059" t="s">
        <v>2229</v>
      </c>
      <c r="H2059" t="s">
        <v>902</v>
      </c>
      <c r="I2059" t="s">
        <v>903</v>
      </c>
      <c r="J2059" s="8" t="str">
        <f t="shared" si="192"/>
        <v>GLID</v>
      </c>
      <c r="K2059" t="s">
        <v>10</v>
      </c>
      <c r="L2059" s="46">
        <v>120</v>
      </c>
      <c r="M2059" t="s">
        <v>1472</v>
      </c>
      <c r="N2059" t="s">
        <v>11</v>
      </c>
      <c r="O2059" s="49">
        <v>10.7965</v>
      </c>
      <c r="P2059" s="9">
        <f t="shared" si="196"/>
        <v>1295.58</v>
      </c>
      <c r="Q2059" s="10">
        <f t="shared" si="193"/>
        <v>7.3003400000000003</v>
      </c>
      <c r="R2059" s="10">
        <f t="shared" si="194"/>
        <v>1.4789000000000001</v>
      </c>
      <c r="S2059" s="11">
        <f t="shared" si="195"/>
        <v>177.47</v>
      </c>
      <c r="T2059" s="10" t="s">
        <v>349</v>
      </c>
      <c r="U2059" t="s">
        <v>78</v>
      </c>
      <c r="V2059" s="58">
        <v>7.1775000000000002</v>
      </c>
      <c r="W2059" s="38">
        <f t="shared" si="197"/>
        <v>180.50574712643677</v>
      </c>
    </row>
    <row r="2060" spans="1:23" s="15" customFormat="1">
      <c r="A2060" t="s">
        <v>4281</v>
      </c>
      <c r="B2060" s="20">
        <v>45755</v>
      </c>
      <c r="C2060" s="20">
        <v>45702</v>
      </c>
      <c r="D2060" t="s">
        <v>121</v>
      </c>
      <c r="E2060" t="s">
        <v>122</v>
      </c>
      <c r="F2060" s="19"/>
      <c r="G2060" t="s">
        <v>4395</v>
      </c>
      <c r="H2060" t="s">
        <v>3792</v>
      </c>
      <c r="I2060" t="s">
        <v>3793</v>
      </c>
      <c r="J2060" s="8" t="str">
        <f t="shared" si="192"/>
        <v>LHDL</v>
      </c>
      <c r="K2060" t="s">
        <v>10</v>
      </c>
      <c r="L2060" s="46">
        <v>1050</v>
      </c>
      <c r="M2060" t="s">
        <v>1472</v>
      </c>
      <c r="N2060" t="s">
        <v>11</v>
      </c>
      <c r="O2060" s="49">
        <v>11.0642</v>
      </c>
      <c r="P2060" s="9">
        <f t="shared" si="196"/>
        <v>11617.41</v>
      </c>
      <c r="Q2060" s="10">
        <f t="shared" si="193"/>
        <v>7.3003400000000003</v>
      </c>
      <c r="R2060" s="10">
        <f t="shared" si="194"/>
        <v>1.5156000000000001</v>
      </c>
      <c r="S2060" s="11">
        <f t="shared" si="195"/>
        <v>1591.38</v>
      </c>
      <c r="T2060" s="10" t="s">
        <v>349</v>
      </c>
      <c r="U2060" t="s">
        <v>125</v>
      </c>
      <c r="V2060" s="58">
        <v>7.1775000000000002</v>
      </c>
      <c r="W2060" s="38">
        <f t="shared" si="197"/>
        <v>1618.587251828631</v>
      </c>
    </row>
    <row r="2061" spans="1:23" s="15" customFormat="1">
      <c r="A2061" t="s">
        <v>2299</v>
      </c>
      <c r="B2061" s="20">
        <v>45765</v>
      </c>
      <c r="C2061" s="20">
        <v>45646</v>
      </c>
      <c r="D2061" t="s">
        <v>866</v>
      </c>
      <c r="E2061" t="s">
        <v>867</v>
      </c>
      <c r="F2061" s="19"/>
      <c r="G2061" t="s">
        <v>4503</v>
      </c>
      <c r="H2061" t="s">
        <v>877</v>
      </c>
      <c r="I2061" t="s">
        <v>878</v>
      </c>
      <c r="J2061" s="8" t="str">
        <f t="shared" si="192"/>
        <v>ANYD</v>
      </c>
      <c r="K2061" t="s">
        <v>10</v>
      </c>
      <c r="L2061" s="46">
        <v>2004</v>
      </c>
      <c r="M2061" t="s">
        <v>1472</v>
      </c>
      <c r="N2061" t="s">
        <v>11</v>
      </c>
      <c r="O2061" s="49">
        <v>11.672599999999999</v>
      </c>
      <c r="P2061" s="9">
        <f t="shared" si="196"/>
        <v>23391.89</v>
      </c>
      <c r="Q2061" s="10">
        <f t="shared" si="193"/>
        <v>7.3003400000000003</v>
      </c>
      <c r="R2061" s="10">
        <f t="shared" si="194"/>
        <v>1.5989</v>
      </c>
      <c r="S2061" s="11">
        <f t="shared" si="195"/>
        <v>3204.2</v>
      </c>
      <c r="T2061" s="10" t="s">
        <v>349</v>
      </c>
      <c r="U2061" t="s">
        <v>36</v>
      </c>
      <c r="V2061" s="58">
        <v>7.1775000000000002</v>
      </c>
      <c r="W2061" s="38">
        <f t="shared" si="197"/>
        <v>3259.0582236154646</v>
      </c>
    </row>
    <row r="2062" spans="1:23" s="15" customFormat="1">
      <c r="A2062" t="s">
        <v>4282</v>
      </c>
      <c r="B2062" s="20">
        <v>45762</v>
      </c>
      <c r="C2062" s="20">
        <v>45761</v>
      </c>
      <c r="D2062" t="s">
        <v>2259</v>
      </c>
      <c r="E2062" t="s">
        <v>2260</v>
      </c>
      <c r="F2062" s="19"/>
      <c r="G2062" t="s">
        <v>4539</v>
      </c>
      <c r="H2062" t="s">
        <v>1808</v>
      </c>
      <c r="I2062" t="s">
        <v>1809</v>
      </c>
      <c r="J2062" s="8" t="str">
        <f t="shared" si="192"/>
        <v>SSM-</v>
      </c>
      <c r="K2062" t="s">
        <v>10</v>
      </c>
      <c r="L2062" s="46">
        <v>32993</v>
      </c>
      <c r="M2062" t="s">
        <v>186</v>
      </c>
      <c r="N2062" t="s">
        <v>11</v>
      </c>
      <c r="O2062" s="49">
        <v>11.7699</v>
      </c>
      <c r="P2062" s="9">
        <f t="shared" si="196"/>
        <v>388324.31</v>
      </c>
      <c r="Q2062" s="10">
        <f t="shared" si="193"/>
        <v>7.3003400000000003</v>
      </c>
      <c r="R2062" s="10">
        <f t="shared" si="194"/>
        <v>1.6122000000000001</v>
      </c>
      <c r="S2062" s="11">
        <f t="shared" si="195"/>
        <v>53191.31</v>
      </c>
      <c r="T2062" s="10" t="s">
        <v>349</v>
      </c>
      <c r="U2062" t="s">
        <v>33</v>
      </c>
      <c r="V2062" s="58">
        <v>7.1775000000000002</v>
      </c>
      <c r="W2062" s="38">
        <f t="shared" si="197"/>
        <v>54103.003928944614</v>
      </c>
    </row>
    <row r="2063" spans="1:23" s="15" customFormat="1">
      <c r="A2063" t="s">
        <v>4283</v>
      </c>
      <c r="B2063" s="20">
        <v>45755</v>
      </c>
      <c r="C2063" s="20">
        <v>45735</v>
      </c>
      <c r="D2063" t="s">
        <v>5</v>
      </c>
      <c r="E2063" t="s">
        <v>6</v>
      </c>
      <c r="F2063" s="19"/>
      <c r="G2063" t="s">
        <v>4502</v>
      </c>
      <c r="H2063" t="s">
        <v>3794</v>
      </c>
      <c r="I2063" t="s">
        <v>3795</v>
      </c>
      <c r="J2063" s="8" t="str">
        <f t="shared" si="192"/>
        <v>BOX-</v>
      </c>
      <c r="K2063" t="s">
        <v>10</v>
      </c>
      <c r="L2063" s="46">
        <v>1010</v>
      </c>
      <c r="M2063" t="s">
        <v>1472</v>
      </c>
      <c r="N2063" t="s">
        <v>11</v>
      </c>
      <c r="O2063" s="49">
        <v>11.99</v>
      </c>
      <c r="P2063" s="9">
        <f t="shared" si="196"/>
        <v>12109.9</v>
      </c>
      <c r="Q2063" s="10">
        <f t="shared" si="193"/>
        <v>7.3003400000000003</v>
      </c>
      <c r="R2063" s="10">
        <f t="shared" si="194"/>
        <v>1.6424000000000001</v>
      </c>
      <c r="S2063" s="11">
        <f t="shared" si="195"/>
        <v>1658.82</v>
      </c>
      <c r="T2063" s="10" t="s">
        <v>349</v>
      </c>
      <c r="U2063" t="s">
        <v>1</v>
      </c>
      <c r="V2063" s="58">
        <v>7.1775000000000002</v>
      </c>
      <c r="W2063" s="38">
        <f t="shared" si="197"/>
        <v>1687.2030651340995</v>
      </c>
    </row>
    <row r="2064" spans="1:23" s="15" customFormat="1">
      <c r="A2064" t="s">
        <v>4284</v>
      </c>
      <c r="B2064" s="20">
        <v>45762</v>
      </c>
      <c r="C2064" s="20">
        <v>45761</v>
      </c>
      <c r="D2064" t="s">
        <v>4330</v>
      </c>
      <c r="E2064" t="s">
        <v>4331</v>
      </c>
      <c r="F2064" s="19"/>
      <c r="G2064" t="s">
        <v>4540</v>
      </c>
      <c r="H2064" t="s">
        <v>1814</v>
      </c>
      <c r="I2064" t="s">
        <v>1815</v>
      </c>
      <c r="J2064" s="8" t="str">
        <f t="shared" si="192"/>
        <v>SSM-</v>
      </c>
      <c r="K2064" t="s">
        <v>10</v>
      </c>
      <c r="L2064" s="46">
        <v>21937</v>
      </c>
      <c r="M2064" t="s">
        <v>186</v>
      </c>
      <c r="N2064" t="s">
        <v>11</v>
      </c>
      <c r="O2064" s="49">
        <v>12.1991</v>
      </c>
      <c r="P2064" s="9">
        <f t="shared" si="196"/>
        <v>267611.65999999997</v>
      </c>
      <c r="Q2064" s="10">
        <f t="shared" si="193"/>
        <v>7.3003400000000003</v>
      </c>
      <c r="R2064" s="10">
        <f t="shared" si="194"/>
        <v>1.671</v>
      </c>
      <c r="S2064" s="11">
        <f t="shared" si="195"/>
        <v>36656.730000000003</v>
      </c>
      <c r="T2064" s="10" t="s">
        <v>349</v>
      </c>
      <c r="U2064" t="s">
        <v>33</v>
      </c>
      <c r="V2064" s="58">
        <v>7.1775000000000002</v>
      </c>
      <c r="W2064" s="38">
        <f t="shared" si="197"/>
        <v>37284.800654824096</v>
      </c>
    </row>
    <row r="2065" spans="1:23" s="15" customFormat="1">
      <c r="A2065" t="s">
        <v>4285</v>
      </c>
      <c r="B2065" s="20">
        <v>45764</v>
      </c>
      <c r="C2065" s="20">
        <v>45761</v>
      </c>
      <c r="D2065" t="s">
        <v>5</v>
      </c>
      <c r="E2065" t="s">
        <v>6</v>
      </c>
      <c r="F2065" s="19"/>
      <c r="G2065" t="s">
        <v>4536</v>
      </c>
      <c r="H2065" t="s">
        <v>3796</v>
      </c>
      <c r="I2065" t="s">
        <v>3797</v>
      </c>
      <c r="J2065" s="8" t="str">
        <f t="shared" si="192"/>
        <v>BOX-</v>
      </c>
      <c r="K2065" t="s">
        <v>10</v>
      </c>
      <c r="L2065" s="46">
        <v>1010</v>
      </c>
      <c r="M2065" t="s">
        <v>1472</v>
      </c>
      <c r="N2065" t="s">
        <v>11</v>
      </c>
      <c r="O2065" s="49">
        <v>12.29</v>
      </c>
      <c r="P2065" s="9">
        <f t="shared" si="196"/>
        <v>12412.9</v>
      </c>
      <c r="Q2065" s="10">
        <f t="shared" si="193"/>
        <v>7.3003400000000003</v>
      </c>
      <c r="R2065" s="10">
        <f t="shared" si="194"/>
        <v>1.6835</v>
      </c>
      <c r="S2065" s="11">
        <f t="shared" si="195"/>
        <v>1700.34</v>
      </c>
      <c r="T2065" s="10" t="s">
        <v>349</v>
      </c>
      <c r="U2065" t="s">
        <v>1</v>
      </c>
      <c r="V2065" s="58">
        <v>7.1775000000000002</v>
      </c>
      <c r="W2065" s="38">
        <f t="shared" si="197"/>
        <v>1729.4183211424588</v>
      </c>
    </row>
    <row r="2066" spans="1:23" s="15" customFormat="1">
      <c r="A2066" t="s">
        <v>4286</v>
      </c>
      <c r="B2066" s="20">
        <v>45765</v>
      </c>
      <c r="C2066" s="20">
        <v>45702</v>
      </c>
      <c r="D2066" t="s">
        <v>143</v>
      </c>
      <c r="E2066" t="s">
        <v>144</v>
      </c>
      <c r="F2066" s="19"/>
      <c r="G2066" t="s">
        <v>4510</v>
      </c>
      <c r="H2066" t="s">
        <v>3798</v>
      </c>
      <c r="I2066" t="s">
        <v>3799</v>
      </c>
      <c r="J2066" s="8" t="str">
        <f t="shared" si="192"/>
        <v>SHDL</v>
      </c>
      <c r="K2066" t="s">
        <v>10</v>
      </c>
      <c r="L2066" s="46">
        <v>1050</v>
      </c>
      <c r="M2066" t="s">
        <v>1472</v>
      </c>
      <c r="N2066" t="s">
        <v>11</v>
      </c>
      <c r="O2066" s="49">
        <v>12.817299999999999</v>
      </c>
      <c r="P2066" s="9">
        <f t="shared" si="196"/>
        <v>13458.17</v>
      </c>
      <c r="Q2066" s="10">
        <f t="shared" si="193"/>
        <v>7.3003400000000003</v>
      </c>
      <c r="R2066" s="10">
        <f t="shared" si="194"/>
        <v>1.7557</v>
      </c>
      <c r="S2066" s="11">
        <f t="shared" si="195"/>
        <v>1843.49</v>
      </c>
      <c r="T2066" s="10" t="s">
        <v>349</v>
      </c>
      <c r="U2066" t="s">
        <v>722</v>
      </c>
      <c r="V2066" s="58">
        <v>7.1775000000000002</v>
      </c>
      <c r="W2066" s="38">
        <f t="shared" si="197"/>
        <v>1875.0491118077323</v>
      </c>
    </row>
    <row r="2067" spans="1:23" s="15" customFormat="1">
      <c r="A2067" t="s">
        <v>4287</v>
      </c>
      <c r="B2067" s="20">
        <v>45755</v>
      </c>
      <c r="C2067" s="20">
        <v>45749</v>
      </c>
      <c r="D2067" t="s">
        <v>5</v>
      </c>
      <c r="E2067" t="s">
        <v>6</v>
      </c>
      <c r="F2067" s="19"/>
      <c r="G2067" t="s">
        <v>4502</v>
      </c>
      <c r="H2067" t="s">
        <v>3800</v>
      </c>
      <c r="I2067" t="s">
        <v>3801</v>
      </c>
      <c r="J2067" s="8" t="str">
        <f t="shared" si="192"/>
        <v>BOX-</v>
      </c>
      <c r="K2067" t="s">
        <v>10</v>
      </c>
      <c r="L2067" s="46">
        <v>505</v>
      </c>
      <c r="M2067" t="s">
        <v>1472</v>
      </c>
      <c r="N2067" t="s">
        <v>11</v>
      </c>
      <c r="O2067" s="49">
        <v>13.12</v>
      </c>
      <c r="P2067" s="9">
        <f t="shared" si="196"/>
        <v>6625.6</v>
      </c>
      <c r="Q2067" s="10">
        <f t="shared" si="193"/>
        <v>7.3003400000000003</v>
      </c>
      <c r="R2067" s="10">
        <f t="shared" si="194"/>
        <v>1.7971999999999999</v>
      </c>
      <c r="S2067" s="11">
        <f t="shared" si="195"/>
        <v>907.59</v>
      </c>
      <c r="T2067" s="10" t="s">
        <v>349</v>
      </c>
      <c r="U2067" t="s">
        <v>1</v>
      </c>
      <c r="V2067" s="58">
        <v>7.1775000000000002</v>
      </c>
      <c r="W2067" s="38">
        <f t="shared" si="197"/>
        <v>923.10693138279339</v>
      </c>
    </row>
    <row r="2068" spans="1:23" s="15" customFormat="1">
      <c r="A2068" t="s">
        <v>4288</v>
      </c>
      <c r="B2068" s="20">
        <v>45754</v>
      </c>
      <c r="C2068" s="20">
        <v>45705</v>
      </c>
      <c r="D2068" t="s">
        <v>263</v>
      </c>
      <c r="E2068" t="s">
        <v>0</v>
      </c>
      <c r="F2068" s="19"/>
      <c r="G2068" t="s">
        <v>4541</v>
      </c>
      <c r="H2068" t="s">
        <v>989</v>
      </c>
      <c r="I2068" t="s">
        <v>990</v>
      </c>
      <c r="J2068" s="8" t="str">
        <f t="shared" si="192"/>
        <v>HDL-</v>
      </c>
      <c r="K2068" t="s">
        <v>10</v>
      </c>
      <c r="L2068" s="46">
        <v>1000</v>
      </c>
      <c r="M2068" t="s">
        <v>1472</v>
      </c>
      <c r="N2068" t="s">
        <v>11</v>
      </c>
      <c r="O2068" s="49">
        <v>13.303100000000001</v>
      </c>
      <c r="P2068" s="9">
        <f t="shared" si="196"/>
        <v>13303.1</v>
      </c>
      <c r="Q2068" s="10">
        <f t="shared" si="193"/>
        <v>7.3003400000000003</v>
      </c>
      <c r="R2068" s="10">
        <f t="shared" si="194"/>
        <v>1.8223</v>
      </c>
      <c r="S2068" s="11">
        <f t="shared" si="195"/>
        <v>1822.3</v>
      </c>
      <c r="T2068" s="10" t="s">
        <v>349</v>
      </c>
      <c r="U2068" t="s">
        <v>228</v>
      </c>
      <c r="V2068" s="58">
        <v>7.1775000000000002</v>
      </c>
      <c r="W2068" s="38">
        <f t="shared" si="197"/>
        <v>1853.4447927551375</v>
      </c>
    </row>
    <row r="2069" spans="1:23" s="15" customFormat="1">
      <c r="A2069" t="s">
        <v>4289</v>
      </c>
      <c r="B2069" s="20">
        <v>45776</v>
      </c>
      <c r="C2069" s="20">
        <v>45706</v>
      </c>
      <c r="D2069" t="s">
        <v>569</v>
      </c>
      <c r="E2069" t="s">
        <v>570</v>
      </c>
      <c r="F2069" s="19"/>
      <c r="G2069" t="s">
        <v>4386</v>
      </c>
      <c r="H2069" t="s">
        <v>775</v>
      </c>
      <c r="I2069" t="s">
        <v>776</v>
      </c>
      <c r="J2069" s="8" t="str">
        <f t="shared" ref="J2069:J2110" si="198">+LEFT(U2069,4)</f>
        <v>GLID</v>
      </c>
      <c r="K2069" t="s">
        <v>10</v>
      </c>
      <c r="L2069" s="46">
        <v>505</v>
      </c>
      <c r="M2069" t="s">
        <v>1472</v>
      </c>
      <c r="N2069" t="s">
        <v>11</v>
      </c>
      <c r="O2069" s="49">
        <v>14.1</v>
      </c>
      <c r="P2069" s="9">
        <f t="shared" si="196"/>
        <v>7120.5</v>
      </c>
      <c r="Q2069" s="10">
        <f t="shared" ref="Q2069:Q2110" si="199">IF(N2069="HKD",7.8,IF(N2069="CNY",7.30034,1))</f>
        <v>7.3003400000000003</v>
      </c>
      <c r="R2069" s="10">
        <f t="shared" ref="R2069:R2110" si="200">+ROUND(O2069/Q2069,4)</f>
        <v>1.9314</v>
      </c>
      <c r="S2069" s="11">
        <f t="shared" ref="S2069:S2110" si="201">ROUND(R2069*L2069,2)</f>
        <v>975.36</v>
      </c>
      <c r="T2069" s="10" t="s">
        <v>349</v>
      </c>
      <c r="U2069" t="s">
        <v>78</v>
      </c>
      <c r="V2069" s="58">
        <v>7.1775000000000002</v>
      </c>
      <c r="W2069" s="38">
        <f t="shared" si="197"/>
        <v>992.05851619644716</v>
      </c>
    </row>
    <row r="2070" spans="1:23" s="15" customFormat="1">
      <c r="A2070" t="s">
        <v>4290</v>
      </c>
      <c r="B2070" s="20">
        <v>45754</v>
      </c>
      <c r="C2070" s="20">
        <v>45705</v>
      </c>
      <c r="D2070" t="s">
        <v>263</v>
      </c>
      <c r="E2070" t="s">
        <v>0</v>
      </c>
      <c r="F2070" s="19"/>
      <c r="G2070" t="s">
        <v>4541</v>
      </c>
      <c r="H2070" t="s">
        <v>993</v>
      </c>
      <c r="I2070" t="s">
        <v>994</v>
      </c>
      <c r="J2070" s="8" t="str">
        <f t="shared" si="198"/>
        <v>HDL-</v>
      </c>
      <c r="K2070" t="s">
        <v>10</v>
      </c>
      <c r="L2070" s="46">
        <v>1000</v>
      </c>
      <c r="M2070" t="s">
        <v>1472</v>
      </c>
      <c r="N2070" t="s">
        <v>11</v>
      </c>
      <c r="O2070" s="49">
        <v>14.150399999999999</v>
      </c>
      <c r="P2070" s="9">
        <f t="shared" si="196"/>
        <v>14150.4</v>
      </c>
      <c r="Q2070" s="10">
        <f t="shared" si="199"/>
        <v>7.3003400000000003</v>
      </c>
      <c r="R2070" s="10">
        <f t="shared" si="200"/>
        <v>1.9382999999999999</v>
      </c>
      <c r="S2070" s="11">
        <f t="shared" si="201"/>
        <v>1938.3</v>
      </c>
      <c r="T2070" s="10" t="s">
        <v>349</v>
      </c>
      <c r="U2070" t="s">
        <v>228</v>
      </c>
      <c r="V2070" s="58">
        <v>7.1775000000000002</v>
      </c>
      <c r="W2070" s="38">
        <f t="shared" si="197"/>
        <v>1971.494252873563</v>
      </c>
    </row>
    <row r="2071" spans="1:23" s="15" customFormat="1">
      <c r="A2071" t="s">
        <v>4291</v>
      </c>
      <c r="B2071" s="20">
        <v>45754</v>
      </c>
      <c r="C2071" s="20">
        <v>45705</v>
      </c>
      <c r="D2071" t="s">
        <v>263</v>
      </c>
      <c r="E2071" t="s">
        <v>0</v>
      </c>
      <c r="F2071" s="19"/>
      <c r="G2071" t="s">
        <v>4541</v>
      </c>
      <c r="H2071" t="s">
        <v>3802</v>
      </c>
      <c r="I2071" t="s">
        <v>3803</v>
      </c>
      <c r="J2071" s="8" t="str">
        <f t="shared" si="198"/>
        <v>HDL-</v>
      </c>
      <c r="K2071" t="s">
        <v>10</v>
      </c>
      <c r="L2071" s="46">
        <v>1020</v>
      </c>
      <c r="M2071" t="s">
        <v>1472</v>
      </c>
      <c r="N2071" t="s">
        <v>11</v>
      </c>
      <c r="O2071" s="49">
        <v>14.150399999999999</v>
      </c>
      <c r="P2071" s="9">
        <f t="shared" si="196"/>
        <v>14433.41</v>
      </c>
      <c r="Q2071" s="10">
        <f t="shared" si="199"/>
        <v>7.3003400000000003</v>
      </c>
      <c r="R2071" s="10">
        <f t="shared" si="200"/>
        <v>1.9382999999999999</v>
      </c>
      <c r="S2071" s="11">
        <f t="shared" si="201"/>
        <v>1977.07</v>
      </c>
      <c r="T2071" s="10" t="s">
        <v>349</v>
      </c>
      <c r="U2071" t="s">
        <v>228</v>
      </c>
      <c r="V2071" s="58">
        <v>7.1775000000000002</v>
      </c>
      <c r="W2071" s="38">
        <f t="shared" si="197"/>
        <v>2010.9241379310342</v>
      </c>
    </row>
    <row r="2072" spans="1:23" s="15" customFormat="1">
      <c r="A2072" t="s">
        <v>4292</v>
      </c>
      <c r="B2072" s="20">
        <v>45754</v>
      </c>
      <c r="C2072" s="20">
        <v>45702</v>
      </c>
      <c r="D2072" t="s">
        <v>143</v>
      </c>
      <c r="E2072" t="s">
        <v>144</v>
      </c>
      <c r="F2072" s="19"/>
      <c r="G2072" t="s">
        <v>4500</v>
      </c>
      <c r="H2072" t="s">
        <v>3804</v>
      </c>
      <c r="I2072" t="s">
        <v>3805</v>
      </c>
      <c r="J2072" s="8" t="str">
        <f t="shared" si="198"/>
        <v>HDL-</v>
      </c>
      <c r="K2072" t="s">
        <v>10</v>
      </c>
      <c r="L2072" s="46">
        <v>240</v>
      </c>
      <c r="M2072" t="s">
        <v>1472</v>
      </c>
      <c r="N2072" t="s">
        <v>11</v>
      </c>
      <c r="O2072" s="49">
        <v>15.564299999999999</v>
      </c>
      <c r="P2072" s="9">
        <f t="shared" si="196"/>
        <v>3735.43</v>
      </c>
      <c r="Q2072" s="10">
        <f t="shared" si="199"/>
        <v>7.3003400000000003</v>
      </c>
      <c r="R2072" s="10">
        <f t="shared" si="200"/>
        <v>2.1320000000000001</v>
      </c>
      <c r="S2072" s="11">
        <f t="shared" si="201"/>
        <v>511.68</v>
      </c>
      <c r="T2072" s="10" t="s">
        <v>349</v>
      </c>
      <c r="U2072" t="s">
        <v>228</v>
      </c>
      <c r="V2072" s="58">
        <v>7.1775000000000002</v>
      </c>
      <c r="W2072" s="38">
        <f t="shared" si="197"/>
        <v>520.43636363636358</v>
      </c>
    </row>
    <row r="2073" spans="1:23" s="15" customFormat="1">
      <c r="A2073" t="s">
        <v>4292</v>
      </c>
      <c r="B2073" s="20">
        <v>45750</v>
      </c>
      <c r="C2073" s="20">
        <v>45702</v>
      </c>
      <c r="D2073" t="s">
        <v>143</v>
      </c>
      <c r="E2073" t="s">
        <v>144</v>
      </c>
      <c r="F2073" s="19"/>
      <c r="G2073" t="s">
        <v>4542</v>
      </c>
      <c r="H2073" t="s">
        <v>3804</v>
      </c>
      <c r="I2073" t="s">
        <v>3805</v>
      </c>
      <c r="J2073" s="8" t="str">
        <f t="shared" si="198"/>
        <v>HDL-</v>
      </c>
      <c r="K2073" t="s">
        <v>10</v>
      </c>
      <c r="L2073" s="46">
        <v>800</v>
      </c>
      <c r="M2073" t="s">
        <v>1472</v>
      </c>
      <c r="N2073" t="s">
        <v>11</v>
      </c>
      <c r="O2073" s="49">
        <v>15.564299999999999</v>
      </c>
      <c r="P2073" s="9">
        <f t="shared" si="196"/>
        <v>12451.44</v>
      </c>
      <c r="Q2073" s="10">
        <f t="shared" si="199"/>
        <v>7.3003400000000003</v>
      </c>
      <c r="R2073" s="10">
        <f t="shared" si="200"/>
        <v>2.1320000000000001</v>
      </c>
      <c r="S2073" s="11">
        <f t="shared" si="201"/>
        <v>1705.6</v>
      </c>
      <c r="T2073" s="10" t="s">
        <v>349</v>
      </c>
      <c r="U2073" t="s">
        <v>228</v>
      </c>
      <c r="V2073" s="58">
        <v>7.1775000000000002</v>
      </c>
      <c r="W2073" s="38">
        <f t="shared" si="197"/>
        <v>1734.7878787878788</v>
      </c>
    </row>
    <row r="2074" spans="1:23" s="15" customFormat="1">
      <c r="A2074" t="s">
        <v>4293</v>
      </c>
      <c r="B2074" s="20">
        <v>45769</v>
      </c>
      <c r="C2074" s="20">
        <v>45768</v>
      </c>
      <c r="D2074" t="s">
        <v>5</v>
      </c>
      <c r="E2074" t="s">
        <v>6</v>
      </c>
      <c r="F2074" s="19"/>
      <c r="G2074" t="s">
        <v>4533</v>
      </c>
      <c r="H2074" t="s">
        <v>3806</v>
      </c>
      <c r="I2074" t="s">
        <v>3807</v>
      </c>
      <c r="J2074" s="8" t="str">
        <f t="shared" si="198"/>
        <v>BOX-</v>
      </c>
      <c r="K2074" t="s">
        <v>10</v>
      </c>
      <c r="L2074" s="46">
        <v>520</v>
      </c>
      <c r="M2074" t="s">
        <v>1472</v>
      </c>
      <c r="N2074" t="s">
        <v>11</v>
      </c>
      <c r="O2074" s="49">
        <v>15.98</v>
      </c>
      <c r="P2074" s="9">
        <f t="shared" si="196"/>
        <v>8309.6</v>
      </c>
      <c r="Q2074" s="10">
        <f t="shared" si="199"/>
        <v>7.3003400000000003</v>
      </c>
      <c r="R2074" s="10">
        <f t="shared" si="200"/>
        <v>2.1888999999999998</v>
      </c>
      <c r="S2074" s="11">
        <f t="shared" si="201"/>
        <v>1138.23</v>
      </c>
      <c r="T2074" s="10" t="s">
        <v>349</v>
      </c>
      <c r="U2074" t="s">
        <v>1</v>
      </c>
      <c r="V2074" s="58">
        <v>7.1775000000000002</v>
      </c>
      <c r="W2074" s="38">
        <f t="shared" si="197"/>
        <v>1157.7290142807385</v>
      </c>
    </row>
    <row r="2075" spans="1:23" s="15" customFormat="1">
      <c r="A2075" t="s">
        <v>4294</v>
      </c>
      <c r="B2075" s="20">
        <v>45769</v>
      </c>
      <c r="C2075" s="20">
        <v>45768</v>
      </c>
      <c r="D2075" t="s">
        <v>5</v>
      </c>
      <c r="E2075" t="s">
        <v>6</v>
      </c>
      <c r="F2075" s="19"/>
      <c r="G2075" t="s">
        <v>4533</v>
      </c>
      <c r="H2075" t="s">
        <v>3806</v>
      </c>
      <c r="I2075" t="s">
        <v>3807</v>
      </c>
      <c r="J2075" s="8" t="str">
        <f t="shared" si="198"/>
        <v>BOX-</v>
      </c>
      <c r="K2075" t="s">
        <v>10</v>
      </c>
      <c r="L2075" s="46">
        <v>500</v>
      </c>
      <c r="M2075" t="s">
        <v>1472</v>
      </c>
      <c r="N2075" t="s">
        <v>11</v>
      </c>
      <c r="O2075" s="49">
        <v>15.98</v>
      </c>
      <c r="P2075" s="9">
        <f t="shared" si="196"/>
        <v>7990</v>
      </c>
      <c r="Q2075" s="10">
        <f t="shared" si="199"/>
        <v>7.3003400000000003</v>
      </c>
      <c r="R2075" s="10">
        <f t="shared" si="200"/>
        <v>2.1888999999999998</v>
      </c>
      <c r="S2075" s="11">
        <f t="shared" si="201"/>
        <v>1094.45</v>
      </c>
      <c r="T2075" s="10" t="s">
        <v>349</v>
      </c>
      <c r="U2075" t="s">
        <v>1</v>
      </c>
      <c r="V2075" s="58">
        <v>7.1775000000000002</v>
      </c>
      <c r="W2075" s="38">
        <f t="shared" si="197"/>
        <v>1113.2009752699407</v>
      </c>
    </row>
    <row r="2076" spans="1:23" s="15" customFormat="1">
      <c r="A2076" t="s">
        <v>4295</v>
      </c>
      <c r="B2076" s="20">
        <v>45756</v>
      </c>
      <c r="C2076" s="20">
        <v>45702</v>
      </c>
      <c r="D2076" t="s">
        <v>143</v>
      </c>
      <c r="E2076" t="s">
        <v>144</v>
      </c>
      <c r="F2076" s="19"/>
      <c r="G2076" t="s">
        <v>4501</v>
      </c>
      <c r="H2076" t="s">
        <v>3808</v>
      </c>
      <c r="I2076" t="s">
        <v>3809</v>
      </c>
      <c r="J2076" s="8" t="str">
        <f t="shared" si="198"/>
        <v>SHDL</v>
      </c>
      <c r="K2076" t="s">
        <v>10</v>
      </c>
      <c r="L2076" s="46">
        <v>1050</v>
      </c>
      <c r="M2076" t="s">
        <v>1472</v>
      </c>
      <c r="N2076" t="s">
        <v>11</v>
      </c>
      <c r="O2076" s="49">
        <v>16.168399999999998</v>
      </c>
      <c r="P2076" s="9">
        <f t="shared" si="196"/>
        <v>16976.82</v>
      </c>
      <c r="Q2076" s="10">
        <f t="shared" si="199"/>
        <v>7.3003400000000003</v>
      </c>
      <c r="R2076" s="10">
        <f t="shared" si="200"/>
        <v>2.2147000000000001</v>
      </c>
      <c r="S2076" s="11">
        <f t="shared" si="201"/>
        <v>2325.44</v>
      </c>
      <c r="T2076" s="10" t="s">
        <v>349</v>
      </c>
      <c r="U2076" t="s">
        <v>722</v>
      </c>
      <c r="V2076" s="58">
        <v>7.1775000000000002</v>
      </c>
      <c r="W2076" s="38">
        <f t="shared" si="197"/>
        <v>2365.2831765935211</v>
      </c>
    </row>
    <row r="2077" spans="1:23" s="15" customFormat="1">
      <c r="A2077" t="s">
        <v>4296</v>
      </c>
      <c r="B2077" s="20">
        <v>45770</v>
      </c>
      <c r="C2077" s="20">
        <v>45768</v>
      </c>
      <c r="D2077" t="s">
        <v>1006</v>
      </c>
      <c r="E2077" t="s">
        <v>1007</v>
      </c>
      <c r="F2077" s="19"/>
      <c r="G2077" t="s">
        <v>4543</v>
      </c>
      <c r="H2077" t="s">
        <v>1819</v>
      </c>
      <c r="I2077" t="s">
        <v>1820</v>
      </c>
      <c r="J2077" s="8" t="str">
        <f t="shared" si="198"/>
        <v>ALM-</v>
      </c>
      <c r="K2077" t="s">
        <v>10</v>
      </c>
      <c r="L2077" s="46">
        <v>30000</v>
      </c>
      <c r="M2077" t="s">
        <v>186</v>
      </c>
      <c r="N2077" t="s">
        <v>11</v>
      </c>
      <c r="O2077" s="49">
        <v>17.530999999999999</v>
      </c>
      <c r="P2077" s="9">
        <f t="shared" si="196"/>
        <v>525930</v>
      </c>
      <c r="Q2077" s="10">
        <f t="shared" si="199"/>
        <v>7.3003400000000003</v>
      </c>
      <c r="R2077" s="10">
        <f t="shared" si="200"/>
        <v>2.4014000000000002</v>
      </c>
      <c r="S2077" s="11">
        <f t="shared" si="201"/>
        <v>72042</v>
      </c>
      <c r="T2077" s="10" t="s">
        <v>349</v>
      </c>
      <c r="U2077" t="s">
        <v>191</v>
      </c>
      <c r="V2077" s="58">
        <v>7.1775000000000002</v>
      </c>
      <c r="W2077" s="38">
        <f t="shared" si="197"/>
        <v>73274.817136886093</v>
      </c>
    </row>
    <row r="2078" spans="1:23" s="15" customFormat="1">
      <c r="A2078" t="s">
        <v>4297</v>
      </c>
      <c r="B2078" s="20">
        <v>45755</v>
      </c>
      <c r="C2078" s="20">
        <v>45749</v>
      </c>
      <c r="D2078" t="s">
        <v>5</v>
      </c>
      <c r="E2078" t="s">
        <v>6</v>
      </c>
      <c r="F2078" s="19"/>
      <c r="G2078" t="s">
        <v>4502</v>
      </c>
      <c r="H2078" t="s">
        <v>3810</v>
      </c>
      <c r="I2078" t="s">
        <v>3811</v>
      </c>
      <c r="J2078" s="8" t="str">
        <f t="shared" si="198"/>
        <v>BOX-</v>
      </c>
      <c r="K2078" t="s">
        <v>10</v>
      </c>
      <c r="L2078" s="46">
        <v>1010</v>
      </c>
      <c r="M2078" t="s">
        <v>1472</v>
      </c>
      <c r="N2078" t="s">
        <v>11</v>
      </c>
      <c r="O2078" s="49">
        <v>18.350000000000001</v>
      </c>
      <c r="P2078" s="9">
        <f t="shared" si="196"/>
        <v>18533.5</v>
      </c>
      <c r="Q2078" s="10">
        <f t="shared" si="199"/>
        <v>7.3003400000000003</v>
      </c>
      <c r="R2078" s="10">
        <f t="shared" si="200"/>
        <v>2.5135999999999998</v>
      </c>
      <c r="S2078" s="11">
        <f t="shared" si="201"/>
        <v>2538.7399999999998</v>
      </c>
      <c r="T2078" s="10" t="s">
        <v>349</v>
      </c>
      <c r="U2078" t="s">
        <v>1</v>
      </c>
      <c r="V2078" s="58">
        <v>7.1775000000000002</v>
      </c>
      <c r="W2078" s="38">
        <f t="shared" si="197"/>
        <v>2582.1664925113205</v>
      </c>
    </row>
    <row r="2079" spans="1:23" s="15" customFormat="1">
      <c r="A2079" t="s">
        <v>4298</v>
      </c>
      <c r="B2079" s="20">
        <v>45777</v>
      </c>
      <c r="C2079" s="20">
        <v>45749</v>
      </c>
      <c r="D2079" t="s">
        <v>4332</v>
      </c>
      <c r="E2079" t="s">
        <v>4333</v>
      </c>
      <c r="F2079" s="19"/>
      <c r="G2079" t="s">
        <v>4544</v>
      </c>
      <c r="H2079" t="s">
        <v>3812</v>
      </c>
      <c r="I2079" t="s">
        <v>3813</v>
      </c>
      <c r="J2079" s="8" t="str">
        <f t="shared" si="198"/>
        <v>CDM-</v>
      </c>
      <c r="K2079" t="s">
        <v>10</v>
      </c>
      <c r="L2079" s="46">
        <v>530</v>
      </c>
      <c r="M2079" t="s">
        <v>1472</v>
      </c>
      <c r="N2079" t="s">
        <v>11</v>
      </c>
      <c r="O2079" s="49">
        <v>39.079599999999999</v>
      </c>
      <c r="P2079" s="9">
        <f t="shared" si="196"/>
        <v>20712.189999999999</v>
      </c>
      <c r="Q2079" s="10">
        <f t="shared" si="199"/>
        <v>7.3003400000000003</v>
      </c>
      <c r="R2079" s="10">
        <f t="shared" si="200"/>
        <v>5.3531000000000004</v>
      </c>
      <c r="S2079" s="11">
        <f t="shared" si="201"/>
        <v>2837.14</v>
      </c>
      <c r="T2079" s="10" t="s">
        <v>349</v>
      </c>
      <c r="U2079" t="s">
        <v>3484</v>
      </c>
      <c r="V2079" s="58">
        <v>7.1775000000000002</v>
      </c>
      <c r="W2079" s="38">
        <f t="shared" si="197"/>
        <v>2885.7106234761404</v>
      </c>
    </row>
    <row r="2080" spans="1:23" s="15" customFormat="1">
      <c r="A2080" t="s">
        <v>4299</v>
      </c>
      <c r="B2080" s="20">
        <v>45769</v>
      </c>
      <c r="C2080" s="20">
        <v>45740</v>
      </c>
      <c r="D2080" t="s">
        <v>311</v>
      </c>
      <c r="E2080" t="s">
        <v>312</v>
      </c>
      <c r="F2080" s="19"/>
      <c r="G2080" t="s">
        <v>4545</v>
      </c>
      <c r="H2080" t="s">
        <v>341</v>
      </c>
      <c r="I2080" t="s">
        <v>342</v>
      </c>
      <c r="J2080" s="8" t="str">
        <f t="shared" si="198"/>
        <v>INM-</v>
      </c>
      <c r="K2080" t="s">
        <v>10</v>
      </c>
      <c r="L2080" s="46">
        <v>125</v>
      </c>
      <c r="M2080" t="s">
        <v>186</v>
      </c>
      <c r="N2080" t="s">
        <v>11</v>
      </c>
      <c r="O2080" s="49">
        <v>63.008800000000001</v>
      </c>
      <c r="P2080" s="9">
        <f t="shared" si="196"/>
        <v>7876.1</v>
      </c>
      <c r="Q2080" s="10">
        <f t="shared" si="199"/>
        <v>7.3003400000000003</v>
      </c>
      <c r="R2080" s="10">
        <f t="shared" si="200"/>
        <v>8.6309000000000005</v>
      </c>
      <c r="S2080" s="11">
        <f t="shared" si="201"/>
        <v>1078.8599999999999</v>
      </c>
      <c r="T2080" s="10" t="s">
        <v>349</v>
      </c>
      <c r="U2080" t="s">
        <v>327</v>
      </c>
      <c r="V2080" s="58">
        <v>7.1775000000000002</v>
      </c>
      <c r="W2080" s="38">
        <f t="shared" si="197"/>
        <v>1097.3319400905607</v>
      </c>
    </row>
    <row r="2081" spans="1:23" s="15" customFormat="1">
      <c r="A2081" t="s">
        <v>4300</v>
      </c>
      <c r="B2081" s="20">
        <v>45769</v>
      </c>
      <c r="C2081" s="20">
        <v>45740</v>
      </c>
      <c r="D2081" t="s">
        <v>311</v>
      </c>
      <c r="E2081" t="s">
        <v>312</v>
      </c>
      <c r="F2081" s="19"/>
      <c r="G2081" t="s">
        <v>4545</v>
      </c>
      <c r="H2081" t="s">
        <v>331</v>
      </c>
      <c r="I2081" t="s">
        <v>332</v>
      </c>
      <c r="J2081" s="8" t="str">
        <f t="shared" si="198"/>
        <v>INM-</v>
      </c>
      <c r="K2081" t="s">
        <v>10</v>
      </c>
      <c r="L2081" s="46">
        <v>50</v>
      </c>
      <c r="M2081" t="s">
        <v>186</v>
      </c>
      <c r="N2081" t="s">
        <v>11</v>
      </c>
      <c r="O2081" s="49">
        <v>64.778800000000004</v>
      </c>
      <c r="P2081" s="9">
        <f t="shared" si="196"/>
        <v>3238.94</v>
      </c>
      <c r="Q2081" s="10">
        <f t="shared" si="199"/>
        <v>7.3003400000000003</v>
      </c>
      <c r="R2081" s="10">
        <f t="shared" si="200"/>
        <v>8.8734000000000002</v>
      </c>
      <c r="S2081" s="11">
        <f t="shared" si="201"/>
        <v>443.67</v>
      </c>
      <c r="T2081" s="10" t="s">
        <v>349</v>
      </c>
      <c r="U2081" t="s">
        <v>327</v>
      </c>
      <c r="V2081" s="58">
        <v>7.1775000000000002</v>
      </c>
      <c r="W2081" s="38">
        <f t="shared" si="197"/>
        <v>451.26297457331941</v>
      </c>
    </row>
    <row r="2082" spans="1:23" s="15" customFormat="1">
      <c r="A2082" t="s">
        <v>4301</v>
      </c>
      <c r="B2082" s="20">
        <v>45769</v>
      </c>
      <c r="C2082" s="20">
        <v>45750</v>
      </c>
      <c r="D2082" t="s">
        <v>311</v>
      </c>
      <c r="E2082" t="s">
        <v>312</v>
      </c>
      <c r="F2082" s="19"/>
      <c r="G2082" t="s">
        <v>4546</v>
      </c>
      <c r="H2082" t="s">
        <v>323</v>
      </c>
      <c r="I2082" t="s">
        <v>324</v>
      </c>
      <c r="J2082" s="8" t="str">
        <f t="shared" si="198"/>
        <v>INM-</v>
      </c>
      <c r="K2082" t="s">
        <v>10</v>
      </c>
      <c r="L2082" s="46">
        <v>25</v>
      </c>
      <c r="M2082" t="s">
        <v>186</v>
      </c>
      <c r="N2082" t="s">
        <v>11</v>
      </c>
      <c r="O2082" s="49">
        <v>69.026499999999999</v>
      </c>
      <c r="P2082" s="9">
        <f t="shared" si="196"/>
        <v>1725.66</v>
      </c>
      <c r="Q2082" s="10">
        <f t="shared" si="199"/>
        <v>7.3003400000000003</v>
      </c>
      <c r="R2082" s="10">
        <f t="shared" si="200"/>
        <v>9.4551999999999996</v>
      </c>
      <c r="S2082" s="11">
        <f t="shared" si="201"/>
        <v>236.38</v>
      </c>
      <c r="T2082" s="10" t="s">
        <v>349</v>
      </c>
      <c r="U2082" t="s">
        <v>327</v>
      </c>
      <c r="V2082" s="58">
        <v>7.1775000000000002</v>
      </c>
      <c r="W2082" s="38">
        <f t="shared" si="197"/>
        <v>240.4266805990944</v>
      </c>
    </row>
    <row r="2083" spans="1:23" s="15" customFormat="1">
      <c r="A2083" t="s">
        <v>4302</v>
      </c>
      <c r="B2083" s="20">
        <v>45772</v>
      </c>
      <c r="C2083" s="20">
        <v>45757</v>
      </c>
      <c r="D2083" t="s">
        <v>311</v>
      </c>
      <c r="E2083" t="s">
        <v>312</v>
      </c>
      <c r="F2083" s="19"/>
      <c r="G2083" t="s">
        <v>4547</v>
      </c>
      <c r="H2083" t="s">
        <v>328</v>
      </c>
      <c r="I2083" t="s">
        <v>329</v>
      </c>
      <c r="J2083" s="8" t="str">
        <f t="shared" si="198"/>
        <v>INM-</v>
      </c>
      <c r="K2083" t="s">
        <v>10</v>
      </c>
      <c r="L2083" s="46">
        <v>125</v>
      </c>
      <c r="M2083" t="s">
        <v>186</v>
      </c>
      <c r="N2083" t="s">
        <v>11</v>
      </c>
      <c r="O2083" s="49">
        <v>69.026499999999999</v>
      </c>
      <c r="P2083" s="9">
        <f t="shared" si="196"/>
        <v>8628.31</v>
      </c>
      <c r="Q2083" s="10">
        <f t="shared" si="199"/>
        <v>7.3003400000000003</v>
      </c>
      <c r="R2083" s="10">
        <f t="shared" si="200"/>
        <v>9.4551999999999996</v>
      </c>
      <c r="S2083" s="11">
        <f t="shared" si="201"/>
        <v>1181.9000000000001</v>
      </c>
      <c r="T2083" s="10" t="s">
        <v>349</v>
      </c>
      <c r="U2083" t="s">
        <v>327</v>
      </c>
      <c r="V2083" s="58">
        <v>7.1775000000000002</v>
      </c>
      <c r="W2083" s="38">
        <f t="shared" si="197"/>
        <v>1202.1334029954719</v>
      </c>
    </row>
    <row r="2084" spans="1:23" s="15" customFormat="1">
      <c r="A2084" t="s">
        <v>4303</v>
      </c>
      <c r="B2084" s="20">
        <v>45772</v>
      </c>
      <c r="C2084" s="20">
        <v>45757</v>
      </c>
      <c r="D2084" t="s">
        <v>311</v>
      </c>
      <c r="E2084" t="s">
        <v>312</v>
      </c>
      <c r="F2084" s="19"/>
      <c r="G2084" t="s">
        <v>4547</v>
      </c>
      <c r="H2084" t="s">
        <v>323</v>
      </c>
      <c r="I2084" t="s">
        <v>324</v>
      </c>
      <c r="J2084" s="8" t="str">
        <f t="shared" si="198"/>
        <v>INM-</v>
      </c>
      <c r="K2084" t="s">
        <v>10</v>
      </c>
      <c r="L2084" s="46">
        <v>100</v>
      </c>
      <c r="M2084" t="s">
        <v>186</v>
      </c>
      <c r="N2084" t="s">
        <v>11</v>
      </c>
      <c r="O2084" s="49">
        <v>69.026499999999999</v>
      </c>
      <c r="P2084" s="9">
        <f t="shared" si="196"/>
        <v>6902.65</v>
      </c>
      <c r="Q2084" s="10">
        <f t="shared" si="199"/>
        <v>7.3003400000000003</v>
      </c>
      <c r="R2084" s="10">
        <f t="shared" si="200"/>
        <v>9.4551999999999996</v>
      </c>
      <c r="S2084" s="11">
        <f t="shared" si="201"/>
        <v>945.52</v>
      </c>
      <c r="T2084" s="10" t="s">
        <v>349</v>
      </c>
      <c r="U2084" t="s">
        <v>327</v>
      </c>
      <c r="V2084" s="58">
        <v>7.1775000000000002</v>
      </c>
      <c r="W2084" s="38">
        <f t="shared" si="197"/>
        <v>961.70672239637759</v>
      </c>
    </row>
    <row r="2085" spans="1:23" s="15" customFormat="1">
      <c r="A2085" t="s">
        <v>4304</v>
      </c>
      <c r="B2085" s="20">
        <v>45769</v>
      </c>
      <c r="C2085" s="20">
        <v>45740</v>
      </c>
      <c r="D2085" t="s">
        <v>311</v>
      </c>
      <c r="E2085" t="s">
        <v>312</v>
      </c>
      <c r="F2085" s="19"/>
      <c r="G2085" t="s">
        <v>4545</v>
      </c>
      <c r="H2085" t="s">
        <v>334</v>
      </c>
      <c r="I2085" t="s">
        <v>335</v>
      </c>
      <c r="J2085" s="8" t="str">
        <f t="shared" si="198"/>
        <v>EXM-</v>
      </c>
      <c r="K2085" t="s">
        <v>10</v>
      </c>
      <c r="L2085" s="46">
        <v>100</v>
      </c>
      <c r="M2085" t="s">
        <v>186</v>
      </c>
      <c r="N2085" t="s">
        <v>11</v>
      </c>
      <c r="O2085" s="49">
        <v>70.353999999999999</v>
      </c>
      <c r="P2085" s="9">
        <f t="shared" si="196"/>
        <v>7035.4</v>
      </c>
      <c r="Q2085" s="10">
        <f t="shared" si="199"/>
        <v>7.3003400000000003</v>
      </c>
      <c r="R2085" s="10">
        <f t="shared" si="200"/>
        <v>9.6371000000000002</v>
      </c>
      <c r="S2085" s="11">
        <f t="shared" si="201"/>
        <v>963.71</v>
      </c>
      <c r="T2085" s="10" t="s">
        <v>349</v>
      </c>
      <c r="U2085" t="s">
        <v>315</v>
      </c>
      <c r="V2085" s="58">
        <v>7.1775000000000002</v>
      </c>
      <c r="W2085" s="38">
        <f t="shared" si="197"/>
        <v>980.20202020202021</v>
      </c>
    </row>
    <row r="2086" spans="1:23" s="15" customFormat="1">
      <c r="A2086" t="s">
        <v>4305</v>
      </c>
      <c r="B2086" s="20">
        <v>45769</v>
      </c>
      <c r="C2086" s="20">
        <v>45740</v>
      </c>
      <c r="D2086" t="s">
        <v>311</v>
      </c>
      <c r="E2086" t="s">
        <v>312</v>
      </c>
      <c r="F2086" s="19"/>
      <c r="G2086" t="s">
        <v>4545</v>
      </c>
      <c r="H2086" t="s">
        <v>337</v>
      </c>
      <c r="I2086" t="s">
        <v>338</v>
      </c>
      <c r="J2086" s="8" t="str">
        <f t="shared" si="198"/>
        <v>EXM-</v>
      </c>
      <c r="K2086" t="s">
        <v>10</v>
      </c>
      <c r="L2086" s="46">
        <v>50</v>
      </c>
      <c r="M2086" t="s">
        <v>186</v>
      </c>
      <c r="N2086" t="s">
        <v>11</v>
      </c>
      <c r="O2086" s="49">
        <v>71.769900000000007</v>
      </c>
      <c r="P2086" s="9">
        <f t="shared" si="196"/>
        <v>3588.5</v>
      </c>
      <c r="Q2086" s="10">
        <f t="shared" si="199"/>
        <v>7.3003400000000003</v>
      </c>
      <c r="R2086" s="10">
        <f t="shared" si="200"/>
        <v>9.8309999999999995</v>
      </c>
      <c r="S2086" s="11">
        <f t="shared" si="201"/>
        <v>491.55</v>
      </c>
      <c r="T2086" s="10" t="s">
        <v>349</v>
      </c>
      <c r="U2086" t="s">
        <v>315</v>
      </c>
      <c r="V2086" s="58">
        <v>7.1775000000000002</v>
      </c>
      <c r="W2086" s="38">
        <f t="shared" si="197"/>
        <v>499.96447230929999</v>
      </c>
    </row>
    <row r="2087" spans="1:23" s="15" customFormat="1">
      <c r="A2087" t="s">
        <v>4306</v>
      </c>
      <c r="B2087" s="20">
        <v>45776</v>
      </c>
      <c r="C2087" s="20">
        <v>45749</v>
      </c>
      <c r="D2087" t="s">
        <v>4332</v>
      </c>
      <c r="E2087" t="s">
        <v>4333</v>
      </c>
      <c r="F2087" s="19"/>
      <c r="G2087" t="s">
        <v>4548</v>
      </c>
      <c r="H2087" t="s">
        <v>3814</v>
      </c>
      <c r="I2087" t="s">
        <v>3815</v>
      </c>
      <c r="J2087" s="8" t="str">
        <f t="shared" si="198"/>
        <v>CDM-</v>
      </c>
      <c r="K2087" t="s">
        <v>10</v>
      </c>
      <c r="L2087" s="46">
        <v>400</v>
      </c>
      <c r="M2087" t="s">
        <v>1472</v>
      </c>
      <c r="N2087" t="s">
        <v>11</v>
      </c>
      <c r="O2087" s="49">
        <v>72.345100000000002</v>
      </c>
      <c r="P2087" s="9">
        <f t="shared" si="196"/>
        <v>28938.04</v>
      </c>
      <c r="Q2087" s="10">
        <f t="shared" si="199"/>
        <v>7.3003400000000003</v>
      </c>
      <c r="R2087" s="10">
        <f t="shared" si="200"/>
        <v>9.9098000000000006</v>
      </c>
      <c r="S2087" s="11">
        <f t="shared" si="201"/>
        <v>3963.92</v>
      </c>
      <c r="T2087" s="10" t="s">
        <v>349</v>
      </c>
      <c r="U2087" t="s">
        <v>3484</v>
      </c>
      <c r="V2087" s="58">
        <v>7.1775000000000002</v>
      </c>
      <c r="W2087" s="38">
        <f t="shared" si="197"/>
        <v>4031.7715081853012</v>
      </c>
    </row>
    <row r="2088" spans="1:23" s="15" customFormat="1">
      <c r="A2088" t="s">
        <v>4306</v>
      </c>
      <c r="B2088" s="20">
        <v>45776</v>
      </c>
      <c r="C2088" s="20">
        <v>45749</v>
      </c>
      <c r="D2088" t="s">
        <v>4332</v>
      </c>
      <c r="E2088" t="s">
        <v>4333</v>
      </c>
      <c r="F2088" s="19"/>
      <c r="G2088" t="s">
        <v>4548</v>
      </c>
      <c r="H2088" t="s">
        <v>3814</v>
      </c>
      <c r="I2088" t="s">
        <v>3815</v>
      </c>
      <c r="J2088" s="8" t="str">
        <f t="shared" si="198"/>
        <v>CDM-</v>
      </c>
      <c r="K2088" t="s">
        <v>10</v>
      </c>
      <c r="L2088" s="46">
        <v>400</v>
      </c>
      <c r="M2088" t="s">
        <v>1472</v>
      </c>
      <c r="N2088" t="s">
        <v>11</v>
      </c>
      <c r="O2088" s="49">
        <v>72.345100000000002</v>
      </c>
      <c r="P2088" s="9">
        <f t="shared" si="196"/>
        <v>28938.04</v>
      </c>
      <c r="Q2088" s="10">
        <f t="shared" si="199"/>
        <v>7.3003400000000003</v>
      </c>
      <c r="R2088" s="10">
        <f t="shared" si="200"/>
        <v>9.9098000000000006</v>
      </c>
      <c r="S2088" s="11">
        <f t="shared" si="201"/>
        <v>3963.92</v>
      </c>
      <c r="T2088" s="10" t="s">
        <v>349</v>
      </c>
      <c r="U2088" t="s">
        <v>3484</v>
      </c>
      <c r="V2088" s="58">
        <v>7.1775000000000002</v>
      </c>
      <c r="W2088" s="38">
        <f t="shared" si="197"/>
        <v>4031.7715081853012</v>
      </c>
    </row>
    <row r="2089" spans="1:23" s="15" customFormat="1">
      <c r="A2089" t="s">
        <v>4306</v>
      </c>
      <c r="B2089" s="20">
        <v>45776</v>
      </c>
      <c r="C2089" s="20">
        <v>45749</v>
      </c>
      <c r="D2089" t="s">
        <v>4332</v>
      </c>
      <c r="E2089" t="s">
        <v>4333</v>
      </c>
      <c r="F2089" s="19"/>
      <c r="G2089" t="s">
        <v>4548</v>
      </c>
      <c r="H2089" t="s">
        <v>3814</v>
      </c>
      <c r="I2089" t="s">
        <v>3815</v>
      </c>
      <c r="J2089" s="8" t="str">
        <f t="shared" si="198"/>
        <v>CDM-</v>
      </c>
      <c r="K2089" t="s">
        <v>10</v>
      </c>
      <c r="L2089" s="46">
        <v>300</v>
      </c>
      <c r="M2089" t="s">
        <v>1472</v>
      </c>
      <c r="N2089" t="s">
        <v>11</v>
      </c>
      <c r="O2089" s="49">
        <v>72.345100000000002</v>
      </c>
      <c r="P2089" s="9">
        <f t="shared" si="196"/>
        <v>21703.53</v>
      </c>
      <c r="Q2089" s="10">
        <f t="shared" si="199"/>
        <v>7.3003400000000003</v>
      </c>
      <c r="R2089" s="10">
        <f t="shared" si="200"/>
        <v>9.9098000000000006</v>
      </c>
      <c r="S2089" s="11">
        <f t="shared" si="201"/>
        <v>2972.94</v>
      </c>
      <c r="T2089" s="10" t="s">
        <v>349</v>
      </c>
      <c r="U2089" t="s">
        <v>3484</v>
      </c>
      <c r="V2089" s="58">
        <v>7.1775000000000002</v>
      </c>
      <c r="W2089" s="38">
        <f t="shared" si="197"/>
        <v>3023.8286311389757</v>
      </c>
    </row>
    <row r="2090" spans="1:23" s="15" customFormat="1">
      <c r="A2090" t="s">
        <v>4307</v>
      </c>
      <c r="B2090" s="20">
        <v>45776</v>
      </c>
      <c r="C2090" s="20">
        <v>45749</v>
      </c>
      <c r="D2090" t="s">
        <v>4332</v>
      </c>
      <c r="E2090" t="s">
        <v>4333</v>
      </c>
      <c r="F2090" s="19"/>
      <c r="G2090" t="s">
        <v>4548</v>
      </c>
      <c r="H2090" t="s">
        <v>3814</v>
      </c>
      <c r="I2090" t="s">
        <v>3815</v>
      </c>
      <c r="J2090" s="8" t="str">
        <f t="shared" si="198"/>
        <v>CDM-</v>
      </c>
      <c r="K2090" t="s">
        <v>10</v>
      </c>
      <c r="L2090" s="46">
        <v>500</v>
      </c>
      <c r="M2090" t="s">
        <v>1472</v>
      </c>
      <c r="N2090" t="s">
        <v>11</v>
      </c>
      <c r="O2090" s="49">
        <v>72.345100000000002</v>
      </c>
      <c r="P2090" s="9">
        <f t="shared" si="196"/>
        <v>36172.550000000003</v>
      </c>
      <c r="Q2090" s="10">
        <f t="shared" si="199"/>
        <v>7.3003400000000003</v>
      </c>
      <c r="R2090" s="10">
        <f t="shared" si="200"/>
        <v>9.9098000000000006</v>
      </c>
      <c r="S2090" s="11">
        <f t="shared" si="201"/>
        <v>4954.8999999999996</v>
      </c>
      <c r="T2090" s="10" t="s">
        <v>349</v>
      </c>
      <c r="U2090" t="s">
        <v>3484</v>
      </c>
      <c r="V2090" s="58">
        <v>7.1775000000000002</v>
      </c>
      <c r="W2090" s="38">
        <f t="shared" si="197"/>
        <v>5039.7143852316258</v>
      </c>
    </row>
    <row r="2091" spans="1:23" s="15" customFormat="1">
      <c r="A2091" t="s">
        <v>4308</v>
      </c>
      <c r="B2091" s="20">
        <v>45756</v>
      </c>
      <c r="C2091" s="20">
        <v>45737</v>
      </c>
      <c r="D2091" t="s">
        <v>311</v>
      </c>
      <c r="E2091" t="s">
        <v>312</v>
      </c>
      <c r="F2091" s="19"/>
      <c r="G2091" t="s">
        <v>4549</v>
      </c>
      <c r="H2091" t="s">
        <v>3816</v>
      </c>
      <c r="I2091" t="s">
        <v>3817</v>
      </c>
      <c r="J2091" s="8" t="str">
        <f t="shared" si="198"/>
        <v>INM-</v>
      </c>
      <c r="K2091" t="s">
        <v>10</v>
      </c>
      <c r="L2091" s="46">
        <v>75</v>
      </c>
      <c r="M2091" t="s">
        <v>186</v>
      </c>
      <c r="N2091" t="s">
        <v>11</v>
      </c>
      <c r="O2091" s="49">
        <v>77.876099999999994</v>
      </c>
      <c r="P2091" s="9">
        <f t="shared" si="196"/>
        <v>5840.71</v>
      </c>
      <c r="Q2091" s="10">
        <f t="shared" si="199"/>
        <v>7.3003400000000003</v>
      </c>
      <c r="R2091" s="10">
        <f t="shared" si="200"/>
        <v>10.6675</v>
      </c>
      <c r="S2091" s="11">
        <f t="shared" si="201"/>
        <v>800.06</v>
      </c>
      <c r="T2091" s="10" t="s">
        <v>349</v>
      </c>
      <c r="U2091" t="s">
        <v>327</v>
      </c>
      <c r="V2091" s="58">
        <v>7.1775000000000002</v>
      </c>
      <c r="W2091" s="38">
        <f t="shared" si="197"/>
        <v>813.75235109717869</v>
      </c>
    </row>
    <row r="2092" spans="1:23" s="15" customFormat="1">
      <c r="A2092" t="s">
        <v>4309</v>
      </c>
      <c r="B2092" s="20">
        <v>45756</v>
      </c>
      <c r="C2092" s="20">
        <v>45737</v>
      </c>
      <c r="D2092" t="s">
        <v>311</v>
      </c>
      <c r="E2092" t="s">
        <v>312</v>
      </c>
      <c r="F2092" s="19"/>
      <c r="G2092" t="s">
        <v>4549</v>
      </c>
      <c r="H2092" t="s">
        <v>3818</v>
      </c>
      <c r="I2092" t="s">
        <v>3819</v>
      </c>
      <c r="J2092" s="8" t="str">
        <f t="shared" si="198"/>
        <v>INM-</v>
      </c>
      <c r="K2092" t="s">
        <v>10</v>
      </c>
      <c r="L2092" s="46">
        <v>30</v>
      </c>
      <c r="M2092" t="s">
        <v>186</v>
      </c>
      <c r="N2092" t="s">
        <v>11</v>
      </c>
      <c r="O2092" s="49">
        <v>77.876099999999994</v>
      </c>
      <c r="P2092" s="9">
        <f t="shared" si="196"/>
        <v>2336.2800000000002</v>
      </c>
      <c r="Q2092" s="10">
        <f t="shared" si="199"/>
        <v>7.3003400000000003</v>
      </c>
      <c r="R2092" s="10">
        <f t="shared" si="200"/>
        <v>10.6675</v>
      </c>
      <c r="S2092" s="11">
        <f t="shared" si="201"/>
        <v>320.02999999999997</v>
      </c>
      <c r="T2092" s="10" t="s">
        <v>349</v>
      </c>
      <c r="U2092" t="s">
        <v>327</v>
      </c>
      <c r="V2092" s="58">
        <v>7.1775000000000002</v>
      </c>
      <c r="W2092" s="38">
        <f t="shared" si="197"/>
        <v>325.50094043887145</v>
      </c>
    </row>
    <row r="2093" spans="1:23" s="15" customFormat="1">
      <c r="A2093" t="s">
        <v>4310</v>
      </c>
      <c r="B2093" s="20">
        <v>45754</v>
      </c>
      <c r="C2093" s="20">
        <v>45730</v>
      </c>
      <c r="D2093" t="s">
        <v>2827</v>
      </c>
      <c r="E2093" t="s">
        <v>2828</v>
      </c>
      <c r="F2093" s="19"/>
      <c r="G2093" t="s">
        <v>4550</v>
      </c>
      <c r="H2093" t="s">
        <v>3820</v>
      </c>
      <c r="I2093" t="s">
        <v>3821</v>
      </c>
      <c r="J2093" s="8" t="str">
        <f t="shared" si="198"/>
        <v>INM-</v>
      </c>
      <c r="K2093" t="s">
        <v>10</v>
      </c>
      <c r="L2093" s="46">
        <v>120</v>
      </c>
      <c r="M2093" t="s">
        <v>186</v>
      </c>
      <c r="N2093" t="s">
        <v>11</v>
      </c>
      <c r="O2093" s="49">
        <v>80.637200000000007</v>
      </c>
      <c r="P2093" s="9">
        <f t="shared" si="196"/>
        <v>9676.4599999999991</v>
      </c>
      <c r="Q2093" s="10">
        <f t="shared" si="199"/>
        <v>7.3003400000000003</v>
      </c>
      <c r="R2093" s="10">
        <f t="shared" si="200"/>
        <v>11.0457</v>
      </c>
      <c r="S2093" s="11">
        <f t="shared" si="201"/>
        <v>1325.48</v>
      </c>
      <c r="T2093" s="10" t="s">
        <v>349</v>
      </c>
      <c r="U2093" t="s">
        <v>327</v>
      </c>
      <c r="V2093" s="58">
        <v>7.1775000000000002</v>
      </c>
      <c r="W2093" s="38">
        <f t="shared" si="197"/>
        <v>1348.1663531870431</v>
      </c>
    </row>
    <row r="2094" spans="1:23" s="15" customFormat="1">
      <c r="A2094" t="s">
        <v>4311</v>
      </c>
      <c r="B2094" s="20">
        <v>45756</v>
      </c>
      <c r="C2094" s="20">
        <v>45741</v>
      </c>
      <c r="D2094" t="s">
        <v>311</v>
      </c>
      <c r="E2094" t="s">
        <v>312</v>
      </c>
      <c r="F2094" s="19"/>
      <c r="G2094" t="s">
        <v>4353</v>
      </c>
      <c r="H2094" t="s">
        <v>3199</v>
      </c>
      <c r="I2094" t="s">
        <v>3406</v>
      </c>
      <c r="J2094" s="8" t="str">
        <f t="shared" si="198"/>
        <v>EXM-</v>
      </c>
      <c r="K2094" t="s">
        <v>10</v>
      </c>
      <c r="L2094" s="46">
        <v>25</v>
      </c>
      <c r="M2094" t="s">
        <v>186</v>
      </c>
      <c r="N2094" t="s">
        <v>11</v>
      </c>
      <c r="O2094" s="49">
        <v>88.495599999999996</v>
      </c>
      <c r="P2094" s="9">
        <f t="shared" si="196"/>
        <v>2212.39</v>
      </c>
      <c r="Q2094" s="10">
        <f t="shared" si="199"/>
        <v>7.3003400000000003</v>
      </c>
      <c r="R2094" s="10">
        <f t="shared" si="200"/>
        <v>12.1221</v>
      </c>
      <c r="S2094" s="11">
        <f t="shared" si="201"/>
        <v>303.05</v>
      </c>
      <c r="T2094" s="10" t="s">
        <v>349</v>
      </c>
      <c r="U2094" t="s">
        <v>315</v>
      </c>
      <c r="V2094" s="58">
        <v>7.1775000000000002</v>
      </c>
      <c r="W2094" s="38">
        <f t="shared" si="197"/>
        <v>308.23963775687912</v>
      </c>
    </row>
    <row r="2095" spans="1:23" s="15" customFormat="1">
      <c r="A2095" t="s">
        <v>4312</v>
      </c>
      <c r="B2095" s="20">
        <v>45775</v>
      </c>
      <c r="C2095" s="20">
        <v>45761</v>
      </c>
      <c r="D2095" t="s">
        <v>311</v>
      </c>
      <c r="E2095" t="s">
        <v>312</v>
      </c>
      <c r="F2095" s="19"/>
      <c r="G2095" t="s">
        <v>4551</v>
      </c>
      <c r="H2095" t="s">
        <v>3199</v>
      </c>
      <c r="I2095" t="s">
        <v>3406</v>
      </c>
      <c r="J2095" s="8" t="str">
        <f t="shared" si="198"/>
        <v>EXM-</v>
      </c>
      <c r="K2095" t="s">
        <v>10</v>
      </c>
      <c r="L2095" s="46">
        <v>25</v>
      </c>
      <c r="M2095" t="s">
        <v>186</v>
      </c>
      <c r="N2095" t="s">
        <v>11</v>
      </c>
      <c r="O2095" s="49">
        <v>88.495599999999996</v>
      </c>
      <c r="P2095" s="9">
        <f t="shared" si="196"/>
        <v>2212.39</v>
      </c>
      <c r="Q2095" s="10">
        <f t="shared" si="199"/>
        <v>7.3003400000000003</v>
      </c>
      <c r="R2095" s="10">
        <f t="shared" si="200"/>
        <v>12.1221</v>
      </c>
      <c r="S2095" s="11">
        <f t="shared" si="201"/>
        <v>303.05</v>
      </c>
      <c r="T2095" s="10" t="s">
        <v>349</v>
      </c>
      <c r="U2095" t="s">
        <v>315</v>
      </c>
      <c r="V2095" s="58">
        <v>7.1775000000000002</v>
      </c>
      <c r="W2095" s="38">
        <f t="shared" si="197"/>
        <v>308.23963775687912</v>
      </c>
    </row>
    <row r="2096" spans="1:23" s="15" customFormat="1">
      <c r="A2096" t="s">
        <v>4313</v>
      </c>
      <c r="B2096" s="20">
        <v>45769</v>
      </c>
      <c r="C2096" s="20">
        <v>45754</v>
      </c>
      <c r="D2096" t="s">
        <v>311</v>
      </c>
      <c r="E2096" t="s">
        <v>312</v>
      </c>
      <c r="F2096" s="19"/>
      <c r="G2096" t="s">
        <v>4552</v>
      </c>
      <c r="H2096" t="s">
        <v>1237</v>
      </c>
      <c r="I2096" t="s">
        <v>1238</v>
      </c>
      <c r="J2096" s="8" t="str">
        <f t="shared" si="198"/>
        <v>EXM-</v>
      </c>
      <c r="K2096" t="s">
        <v>10</v>
      </c>
      <c r="L2096" s="46">
        <v>50</v>
      </c>
      <c r="M2096" t="s">
        <v>186</v>
      </c>
      <c r="N2096" t="s">
        <v>11</v>
      </c>
      <c r="O2096" s="49">
        <v>90.177000000000007</v>
      </c>
      <c r="P2096" s="9">
        <f t="shared" si="196"/>
        <v>4508.8500000000004</v>
      </c>
      <c r="Q2096" s="10">
        <f t="shared" si="199"/>
        <v>7.3003400000000003</v>
      </c>
      <c r="R2096" s="10">
        <f t="shared" si="200"/>
        <v>12.352399999999999</v>
      </c>
      <c r="S2096" s="11">
        <f t="shared" si="201"/>
        <v>617.62</v>
      </c>
      <c r="T2096" s="10" t="s">
        <v>349</v>
      </c>
      <c r="U2096" t="s">
        <v>315</v>
      </c>
      <c r="V2096" s="58">
        <v>7.1775000000000002</v>
      </c>
      <c r="W2096" s="38">
        <f t="shared" si="197"/>
        <v>628.19226750261237</v>
      </c>
    </row>
    <row r="2097" spans="1:23" s="15" customFormat="1">
      <c r="A2097" t="s">
        <v>4314</v>
      </c>
      <c r="B2097" s="20">
        <v>45756</v>
      </c>
      <c r="C2097" s="20">
        <v>45740</v>
      </c>
      <c r="D2097" t="s">
        <v>311</v>
      </c>
      <c r="E2097" t="s">
        <v>312</v>
      </c>
      <c r="F2097" s="19"/>
      <c r="G2097" t="s">
        <v>4553</v>
      </c>
      <c r="H2097" t="s">
        <v>662</v>
      </c>
      <c r="I2097" t="s">
        <v>663</v>
      </c>
      <c r="J2097" s="8" t="str">
        <f t="shared" si="198"/>
        <v>INM-</v>
      </c>
      <c r="K2097" t="s">
        <v>10</v>
      </c>
      <c r="L2097" s="46">
        <v>100</v>
      </c>
      <c r="M2097" t="s">
        <v>186</v>
      </c>
      <c r="N2097" t="s">
        <v>11</v>
      </c>
      <c r="O2097" s="49">
        <v>92.743399999999994</v>
      </c>
      <c r="P2097" s="9">
        <f t="shared" si="196"/>
        <v>9274.34</v>
      </c>
      <c r="Q2097" s="10">
        <f t="shared" si="199"/>
        <v>7.3003400000000003</v>
      </c>
      <c r="R2097" s="10">
        <f t="shared" si="200"/>
        <v>12.704000000000001</v>
      </c>
      <c r="S2097" s="11">
        <f t="shared" si="201"/>
        <v>1270.4000000000001</v>
      </c>
      <c r="T2097" s="10" t="s">
        <v>349</v>
      </c>
      <c r="U2097" t="s">
        <v>327</v>
      </c>
      <c r="V2097" s="58">
        <v>7.1775000000000002</v>
      </c>
      <c r="W2097" s="38">
        <f t="shared" si="197"/>
        <v>1292.1407175200277</v>
      </c>
    </row>
    <row r="2098" spans="1:23" s="15" customFormat="1">
      <c r="A2098" t="s">
        <v>4315</v>
      </c>
      <c r="B2098" s="20">
        <v>45771</v>
      </c>
      <c r="C2098" s="20">
        <v>45754</v>
      </c>
      <c r="D2098" t="s">
        <v>311</v>
      </c>
      <c r="E2098" t="s">
        <v>312</v>
      </c>
      <c r="F2098" s="19"/>
      <c r="G2098" t="s">
        <v>4554</v>
      </c>
      <c r="H2098" t="s">
        <v>662</v>
      </c>
      <c r="I2098" t="s">
        <v>663</v>
      </c>
      <c r="J2098" s="8" t="str">
        <f t="shared" si="198"/>
        <v>INM-</v>
      </c>
      <c r="K2098" t="s">
        <v>10</v>
      </c>
      <c r="L2098" s="46">
        <v>125</v>
      </c>
      <c r="M2098" t="s">
        <v>186</v>
      </c>
      <c r="N2098" t="s">
        <v>11</v>
      </c>
      <c r="O2098" s="49">
        <v>92.743399999999994</v>
      </c>
      <c r="P2098" s="9">
        <f t="shared" si="196"/>
        <v>11592.93</v>
      </c>
      <c r="Q2098" s="10">
        <f t="shared" si="199"/>
        <v>7.3003400000000003</v>
      </c>
      <c r="R2098" s="10">
        <f t="shared" si="200"/>
        <v>12.704000000000001</v>
      </c>
      <c r="S2098" s="11">
        <f t="shared" si="201"/>
        <v>1588</v>
      </c>
      <c r="T2098" s="10" t="s">
        <v>349</v>
      </c>
      <c r="U2098" t="s">
        <v>327</v>
      </c>
      <c r="V2098" s="58">
        <v>7.1775000000000002</v>
      </c>
      <c r="W2098" s="38">
        <f t="shared" si="197"/>
        <v>1615.1758969000348</v>
      </c>
    </row>
    <row r="2099" spans="1:23" s="15" customFormat="1">
      <c r="A2099" t="s">
        <v>4316</v>
      </c>
      <c r="B2099" s="20">
        <v>45777</v>
      </c>
      <c r="C2099" s="20">
        <v>45765</v>
      </c>
      <c r="D2099" t="s">
        <v>311</v>
      </c>
      <c r="E2099" t="s">
        <v>312</v>
      </c>
      <c r="F2099" s="19"/>
      <c r="G2099" t="s">
        <v>4555</v>
      </c>
      <c r="H2099" t="s">
        <v>309</v>
      </c>
      <c r="I2099" t="s">
        <v>310</v>
      </c>
      <c r="J2099" s="8" t="str">
        <f t="shared" si="198"/>
        <v>EXM-</v>
      </c>
      <c r="K2099" t="s">
        <v>10</v>
      </c>
      <c r="L2099" s="46">
        <v>25</v>
      </c>
      <c r="M2099" t="s">
        <v>186</v>
      </c>
      <c r="N2099" t="s">
        <v>11</v>
      </c>
      <c r="O2099" s="49">
        <v>102.0354</v>
      </c>
      <c r="P2099" s="9">
        <f t="shared" si="196"/>
        <v>2550.89</v>
      </c>
      <c r="Q2099" s="10">
        <f t="shared" si="199"/>
        <v>7.3003400000000003</v>
      </c>
      <c r="R2099" s="10">
        <f t="shared" si="200"/>
        <v>13.976800000000001</v>
      </c>
      <c r="S2099" s="11">
        <f t="shared" si="201"/>
        <v>349.42</v>
      </c>
      <c r="T2099" s="10" t="s">
        <v>349</v>
      </c>
      <c r="U2099" t="s">
        <v>315</v>
      </c>
      <c r="V2099" s="58">
        <v>7.1775000000000002</v>
      </c>
      <c r="W2099" s="38">
        <f t="shared" si="197"/>
        <v>355.40020898641586</v>
      </c>
    </row>
    <row r="2100" spans="1:23" s="15" customFormat="1">
      <c r="A2100" t="s">
        <v>4317</v>
      </c>
      <c r="B2100" s="20">
        <v>45754</v>
      </c>
      <c r="C2100" s="20">
        <v>45730</v>
      </c>
      <c r="D2100" t="s">
        <v>2827</v>
      </c>
      <c r="E2100" t="s">
        <v>2828</v>
      </c>
      <c r="F2100" s="19"/>
      <c r="G2100" t="s">
        <v>4550</v>
      </c>
      <c r="H2100" t="s">
        <v>3822</v>
      </c>
      <c r="I2100" t="s">
        <v>3823</v>
      </c>
      <c r="J2100" s="8" t="str">
        <f t="shared" si="198"/>
        <v>INM-</v>
      </c>
      <c r="K2100" t="s">
        <v>10</v>
      </c>
      <c r="L2100" s="46">
        <v>30</v>
      </c>
      <c r="M2100" t="s">
        <v>186</v>
      </c>
      <c r="N2100" t="s">
        <v>11</v>
      </c>
      <c r="O2100" s="49">
        <v>102.9204</v>
      </c>
      <c r="P2100" s="9">
        <f t="shared" si="196"/>
        <v>3087.61</v>
      </c>
      <c r="Q2100" s="10">
        <f t="shared" si="199"/>
        <v>7.3003400000000003</v>
      </c>
      <c r="R2100" s="10">
        <f t="shared" si="200"/>
        <v>14.098000000000001</v>
      </c>
      <c r="S2100" s="11">
        <f t="shared" si="201"/>
        <v>422.94</v>
      </c>
      <c r="T2100" s="10" t="s">
        <v>349</v>
      </c>
      <c r="U2100" t="s">
        <v>327</v>
      </c>
      <c r="V2100" s="58">
        <v>7.1775000000000002</v>
      </c>
      <c r="W2100" s="38">
        <f>IF(N2100="CNY",O2100/V2100*L2100,1)</f>
        <v>430.17931034482757</v>
      </c>
    </row>
    <row r="2101" spans="1:23" s="15" customFormat="1">
      <c r="A2101" t="s">
        <v>4318</v>
      </c>
      <c r="B2101" s="20">
        <v>45754</v>
      </c>
      <c r="C2101" s="20">
        <v>45735</v>
      </c>
      <c r="D2101" t="s">
        <v>311</v>
      </c>
      <c r="E2101" t="s">
        <v>312</v>
      </c>
      <c r="F2101" s="19"/>
      <c r="G2101" t="s">
        <v>4556</v>
      </c>
      <c r="H2101" t="s">
        <v>666</v>
      </c>
      <c r="I2101" t="s">
        <v>667</v>
      </c>
      <c r="J2101" s="8" t="str">
        <f t="shared" si="198"/>
        <v>INM-</v>
      </c>
      <c r="K2101" t="s">
        <v>10</v>
      </c>
      <c r="L2101" s="46">
        <v>25</v>
      </c>
      <c r="M2101" t="s">
        <v>186</v>
      </c>
      <c r="N2101" t="s">
        <v>11</v>
      </c>
      <c r="O2101" s="49">
        <v>105.0442</v>
      </c>
      <c r="P2101" s="9">
        <f t="shared" si="196"/>
        <v>2626.11</v>
      </c>
      <c r="Q2101" s="10">
        <f t="shared" si="199"/>
        <v>7.3003400000000003</v>
      </c>
      <c r="R2101" s="10">
        <f t="shared" si="200"/>
        <v>14.3889</v>
      </c>
      <c r="S2101" s="11">
        <f t="shared" si="201"/>
        <v>359.72</v>
      </c>
      <c r="T2101" s="10" t="s">
        <v>349</v>
      </c>
      <c r="U2101" t="s">
        <v>327</v>
      </c>
      <c r="V2101" s="58">
        <v>7.1775000000000002</v>
      </c>
      <c r="W2101" s="38">
        <f t="shared" si="197"/>
        <v>365.88018112156044</v>
      </c>
    </row>
    <row r="2102" spans="1:23" s="15" customFormat="1">
      <c r="A2102" t="s">
        <v>4319</v>
      </c>
      <c r="B2102" s="20">
        <v>45754</v>
      </c>
      <c r="C2102" s="20">
        <v>45735</v>
      </c>
      <c r="D2102" t="s">
        <v>311</v>
      </c>
      <c r="E2102" t="s">
        <v>312</v>
      </c>
      <c r="F2102" s="19"/>
      <c r="G2102" t="s">
        <v>4556</v>
      </c>
      <c r="H2102" t="s">
        <v>669</v>
      </c>
      <c r="I2102" t="s">
        <v>670</v>
      </c>
      <c r="J2102" s="8" t="str">
        <f t="shared" si="198"/>
        <v>INM-</v>
      </c>
      <c r="K2102" t="s">
        <v>10</v>
      </c>
      <c r="L2102" s="46">
        <v>50</v>
      </c>
      <c r="M2102" t="s">
        <v>186</v>
      </c>
      <c r="N2102" t="s">
        <v>11</v>
      </c>
      <c r="O2102" s="49">
        <v>110.17700000000001</v>
      </c>
      <c r="P2102" s="9">
        <f t="shared" si="196"/>
        <v>5508.85</v>
      </c>
      <c r="Q2102" s="10">
        <f t="shared" si="199"/>
        <v>7.3003400000000003</v>
      </c>
      <c r="R2102" s="10">
        <f t="shared" si="200"/>
        <v>15.092000000000001</v>
      </c>
      <c r="S2102" s="11">
        <f t="shared" si="201"/>
        <v>754.6</v>
      </c>
      <c r="T2102" s="10" t="s">
        <v>349</v>
      </c>
      <c r="U2102" t="s">
        <v>327</v>
      </c>
      <c r="V2102" s="58">
        <v>7.1775000000000002</v>
      </c>
      <c r="W2102" s="38">
        <f t="shared" si="197"/>
        <v>767.51654475792407</v>
      </c>
    </row>
    <row r="2103" spans="1:23" s="15" customFormat="1">
      <c r="A2103" t="s">
        <v>4320</v>
      </c>
      <c r="B2103" s="20">
        <v>45771</v>
      </c>
      <c r="C2103" s="20">
        <v>45754</v>
      </c>
      <c r="D2103" t="s">
        <v>311</v>
      </c>
      <c r="E2103" t="s">
        <v>312</v>
      </c>
      <c r="F2103" s="19"/>
      <c r="G2103" t="s">
        <v>4554</v>
      </c>
      <c r="H2103" t="s">
        <v>669</v>
      </c>
      <c r="I2103" t="s">
        <v>670</v>
      </c>
      <c r="J2103" s="8" t="str">
        <f t="shared" si="198"/>
        <v>INM-</v>
      </c>
      <c r="K2103" t="s">
        <v>10</v>
      </c>
      <c r="L2103" s="46">
        <v>25</v>
      </c>
      <c r="M2103" t="s">
        <v>186</v>
      </c>
      <c r="N2103" t="s">
        <v>11</v>
      </c>
      <c r="O2103" s="49">
        <v>110.17700000000001</v>
      </c>
      <c r="P2103" s="9">
        <f t="shared" si="196"/>
        <v>2754.43</v>
      </c>
      <c r="Q2103" s="10">
        <f t="shared" si="199"/>
        <v>7.3003400000000003</v>
      </c>
      <c r="R2103" s="10">
        <f t="shared" si="200"/>
        <v>15.092000000000001</v>
      </c>
      <c r="S2103" s="11">
        <f t="shared" si="201"/>
        <v>377.3</v>
      </c>
      <c r="T2103" s="10" t="s">
        <v>349</v>
      </c>
      <c r="U2103" t="s">
        <v>327</v>
      </c>
      <c r="V2103" s="58">
        <v>7.1775000000000002</v>
      </c>
      <c r="W2103" s="38">
        <f t="shared" si="197"/>
        <v>383.75827237896203</v>
      </c>
    </row>
    <row r="2104" spans="1:23" s="15" customFormat="1">
      <c r="A2104" t="s">
        <v>4321</v>
      </c>
      <c r="B2104" s="20">
        <v>45776</v>
      </c>
      <c r="C2104" s="20">
        <v>45761</v>
      </c>
      <c r="D2104" t="s">
        <v>311</v>
      </c>
      <c r="E2104" t="s">
        <v>312</v>
      </c>
      <c r="F2104" s="19"/>
      <c r="G2104" t="s">
        <v>4557</v>
      </c>
      <c r="H2104" t="s">
        <v>669</v>
      </c>
      <c r="I2104" t="s">
        <v>670</v>
      </c>
      <c r="J2104" s="8" t="str">
        <f t="shared" si="198"/>
        <v>INM-</v>
      </c>
      <c r="K2104" t="s">
        <v>10</v>
      </c>
      <c r="L2104" s="46">
        <v>50</v>
      </c>
      <c r="M2104" t="s">
        <v>186</v>
      </c>
      <c r="N2104" t="s">
        <v>11</v>
      </c>
      <c r="O2104" s="49">
        <v>110.17700000000001</v>
      </c>
      <c r="P2104" s="9">
        <f t="shared" si="196"/>
        <v>5508.85</v>
      </c>
      <c r="Q2104" s="10">
        <f t="shared" si="199"/>
        <v>7.3003400000000003</v>
      </c>
      <c r="R2104" s="10">
        <f t="shared" si="200"/>
        <v>15.092000000000001</v>
      </c>
      <c r="S2104" s="11">
        <f t="shared" si="201"/>
        <v>754.6</v>
      </c>
      <c r="T2104" s="10" t="s">
        <v>349</v>
      </c>
      <c r="U2104" t="s">
        <v>327</v>
      </c>
      <c r="V2104" s="58">
        <v>7.1775000000000002</v>
      </c>
      <c r="W2104" s="38">
        <f t="shared" si="197"/>
        <v>767.51654475792407</v>
      </c>
    </row>
    <row r="2105" spans="1:23" s="15" customFormat="1">
      <c r="A2105" t="s">
        <v>4322</v>
      </c>
      <c r="B2105" s="20">
        <v>45771</v>
      </c>
      <c r="C2105" s="20">
        <v>45757</v>
      </c>
      <c r="D2105" t="s">
        <v>311</v>
      </c>
      <c r="E2105" t="s">
        <v>312</v>
      </c>
      <c r="F2105" s="19"/>
      <c r="G2105" t="s">
        <v>4558</v>
      </c>
      <c r="H2105" t="s">
        <v>320</v>
      </c>
      <c r="I2105" t="s">
        <v>321</v>
      </c>
      <c r="J2105" s="8" t="str">
        <f t="shared" si="198"/>
        <v>EXM-</v>
      </c>
      <c r="K2105" t="s">
        <v>10</v>
      </c>
      <c r="L2105" s="46">
        <v>150</v>
      </c>
      <c r="M2105" t="s">
        <v>186</v>
      </c>
      <c r="N2105" t="s">
        <v>11</v>
      </c>
      <c r="O2105" s="49">
        <v>110.6195</v>
      </c>
      <c r="P2105" s="9">
        <f t="shared" si="196"/>
        <v>16592.93</v>
      </c>
      <c r="Q2105" s="10">
        <f t="shared" si="199"/>
        <v>7.3003400000000003</v>
      </c>
      <c r="R2105" s="10">
        <f t="shared" si="200"/>
        <v>15.152699999999999</v>
      </c>
      <c r="S2105" s="11">
        <f t="shared" si="201"/>
        <v>2272.91</v>
      </c>
      <c r="T2105" s="10" t="s">
        <v>349</v>
      </c>
      <c r="U2105" t="s">
        <v>315</v>
      </c>
      <c r="V2105" s="58">
        <v>7.1775000000000002</v>
      </c>
      <c r="W2105" s="38">
        <f t="shared" si="197"/>
        <v>2311.7972831765937</v>
      </c>
    </row>
    <row r="2106" spans="1:23" s="15" customFormat="1">
      <c r="A2106" t="s">
        <v>4323</v>
      </c>
      <c r="B2106" s="20">
        <v>45771</v>
      </c>
      <c r="C2106" s="20">
        <v>45757</v>
      </c>
      <c r="D2106" t="s">
        <v>311</v>
      </c>
      <c r="E2106" t="s">
        <v>312</v>
      </c>
      <c r="F2106" s="19"/>
      <c r="G2106" t="s">
        <v>4558</v>
      </c>
      <c r="H2106" t="s">
        <v>1827</v>
      </c>
      <c r="I2106" t="s">
        <v>1828</v>
      </c>
      <c r="J2106" s="8" t="str">
        <f t="shared" si="198"/>
        <v>EXM-</v>
      </c>
      <c r="K2106" t="s">
        <v>10</v>
      </c>
      <c r="L2106" s="46">
        <v>100</v>
      </c>
      <c r="M2106" t="s">
        <v>186</v>
      </c>
      <c r="N2106" t="s">
        <v>11</v>
      </c>
      <c r="O2106" s="49">
        <v>110.6195</v>
      </c>
      <c r="P2106" s="9">
        <f t="shared" si="196"/>
        <v>11061.95</v>
      </c>
      <c r="Q2106" s="10">
        <f t="shared" si="199"/>
        <v>7.3003400000000003</v>
      </c>
      <c r="R2106" s="10">
        <f t="shared" si="200"/>
        <v>15.152699999999999</v>
      </c>
      <c r="S2106" s="11">
        <f t="shared" si="201"/>
        <v>1515.27</v>
      </c>
      <c r="T2106" s="10" t="s">
        <v>349</v>
      </c>
      <c r="U2106" t="s">
        <v>315</v>
      </c>
      <c r="V2106" s="58">
        <v>7.1775000000000002</v>
      </c>
      <c r="W2106" s="38">
        <f t="shared" si="197"/>
        <v>1541.1981887843958</v>
      </c>
    </row>
    <row r="2107" spans="1:23" s="15" customFormat="1">
      <c r="A2107" t="s">
        <v>4324</v>
      </c>
      <c r="B2107" s="20">
        <v>45754</v>
      </c>
      <c r="C2107" s="20">
        <v>45730</v>
      </c>
      <c r="D2107" t="s">
        <v>2827</v>
      </c>
      <c r="E2107" t="s">
        <v>2828</v>
      </c>
      <c r="F2107" s="19"/>
      <c r="G2107" t="s">
        <v>4550</v>
      </c>
      <c r="H2107" t="s">
        <v>3824</v>
      </c>
      <c r="I2107" t="s">
        <v>3825</v>
      </c>
      <c r="J2107" s="8" t="str">
        <f t="shared" si="198"/>
        <v>INM-</v>
      </c>
      <c r="K2107" t="s">
        <v>10</v>
      </c>
      <c r="L2107" s="46">
        <v>150</v>
      </c>
      <c r="M2107" t="s">
        <v>186</v>
      </c>
      <c r="N2107" t="s">
        <v>11</v>
      </c>
      <c r="O2107" s="49">
        <v>116.66370000000001</v>
      </c>
      <c r="P2107" s="9">
        <f t="shared" si="196"/>
        <v>17499.560000000001</v>
      </c>
      <c r="Q2107" s="10">
        <f t="shared" si="199"/>
        <v>7.3003400000000003</v>
      </c>
      <c r="R2107" s="10">
        <f t="shared" si="200"/>
        <v>15.980600000000001</v>
      </c>
      <c r="S2107" s="11">
        <f t="shared" si="201"/>
        <v>2397.09</v>
      </c>
      <c r="T2107" s="10" t="s">
        <v>349</v>
      </c>
      <c r="U2107" t="s">
        <v>327</v>
      </c>
      <c r="V2107" s="58">
        <v>7.1775000000000002</v>
      </c>
      <c r="W2107" s="38">
        <f t="shared" si="197"/>
        <v>2438.1128526645771</v>
      </c>
    </row>
    <row r="2108" spans="1:23" s="15" customFormat="1">
      <c r="A2108" t="s">
        <v>4325</v>
      </c>
      <c r="B2108" s="20">
        <v>45769</v>
      </c>
      <c r="C2108" s="20">
        <v>45750</v>
      </c>
      <c r="D2108" t="s">
        <v>311</v>
      </c>
      <c r="E2108" t="s">
        <v>312</v>
      </c>
      <c r="F2108" s="19"/>
      <c r="G2108" t="s">
        <v>4559</v>
      </c>
      <c r="H2108" t="s">
        <v>316</v>
      </c>
      <c r="I2108" t="s">
        <v>317</v>
      </c>
      <c r="J2108" s="8" t="str">
        <f t="shared" si="198"/>
        <v>EXM-</v>
      </c>
      <c r="K2108" t="s">
        <v>10</v>
      </c>
      <c r="L2108" s="46">
        <v>25</v>
      </c>
      <c r="M2108" t="s">
        <v>186</v>
      </c>
      <c r="N2108" t="s">
        <v>11</v>
      </c>
      <c r="O2108" s="49">
        <v>117.3451</v>
      </c>
      <c r="P2108" s="9">
        <f t="shared" si="196"/>
        <v>2933.63</v>
      </c>
      <c r="Q2108" s="10">
        <f t="shared" si="199"/>
        <v>7.3003400000000003</v>
      </c>
      <c r="R2108" s="10">
        <f t="shared" si="200"/>
        <v>16.073899999999998</v>
      </c>
      <c r="S2108" s="11">
        <f t="shared" si="201"/>
        <v>401.85</v>
      </c>
      <c r="T2108" s="10" t="s">
        <v>349</v>
      </c>
      <c r="U2108" t="s">
        <v>315</v>
      </c>
      <c r="V2108" s="58">
        <v>7.1775000000000002</v>
      </c>
      <c r="W2108" s="38">
        <f t="shared" si="197"/>
        <v>408.72553117380698</v>
      </c>
    </row>
    <row r="2109" spans="1:23" s="15" customFormat="1">
      <c r="A2109" t="s">
        <v>4326</v>
      </c>
      <c r="B2109" s="20">
        <v>45777</v>
      </c>
      <c r="C2109" s="20">
        <v>45765</v>
      </c>
      <c r="D2109" t="s">
        <v>311</v>
      </c>
      <c r="E2109" t="s">
        <v>312</v>
      </c>
      <c r="F2109" s="19"/>
      <c r="G2109" t="s">
        <v>4555</v>
      </c>
      <c r="H2109" t="s">
        <v>316</v>
      </c>
      <c r="I2109" t="s">
        <v>317</v>
      </c>
      <c r="J2109" s="8" t="str">
        <f t="shared" si="198"/>
        <v>EXM-</v>
      </c>
      <c r="K2109" t="s">
        <v>10</v>
      </c>
      <c r="L2109" s="46">
        <v>100</v>
      </c>
      <c r="M2109" t="s">
        <v>186</v>
      </c>
      <c r="N2109" t="s">
        <v>11</v>
      </c>
      <c r="O2109" s="49">
        <v>117.3451</v>
      </c>
      <c r="P2109" s="9">
        <f t="shared" si="196"/>
        <v>11734.51</v>
      </c>
      <c r="Q2109" s="10">
        <f t="shared" si="199"/>
        <v>7.3003400000000003</v>
      </c>
      <c r="R2109" s="10">
        <f t="shared" si="200"/>
        <v>16.073899999999998</v>
      </c>
      <c r="S2109" s="11">
        <f t="shared" si="201"/>
        <v>1607.39</v>
      </c>
      <c r="T2109" s="10" t="s">
        <v>349</v>
      </c>
      <c r="U2109" t="s">
        <v>315</v>
      </c>
      <c r="V2109" s="58">
        <v>7.1775000000000002</v>
      </c>
      <c r="W2109" s="38">
        <f t="shared" si="197"/>
        <v>1634.9021246952279</v>
      </c>
    </row>
    <row r="2110" spans="1:23" s="15" customFormat="1">
      <c r="A2110" t="s">
        <v>4327</v>
      </c>
      <c r="B2110" s="20">
        <v>45754</v>
      </c>
      <c r="C2110" s="20">
        <v>45730</v>
      </c>
      <c r="D2110" t="s">
        <v>2827</v>
      </c>
      <c r="E2110" t="s">
        <v>2828</v>
      </c>
      <c r="F2110" s="19"/>
      <c r="G2110" t="s">
        <v>4550</v>
      </c>
      <c r="H2110" t="s">
        <v>3186</v>
      </c>
      <c r="I2110" t="s">
        <v>3393</v>
      </c>
      <c r="J2110" s="8" t="str">
        <f t="shared" si="198"/>
        <v>INM-</v>
      </c>
      <c r="K2110" t="s">
        <v>10</v>
      </c>
      <c r="L2110" s="46">
        <v>30</v>
      </c>
      <c r="M2110" t="s">
        <v>186</v>
      </c>
      <c r="N2110" t="s">
        <v>11</v>
      </c>
      <c r="O2110" s="49">
        <v>129.82300000000001</v>
      </c>
      <c r="P2110" s="9">
        <f t="shared" si="196"/>
        <v>3894.69</v>
      </c>
      <c r="Q2110" s="10">
        <f t="shared" si="199"/>
        <v>7.3003400000000003</v>
      </c>
      <c r="R2110" s="10">
        <f t="shared" si="200"/>
        <v>17.783100000000001</v>
      </c>
      <c r="S2110" s="11">
        <f t="shared" si="201"/>
        <v>533.49</v>
      </c>
      <c r="T2110" s="10" t="s">
        <v>349</v>
      </c>
      <c r="U2110" t="s">
        <v>327</v>
      </c>
      <c r="V2110" s="58">
        <v>7.1775000000000002</v>
      </c>
      <c r="W2110" s="38">
        <f t="shared" si="197"/>
        <v>542.62486938349014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topLeftCell="A56" workbookViewId="0">
      <selection activeCell="F73" sqref="F73"/>
    </sheetView>
  </sheetViews>
  <sheetFormatPr defaultColWidth="9.109375" defaultRowHeight="13.2"/>
  <cols>
    <col min="1" max="1" width="16.5546875" style="13" customWidth="1"/>
    <col min="2" max="2" width="55" style="13" customWidth="1"/>
    <col min="3" max="3" width="18.88671875" style="13" customWidth="1"/>
    <col min="4" max="16384" width="9.109375" style="13"/>
  </cols>
  <sheetData>
    <row r="1" spans="1:3">
      <c r="A1" s="1" t="s">
        <v>1459</v>
      </c>
      <c r="B1" s="1" t="s">
        <v>1460</v>
      </c>
      <c r="C1" s="1" t="s">
        <v>1473</v>
      </c>
    </row>
    <row r="2" spans="1:3">
      <c r="A2" s="8" t="s">
        <v>1474</v>
      </c>
      <c r="B2" s="8" t="s">
        <v>1475</v>
      </c>
      <c r="C2" s="8" t="s">
        <v>1476</v>
      </c>
    </row>
    <row r="3" spans="1:3">
      <c r="A3" s="8" t="s">
        <v>703</v>
      </c>
      <c r="B3" s="8" t="s">
        <v>1477</v>
      </c>
      <c r="C3" s="8" t="s">
        <v>1478</v>
      </c>
    </row>
    <row r="4" spans="1:3">
      <c r="A4" s="8" t="s">
        <v>1479</v>
      </c>
      <c r="B4" s="8" t="s">
        <v>936</v>
      </c>
      <c r="C4" s="8" t="s">
        <v>1478</v>
      </c>
    </row>
    <row r="5" spans="1:3">
      <c r="A5" s="8" t="s">
        <v>1480</v>
      </c>
      <c r="B5" s="8" t="s">
        <v>83</v>
      </c>
      <c r="C5" s="8" t="s">
        <v>1478</v>
      </c>
    </row>
    <row r="6" spans="1:3">
      <c r="A6" s="14" t="s">
        <v>1481</v>
      </c>
      <c r="B6" s="14" t="s">
        <v>82</v>
      </c>
      <c r="C6" s="8" t="s">
        <v>1478</v>
      </c>
    </row>
    <row r="7" spans="1:3">
      <c r="A7" s="8" t="s">
        <v>1482</v>
      </c>
      <c r="B7" s="8" t="s">
        <v>1483</v>
      </c>
      <c r="C7" s="8" t="s">
        <v>1484</v>
      </c>
    </row>
    <row r="8" spans="1:3">
      <c r="A8" s="8" t="s">
        <v>920</v>
      </c>
      <c r="B8" s="8" t="s">
        <v>921</v>
      </c>
      <c r="C8" s="8" t="s">
        <v>1484</v>
      </c>
    </row>
    <row r="9" spans="1:3">
      <c r="A9" s="8" t="s">
        <v>1485</v>
      </c>
      <c r="B9" s="8" t="s">
        <v>1486</v>
      </c>
      <c r="C9" s="8" t="s">
        <v>1484</v>
      </c>
    </row>
    <row r="10" spans="1:3">
      <c r="A10" s="8" t="s">
        <v>1487</v>
      </c>
      <c r="B10" s="8" t="s">
        <v>1488</v>
      </c>
      <c r="C10" s="8" t="s">
        <v>1484</v>
      </c>
    </row>
    <row r="11" spans="1:3">
      <c r="A11" s="8" t="s">
        <v>1489</v>
      </c>
      <c r="B11" s="8" t="s">
        <v>1490</v>
      </c>
      <c r="C11" s="8" t="s">
        <v>1484</v>
      </c>
    </row>
    <row r="12" spans="1:3">
      <c r="A12" s="8" t="s">
        <v>1491</v>
      </c>
      <c r="B12" s="8" t="s">
        <v>1492</v>
      </c>
      <c r="C12" s="8" t="s">
        <v>1484</v>
      </c>
    </row>
    <row r="13" spans="1:3">
      <c r="A13" s="8" t="s">
        <v>1493</v>
      </c>
      <c r="B13" s="8" t="s">
        <v>1494</v>
      </c>
      <c r="C13" s="8" t="s">
        <v>1484</v>
      </c>
    </row>
    <row r="14" spans="1:3">
      <c r="A14" s="8" t="s">
        <v>1495</v>
      </c>
      <c r="B14" s="8" t="s">
        <v>1496</v>
      </c>
      <c r="C14" s="8" t="s">
        <v>1484</v>
      </c>
    </row>
    <row r="15" spans="1:3">
      <c r="A15" s="8" t="s">
        <v>1497</v>
      </c>
      <c r="B15" s="8" t="s">
        <v>1498</v>
      </c>
      <c r="C15" s="8" t="s">
        <v>1484</v>
      </c>
    </row>
    <row r="16" spans="1:3">
      <c r="A16" s="8" t="s">
        <v>864</v>
      </c>
      <c r="B16" s="8" t="s">
        <v>865</v>
      </c>
      <c r="C16" s="8" t="s">
        <v>1484</v>
      </c>
    </row>
    <row r="17" spans="1:3">
      <c r="A17" s="8" t="s">
        <v>908</v>
      </c>
      <c r="B17" s="8" t="s">
        <v>909</v>
      </c>
      <c r="C17" s="8" t="s">
        <v>1484</v>
      </c>
    </row>
    <row r="18" spans="1:3">
      <c r="A18" s="8" t="s">
        <v>1499</v>
      </c>
      <c r="B18" s="8" t="s">
        <v>1500</v>
      </c>
      <c r="C18" s="8" t="s">
        <v>1484</v>
      </c>
    </row>
    <row r="19" spans="1:3">
      <c r="A19" s="8" t="s">
        <v>880</v>
      </c>
      <c r="B19" s="8" t="s">
        <v>881</v>
      </c>
      <c r="C19" s="8" t="s">
        <v>1484</v>
      </c>
    </row>
    <row r="20" spans="1:3">
      <c r="A20" s="8" t="s">
        <v>1501</v>
      </c>
      <c r="B20" s="8" t="s">
        <v>1502</v>
      </c>
      <c r="C20" s="8" t="s">
        <v>1484</v>
      </c>
    </row>
    <row r="21" spans="1:3">
      <c r="A21" s="8" t="s">
        <v>877</v>
      </c>
      <c r="B21" s="8" t="s">
        <v>878</v>
      </c>
      <c r="C21" s="8" t="s">
        <v>1484</v>
      </c>
    </row>
    <row r="22" spans="1:3">
      <c r="A22" s="8" t="s">
        <v>874</v>
      </c>
      <c r="B22" s="8" t="s">
        <v>875</v>
      </c>
      <c r="C22" s="8" t="s">
        <v>1484</v>
      </c>
    </row>
    <row r="23" spans="1:3">
      <c r="A23" s="8" t="s">
        <v>870</v>
      </c>
      <c r="B23" s="8" t="s">
        <v>871</v>
      </c>
      <c r="C23" s="8" t="s">
        <v>1484</v>
      </c>
    </row>
    <row r="24" spans="1:3">
      <c r="A24" s="8" t="s">
        <v>1503</v>
      </c>
      <c r="B24" s="8" t="s">
        <v>1504</v>
      </c>
      <c r="C24" s="8" t="s">
        <v>1505</v>
      </c>
    </row>
    <row r="25" spans="1:3">
      <c r="A25" s="8" t="s">
        <v>1408</v>
      </c>
      <c r="B25" s="8" t="s">
        <v>1506</v>
      </c>
      <c r="C25" s="8" t="s">
        <v>1505</v>
      </c>
    </row>
    <row r="26" spans="1:3">
      <c r="A26" s="8" t="s">
        <v>763</v>
      </c>
      <c r="B26" s="8" t="s">
        <v>1507</v>
      </c>
      <c r="C26" s="8" t="s">
        <v>1505</v>
      </c>
    </row>
    <row r="27" spans="1:3">
      <c r="A27" s="8" t="s">
        <v>1405</v>
      </c>
      <c r="B27" s="8" t="s">
        <v>1406</v>
      </c>
      <c r="C27" s="8" t="s">
        <v>1505</v>
      </c>
    </row>
    <row r="28" spans="1:3">
      <c r="A28" s="8" t="s">
        <v>1415</v>
      </c>
      <c r="B28" s="8" t="s">
        <v>1416</v>
      </c>
      <c r="C28" s="8" t="s">
        <v>1505</v>
      </c>
    </row>
    <row r="29" spans="1:3">
      <c r="A29" s="8" t="s">
        <v>1508</v>
      </c>
      <c r="B29" s="8" t="s">
        <v>1509</v>
      </c>
      <c r="C29" s="8" t="s">
        <v>1505</v>
      </c>
    </row>
    <row r="30" spans="1:3">
      <c r="A30" s="8" t="s">
        <v>1510</v>
      </c>
      <c r="B30" s="8" t="s">
        <v>1511</v>
      </c>
      <c r="C30" s="8" t="s">
        <v>1512</v>
      </c>
    </row>
    <row r="31" spans="1:3">
      <c r="A31" s="8" t="s">
        <v>1513</v>
      </c>
      <c r="B31" s="8" t="s">
        <v>1514</v>
      </c>
      <c r="C31" s="8" t="s">
        <v>1505</v>
      </c>
    </row>
    <row r="32" spans="1:3">
      <c r="A32" s="8" t="s">
        <v>1515</v>
      </c>
      <c r="B32" s="8" t="s">
        <v>1516</v>
      </c>
      <c r="C32" s="8" t="s">
        <v>1505</v>
      </c>
    </row>
    <row r="33" spans="1:3">
      <c r="A33" s="8" t="s">
        <v>1425</v>
      </c>
      <c r="B33" s="8" t="s">
        <v>1426</v>
      </c>
      <c r="C33" s="8" t="s">
        <v>1505</v>
      </c>
    </row>
    <row r="34" spans="1:3">
      <c r="A34" s="8" t="s">
        <v>1517</v>
      </c>
      <c r="B34" s="8" t="s">
        <v>1518</v>
      </c>
      <c r="C34" s="8" t="s">
        <v>1505</v>
      </c>
    </row>
    <row r="35" spans="1:3">
      <c r="A35" s="8" t="s">
        <v>1419</v>
      </c>
      <c r="B35" s="8" t="s">
        <v>1420</v>
      </c>
      <c r="C35" s="8" t="s">
        <v>1505</v>
      </c>
    </row>
    <row r="36" spans="1:3">
      <c r="A36" s="8" t="s">
        <v>1519</v>
      </c>
      <c r="B36" s="8" t="s">
        <v>1520</v>
      </c>
      <c r="C36" s="8" t="s">
        <v>1505</v>
      </c>
    </row>
    <row r="37" spans="1:3">
      <c r="A37" s="8" t="s">
        <v>1521</v>
      </c>
      <c r="B37" s="8" t="s">
        <v>1522</v>
      </c>
      <c r="C37" s="8" t="s">
        <v>1505</v>
      </c>
    </row>
    <row r="38" spans="1:3">
      <c r="A38" s="14" t="s">
        <v>759</v>
      </c>
      <c r="B38" s="14" t="s">
        <v>760</v>
      </c>
      <c r="C38" s="8" t="s">
        <v>1505</v>
      </c>
    </row>
    <row r="39" spans="1:3">
      <c r="A39" s="14" t="s">
        <v>1523</v>
      </c>
      <c r="B39" s="14" t="s">
        <v>1524</v>
      </c>
      <c r="C39" s="8" t="s">
        <v>1505</v>
      </c>
    </row>
    <row r="40" spans="1:3">
      <c r="A40" s="8" t="s">
        <v>567</v>
      </c>
      <c r="B40" s="8" t="s">
        <v>568</v>
      </c>
      <c r="C40" s="8" t="s">
        <v>1505</v>
      </c>
    </row>
    <row r="41" spans="1:3">
      <c r="A41" s="8" t="s">
        <v>769</v>
      </c>
      <c r="B41" s="8" t="s">
        <v>770</v>
      </c>
      <c r="C41" s="8" t="s">
        <v>1505</v>
      </c>
    </row>
    <row r="42" spans="1:3">
      <c r="A42" s="8" t="s">
        <v>766</v>
      </c>
      <c r="B42" s="8" t="s">
        <v>767</v>
      </c>
      <c r="C42" s="8" t="s">
        <v>1505</v>
      </c>
    </row>
    <row r="43" spans="1:3">
      <c r="A43" s="8" t="s">
        <v>1525</v>
      </c>
      <c r="B43" s="8" t="s">
        <v>1526</v>
      </c>
      <c r="C43" s="8" t="s">
        <v>1527</v>
      </c>
    </row>
    <row r="44" spans="1:3">
      <c r="A44" s="8" t="s">
        <v>1022</v>
      </c>
      <c r="B44" s="8" t="s">
        <v>1023</v>
      </c>
      <c r="C44" s="8" t="s">
        <v>1527</v>
      </c>
    </row>
    <row r="45" spans="1:3">
      <c r="A45" s="8" t="s">
        <v>1528</v>
      </c>
      <c r="B45" s="8" t="s">
        <v>1529</v>
      </c>
      <c r="C45" s="8" t="s">
        <v>1527</v>
      </c>
    </row>
    <row r="46" spans="1:3">
      <c r="A46" s="8" t="s">
        <v>685</v>
      </c>
      <c r="B46" s="8" t="s">
        <v>686</v>
      </c>
      <c r="C46" s="8" t="s">
        <v>1527</v>
      </c>
    </row>
    <row r="47" spans="1:3">
      <c r="A47" s="8" t="s">
        <v>1530</v>
      </c>
      <c r="B47" s="8" t="s">
        <v>1531</v>
      </c>
      <c r="C47" s="8" t="s">
        <v>1527</v>
      </c>
    </row>
    <row r="48" spans="1:3">
      <c r="A48" s="8" t="s">
        <v>678</v>
      </c>
      <c r="B48" s="8" t="s">
        <v>679</v>
      </c>
      <c r="C48" s="8" t="s">
        <v>1527</v>
      </c>
    </row>
    <row r="49" spans="1:3">
      <c r="A49" s="8" t="s">
        <v>1532</v>
      </c>
      <c r="B49" s="8" t="s">
        <v>1533</v>
      </c>
      <c r="C49" s="8" t="s">
        <v>1527</v>
      </c>
    </row>
    <row r="50" spans="1:3">
      <c r="A50" s="8" t="s">
        <v>682</v>
      </c>
      <c r="B50" s="8" t="s">
        <v>683</v>
      </c>
      <c r="C50" s="8" t="s">
        <v>1527</v>
      </c>
    </row>
    <row r="51" spans="1:3">
      <c r="A51" s="8" t="s">
        <v>1534</v>
      </c>
      <c r="B51" s="8" t="s">
        <v>1307</v>
      </c>
      <c r="C51" s="8" t="s">
        <v>1527</v>
      </c>
    </row>
    <row r="52" spans="1:3">
      <c r="A52" s="8" t="s">
        <v>890</v>
      </c>
      <c r="B52" s="8" t="s">
        <v>1535</v>
      </c>
      <c r="C52" s="8" t="s">
        <v>1536</v>
      </c>
    </row>
    <row r="53" spans="1:3">
      <c r="A53" s="8" t="s">
        <v>1537</v>
      </c>
      <c r="B53" s="8" t="s">
        <v>1538</v>
      </c>
      <c r="C53" s="8" t="s">
        <v>1536</v>
      </c>
    </row>
    <row r="54" spans="1:3">
      <c r="A54" s="8" t="s">
        <v>1539</v>
      </c>
      <c r="B54" s="8" t="s">
        <v>1540</v>
      </c>
      <c r="C54" s="8" t="s">
        <v>1536</v>
      </c>
    </row>
    <row r="55" spans="1:3">
      <c r="A55" s="8" t="s">
        <v>1541</v>
      </c>
      <c r="B55" s="8" t="s">
        <v>1542</v>
      </c>
      <c r="C55" s="8" t="s">
        <v>1536</v>
      </c>
    </row>
    <row r="56" spans="1:3">
      <c r="A56" s="14" t="s">
        <v>1543</v>
      </c>
      <c r="B56" s="14" t="s">
        <v>1544</v>
      </c>
      <c r="C56" s="8" t="s">
        <v>1536</v>
      </c>
    </row>
    <row r="57" spans="1:3">
      <c r="A57" s="8" t="s">
        <v>694</v>
      </c>
      <c r="B57" s="8" t="s">
        <v>695</v>
      </c>
      <c r="C57" s="8" t="s">
        <v>1536</v>
      </c>
    </row>
    <row r="58" spans="1:3">
      <c r="A58" s="8" t="s">
        <v>700</v>
      </c>
      <c r="B58" s="8" t="s">
        <v>701</v>
      </c>
      <c r="C58" s="8" t="s">
        <v>1536</v>
      </c>
    </row>
    <row r="59" spans="1:3">
      <c r="A59" s="8" t="s">
        <v>81</v>
      </c>
      <c r="B59" s="8" t="s">
        <v>1545</v>
      </c>
      <c r="C59" s="8" t="s">
        <v>1478</v>
      </c>
    </row>
    <row r="60" spans="1:3">
      <c r="A60" s="8" t="s">
        <v>1546</v>
      </c>
      <c r="B60" s="8" t="s">
        <v>1547</v>
      </c>
      <c r="C60" s="8" t="s">
        <v>1484</v>
      </c>
    </row>
    <row r="61" spans="1:3">
      <c r="A61" s="8" t="s">
        <v>79</v>
      </c>
      <c r="B61" s="8" t="s">
        <v>80</v>
      </c>
      <c r="C61" s="8" t="s">
        <v>1478</v>
      </c>
    </row>
    <row r="62" spans="1:3">
      <c r="A62" s="8" t="s">
        <v>34</v>
      </c>
      <c r="B62" s="8" t="s">
        <v>35</v>
      </c>
      <c r="C62" s="8" t="s">
        <v>1484</v>
      </c>
    </row>
    <row r="63" spans="1:3">
      <c r="A63" s="8" t="s">
        <v>1306</v>
      </c>
      <c r="B63" s="8" t="s">
        <v>1307</v>
      </c>
      <c r="C63" s="8" t="s">
        <v>1527</v>
      </c>
    </row>
    <row r="64" spans="1:3">
      <c r="A64" s="8" t="s">
        <v>1548</v>
      </c>
      <c r="B64" s="8" t="s">
        <v>1549</v>
      </c>
      <c r="C64" s="8" t="s">
        <v>1527</v>
      </c>
    </row>
    <row r="65" spans="1:3">
      <c r="A65" s="8" t="s">
        <v>1550</v>
      </c>
      <c r="B65" s="8" t="s">
        <v>1533</v>
      </c>
      <c r="C65" s="8" t="s">
        <v>1527</v>
      </c>
    </row>
    <row r="66" spans="1:3">
      <c r="A66" s="8" t="s">
        <v>916</v>
      </c>
      <c r="B66" s="8" t="s">
        <v>917</v>
      </c>
      <c r="C66" s="8" t="s">
        <v>1484</v>
      </c>
    </row>
    <row r="67" spans="1:3">
      <c r="A67" s="8" t="s">
        <v>1551</v>
      </c>
      <c r="B67" s="8" t="s">
        <v>1552</v>
      </c>
      <c r="C67" s="8" t="s">
        <v>1484</v>
      </c>
    </row>
    <row r="68" spans="1:3">
      <c r="A68" s="8" t="s">
        <v>1553</v>
      </c>
      <c r="B68" s="8" t="s">
        <v>1554</v>
      </c>
      <c r="C68" s="8" t="s">
        <v>1476</v>
      </c>
    </row>
    <row r="69" spans="1:3">
      <c r="A69" s="8" t="s">
        <v>1422</v>
      </c>
      <c r="B69" s="8" t="s">
        <v>1423</v>
      </c>
      <c r="C69" s="8" t="s">
        <v>1505</v>
      </c>
    </row>
    <row r="70" spans="1:3">
      <c r="A70" s="8" t="s">
        <v>1555</v>
      </c>
      <c r="B70" s="8" t="s">
        <v>1556</v>
      </c>
      <c r="C70" s="8" t="s">
        <v>1505</v>
      </c>
    </row>
    <row r="71" spans="1:3">
      <c r="A71" s="8" t="s">
        <v>1557</v>
      </c>
      <c r="B71" s="8" t="s">
        <v>1558</v>
      </c>
      <c r="C71" s="8" t="s">
        <v>1478</v>
      </c>
    </row>
    <row r="72" spans="1:3">
      <c r="A72" s="8" t="s">
        <v>73</v>
      </c>
      <c r="B72" s="8" t="s">
        <v>74</v>
      </c>
      <c r="C72" s="8" t="s">
        <v>1478</v>
      </c>
    </row>
    <row r="73" spans="1:3">
      <c r="A73" s="8" t="s">
        <v>71</v>
      </c>
      <c r="B73" s="8" t="s">
        <v>72</v>
      </c>
      <c r="C73" s="8" t="s">
        <v>1478</v>
      </c>
    </row>
    <row r="74" spans="1:3">
      <c r="A74" s="8" t="s">
        <v>75</v>
      </c>
      <c r="B74" s="8" t="s">
        <v>1559</v>
      </c>
      <c r="C74" s="8" t="s">
        <v>1478</v>
      </c>
    </row>
    <row r="75" spans="1:3">
      <c r="A75" s="15" t="s">
        <v>688</v>
      </c>
      <c r="B75" s="15" t="s">
        <v>689</v>
      </c>
      <c r="C75" s="8" t="s">
        <v>1527</v>
      </c>
    </row>
    <row r="76" spans="1:3">
      <c r="A76" s="15" t="s">
        <v>688</v>
      </c>
      <c r="B76" s="15" t="s">
        <v>689</v>
      </c>
      <c r="C76" s="8" t="s">
        <v>1527</v>
      </c>
    </row>
    <row r="77" spans="1:3">
      <c r="A77" s="15" t="s">
        <v>1026</v>
      </c>
      <c r="B77" s="15" t="s">
        <v>1027</v>
      </c>
      <c r="C77" s="8" t="s">
        <v>1527</v>
      </c>
    </row>
    <row r="78" spans="1:3">
      <c r="A78" s="15" t="s">
        <v>912</v>
      </c>
      <c r="B78" s="15" t="s">
        <v>913</v>
      </c>
      <c r="C78" s="8" t="s">
        <v>1484</v>
      </c>
    </row>
    <row r="79" spans="1:3">
      <c r="A79" s="15" t="s">
        <v>887</v>
      </c>
      <c r="B79" s="15" t="s">
        <v>888</v>
      </c>
      <c r="C79" s="8" t="s">
        <v>1484</v>
      </c>
    </row>
    <row r="80" spans="1:3">
      <c r="A80" s="15" t="s">
        <v>883</v>
      </c>
      <c r="B80" s="15" t="s">
        <v>884</v>
      </c>
      <c r="C80" s="8" t="s">
        <v>1484</v>
      </c>
    </row>
    <row r="81" spans="1:3">
      <c r="A81" t="s">
        <v>3068</v>
      </c>
      <c r="B81" t="s">
        <v>3285</v>
      </c>
      <c r="C81" s="8" t="s">
        <v>1527</v>
      </c>
    </row>
    <row r="82" spans="1:3">
      <c r="A82" t="s">
        <v>3068</v>
      </c>
      <c r="B82" t="s">
        <v>3285</v>
      </c>
      <c r="C82" s="8" t="s">
        <v>1527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1"/>
  <sheetViews>
    <sheetView workbookViewId="0">
      <selection sqref="A1:M71"/>
    </sheetView>
  </sheetViews>
  <sheetFormatPr defaultRowHeight="13.2"/>
  <cols>
    <col min="1" max="1" width="10.5546875" customWidth="1"/>
    <col min="2" max="2" width="16.109375" customWidth="1"/>
    <col min="3" max="3" width="20.6640625" customWidth="1"/>
    <col min="4" max="4" width="10.44140625" customWidth="1"/>
    <col min="7" max="7" width="14.5546875" customWidth="1"/>
    <col min="11" max="11" width="19.6640625" customWidth="1"/>
    <col min="12" max="12" width="24.33203125" customWidth="1"/>
    <col min="13" max="13" width="25.33203125" customWidth="1"/>
  </cols>
  <sheetData>
    <row r="1" spans="1:13">
      <c r="A1" t="s">
        <v>3488</v>
      </c>
      <c r="B1" t="s">
        <v>3489</v>
      </c>
      <c r="C1" t="s">
        <v>1457</v>
      </c>
      <c r="D1" t="s">
        <v>1458</v>
      </c>
      <c r="E1" t="s">
        <v>1459</v>
      </c>
      <c r="F1" t="s">
        <v>1460</v>
      </c>
      <c r="G1" t="s">
        <v>3490</v>
      </c>
      <c r="H1" t="s">
        <v>1462</v>
      </c>
      <c r="I1" t="s">
        <v>1463</v>
      </c>
      <c r="J1" t="s">
        <v>1464</v>
      </c>
      <c r="K1" t="s">
        <v>1465</v>
      </c>
      <c r="L1" t="s">
        <v>1466</v>
      </c>
      <c r="M1" t="s">
        <v>1467</v>
      </c>
    </row>
    <row r="2" spans="1:13">
      <c r="A2" t="s">
        <v>149</v>
      </c>
      <c r="B2" t="s">
        <v>150</v>
      </c>
      <c r="D2" t="s">
        <v>2220</v>
      </c>
      <c r="E2" t="s">
        <v>345</v>
      </c>
      <c r="F2" t="s">
        <v>346</v>
      </c>
      <c r="G2" t="s">
        <v>3491</v>
      </c>
      <c r="H2" t="s">
        <v>98</v>
      </c>
      <c r="I2">
        <v>2980</v>
      </c>
      <c r="J2" t="s">
        <v>1472</v>
      </c>
      <c r="K2" t="s">
        <v>11</v>
      </c>
      <c r="L2">
        <v>7.4157999999999999</v>
      </c>
      <c r="M2">
        <v>22099.08</v>
      </c>
    </row>
    <row r="3" spans="1:13">
      <c r="A3" t="s">
        <v>149</v>
      </c>
      <c r="B3" t="s">
        <v>150</v>
      </c>
      <c r="D3" t="s">
        <v>2221</v>
      </c>
      <c r="E3" t="s">
        <v>345</v>
      </c>
      <c r="F3" t="s">
        <v>346</v>
      </c>
      <c r="G3" t="s">
        <v>3491</v>
      </c>
      <c r="H3" t="s">
        <v>98</v>
      </c>
      <c r="I3">
        <v>1740</v>
      </c>
      <c r="J3" t="s">
        <v>1472</v>
      </c>
      <c r="K3" t="s">
        <v>11</v>
      </c>
      <c r="L3">
        <v>7.4157999999999999</v>
      </c>
      <c r="M3">
        <v>12903.49</v>
      </c>
    </row>
    <row r="4" spans="1:13">
      <c r="A4" t="s">
        <v>149</v>
      </c>
      <c r="B4" t="s">
        <v>150</v>
      </c>
      <c r="D4" t="s">
        <v>2221</v>
      </c>
      <c r="E4" t="s">
        <v>345</v>
      </c>
      <c r="F4" t="s">
        <v>346</v>
      </c>
      <c r="G4" t="s">
        <v>3491</v>
      </c>
      <c r="H4" t="s">
        <v>98</v>
      </c>
      <c r="I4">
        <v>4020</v>
      </c>
      <c r="J4" t="s">
        <v>1472</v>
      </c>
      <c r="K4" t="s">
        <v>11</v>
      </c>
      <c r="L4">
        <v>7.4157999999999999</v>
      </c>
      <c r="M4">
        <v>29811.52</v>
      </c>
    </row>
    <row r="5" spans="1:13">
      <c r="A5" t="s">
        <v>149</v>
      </c>
      <c r="B5" t="s">
        <v>150</v>
      </c>
      <c r="D5" t="s">
        <v>2222</v>
      </c>
      <c r="E5" t="s">
        <v>147</v>
      </c>
      <c r="F5" t="s">
        <v>148</v>
      </c>
      <c r="G5" t="s">
        <v>3491</v>
      </c>
      <c r="H5" t="s">
        <v>98</v>
      </c>
      <c r="I5">
        <v>2220</v>
      </c>
      <c r="J5" t="s">
        <v>1472</v>
      </c>
      <c r="K5" t="s">
        <v>11</v>
      </c>
      <c r="L5">
        <v>8.6722999999999999</v>
      </c>
      <c r="M5">
        <v>19252.509999999998</v>
      </c>
    </row>
    <row r="6" spans="1:13">
      <c r="A6" t="s">
        <v>149</v>
      </c>
      <c r="B6" t="s">
        <v>150</v>
      </c>
      <c r="D6" t="s">
        <v>2222</v>
      </c>
      <c r="E6" t="s">
        <v>147</v>
      </c>
      <c r="F6" t="s">
        <v>148</v>
      </c>
      <c r="G6" t="s">
        <v>3491</v>
      </c>
      <c r="H6" t="s">
        <v>98</v>
      </c>
      <c r="I6">
        <v>1000</v>
      </c>
      <c r="J6" t="s">
        <v>1472</v>
      </c>
      <c r="K6" t="s">
        <v>11</v>
      </c>
      <c r="L6">
        <v>8.6722999999999999</v>
      </c>
      <c r="M6">
        <v>8672.2999999999993</v>
      </c>
    </row>
    <row r="7" spans="1:13">
      <c r="A7" t="s">
        <v>149</v>
      </c>
      <c r="B7" t="s">
        <v>150</v>
      </c>
      <c r="D7" t="s">
        <v>2222</v>
      </c>
      <c r="E7" t="s">
        <v>345</v>
      </c>
      <c r="F7" t="s">
        <v>346</v>
      </c>
      <c r="G7" t="s">
        <v>3491</v>
      </c>
      <c r="H7" t="s">
        <v>98</v>
      </c>
      <c r="I7">
        <v>1460</v>
      </c>
      <c r="J7" t="s">
        <v>1472</v>
      </c>
      <c r="K7" t="s">
        <v>11</v>
      </c>
      <c r="L7">
        <v>7.4157999999999999</v>
      </c>
      <c r="M7">
        <v>10827.07</v>
      </c>
    </row>
    <row r="8" spans="1:13">
      <c r="A8" t="s">
        <v>149</v>
      </c>
      <c r="B8" t="s">
        <v>150</v>
      </c>
      <c r="D8" t="s">
        <v>2215</v>
      </c>
      <c r="E8" t="s">
        <v>147</v>
      </c>
      <c r="F8" t="s">
        <v>148</v>
      </c>
      <c r="G8" t="s">
        <v>3491</v>
      </c>
      <c r="H8" t="s">
        <v>98</v>
      </c>
      <c r="I8">
        <v>280</v>
      </c>
      <c r="J8" t="s">
        <v>1472</v>
      </c>
      <c r="K8" t="s">
        <v>11</v>
      </c>
      <c r="L8">
        <v>8.6722999999999999</v>
      </c>
      <c r="M8">
        <v>2428.2399999999998</v>
      </c>
    </row>
    <row r="9" spans="1:13">
      <c r="A9" t="s">
        <v>149</v>
      </c>
      <c r="B9" t="s">
        <v>150</v>
      </c>
      <c r="D9" t="s">
        <v>2215</v>
      </c>
      <c r="E9" t="s">
        <v>274</v>
      </c>
      <c r="F9" t="s">
        <v>275</v>
      </c>
      <c r="G9" t="s">
        <v>3491</v>
      </c>
      <c r="H9" t="s">
        <v>98</v>
      </c>
      <c r="I9">
        <v>4000</v>
      </c>
      <c r="J9" t="s">
        <v>1472</v>
      </c>
      <c r="K9" t="s">
        <v>11</v>
      </c>
      <c r="L9">
        <v>5.7253999999999996</v>
      </c>
      <c r="M9">
        <v>22901.599999999999</v>
      </c>
    </row>
    <row r="10" spans="1:13">
      <c r="A10" t="s">
        <v>149</v>
      </c>
      <c r="B10" t="s">
        <v>150</v>
      </c>
      <c r="D10" t="s">
        <v>2215</v>
      </c>
      <c r="E10" t="s">
        <v>274</v>
      </c>
      <c r="F10" t="s">
        <v>275</v>
      </c>
      <c r="G10" t="s">
        <v>3491</v>
      </c>
      <c r="H10" t="s">
        <v>98</v>
      </c>
      <c r="I10">
        <v>5000</v>
      </c>
      <c r="J10" t="s">
        <v>1472</v>
      </c>
      <c r="K10" t="s">
        <v>11</v>
      </c>
      <c r="L10">
        <v>5.7253999999999996</v>
      </c>
      <c r="M10">
        <v>28627</v>
      </c>
    </row>
    <row r="11" spans="1:13">
      <c r="A11" t="s">
        <v>149</v>
      </c>
      <c r="B11" t="s">
        <v>150</v>
      </c>
      <c r="D11" t="s">
        <v>152</v>
      </c>
      <c r="E11" t="s">
        <v>147</v>
      </c>
      <c r="F11" t="s">
        <v>148</v>
      </c>
      <c r="G11" t="s">
        <v>3491</v>
      </c>
      <c r="H11" t="s">
        <v>98</v>
      </c>
      <c r="I11">
        <v>910</v>
      </c>
      <c r="J11" t="s">
        <v>1472</v>
      </c>
      <c r="K11" t="s">
        <v>11</v>
      </c>
      <c r="L11">
        <v>8.6722999999999999</v>
      </c>
      <c r="M11">
        <v>7891.79</v>
      </c>
    </row>
    <row r="12" spans="1:13">
      <c r="A12" t="s">
        <v>149</v>
      </c>
      <c r="B12" t="s">
        <v>150</v>
      </c>
      <c r="D12" t="s">
        <v>273</v>
      </c>
      <c r="E12" t="s">
        <v>147</v>
      </c>
      <c r="F12" t="s">
        <v>148</v>
      </c>
      <c r="G12" t="s">
        <v>3491</v>
      </c>
      <c r="H12" t="s">
        <v>98</v>
      </c>
      <c r="I12">
        <v>2090</v>
      </c>
      <c r="J12" t="s">
        <v>1472</v>
      </c>
      <c r="K12" t="s">
        <v>11</v>
      </c>
      <c r="L12">
        <v>8.6722999999999999</v>
      </c>
      <c r="M12">
        <v>18125.11</v>
      </c>
    </row>
    <row r="13" spans="1:13">
      <c r="A13" t="s">
        <v>149</v>
      </c>
      <c r="B13" t="s">
        <v>150</v>
      </c>
      <c r="D13" t="s">
        <v>273</v>
      </c>
      <c r="E13" t="s">
        <v>274</v>
      </c>
      <c r="F13" t="s">
        <v>275</v>
      </c>
      <c r="G13" t="s">
        <v>3491</v>
      </c>
      <c r="H13" t="s">
        <v>98</v>
      </c>
      <c r="I13">
        <v>4500</v>
      </c>
      <c r="J13" t="s">
        <v>1472</v>
      </c>
      <c r="K13" t="s">
        <v>11</v>
      </c>
      <c r="L13">
        <v>5.7253999999999996</v>
      </c>
      <c r="M13">
        <v>25764.3</v>
      </c>
    </row>
    <row r="14" spans="1:13">
      <c r="A14" t="s">
        <v>149</v>
      </c>
      <c r="B14" t="s">
        <v>150</v>
      </c>
      <c r="D14" t="s">
        <v>273</v>
      </c>
      <c r="E14" t="s">
        <v>274</v>
      </c>
      <c r="F14" t="s">
        <v>275</v>
      </c>
      <c r="G14" t="s">
        <v>3491</v>
      </c>
      <c r="H14" t="s">
        <v>98</v>
      </c>
      <c r="I14">
        <v>500</v>
      </c>
      <c r="J14" t="s">
        <v>1472</v>
      </c>
      <c r="K14" t="s">
        <v>11</v>
      </c>
      <c r="L14">
        <v>5.7253999999999996</v>
      </c>
      <c r="M14">
        <v>2862.7</v>
      </c>
    </row>
    <row r="15" spans="1:13">
      <c r="A15" t="s">
        <v>149</v>
      </c>
      <c r="B15" t="s">
        <v>150</v>
      </c>
      <c r="D15" t="s">
        <v>348</v>
      </c>
      <c r="E15" t="s">
        <v>345</v>
      </c>
      <c r="F15" t="s">
        <v>346</v>
      </c>
      <c r="G15" t="s">
        <v>3491</v>
      </c>
      <c r="H15" t="s">
        <v>98</v>
      </c>
      <c r="I15">
        <v>2400</v>
      </c>
      <c r="J15" t="s">
        <v>1472</v>
      </c>
      <c r="K15" t="s">
        <v>11</v>
      </c>
      <c r="L15">
        <v>7.4157999999999999</v>
      </c>
      <c r="M15">
        <v>17797.919999999998</v>
      </c>
    </row>
    <row r="16" spans="1:13">
      <c r="A16" t="s">
        <v>149</v>
      </c>
      <c r="B16" t="s">
        <v>150</v>
      </c>
      <c r="D16" t="s">
        <v>348</v>
      </c>
      <c r="E16" t="s">
        <v>274</v>
      </c>
      <c r="F16" t="s">
        <v>275</v>
      </c>
      <c r="G16" t="s">
        <v>3491</v>
      </c>
      <c r="H16" t="s">
        <v>98</v>
      </c>
      <c r="I16">
        <v>4000</v>
      </c>
      <c r="J16" t="s">
        <v>1472</v>
      </c>
      <c r="K16" t="s">
        <v>11</v>
      </c>
      <c r="L16">
        <v>5.7253999999999996</v>
      </c>
      <c r="M16">
        <v>22901.599999999999</v>
      </c>
    </row>
    <row r="17" spans="1:13">
      <c r="A17" t="s">
        <v>149</v>
      </c>
      <c r="B17" t="s">
        <v>150</v>
      </c>
      <c r="D17" t="s">
        <v>779</v>
      </c>
      <c r="E17" t="s">
        <v>345</v>
      </c>
      <c r="F17" t="s">
        <v>346</v>
      </c>
      <c r="G17" t="s">
        <v>3491</v>
      </c>
      <c r="H17" t="s">
        <v>98</v>
      </c>
      <c r="I17">
        <v>680</v>
      </c>
      <c r="J17" t="s">
        <v>1472</v>
      </c>
      <c r="K17" t="s">
        <v>11</v>
      </c>
      <c r="L17">
        <v>7.4157999999999999</v>
      </c>
      <c r="M17">
        <v>5042.74</v>
      </c>
    </row>
    <row r="18" spans="1:13">
      <c r="A18" t="s">
        <v>149</v>
      </c>
      <c r="B18" t="s">
        <v>150</v>
      </c>
      <c r="D18" t="s">
        <v>757</v>
      </c>
      <c r="E18" t="s">
        <v>345</v>
      </c>
      <c r="F18" t="s">
        <v>346</v>
      </c>
      <c r="G18" t="s">
        <v>3491</v>
      </c>
      <c r="H18" t="s">
        <v>98</v>
      </c>
      <c r="I18">
        <v>1920</v>
      </c>
      <c r="J18" t="s">
        <v>1472</v>
      </c>
      <c r="K18" t="s">
        <v>11</v>
      </c>
      <c r="L18">
        <v>7.4157999999999999</v>
      </c>
      <c r="M18">
        <v>14238.34</v>
      </c>
    </row>
    <row r="19" spans="1:13">
      <c r="A19" t="s">
        <v>149</v>
      </c>
      <c r="B19" t="s">
        <v>150</v>
      </c>
      <c r="D19" t="s">
        <v>779</v>
      </c>
      <c r="E19" t="s">
        <v>345</v>
      </c>
      <c r="F19" t="s">
        <v>346</v>
      </c>
      <c r="G19" t="s">
        <v>3491</v>
      </c>
      <c r="H19" t="s">
        <v>98</v>
      </c>
      <c r="I19">
        <v>4520</v>
      </c>
      <c r="J19" t="s">
        <v>1472</v>
      </c>
      <c r="K19" t="s">
        <v>11</v>
      </c>
      <c r="L19">
        <v>7.4157999999999999</v>
      </c>
      <c r="M19">
        <v>33519.42</v>
      </c>
    </row>
    <row r="20" spans="1:13">
      <c r="A20" t="s">
        <v>149</v>
      </c>
      <c r="B20" t="s">
        <v>150</v>
      </c>
      <c r="D20" t="s">
        <v>1197</v>
      </c>
      <c r="E20" t="s">
        <v>147</v>
      </c>
      <c r="F20" t="s">
        <v>148</v>
      </c>
      <c r="G20" t="s">
        <v>3491</v>
      </c>
      <c r="H20" t="s">
        <v>98</v>
      </c>
      <c r="I20">
        <v>1830</v>
      </c>
      <c r="J20" t="s">
        <v>1472</v>
      </c>
      <c r="K20" t="s">
        <v>11</v>
      </c>
      <c r="L20">
        <v>8.6722999999999999</v>
      </c>
      <c r="M20">
        <v>15870.31</v>
      </c>
    </row>
    <row r="21" spans="1:13">
      <c r="A21" t="s">
        <v>149</v>
      </c>
      <c r="B21" t="s">
        <v>150</v>
      </c>
      <c r="D21" t="s">
        <v>1197</v>
      </c>
      <c r="E21" t="s">
        <v>345</v>
      </c>
      <c r="F21" t="s">
        <v>346</v>
      </c>
      <c r="G21" t="s">
        <v>3491</v>
      </c>
      <c r="H21" t="s">
        <v>98</v>
      </c>
      <c r="I21">
        <v>480</v>
      </c>
      <c r="J21" t="s">
        <v>1472</v>
      </c>
      <c r="K21" t="s">
        <v>11</v>
      </c>
      <c r="L21">
        <v>7.4157999999999999</v>
      </c>
      <c r="M21">
        <v>3559.58</v>
      </c>
    </row>
    <row r="22" spans="1:13">
      <c r="A22" t="s">
        <v>149</v>
      </c>
      <c r="B22" t="s">
        <v>150</v>
      </c>
      <c r="D22" t="s">
        <v>1313</v>
      </c>
      <c r="E22" t="s">
        <v>147</v>
      </c>
      <c r="F22" t="s">
        <v>148</v>
      </c>
      <c r="G22" t="s">
        <v>3491</v>
      </c>
      <c r="H22" t="s">
        <v>98</v>
      </c>
      <c r="I22">
        <v>1170</v>
      </c>
      <c r="J22" t="s">
        <v>1472</v>
      </c>
      <c r="K22" t="s">
        <v>11</v>
      </c>
      <c r="L22">
        <v>8.6722999999999999</v>
      </c>
      <c r="M22">
        <v>10146.59</v>
      </c>
    </row>
    <row r="23" spans="1:13">
      <c r="A23" t="s">
        <v>149</v>
      </c>
      <c r="B23" t="s">
        <v>150</v>
      </c>
      <c r="D23" t="s">
        <v>1293</v>
      </c>
      <c r="E23" t="s">
        <v>147</v>
      </c>
      <c r="F23" t="s">
        <v>148</v>
      </c>
      <c r="G23" t="s">
        <v>3491</v>
      </c>
      <c r="H23" t="s">
        <v>98</v>
      </c>
      <c r="I23">
        <v>-1170</v>
      </c>
      <c r="J23" t="s">
        <v>1472</v>
      </c>
      <c r="K23" t="s">
        <v>11</v>
      </c>
      <c r="L23">
        <v>8.6722999999999999</v>
      </c>
      <c r="M23">
        <v>-10146.59</v>
      </c>
    </row>
    <row r="24" spans="1:13">
      <c r="A24" t="s">
        <v>149</v>
      </c>
      <c r="B24" t="s">
        <v>150</v>
      </c>
      <c r="D24" t="s">
        <v>1292</v>
      </c>
      <c r="E24" t="s">
        <v>147</v>
      </c>
      <c r="F24" t="s">
        <v>148</v>
      </c>
      <c r="G24" t="s">
        <v>3491</v>
      </c>
      <c r="H24" t="s">
        <v>98</v>
      </c>
      <c r="I24">
        <v>1170</v>
      </c>
      <c r="J24" t="s">
        <v>1472</v>
      </c>
      <c r="K24" t="s">
        <v>11</v>
      </c>
      <c r="L24">
        <v>8.6722999999999999</v>
      </c>
      <c r="M24">
        <v>10146.59</v>
      </c>
    </row>
    <row r="25" spans="1:13">
      <c r="A25" t="s">
        <v>149</v>
      </c>
      <c r="B25" t="s">
        <v>150</v>
      </c>
      <c r="D25" t="s">
        <v>2995</v>
      </c>
      <c r="E25" t="s">
        <v>3173</v>
      </c>
      <c r="F25" t="s">
        <v>3380</v>
      </c>
      <c r="G25" t="s">
        <v>1478</v>
      </c>
      <c r="H25" t="s">
        <v>10</v>
      </c>
      <c r="I25">
        <v>1030</v>
      </c>
      <c r="J25" t="s">
        <v>1472</v>
      </c>
      <c r="K25" t="s">
        <v>11</v>
      </c>
      <c r="L25">
        <v>7.3867000000000003</v>
      </c>
      <c r="M25">
        <v>7608.3</v>
      </c>
    </row>
    <row r="26" spans="1:13">
      <c r="A26" t="s">
        <v>149</v>
      </c>
      <c r="B26" t="s">
        <v>150</v>
      </c>
      <c r="D26" t="s">
        <v>2995</v>
      </c>
      <c r="E26" t="s">
        <v>1309</v>
      </c>
      <c r="F26" t="s">
        <v>1310</v>
      </c>
      <c r="G26" t="s">
        <v>1478</v>
      </c>
      <c r="H26" t="s">
        <v>10</v>
      </c>
      <c r="I26">
        <v>1200</v>
      </c>
      <c r="J26" t="s">
        <v>1472</v>
      </c>
      <c r="K26" t="s">
        <v>11</v>
      </c>
      <c r="L26">
        <v>6.1177000000000001</v>
      </c>
      <c r="M26">
        <v>7341.24</v>
      </c>
    </row>
    <row r="27" spans="1:13">
      <c r="A27" t="s">
        <v>149</v>
      </c>
      <c r="B27" t="s">
        <v>150</v>
      </c>
      <c r="D27" t="s">
        <v>2916</v>
      </c>
      <c r="E27" t="s">
        <v>3092</v>
      </c>
      <c r="F27" t="s">
        <v>3308</v>
      </c>
      <c r="G27" t="s">
        <v>1478</v>
      </c>
      <c r="H27" t="s">
        <v>10</v>
      </c>
      <c r="I27">
        <v>1020</v>
      </c>
      <c r="J27" t="s">
        <v>1472</v>
      </c>
      <c r="K27" t="s">
        <v>11</v>
      </c>
      <c r="L27">
        <v>5.4089</v>
      </c>
      <c r="M27">
        <v>5517.08</v>
      </c>
    </row>
    <row r="28" spans="1:13">
      <c r="A28" t="s">
        <v>149</v>
      </c>
      <c r="B28" t="s">
        <v>150</v>
      </c>
      <c r="D28" t="s">
        <v>2995</v>
      </c>
      <c r="E28" t="s">
        <v>3211</v>
      </c>
      <c r="F28" t="s">
        <v>3418</v>
      </c>
      <c r="G28" t="s">
        <v>1478</v>
      </c>
      <c r="H28" t="s">
        <v>10</v>
      </c>
      <c r="I28">
        <v>1010</v>
      </c>
      <c r="J28" t="s">
        <v>1472</v>
      </c>
      <c r="K28" t="s">
        <v>11</v>
      </c>
      <c r="L28">
        <v>5.1798000000000002</v>
      </c>
      <c r="M28">
        <v>5231.6000000000004</v>
      </c>
    </row>
    <row r="29" spans="1:13">
      <c r="A29" t="s">
        <v>149</v>
      </c>
      <c r="B29" t="s">
        <v>150</v>
      </c>
      <c r="D29" t="s">
        <v>2994</v>
      </c>
      <c r="E29" t="s">
        <v>3211</v>
      </c>
      <c r="F29" t="s">
        <v>3418</v>
      </c>
      <c r="G29" t="s">
        <v>1478</v>
      </c>
      <c r="H29" t="s">
        <v>10</v>
      </c>
      <c r="I29">
        <v>1010</v>
      </c>
      <c r="J29" t="s">
        <v>1472</v>
      </c>
      <c r="K29" t="s">
        <v>11</v>
      </c>
      <c r="L29">
        <v>5.1798000000000002</v>
      </c>
      <c r="M29">
        <v>5231.6000000000004</v>
      </c>
    </row>
    <row r="30" spans="1:13">
      <c r="A30" t="s">
        <v>149</v>
      </c>
      <c r="B30" t="s">
        <v>150</v>
      </c>
      <c r="D30" t="s">
        <v>2995</v>
      </c>
      <c r="E30" t="s">
        <v>3172</v>
      </c>
      <c r="F30" t="s">
        <v>3317</v>
      </c>
      <c r="G30" t="s">
        <v>1478</v>
      </c>
      <c r="H30" t="s">
        <v>10</v>
      </c>
      <c r="I30">
        <v>1030</v>
      </c>
      <c r="J30" t="s">
        <v>1472</v>
      </c>
      <c r="K30" t="s">
        <v>11</v>
      </c>
      <c r="L30">
        <v>4.8769</v>
      </c>
      <c r="M30">
        <v>5023.21</v>
      </c>
    </row>
    <row r="31" spans="1:13">
      <c r="A31" t="s">
        <v>149</v>
      </c>
      <c r="B31" t="s">
        <v>150</v>
      </c>
      <c r="D31" t="s">
        <v>2918</v>
      </c>
      <c r="E31" t="s">
        <v>3102</v>
      </c>
      <c r="F31" t="s">
        <v>3317</v>
      </c>
      <c r="G31" t="s">
        <v>1478</v>
      </c>
      <c r="H31" t="s">
        <v>10</v>
      </c>
      <c r="I31">
        <v>340</v>
      </c>
      <c r="J31" t="s">
        <v>1472</v>
      </c>
      <c r="K31" t="s">
        <v>11</v>
      </c>
      <c r="L31">
        <v>4.8014000000000001</v>
      </c>
      <c r="M31">
        <v>1632.48</v>
      </c>
    </row>
    <row r="32" spans="1:13">
      <c r="A32" t="s">
        <v>149</v>
      </c>
      <c r="B32" t="s">
        <v>150</v>
      </c>
      <c r="D32" t="s">
        <v>2993</v>
      </c>
      <c r="E32" t="s">
        <v>3169</v>
      </c>
      <c r="F32" t="s">
        <v>3379</v>
      </c>
      <c r="G32" t="s">
        <v>1478</v>
      </c>
      <c r="H32" t="s">
        <v>10</v>
      </c>
      <c r="I32">
        <v>530</v>
      </c>
      <c r="J32" t="s">
        <v>1472</v>
      </c>
      <c r="K32" t="s">
        <v>11</v>
      </c>
      <c r="L32">
        <v>4.4287999999999998</v>
      </c>
      <c r="M32">
        <v>2347.2600000000002</v>
      </c>
    </row>
    <row r="33" spans="1:13">
      <c r="A33" t="s">
        <v>149</v>
      </c>
      <c r="B33" t="s">
        <v>150</v>
      </c>
      <c r="D33" t="s">
        <v>2993</v>
      </c>
      <c r="E33" t="s">
        <v>1190</v>
      </c>
      <c r="F33" t="s">
        <v>1191</v>
      </c>
      <c r="G33" t="s">
        <v>1478</v>
      </c>
      <c r="H33" t="s">
        <v>10</v>
      </c>
      <c r="I33">
        <v>3030</v>
      </c>
      <c r="J33" t="s">
        <v>1472</v>
      </c>
      <c r="K33" t="s">
        <v>11</v>
      </c>
      <c r="L33">
        <v>4.3726000000000003</v>
      </c>
      <c r="M33">
        <v>13248.98</v>
      </c>
    </row>
    <row r="34" spans="1:13">
      <c r="A34" t="s">
        <v>149</v>
      </c>
      <c r="B34" t="s">
        <v>150</v>
      </c>
      <c r="D34" t="s">
        <v>2994</v>
      </c>
      <c r="E34" t="s">
        <v>3171</v>
      </c>
      <c r="F34" t="s">
        <v>1180</v>
      </c>
      <c r="G34" t="s">
        <v>1478</v>
      </c>
      <c r="H34" t="s">
        <v>10</v>
      </c>
      <c r="I34">
        <v>1030</v>
      </c>
      <c r="J34" t="s">
        <v>1472</v>
      </c>
      <c r="K34" t="s">
        <v>11</v>
      </c>
      <c r="L34">
        <v>3.7364999999999999</v>
      </c>
      <c r="M34">
        <v>3848.6</v>
      </c>
    </row>
    <row r="35" spans="1:13">
      <c r="A35" t="s">
        <v>149</v>
      </c>
      <c r="B35" t="s">
        <v>150</v>
      </c>
      <c r="D35" t="s">
        <v>2994</v>
      </c>
      <c r="E35" t="s">
        <v>1179</v>
      </c>
      <c r="F35" t="s">
        <v>1180</v>
      </c>
      <c r="G35" t="s">
        <v>1478</v>
      </c>
      <c r="H35" t="s">
        <v>10</v>
      </c>
      <c r="I35">
        <v>2020</v>
      </c>
      <c r="J35" t="s">
        <v>1472</v>
      </c>
      <c r="K35" t="s">
        <v>11</v>
      </c>
      <c r="L35">
        <v>3.6753999999999998</v>
      </c>
      <c r="M35">
        <v>7424.31</v>
      </c>
    </row>
    <row r="36" spans="1:13">
      <c r="A36" t="s">
        <v>149</v>
      </c>
      <c r="B36" t="s">
        <v>150</v>
      </c>
      <c r="D36" t="s">
        <v>2918</v>
      </c>
      <c r="E36" t="s">
        <v>3101</v>
      </c>
      <c r="F36" t="s">
        <v>3316</v>
      </c>
      <c r="G36" t="s">
        <v>1478</v>
      </c>
      <c r="H36" t="s">
        <v>10</v>
      </c>
      <c r="I36">
        <v>500</v>
      </c>
      <c r="J36" t="s">
        <v>1472</v>
      </c>
      <c r="K36" t="s">
        <v>11</v>
      </c>
      <c r="L36">
        <v>3.6379000000000001</v>
      </c>
      <c r="M36">
        <v>1818.95</v>
      </c>
    </row>
    <row r="37" spans="1:13">
      <c r="A37" t="s">
        <v>149</v>
      </c>
      <c r="B37" t="s">
        <v>150</v>
      </c>
      <c r="D37" t="s">
        <v>3053</v>
      </c>
      <c r="E37" t="s">
        <v>157</v>
      </c>
      <c r="F37" t="s">
        <v>158</v>
      </c>
      <c r="G37" t="s">
        <v>1478</v>
      </c>
      <c r="H37" t="s">
        <v>10</v>
      </c>
      <c r="I37">
        <v>1300</v>
      </c>
      <c r="J37" t="s">
        <v>1472</v>
      </c>
      <c r="K37" t="s">
        <v>11</v>
      </c>
      <c r="L37">
        <v>3.3437000000000001</v>
      </c>
      <c r="M37">
        <v>4346.8100000000004</v>
      </c>
    </row>
    <row r="38" spans="1:13">
      <c r="A38" t="s">
        <v>149</v>
      </c>
      <c r="B38" t="s">
        <v>150</v>
      </c>
      <c r="D38" t="s">
        <v>2994</v>
      </c>
      <c r="E38" t="s">
        <v>157</v>
      </c>
      <c r="F38" t="s">
        <v>158</v>
      </c>
      <c r="G38" t="s">
        <v>1478</v>
      </c>
      <c r="H38" t="s">
        <v>10</v>
      </c>
      <c r="I38">
        <v>220</v>
      </c>
      <c r="J38" t="s">
        <v>1472</v>
      </c>
      <c r="K38" t="s">
        <v>11</v>
      </c>
      <c r="L38">
        <v>3.3437000000000001</v>
      </c>
      <c r="M38">
        <v>735.61</v>
      </c>
    </row>
    <row r="39" spans="1:13">
      <c r="A39" t="s">
        <v>149</v>
      </c>
      <c r="B39" t="s">
        <v>150</v>
      </c>
      <c r="D39" t="s">
        <v>2995</v>
      </c>
      <c r="E39" t="s">
        <v>1726</v>
      </c>
      <c r="F39" t="s">
        <v>1727</v>
      </c>
      <c r="G39" t="s">
        <v>1478</v>
      </c>
      <c r="H39" t="s">
        <v>10</v>
      </c>
      <c r="I39">
        <v>1020</v>
      </c>
      <c r="J39" t="s">
        <v>1472</v>
      </c>
      <c r="K39" t="s">
        <v>11</v>
      </c>
      <c r="L39">
        <v>3.1461000000000001</v>
      </c>
      <c r="M39">
        <v>3209.02</v>
      </c>
    </row>
    <row r="40" spans="1:13">
      <c r="A40" t="s">
        <v>149</v>
      </c>
      <c r="B40" t="s">
        <v>150</v>
      </c>
      <c r="D40" t="s">
        <v>2918</v>
      </c>
      <c r="E40" t="s">
        <v>3093</v>
      </c>
      <c r="F40" t="s">
        <v>3309</v>
      </c>
      <c r="G40" t="s">
        <v>1478</v>
      </c>
      <c r="H40" t="s">
        <v>10</v>
      </c>
      <c r="I40">
        <v>1000</v>
      </c>
      <c r="J40" t="s">
        <v>1472</v>
      </c>
      <c r="K40" t="s">
        <v>11</v>
      </c>
      <c r="L40">
        <v>3.1193</v>
      </c>
      <c r="M40">
        <v>3119.3</v>
      </c>
    </row>
    <row r="41" spans="1:13">
      <c r="A41" t="s">
        <v>149</v>
      </c>
      <c r="B41" t="s">
        <v>150</v>
      </c>
      <c r="D41" t="s">
        <v>2995</v>
      </c>
      <c r="E41" t="s">
        <v>781</v>
      </c>
      <c r="F41" t="s">
        <v>782</v>
      </c>
      <c r="G41" t="s">
        <v>1478</v>
      </c>
      <c r="H41" t="s">
        <v>10</v>
      </c>
      <c r="I41">
        <v>1010</v>
      </c>
      <c r="J41" t="s">
        <v>1472</v>
      </c>
      <c r="K41" t="s">
        <v>11</v>
      </c>
      <c r="L41">
        <v>3.1166</v>
      </c>
      <c r="M41">
        <v>3147.77</v>
      </c>
    </row>
    <row r="42" spans="1:13">
      <c r="A42" t="s">
        <v>149</v>
      </c>
      <c r="B42" t="s">
        <v>150</v>
      </c>
      <c r="D42" t="s">
        <v>2918</v>
      </c>
      <c r="E42" t="s">
        <v>786</v>
      </c>
      <c r="F42" t="s">
        <v>787</v>
      </c>
      <c r="G42" t="s">
        <v>1478</v>
      </c>
      <c r="H42" t="s">
        <v>10</v>
      </c>
      <c r="I42">
        <v>200</v>
      </c>
      <c r="J42" t="s">
        <v>1472</v>
      </c>
      <c r="K42" t="s">
        <v>11</v>
      </c>
      <c r="L42">
        <v>2.7494000000000001</v>
      </c>
      <c r="M42">
        <v>549.88</v>
      </c>
    </row>
    <row r="43" spans="1:13">
      <c r="A43" t="s">
        <v>149</v>
      </c>
      <c r="B43" t="s">
        <v>150</v>
      </c>
      <c r="D43" t="s">
        <v>2993</v>
      </c>
      <c r="E43" t="s">
        <v>3170</v>
      </c>
      <c r="F43" t="s">
        <v>787</v>
      </c>
      <c r="G43" t="s">
        <v>1478</v>
      </c>
      <c r="H43" t="s">
        <v>10</v>
      </c>
      <c r="I43">
        <v>1020</v>
      </c>
      <c r="J43" t="s">
        <v>1472</v>
      </c>
      <c r="K43" t="s">
        <v>11</v>
      </c>
      <c r="L43">
        <v>2.7372999999999998</v>
      </c>
      <c r="M43">
        <v>2792.05</v>
      </c>
    </row>
    <row r="44" spans="1:13">
      <c r="A44" t="s">
        <v>149</v>
      </c>
      <c r="B44" t="s">
        <v>150</v>
      </c>
      <c r="D44" t="s">
        <v>2994</v>
      </c>
      <c r="E44" t="s">
        <v>1187</v>
      </c>
      <c r="F44" t="s">
        <v>1188</v>
      </c>
      <c r="G44" t="s">
        <v>1478</v>
      </c>
      <c r="H44" t="s">
        <v>10</v>
      </c>
      <c r="I44">
        <v>1000</v>
      </c>
      <c r="J44" t="s">
        <v>1472</v>
      </c>
      <c r="K44" t="s">
        <v>11</v>
      </c>
      <c r="L44">
        <v>2.5366</v>
      </c>
      <c r="M44">
        <v>2536.6</v>
      </c>
    </row>
    <row r="45" spans="1:13">
      <c r="A45" t="s">
        <v>149</v>
      </c>
      <c r="B45" t="s">
        <v>150</v>
      </c>
      <c r="D45" t="s">
        <v>2994</v>
      </c>
      <c r="E45" t="s">
        <v>1688</v>
      </c>
      <c r="F45" t="s">
        <v>1188</v>
      </c>
      <c r="G45" t="s">
        <v>1478</v>
      </c>
      <c r="H45" t="s">
        <v>10</v>
      </c>
      <c r="I45">
        <v>1020</v>
      </c>
      <c r="J45" t="s">
        <v>1472</v>
      </c>
      <c r="K45" t="s">
        <v>11</v>
      </c>
      <c r="L45">
        <v>2.5366</v>
      </c>
      <c r="M45">
        <v>2587.33</v>
      </c>
    </row>
    <row r="46" spans="1:13">
      <c r="A46" t="s">
        <v>149</v>
      </c>
      <c r="B46" t="s">
        <v>150</v>
      </c>
      <c r="D46" t="s">
        <v>2994</v>
      </c>
      <c r="E46" t="s">
        <v>3174</v>
      </c>
      <c r="F46" t="s">
        <v>3381</v>
      </c>
      <c r="G46" t="s">
        <v>1478</v>
      </c>
      <c r="H46" t="s">
        <v>10</v>
      </c>
      <c r="I46">
        <v>1030</v>
      </c>
      <c r="J46" t="s">
        <v>1472</v>
      </c>
      <c r="K46" t="s">
        <v>11</v>
      </c>
      <c r="L46">
        <v>2.2637999999999998</v>
      </c>
      <c r="M46">
        <v>2331.71</v>
      </c>
    </row>
    <row r="47" spans="1:13">
      <c r="A47" t="s">
        <v>149</v>
      </c>
      <c r="B47" t="s">
        <v>150</v>
      </c>
      <c r="D47" t="s">
        <v>2180</v>
      </c>
      <c r="E47" t="s">
        <v>1758</v>
      </c>
      <c r="F47" t="s">
        <v>1759</v>
      </c>
      <c r="G47" t="s">
        <v>1478</v>
      </c>
      <c r="H47" t="s">
        <v>10</v>
      </c>
      <c r="I47">
        <v>1020</v>
      </c>
      <c r="J47" t="s">
        <v>1472</v>
      </c>
      <c r="K47" t="s">
        <v>11</v>
      </c>
      <c r="L47">
        <v>4.1127000000000002</v>
      </c>
      <c r="M47">
        <v>4194.95</v>
      </c>
    </row>
    <row r="48" spans="1:13">
      <c r="A48" t="s">
        <v>149</v>
      </c>
      <c r="B48" t="s">
        <v>150</v>
      </c>
      <c r="D48" t="s">
        <v>2180</v>
      </c>
      <c r="E48" t="s">
        <v>1730</v>
      </c>
      <c r="F48" t="s">
        <v>1731</v>
      </c>
      <c r="G48" t="s">
        <v>1478</v>
      </c>
      <c r="H48" t="s">
        <v>10</v>
      </c>
      <c r="I48">
        <v>1510</v>
      </c>
      <c r="J48" t="s">
        <v>1472</v>
      </c>
      <c r="K48" t="s">
        <v>11</v>
      </c>
      <c r="L48">
        <v>3.3490000000000002</v>
      </c>
      <c r="M48">
        <v>5056.99</v>
      </c>
    </row>
    <row r="49" spans="1:13">
      <c r="A49" t="s">
        <v>149</v>
      </c>
      <c r="B49" t="s">
        <v>150</v>
      </c>
      <c r="D49" t="s">
        <v>2180</v>
      </c>
      <c r="E49" t="s">
        <v>1689</v>
      </c>
      <c r="F49" t="s">
        <v>1690</v>
      </c>
      <c r="G49" t="s">
        <v>1478</v>
      </c>
      <c r="H49" t="s">
        <v>10</v>
      </c>
      <c r="I49">
        <v>330</v>
      </c>
      <c r="J49" t="s">
        <v>1472</v>
      </c>
      <c r="K49" t="s">
        <v>11</v>
      </c>
      <c r="L49">
        <v>2.7103999999999999</v>
      </c>
      <c r="M49">
        <v>894.43</v>
      </c>
    </row>
    <row r="50" spans="1:13">
      <c r="A50" t="s">
        <v>149</v>
      </c>
      <c r="B50" t="s">
        <v>150</v>
      </c>
      <c r="D50" t="s">
        <v>2181</v>
      </c>
      <c r="E50" t="s">
        <v>1786</v>
      </c>
      <c r="F50" t="s">
        <v>1787</v>
      </c>
      <c r="G50" t="s">
        <v>1478</v>
      </c>
      <c r="H50" t="s">
        <v>10</v>
      </c>
      <c r="I50">
        <v>74</v>
      </c>
      <c r="J50" t="s">
        <v>1472</v>
      </c>
      <c r="K50" t="s">
        <v>11</v>
      </c>
      <c r="L50">
        <v>6.65</v>
      </c>
      <c r="M50">
        <v>492.1</v>
      </c>
    </row>
    <row r="51" spans="1:13">
      <c r="A51" t="s">
        <v>149</v>
      </c>
      <c r="B51" t="s">
        <v>150</v>
      </c>
      <c r="D51" t="s">
        <v>2181</v>
      </c>
      <c r="E51" t="s">
        <v>1746</v>
      </c>
      <c r="F51" t="s">
        <v>1747</v>
      </c>
      <c r="G51" t="s">
        <v>1478</v>
      </c>
      <c r="H51" t="s">
        <v>10</v>
      </c>
      <c r="I51">
        <v>510</v>
      </c>
      <c r="J51" t="s">
        <v>1472</v>
      </c>
      <c r="K51" t="s">
        <v>11</v>
      </c>
      <c r="L51">
        <v>3.8246000000000002</v>
      </c>
      <c r="M51">
        <v>1950.55</v>
      </c>
    </row>
    <row r="52" spans="1:13">
      <c r="A52" t="s">
        <v>149</v>
      </c>
      <c r="B52" t="s">
        <v>150</v>
      </c>
      <c r="D52" t="s">
        <v>2181</v>
      </c>
      <c r="E52" t="s">
        <v>1709</v>
      </c>
      <c r="F52" t="s">
        <v>1710</v>
      </c>
      <c r="G52" t="s">
        <v>1478</v>
      </c>
      <c r="H52" t="s">
        <v>10</v>
      </c>
      <c r="I52">
        <v>520</v>
      </c>
      <c r="J52" t="s">
        <v>1472</v>
      </c>
      <c r="K52" t="s">
        <v>11</v>
      </c>
      <c r="L52">
        <v>3.0331000000000001</v>
      </c>
      <c r="M52">
        <v>1577.21</v>
      </c>
    </row>
    <row r="53" spans="1:13">
      <c r="A53" t="s">
        <v>149</v>
      </c>
      <c r="B53" t="s">
        <v>150</v>
      </c>
      <c r="D53" t="s">
        <v>2181</v>
      </c>
      <c r="E53" t="s">
        <v>1695</v>
      </c>
      <c r="F53" t="s">
        <v>1696</v>
      </c>
      <c r="G53" t="s">
        <v>1478</v>
      </c>
      <c r="H53" t="s">
        <v>10</v>
      </c>
      <c r="I53">
        <v>450</v>
      </c>
      <c r="J53" t="s">
        <v>1472</v>
      </c>
      <c r="K53" t="s">
        <v>11</v>
      </c>
      <c r="L53">
        <v>2.9073000000000002</v>
      </c>
      <c r="M53">
        <v>1308.29</v>
      </c>
    </row>
    <row r="54" spans="1:13">
      <c r="A54" t="s">
        <v>149</v>
      </c>
      <c r="B54" t="s">
        <v>150</v>
      </c>
      <c r="D54" t="s">
        <v>2181</v>
      </c>
      <c r="E54" t="s">
        <v>786</v>
      </c>
      <c r="F54" t="s">
        <v>787</v>
      </c>
      <c r="G54" t="s">
        <v>1478</v>
      </c>
      <c r="H54" t="s">
        <v>10</v>
      </c>
      <c r="I54">
        <v>1530</v>
      </c>
      <c r="J54" t="s">
        <v>1472</v>
      </c>
      <c r="K54" t="s">
        <v>11</v>
      </c>
      <c r="L54">
        <v>2.7494000000000001</v>
      </c>
      <c r="M54">
        <v>4206.58</v>
      </c>
    </row>
    <row r="55" spans="1:13">
      <c r="A55" t="s">
        <v>149</v>
      </c>
      <c r="B55" t="s">
        <v>150</v>
      </c>
      <c r="D55" t="s">
        <v>2181</v>
      </c>
      <c r="E55" t="s">
        <v>1689</v>
      </c>
      <c r="F55" t="s">
        <v>1690</v>
      </c>
      <c r="G55" t="s">
        <v>1478</v>
      </c>
      <c r="H55" t="s">
        <v>10</v>
      </c>
      <c r="I55">
        <v>1200</v>
      </c>
      <c r="J55" t="s">
        <v>1472</v>
      </c>
      <c r="K55" t="s">
        <v>11</v>
      </c>
      <c r="L55">
        <v>2.7103999999999999</v>
      </c>
      <c r="M55">
        <v>3252.48</v>
      </c>
    </row>
    <row r="56" spans="1:13">
      <c r="A56" t="s">
        <v>149</v>
      </c>
      <c r="B56" t="s">
        <v>150</v>
      </c>
      <c r="D56" t="s">
        <v>2218</v>
      </c>
      <c r="E56" t="s">
        <v>1786</v>
      </c>
      <c r="F56" t="s">
        <v>1787</v>
      </c>
      <c r="G56" t="s">
        <v>1478</v>
      </c>
      <c r="H56" t="s">
        <v>10</v>
      </c>
      <c r="I56">
        <v>-74</v>
      </c>
      <c r="J56" t="s">
        <v>1472</v>
      </c>
      <c r="K56" t="s">
        <v>11</v>
      </c>
      <c r="L56">
        <v>6.65</v>
      </c>
      <c r="M56">
        <v>-492.1</v>
      </c>
    </row>
    <row r="57" spans="1:13">
      <c r="A57" t="s">
        <v>149</v>
      </c>
      <c r="B57" t="s">
        <v>150</v>
      </c>
      <c r="D57" t="s">
        <v>156</v>
      </c>
      <c r="E57" t="s">
        <v>157</v>
      </c>
      <c r="F57" t="s">
        <v>158</v>
      </c>
      <c r="G57" t="s">
        <v>1478</v>
      </c>
      <c r="H57" t="s">
        <v>10</v>
      </c>
      <c r="I57">
        <v>7100</v>
      </c>
      <c r="J57" t="s">
        <v>1472</v>
      </c>
      <c r="K57" t="s">
        <v>11</v>
      </c>
      <c r="L57">
        <v>3.3437000000000001</v>
      </c>
      <c r="M57">
        <v>23740.27</v>
      </c>
    </row>
    <row r="58" spans="1:13">
      <c r="A58" t="s">
        <v>149</v>
      </c>
      <c r="B58" t="s">
        <v>150</v>
      </c>
      <c r="D58" t="s">
        <v>156</v>
      </c>
      <c r="E58" t="s">
        <v>153</v>
      </c>
      <c r="F58" t="s">
        <v>154</v>
      </c>
      <c r="G58" t="s">
        <v>1478</v>
      </c>
      <c r="H58" t="s">
        <v>10</v>
      </c>
      <c r="I58">
        <v>1000</v>
      </c>
      <c r="J58" t="s">
        <v>1472</v>
      </c>
      <c r="K58" t="s">
        <v>11</v>
      </c>
      <c r="L58">
        <v>3.0440999999999998</v>
      </c>
      <c r="M58">
        <v>3044.1</v>
      </c>
    </row>
    <row r="59" spans="1:13">
      <c r="A59" t="s">
        <v>149</v>
      </c>
      <c r="B59" t="s">
        <v>150</v>
      </c>
      <c r="D59" t="s">
        <v>784</v>
      </c>
      <c r="E59" t="s">
        <v>790</v>
      </c>
      <c r="F59" t="s">
        <v>791</v>
      </c>
      <c r="G59" t="s">
        <v>1478</v>
      </c>
      <c r="H59" t="s">
        <v>10</v>
      </c>
      <c r="I59">
        <v>20</v>
      </c>
      <c r="J59" t="s">
        <v>1472</v>
      </c>
      <c r="K59" t="s">
        <v>11</v>
      </c>
      <c r="L59">
        <v>5.1580000000000004</v>
      </c>
      <c r="M59">
        <v>103.16</v>
      </c>
    </row>
    <row r="60" spans="1:13">
      <c r="A60" t="s">
        <v>149</v>
      </c>
      <c r="B60" t="s">
        <v>150</v>
      </c>
      <c r="D60" t="s">
        <v>784</v>
      </c>
      <c r="E60" t="s">
        <v>781</v>
      </c>
      <c r="F60" t="s">
        <v>782</v>
      </c>
      <c r="G60" t="s">
        <v>1478</v>
      </c>
      <c r="H60" t="s">
        <v>10</v>
      </c>
      <c r="I60">
        <v>500</v>
      </c>
      <c r="J60" t="s">
        <v>1472</v>
      </c>
      <c r="K60" t="s">
        <v>11</v>
      </c>
      <c r="L60">
        <v>3.1166</v>
      </c>
      <c r="M60">
        <v>1558.3</v>
      </c>
    </row>
    <row r="61" spans="1:13">
      <c r="A61" t="s">
        <v>149</v>
      </c>
      <c r="B61" t="s">
        <v>150</v>
      </c>
      <c r="D61" t="s">
        <v>784</v>
      </c>
      <c r="E61" t="s">
        <v>781</v>
      </c>
      <c r="F61" t="s">
        <v>782</v>
      </c>
      <c r="G61" t="s">
        <v>1478</v>
      </c>
      <c r="H61" t="s">
        <v>10</v>
      </c>
      <c r="I61">
        <v>530</v>
      </c>
      <c r="J61" t="s">
        <v>1472</v>
      </c>
      <c r="K61" t="s">
        <v>11</v>
      </c>
      <c r="L61">
        <v>3.1166</v>
      </c>
      <c r="M61">
        <v>1651.8</v>
      </c>
    </row>
    <row r="62" spans="1:13">
      <c r="A62" t="s">
        <v>149</v>
      </c>
      <c r="B62" t="s">
        <v>150</v>
      </c>
      <c r="D62" t="s">
        <v>784</v>
      </c>
      <c r="E62" t="s">
        <v>786</v>
      </c>
      <c r="F62" t="s">
        <v>787</v>
      </c>
      <c r="G62" t="s">
        <v>1478</v>
      </c>
      <c r="H62" t="s">
        <v>10</v>
      </c>
      <c r="I62">
        <v>510</v>
      </c>
      <c r="J62" t="s">
        <v>1472</v>
      </c>
      <c r="K62" t="s">
        <v>11</v>
      </c>
      <c r="L62">
        <v>2.7494000000000001</v>
      </c>
      <c r="M62">
        <v>1402.19</v>
      </c>
    </row>
    <row r="63" spans="1:13">
      <c r="A63" t="s">
        <v>149</v>
      </c>
      <c r="B63" t="s">
        <v>150</v>
      </c>
      <c r="D63" t="s">
        <v>784</v>
      </c>
      <c r="E63" t="s">
        <v>786</v>
      </c>
      <c r="F63" t="s">
        <v>787</v>
      </c>
      <c r="G63" t="s">
        <v>1478</v>
      </c>
      <c r="H63" t="s">
        <v>10</v>
      </c>
      <c r="I63">
        <v>1200</v>
      </c>
      <c r="J63" t="s">
        <v>1472</v>
      </c>
      <c r="K63" t="s">
        <v>11</v>
      </c>
      <c r="L63">
        <v>2.7494000000000001</v>
      </c>
      <c r="M63">
        <v>3299.28</v>
      </c>
    </row>
    <row r="64" spans="1:13">
      <c r="A64" t="s">
        <v>149</v>
      </c>
      <c r="B64" t="s">
        <v>150</v>
      </c>
      <c r="D64" t="s">
        <v>1182</v>
      </c>
      <c r="E64" t="s">
        <v>790</v>
      </c>
      <c r="F64" t="s">
        <v>791</v>
      </c>
      <c r="G64" t="s">
        <v>1478</v>
      </c>
      <c r="H64" t="s">
        <v>10</v>
      </c>
      <c r="I64">
        <v>980</v>
      </c>
      <c r="J64" t="s">
        <v>1472</v>
      </c>
      <c r="K64" t="s">
        <v>11</v>
      </c>
      <c r="L64">
        <v>5.1580000000000004</v>
      </c>
      <c r="M64">
        <v>5054.84</v>
      </c>
    </row>
    <row r="65" spans="1:13">
      <c r="A65" t="s">
        <v>149</v>
      </c>
      <c r="B65" t="s">
        <v>150</v>
      </c>
      <c r="D65" t="s">
        <v>1182</v>
      </c>
      <c r="E65" t="s">
        <v>1193</v>
      </c>
      <c r="F65" t="s">
        <v>1194</v>
      </c>
      <c r="G65" t="s">
        <v>1478</v>
      </c>
      <c r="H65" t="s">
        <v>10</v>
      </c>
      <c r="I65">
        <v>1040</v>
      </c>
      <c r="J65" t="s">
        <v>1472</v>
      </c>
      <c r="K65" t="s">
        <v>11</v>
      </c>
      <c r="L65">
        <v>4.4463999999999997</v>
      </c>
      <c r="M65">
        <v>4624.26</v>
      </c>
    </row>
    <row r="66" spans="1:13">
      <c r="A66" t="s">
        <v>149</v>
      </c>
      <c r="B66" t="s">
        <v>150</v>
      </c>
      <c r="D66" t="s">
        <v>1182</v>
      </c>
      <c r="E66" t="s">
        <v>1190</v>
      </c>
      <c r="F66" t="s">
        <v>1191</v>
      </c>
      <c r="G66" t="s">
        <v>1478</v>
      </c>
      <c r="H66" t="s">
        <v>10</v>
      </c>
      <c r="I66">
        <v>2530</v>
      </c>
      <c r="J66" t="s">
        <v>1472</v>
      </c>
      <c r="K66" t="s">
        <v>11</v>
      </c>
      <c r="L66">
        <v>4.3726000000000003</v>
      </c>
      <c r="M66">
        <v>11062.68</v>
      </c>
    </row>
    <row r="67" spans="1:13">
      <c r="A67" t="s">
        <v>149</v>
      </c>
      <c r="B67" t="s">
        <v>150</v>
      </c>
      <c r="D67" t="s">
        <v>1182</v>
      </c>
      <c r="E67" t="s">
        <v>1179</v>
      </c>
      <c r="F67" t="s">
        <v>1180</v>
      </c>
      <c r="G67" t="s">
        <v>1478</v>
      </c>
      <c r="H67" t="s">
        <v>10</v>
      </c>
      <c r="I67">
        <v>1200</v>
      </c>
      <c r="J67" t="s">
        <v>1472</v>
      </c>
      <c r="K67" t="s">
        <v>11</v>
      </c>
      <c r="L67">
        <v>3.6753999999999998</v>
      </c>
      <c r="M67">
        <v>4410.4799999999996</v>
      </c>
    </row>
    <row r="68" spans="1:13">
      <c r="A68" t="s">
        <v>149</v>
      </c>
      <c r="B68" t="s">
        <v>150</v>
      </c>
      <c r="D68" t="s">
        <v>1182</v>
      </c>
      <c r="E68" t="s">
        <v>1183</v>
      </c>
      <c r="F68" t="s">
        <v>1184</v>
      </c>
      <c r="G68" t="s">
        <v>1478</v>
      </c>
      <c r="H68" t="s">
        <v>10</v>
      </c>
      <c r="I68">
        <v>1730</v>
      </c>
      <c r="J68" t="s">
        <v>1472</v>
      </c>
      <c r="K68" t="s">
        <v>11</v>
      </c>
      <c r="L68">
        <v>3.1461000000000001</v>
      </c>
      <c r="M68">
        <v>5442.75</v>
      </c>
    </row>
    <row r="69" spans="1:13">
      <c r="A69" t="s">
        <v>149</v>
      </c>
      <c r="B69" t="s">
        <v>150</v>
      </c>
      <c r="D69" t="s">
        <v>1182</v>
      </c>
      <c r="E69" t="s">
        <v>1183</v>
      </c>
      <c r="F69" t="s">
        <v>1184</v>
      </c>
      <c r="G69" t="s">
        <v>1478</v>
      </c>
      <c r="H69" t="s">
        <v>10</v>
      </c>
      <c r="I69">
        <v>1000</v>
      </c>
      <c r="J69" t="s">
        <v>1472</v>
      </c>
      <c r="K69" t="s">
        <v>11</v>
      </c>
      <c r="L69">
        <v>3.1461000000000001</v>
      </c>
      <c r="M69">
        <v>3146.1</v>
      </c>
    </row>
    <row r="70" spans="1:13">
      <c r="A70" t="s">
        <v>149</v>
      </c>
      <c r="B70" t="s">
        <v>150</v>
      </c>
      <c r="D70" t="s">
        <v>1182</v>
      </c>
      <c r="E70" t="s">
        <v>1187</v>
      </c>
      <c r="F70" t="s">
        <v>1188</v>
      </c>
      <c r="G70" t="s">
        <v>1478</v>
      </c>
      <c r="H70" t="s">
        <v>10</v>
      </c>
      <c r="I70">
        <v>1220</v>
      </c>
      <c r="J70" t="s">
        <v>1472</v>
      </c>
      <c r="K70" t="s">
        <v>11</v>
      </c>
      <c r="L70">
        <v>2.5366</v>
      </c>
      <c r="M70">
        <v>3094.65</v>
      </c>
    </row>
    <row r="71" spans="1:13">
      <c r="A71" t="s">
        <v>149</v>
      </c>
      <c r="B71" t="s">
        <v>150</v>
      </c>
      <c r="D71" t="s">
        <v>1312</v>
      </c>
      <c r="E71" t="s">
        <v>1309</v>
      </c>
      <c r="F71" t="s">
        <v>1310</v>
      </c>
      <c r="G71" t="s">
        <v>1478</v>
      </c>
      <c r="H71" t="s">
        <v>10</v>
      </c>
      <c r="I71">
        <v>1020</v>
      </c>
      <c r="J71" t="s">
        <v>1472</v>
      </c>
      <c r="K71" t="s">
        <v>11</v>
      </c>
      <c r="L71">
        <v>6.1177000000000001</v>
      </c>
      <c r="M71">
        <v>6240.05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B8"/>
  <sheetViews>
    <sheetView workbookViewId="0">
      <selection activeCell="D15" sqref="D15"/>
    </sheetView>
  </sheetViews>
  <sheetFormatPr defaultRowHeight="13.2"/>
  <cols>
    <col min="1" max="1" width="22.6640625" customWidth="1"/>
    <col min="2" max="2" width="33" bestFit="1" customWidth="1"/>
  </cols>
  <sheetData>
    <row r="4" spans="1:2">
      <c r="A4" s="42" t="s">
        <v>3486</v>
      </c>
      <c r="B4" t="s">
        <v>3485</v>
      </c>
    </row>
    <row r="5" spans="1:2">
      <c r="A5" s="43" t="s">
        <v>150</v>
      </c>
      <c r="B5" s="44">
        <v>527189.28999999992</v>
      </c>
    </row>
    <row r="6" spans="1:2">
      <c r="A6" s="43" t="s">
        <v>122</v>
      </c>
      <c r="B6" s="44">
        <v>149382.02999999997</v>
      </c>
    </row>
    <row r="7" spans="1:2">
      <c r="A7" s="43" t="s">
        <v>144</v>
      </c>
      <c r="B7" s="44">
        <v>387723.21</v>
      </c>
    </row>
    <row r="8" spans="1:2">
      <c r="A8" s="43" t="s">
        <v>3487</v>
      </c>
      <c r="B8" s="44">
        <v>1064294.5299999998</v>
      </c>
    </row>
  </sheetData>
  <phoneticPr fontId="2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汇总MHK</vt:lpstr>
      <vt:lpstr>汇总MZQ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2025-02-11T08:35:27Z</dcterms:created>
  <dcterms:modified xsi:type="dcterms:W3CDTF">2025-05-14T02:23:09Z</dcterms:modified>
</cp:coreProperties>
</file>