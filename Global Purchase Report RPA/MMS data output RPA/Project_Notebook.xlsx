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RPA Finance\Desktop\Emily\Global Purchase Report (For Emily)\MMS data output RPA\"/>
    </mc:Choice>
  </mc:AlternateContent>
  <xr:revisionPtr revIDLastSave="0" documentId="13_ncr:1_{F824BAF0-3C10-4817-99F8-C2DE6598B4B6}" xr6:coauthVersionLast="47" xr6:coauthVersionMax="47" xr10:uidLastSave="{00000000-0000-0000-0000-000000000000}"/>
  <bookViews>
    <workbookView xWindow="468" yWindow="120" windowWidth="22572" windowHeight="7548" xr2:uid="{00000000-000D-0000-FFFF-FFFF00000000}"/>
  </bookViews>
  <sheets>
    <sheet name="Scratchpad" sheetId="6" r:id="rId1"/>
    <sheet name="Date" sheetId="1" r:id="rId2"/>
    <sheet name="Text" sheetId="3" r:id="rId3"/>
    <sheet name="Number" sheetId="4" r:id="rId4"/>
    <sheet name="File" sheetId="5" r:id="rId5"/>
    <sheet name="About the Project Notebook" sheetId="2" r:id="rId6"/>
  </sheets>
  <definedNames>
    <definedName name="_A1">Scratchpad!$A$1</definedName>
    <definedName name="_A2">Scratchpad!$A$2</definedName>
    <definedName name="_A3">Scratchpad!$A$3</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C5" i="6" l="1"/>
  <c r="D5" i="6" l="1"/>
  <c r="C6" i="6" s="1"/>
  <c r="D6" i="6" s="1"/>
  <c r="C7" i="6" s="1"/>
  <c r="D7" i="6" s="1"/>
  <c r="C8" i="6" s="1"/>
  <c r="D8" i="6" s="1"/>
  <c r="C9" i="6" s="1"/>
  <c r="D9" i="6" s="1"/>
  <c r="B13" i="3"/>
  <c r="C10" i="6" l="1"/>
  <c r="D10" i="6" s="1"/>
  <c r="B30" i="1"/>
  <c r="F26" i="1"/>
  <c r="C15" i="1"/>
  <c r="B15" i="1"/>
  <c r="C14" i="1"/>
  <c r="B14" i="1"/>
  <c r="B13" i="1"/>
  <c r="C13" i="1" s="1"/>
  <c r="D13" i="1" s="1"/>
  <c r="B12" i="1"/>
  <c r="C11" i="6" l="1"/>
  <c r="D11" i="6" s="1"/>
  <c r="F8" i="3"/>
  <c r="F9" i="3"/>
  <c r="F7" i="3"/>
  <c r="F6" i="3"/>
  <c r="F5" i="3" l="1"/>
  <c r="B12" i="3"/>
  <c r="C12" i="6" l="1"/>
  <c r="D12" i="6" s="1"/>
  <c r="C13" i="6" s="1"/>
  <c r="D13" i="6" s="1"/>
  <c r="B5" i="4"/>
  <c r="B7" i="4" s="1"/>
  <c r="C14" i="6" l="1"/>
  <c r="D14" i="6" s="1"/>
  <c r="B6" i="4"/>
  <c r="B8" i="5" l="1"/>
  <c r="B11" i="5" s="1"/>
  <c r="B16" i="3"/>
  <c r="B15" i="3" s="1"/>
  <c r="B9" i="5" l="1"/>
  <c r="B10" i="5" s="1"/>
  <c r="B15" i="5" s="1"/>
  <c r="B15" i="4"/>
  <c r="B23" i="1" l="1"/>
  <c r="B4" i="1"/>
  <c r="B8" i="3"/>
  <c r="B7" i="3"/>
  <c r="B6" i="3"/>
  <c r="B5" i="3"/>
  <c r="C23" i="1" l="1"/>
  <c r="D23" i="1" s="1"/>
  <c r="B26" i="1"/>
  <c r="B8" i="1"/>
  <c r="B9" i="1"/>
  <c r="B10" i="1"/>
  <c r="B24" i="1"/>
  <c r="B25" i="1" l="1"/>
  <c r="B28" i="1" s="1"/>
  <c r="B27" i="1"/>
  <c r="B31" i="1" s="1"/>
</calcChain>
</file>

<file path=xl/sharedStrings.xml><?xml version="1.0" encoding="utf-8"?>
<sst xmlns="http://schemas.openxmlformats.org/spreadsheetml/2006/main" count="128" uniqueCount="107">
  <si>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</si>
  <si>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</si>
  <si>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</si>
  <si>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</si>
  <si>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</si>
  <si>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</si>
  <si>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</si>
  <si>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</si>
  <si>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</si>
  <si>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</si>
  <si>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</si>
  <si>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</si>
  <si>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</si>
  <si>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</si>
  <si>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</si>
  <si>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</si>
  <si>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</si>
  <si>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</si>
  <si>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</si>
  <si>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</si>
  <si>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</si>
  <si>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</si>
  <si>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</si>
  <si>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</si>
  <si>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</si>
  <si>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</si>
  <si>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</si>
  <si>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</si>
  <si>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</si>
  <si>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</si>
  <si>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</si>
  <si>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</si>
  <si>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</si>
  <si>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</si>
  <si>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</si>
  <si>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</si>
  <si>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</si>
  <si>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</si>
  <si>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</si>
  <si>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</si>
  <si>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</si>
  <si>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</si>
  <si>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</si>
  <si>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</si>
  <si>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</si>
  <si>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</si>
  <si>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</si>
  <si>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</si>
  <si>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</si>
  <si>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</si>
  <si>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</si>
  <si>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</si>
  <si>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</si>
  <si>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</si>
  <si>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</si>
  <si>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</si>
  <si>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</si>
  <si>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</si>
  <si>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</si>
  <si>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</si>
  <si>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</si>
  <si>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</si>
  <si>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</si>
  <si>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</si>
  <si>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</si>
  <si>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</si>
  <si>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</si>
  <si>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</si>
  <si>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</si>
  <si>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</si>
  <si>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</si>
  <si>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</si>
  <si>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</si>
  <si>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</si>
  <si>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</si>
  <si>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</si>
  <si>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</si>
  <si>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</si>
  <si>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</si>
  <si>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</si>
  <si>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</si>
  <si>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</si>
  <si>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</si>
  <si>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</si>
  <si>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</si>
  <si>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</si>
  <si>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</si>
  <si>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</si>
  <si>
    <t xml:space="preserve">MMS Login </t>
    <phoneticPr fontId="17" type="noConversion"/>
  </si>
  <si>
    <t xml:space="preserve">USER </t>
    <phoneticPr fontId="17" type="noConversion"/>
  </si>
  <si>
    <t>Alex@meyer-msc.com</t>
  </si>
  <si>
    <t>N23nmti</t>
    <phoneticPr fontId="17" type="noConversion"/>
  </si>
  <si>
    <t>PASSWORDS</t>
    <phoneticPr fontId="17" type="noConversion"/>
  </si>
  <si>
    <t>PART-A</t>
    <phoneticPr fontId="17" type="noConversion"/>
  </si>
  <si>
    <t>PART-B</t>
    <phoneticPr fontId="17" type="noConversion"/>
  </si>
  <si>
    <t>PART-C</t>
    <phoneticPr fontId="17" type="noConversion"/>
  </si>
  <si>
    <t>PART-D</t>
    <phoneticPr fontId="17" type="noConversion"/>
  </si>
  <si>
    <t>PART-E</t>
    <phoneticPr fontId="17" type="noConversion"/>
  </si>
  <si>
    <t>PART-F</t>
    <phoneticPr fontId="17" type="noConversion"/>
  </si>
  <si>
    <t>PART-M</t>
    <phoneticPr fontId="17" type="noConversion"/>
  </si>
  <si>
    <t>PART-RIV-</t>
    <phoneticPr fontId="17" type="noConversion"/>
  </si>
  <si>
    <t>PART-S</t>
    <phoneticPr fontId="17" type="noConversion"/>
  </si>
  <si>
    <t>PART-T</t>
    <phoneticPr fontId="17" type="noConversion"/>
  </si>
  <si>
    <t>PART-W</t>
    <phoneticPr fontId="17" type="noConversion"/>
  </si>
  <si>
    <t>OPEN</t>
    <phoneticPr fontId="17" type="noConversion"/>
  </si>
  <si>
    <t>END</t>
    <phoneticPr fontId="17" type="noConversion"/>
  </si>
  <si>
    <t>COMM_DATA</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</si>
</sst>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quot;$&quot;#,##0\)"/>
    <numFmt numFmtId="165" formatCode="&quot;$&quot;#,##0_);[Red]\(&quot;$&quot;#,##0\)"/>
    <numFmt numFmtId="166" formatCode="_(* #,##0.00_);_(* \(#,##0.00\);_(* &quot;-&quot;??_);_(@_)"/>
    <numFmt numFmtId="167" formatCode="###,000"/>
    <numFmt numFmtId="168" formatCode="yyyy;@"/>
    <numFmt numFmtId="169" formatCode="dd\-mmm"/>
  </numFmts>
  <fonts count="18">
    <font>
      <sz val="11"/>
      <color theme="1"/>
      <name val="Calibri"/>
      <family val="2"/>
      <scheme val="minor"/>
    </font>
    <font>
      <sz val="11"/>
      <color theme="1"/>
      <name val="Calibri"/>
      <family val="2"/>
      <scheme val="minor"/>
    </font>
    <font>
      <b/>
      <sz val="11"/>
      <color theme="1"/>
      <name val="Calibri"/>
      <family val="2"/>
      <scheme val="minor"/>
    </font>
    <font>
      <sz val="11"/>
      <color rgb="FF222222"/>
      <name val="Arial"/>
      <family val="2"/>
    </font>
    <font>
      <sz val="11"/>
      <color theme="0"/>
      <name val="Calibri"/>
      <family val="2"/>
      <scheme val="minor"/>
    </font>
    <font>
      <sz val="11"/>
      <color theme="1"/>
      <name val="Calibri"/>
      <family val="2"/>
    </font>
    <font>
      <sz val="11"/>
      <color rgb="FF0B744D"/>
      <name val="Calibri"/>
      <family val="2"/>
      <scheme val="minor"/>
    </font>
    <font>
      <sz val="72"/>
      <color theme="0"/>
      <name val="Calibri Light"/>
      <family val="2"/>
      <scheme val="major"/>
    </font>
    <font>
      <sz val="17"/>
      <color theme="0"/>
      <name val="Calibri"/>
      <family val="2"/>
      <scheme val="minor"/>
    </font>
    <font>
      <u/>
      <sz val="11"/>
      <color theme="11"/>
      <name val="Calibri"/>
      <family val="2"/>
      <scheme val="minor"/>
    </font>
    <font>
      <u/>
      <sz val="11"/>
      <color theme="10"/>
      <name val="Calibri"/>
      <family val="2"/>
      <scheme val="minor"/>
    </font>
    <font>
      <b/>
      <sz val="14"/>
      <color rgb="FF0070C0"/>
      <name val="Segoe UI"/>
      <family val="2"/>
    </font>
    <font>
      <sz val="42"/>
      <color theme="0"/>
      <name val="Segoe UI"/>
      <family val="2"/>
    </font>
    <font>
      <sz val="11"/>
      <name val="Calibri"/>
      <family val="2"/>
      <scheme val="minor"/>
    </font>
    <font>
      <sz val="24"/>
      <color theme="0"/>
      <name val="Segoe UI"/>
      <family val="2"/>
    </font>
    <font>
      <sz val="14"/>
      <color theme="0"/>
      <name val="Calibri"/>
      <family val="2"/>
      <scheme val="minor"/>
    </font>
    <font>
      <b/>
      <sz val="14"/>
      <color theme="0"/>
      <name val="Calibri"/>
      <family val="2"/>
      <scheme val="minor"/>
    </font>
    <font>
      <sz val="9"/>
      <name val="Calibri"/>
      <family val="3"/>
      <charset val="136"/>
      <scheme val="minor"/>
    </font>
  </fonts>
  <fills count="9">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s>
  <borders count="2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5">
    <xf numFmtId="0" fontId="0" fillId="0" borderId="0"/>
    <xf numFmtId="166"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65"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68"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69" fontId="13" fillId="0" borderId="0" applyFont="0" applyFill="0" applyBorder="0" applyAlignment="0">
      <alignment horizontal="left"/>
    </xf>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6" fontId="5" fillId="0" borderId="0" applyFont="0" applyFill="0" applyBorder="0" applyAlignment="0" applyProtection="0"/>
  </cellStyleXfs>
  <cellXfs count="41">
    <xf numFmtId="0" fontId="0" fillId="0" borderId="0" xfId="0"/>
    <xf numFmtId="16" fontId="0" fillId="0" borderId="0" xfId="0" applyNumberFormat="1"/>
    <xf numFmtId="14" fontId="0" fillId="0" borderId="0" xfId="0" applyNumberFormat="1"/>
    <xf numFmtId="0" fontId="2" fillId="0" borderId="0" xfId="0" applyFont="1"/>
    <xf numFmtId="167" fontId="0" fillId="0" borderId="0" xfId="0" applyNumberFormat="1"/>
    <xf numFmtId="0" fontId="0" fillId="0" borderId="0" xfId="0" quotePrefix="1"/>
    <xf numFmtId="0" fontId="0" fillId="0" borderId="2" xfId="0" applyBorder="1"/>
    <xf numFmtId="14" fontId="0" fillId="0" borderId="4" xfId="0" applyNumberFormat="1" applyBorder="1"/>
    <xf numFmtId="0" fontId="0" fillId="0" borderId="4" xfId="0" applyBorder="1"/>
    <xf numFmtId="0" fontId="0" fillId="0" borderId="5" xfId="0" applyBorder="1"/>
    <xf numFmtId="166"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9" xfId="0" applyBorder="1" applyAlignment="1">
      <alignment horizontal="left" indent="1"/>
    </xf>
    <xf numFmtId="0" fontId="0" fillId="0" borderId="10" xfId="0" applyBorder="1"/>
    <xf numFmtId="0" fontId="0" fillId="0" borderId="0" xfId="1" applyNumberFormat="1" applyFont="1"/>
    <xf numFmtId="0" fontId="0" fillId="0" borderId="0" xfId="0" applyAlignment="1">
      <alignment wrapText="1"/>
    </xf>
    <xf numFmtId="0" fontId="1" fillId="0" borderId="0" xfId="1" applyNumberFormat="1" applyFont="1" applyBorder="1"/>
    <xf numFmtId="0" fontId="2" fillId="7" borderId="0" xfId="0" applyFont="1" applyFill="1" applyAlignment="1">
      <alignment horizontal="left" vertical="top" wrapText="1" indent="1"/>
    </xf>
    <xf numFmtId="0" fontId="0" fillId="0" borderId="0" xfId="0" applyAlignment="1">
      <alignment horizontal="left" vertical="top" wrapText="1" indent="1"/>
    </xf>
    <xf numFmtId="0" fontId="0" fillId="8" borderId="0" xfId="0" applyFill="1"/>
    <xf numFmtId="0" fontId="0" fillId="0" borderId="0" xfId="0" quotePrefix="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Border="1" applyAlignment="1">
      <alignment horizontal="left"/>
    </xf>
    <xf numFmtId="0" fontId="0" fillId="0" borderId="0" xfId="0" applyAlignment="1">
      <alignment horizontal="center"/>
    </xf>
    <xf numFmtId="0" fontId="3" fillId="0" borderId="0" xfId="0" applyFont="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45">
    <cellStyle name="Bottom Border" xfId="16" xr:uid="{00000000-0005-0000-0000-000000000000}"/>
    <cellStyle name="Bottom Green Border" xfId="17" xr:uid="{00000000-0005-0000-0000-000001000000}"/>
    <cellStyle name="Comma" xfId="1" builtinId="3"/>
    <cellStyle name="Comma 2" xfId="44" xr:uid="{00000000-0005-0000-0000-000002000000}"/>
    <cellStyle name="Currency 2" xfId="40" xr:uid="{00000000-0005-0000-0000-000003000000}"/>
    <cellStyle name="Currency 2 2" xfId="42" xr:uid="{00000000-0005-0000-0000-000004000000}"/>
    <cellStyle name="Currency 3" xfId="11" xr:uid="{00000000-0005-0000-0000-000005000000}"/>
    <cellStyle name="Date" xfId="18" xr:uid="{00000000-0005-0000-0000-000006000000}"/>
    <cellStyle name="Date 2" xfId="39" xr:uid="{00000000-0005-0000-0000-000007000000}"/>
    <cellStyle name="Followed Hyperlink" xfId="10" builtinId="9" customBuiltin="1"/>
    <cellStyle name="GrayCell" xfId="19" xr:uid="{00000000-0005-0000-0000-000008000000}"/>
    <cellStyle name="GrayCell 2" xfId="30" xr:uid="{00000000-0005-0000-0000-000009000000}"/>
    <cellStyle name="Heading 1 2" xfId="5" xr:uid="{00000000-0005-0000-0000-00000A000000}"/>
    <cellStyle name="Heading 1 3" xfId="12" xr:uid="{00000000-0005-0000-0000-00000B000000}"/>
    <cellStyle name="Heading 2 2" xfId="6" xr:uid="{00000000-0005-0000-0000-00000C000000}"/>
    <cellStyle name="Heading 2 3" xfId="13" xr:uid="{00000000-0005-0000-0000-00000D000000}"/>
    <cellStyle name="Heading 3 2" xfId="29" xr:uid="{00000000-0005-0000-0000-00000E000000}"/>
    <cellStyle name="Heading 3 3" xfId="14" xr:uid="{00000000-0005-0000-0000-00000F000000}"/>
    <cellStyle name="Heading 4 2" xfId="15" xr:uid="{00000000-0005-0000-0000-000010000000}"/>
    <cellStyle name="Highlight" xfId="20" xr:uid="{00000000-0005-0000-0000-000011000000}"/>
    <cellStyle name="Hyperlink" xfId="9" builtinId="8" customBuiltin="1"/>
    <cellStyle name="Left Border" xfId="21" xr:uid="{00000000-0005-0000-0000-000012000000}"/>
    <cellStyle name="Left Bottom Green Border" xfId="22" xr:uid="{00000000-0005-0000-0000-000013000000}"/>
    <cellStyle name="Left Green Border" xfId="23" xr:uid="{00000000-0005-0000-0000-000014000000}"/>
    <cellStyle name="Normal" xfId="0" builtinId="0" customBuiltin="1"/>
    <cellStyle name="Normal 2" xfId="3" xr:uid="{00000000-0005-0000-0000-000015000000}"/>
    <cellStyle name="Normal 3" xfId="32" xr:uid="{00000000-0005-0000-0000-000016000000}"/>
    <cellStyle name="Normal 4" xfId="33" xr:uid="{00000000-0005-0000-0000-000017000000}"/>
    <cellStyle name="Normal 5" xfId="35" xr:uid="{00000000-0005-0000-0000-000018000000}"/>
    <cellStyle name="Normal 5 2" xfId="38" xr:uid="{00000000-0005-0000-0000-000019000000}"/>
    <cellStyle name="Normal 5 2 2" xfId="43" xr:uid="{00000000-0005-0000-0000-00001A000000}"/>
    <cellStyle name="Normal 5 3" xfId="41" xr:uid="{00000000-0005-0000-0000-00001B000000}"/>
    <cellStyle name="OrangeBorder" xfId="24" xr:uid="{00000000-0005-0000-0000-00001C000000}"/>
    <cellStyle name="OrangeBorder 2" xfId="34" xr:uid="{00000000-0005-0000-0000-00001D000000}"/>
    <cellStyle name="Right Bottom Green Border" xfId="25" xr:uid="{00000000-0005-0000-0000-00001E000000}"/>
    <cellStyle name="Right Green Border" xfId="26" xr:uid="{00000000-0005-0000-0000-00001F000000}"/>
    <cellStyle name="Start Text" xfId="2" xr:uid="{00000000-0005-0000-0000-000020000000}"/>
    <cellStyle name="Title 2" xfId="4" xr:uid="{00000000-0005-0000-0000-000021000000}"/>
    <cellStyle name="Title 3" xfId="36" xr:uid="{00000000-0005-0000-0000-000022000000}"/>
    <cellStyle name="Title 4" xfId="37" xr:uid="{00000000-0005-0000-0000-000023000000}"/>
    <cellStyle name="Title 5" xfId="8" xr:uid="{00000000-0005-0000-0000-000024000000}"/>
    <cellStyle name="Year" xfId="27" xr:uid="{00000000-0005-0000-0000-000025000000}"/>
    <cellStyle name="YellowCell" xfId="28" xr:uid="{00000000-0005-0000-0000-000026000000}"/>
    <cellStyle name="YellowCell 2" xfId="31" xr:uid="{00000000-0005-0000-0000-000027000000}"/>
    <cellStyle name="z A Column text" xfId="7" xr:uid="{00000000-0005-0000-0000-000028000000}"/>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topLeftCell="A7" workbookViewId="0">
      <selection activeCell="D13" sqref="D13"/>
    </sheetView>
  </sheetViews>
  <sheetFormatPr defaultRowHeight="14.4"/>
  <cols>
    <col min="1" max="1" width="29.6640625" customWidth="1"/>
    <col min="2" max="3" width="23.5546875" customWidth="1"/>
    <col min="4" max="4" width="20" customWidth="1"/>
    <col min="5" max="5" width="22.33203125" customWidth="1"/>
    <col min="6" max="6" width="21.109375" customWidth="1"/>
  </cols>
  <sheetData>
    <row r="1" spans="1:4">
      <c r="A1" t="s">
        <v>88</v>
      </c>
    </row>
    <row r="2" spans="1:4">
      <c r="A2" t="s">
        <v>89</v>
      </c>
      <c r="B2" t="s">
        <v>90</v>
      </c>
      <c r="C2" s="32" t="s">
        <v>106</v>
      </c>
      <c r="D2" s="32"/>
    </row>
    <row r="3" spans="1:4">
      <c r="A3" t="s">
        <v>92</v>
      </c>
      <c r="B3" t="s">
        <v>91</v>
      </c>
      <c r="C3" t="s">
        <v>104</v>
      </c>
      <c r="D3" t="s">
        <v>105</v>
      </c>
    </row>
    <row r="4" spans="1:4">
      <c r="A4" t="s">
        <v>93</v>
      </c>
      <c r="B4">
        <v>26393</v>
      </c>
      <c r="C4">
        <v>2</v>
      </c>
      <c r="D4">
        <f>B4</f>
        <v>26393</v>
      </c>
    </row>
    <row r="5" spans="1:4">
      <c r="A5" t="s">
        <v>94</v>
      </c>
      <c r="B5">
        <v>60614</v>
      </c>
      <c r="C5">
        <f>D4+1</f>
        <v>26394</v>
      </c>
      <c r="D5">
        <f>C5+B5-2</f>
        <v>87006</v>
      </c>
    </row>
    <row r="6" spans="1:4">
      <c r="A6" t="s">
        <v>95</v>
      </c>
      <c r="B6">
        <v>9209</v>
      </c>
      <c r="C6">
        <f t="shared" ref="C6:C14" si="0">D5+1</f>
        <v>87007</v>
      </c>
      <c r="D6">
        <f t="shared" ref="D6:D14" si="1">C6+B6</f>
        <v>96216</v>
      </c>
    </row>
    <row r="7" spans="1:4">
      <c r="A7" t="s">
        <v>96</v>
      </c>
      <c r="B7">
        <v>42063</v>
      </c>
      <c r="C7">
        <f t="shared" si="0"/>
        <v>96217</v>
      </c>
      <c r="D7">
        <f t="shared" si="1"/>
        <v>138280</v>
      </c>
    </row>
    <row r="8" spans="1:4">
      <c r="A8" t="s">
        <v>97</v>
      </c>
      <c r="B8">
        <v>1047</v>
      </c>
      <c r="C8">
        <f t="shared" si="0"/>
        <v>138281</v>
      </c>
      <c r="D8">
        <f t="shared" si="1"/>
        <v>139328</v>
      </c>
    </row>
    <row r="9" spans="1:4">
      <c r="A9" t="s">
        <v>98</v>
      </c>
      <c r="B9">
        <v>1944</v>
      </c>
      <c r="C9">
        <f t="shared" si="0"/>
        <v>139329</v>
      </c>
      <c r="D9">
        <f t="shared" si="1"/>
        <v>141273</v>
      </c>
    </row>
    <row r="10" spans="1:4">
      <c r="A10" t="s">
        <v>99</v>
      </c>
      <c r="B10">
        <v>8487</v>
      </c>
      <c r="C10">
        <f t="shared" si="0"/>
        <v>141274</v>
      </c>
      <c r="D10">
        <f t="shared" si="1"/>
        <v>149761</v>
      </c>
    </row>
    <row r="11" spans="1:4">
      <c r="A11" t="s">
        <v>100</v>
      </c>
      <c r="B11">
        <v>666</v>
      </c>
      <c r="C11">
        <f t="shared" si="0"/>
        <v>149762</v>
      </c>
      <c r="D11">
        <f t="shared" si="1"/>
        <v>150428</v>
      </c>
    </row>
    <row r="12" spans="1:4">
      <c r="A12" t="s">
        <v>101</v>
      </c>
      <c r="B12">
        <v>48237</v>
      </c>
      <c r="C12">
        <f t="shared" si="0"/>
        <v>150429</v>
      </c>
      <c r="D12">
        <f t="shared" si="1"/>
        <v>198666</v>
      </c>
    </row>
    <row r="13" spans="1:4">
      <c r="A13" t="s">
        <v>102</v>
      </c>
      <c r="B13">
        <v>46049</v>
      </c>
      <c r="C13">
        <f t="shared" si="0"/>
        <v>198667</v>
      </c>
      <c r="D13">
        <f t="shared" si="1"/>
        <v>244716</v>
      </c>
    </row>
    <row r="14" spans="1:4">
      <c r="A14" t="s">
        <v>103</v>
      </c>
      <c r="B14">
        <v>886</v>
      </c>
      <c r="C14">
        <f t="shared" si="0"/>
        <v>244717</v>
      </c>
      <c r="D14">
        <f t="shared" si="1"/>
        <v>245603</v>
      </c>
    </row>
  </sheetData>
  <mergeCells count="1">
    <mergeCell ref="C2:D2"/>
  </mergeCells>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election activeCell="B4" sqref="B4"/>
    </sheetView>
  </sheetViews>
  <sheetFormatPr defaultRowHeight="14.4"/>
  <cols>
    <col min="1" max="1" width="41.5546875" customWidth="1"/>
    <col min="2" max="2" width="17.6640625" customWidth="1"/>
    <col min="3" max="4" width="12.44140625" customWidth="1"/>
    <col min="6" max="6" width="17.6640625" bestFit="1" customWidth="1"/>
    <col min="7" max="9" width="14.44140625" customWidth="1"/>
  </cols>
  <sheetData>
    <row r="1" spans="1:4" ht="18">
      <c r="A1" s="38" t="s">
        <v>4</v>
      </c>
      <c r="B1" s="38"/>
      <c r="C1" s="38"/>
      <c r="D1" s="38"/>
    </row>
    <row r="2" spans="1:4" ht="51" customHeight="1">
      <c r="A2" s="39" t="s">
        <v>87</v>
      </c>
      <c r="B2" s="40"/>
      <c r="C2" s="40"/>
      <c r="D2" s="40"/>
    </row>
    <row r="3" spans="1:4">
      <c r="A3" s="1"/>
    </row>
    <row r="4" spans="1:4">
      <c r="A4" s="1" t="s">
        <v>27</v>
      </c>
      <c r="B4" s="2">
        <f ca="1">TODAY()</f>
        <v>45792</v>
      </c>
    </row>
    <row r="6" spans="1:4">
      <c r="A6" t="s">
        <v>84</v>
      </c>
      <c r="B6" t="s">
        <v>85</v>
      </c>
    </row>
    <row r="7" spans="1:4">
      <c r="A7" t="s">
        <v>58</v>
      </c>
      <c r="B7">
        <v>7</v>
      </c>
    </row>
    <row r="8" spans="1:4">
      <c r="A8" t="s">
        <v>59</v>
      </c>
      <c r="B8" s="28" t="str">
        <f ca="1">TEXT(Date_Input+Days, preferred_date_format)</f>
        <v>2025-05-22</v>
      </c>
    </row>
    <row r="9" spans="1:4">
      <c r="A9" t="s">
        <v>60</v>
      </c>
      <c r="B9" s="28" t="str">
        <f ca="1">TEXT(WORKDAY(Date_Input, Days),preferred_date_format)</f>
        <v>2025-05-26</v>
      </c>
    </row>
    <row r="10" spans="1:4">
      <c r="A10" t="s">
        <v>13</v>
      </c>
      <c r="B10" s="29" t="str">
        <f ca="1">TEXT(Date_Input,"YYYYMMDD")</f>
        <v>20250515</v>
      </c>
    </row>
    <row r="12" spans="1:4">
      <c r="A12" t="s">
        <v>26</v>
      </c>
      <c r="B12" s="28" t="str">
        <f ca="1">TEXT(TODAY(), preferred_date_format)</f>
        <v>2025-05-15</v>
      </c>
    </row>
    <row r="13" spans="1:4">
      <c r="A13" t="s">
        <v>14</v>
      </c>
      <c r="B13" s="28" t="str">
        <f ca="1">TEXT(TODAY()-WEEKDAY(TODAY(),2)-6, preferred_date_format)</f>
        <v>2025-05-05</v>
      </c>
      <c r="C13" s="28" t="str">
        <f ca="1">TEXT(LastWeekMonday+4, preferred_date_format)</f>
        <v>2025-05-09</v>
      </c>
      <c r="D13" s="30" t="str">
        <f ca="1">TEXT(LastWeekFriday+2, preferred_date_format)</f>
        <v>2025-05-11</v>
      </c>
    </row>
    <row r="14" spans="1:4">
      <c r="A14" t="s">
        <v>0</v>
      </c>
      <c r="B14" s="28" t="str">
        <f ca="1">TEXT(DATE(YEAR(TODAY()), MONTH(TODAY())-1, 1), preferred_date_format)</f>
        <v>2025-04-01</v>
      </c>
      <c r="C14" s="28" t="str">
        <f ca="1">TEXT(DATE(YEAR(TODAY()), MONTH(TODAY()), 0), preferred_date_format)</f>
        <v>2025-04-30</v>
      </c>
    </row>
    <row r="15" spans="1:4">
      <c r="A15" t="s">
        <v>1</v>
      </c>
      <c r="B15" s="28" t="str">
        <f ca="1">TEXT(WORKDAY(DATE(YEAR(TODAY()),MONTH(TODAY()),1)-1,1), preferred_date_format)</f>
        <v>2025-05-01</v>
      </c>
      <c r="C15" s="28" t="str">
        <f ca="1">TEXT(WORKDAY(DATE(YEAR(TODAY()),MONTH(TODAY())+1,1),-1), preferred_date_format)</f>
        <v>2025-05-30</v>
      </c>
    </row>
    <row r="16" spans="1:4" ht="15" thickBot="1"/>
    <row r="17" spans="1:6" ht="15" thickBot="1">
      <c r="A17" s="35" t="s">
        <v>18</v>
      </c>
      <c r="B17" s="36"/>
      <c r="C17" s="36"/>
      <c r="D17" s="37"/>
    </row>
    <row r="18" spans="1:6">
      <c r="A18" s="11" t="s">
        <v>19</v>
      </c>
      <c r="D18" s="6"/>
    </row>
    <row r="19" spans="1:6">
      <c r="A19" s="12" t="s">
        <v>20</v>
      </c>
      <c r="B19" s="33" t="s">
        <v>11</v>
      </c>
      <c r="C19" s="33"/>
      <c r="D19" s="34"/>
    </row>
    <row r="20" spans="1:6">
      <c r="A20" s="12" t="s">
        <v>23</v>
      </c>
      <c r="B20" s="5" t="s">
        <v>9</v>
      </c>
      <c r="C20" t="s">
        <v>10</v>
      </c>
      <c r="D20" s="6" t="s">
        <v>12</v>
      </c>
    </row>
    <row r="21" spans="1:6">
      <c r="A21" s="12" t="s">
        <v>24</v>
      </c>
      <c r="B21" t="s">
        <v>8</v>
      </c>
      <c r="D21" s="6"/>
    </row>
    <row r="22" spans="1:6">
      <c r="A22" s="13" t="s">
        <v>21</v>
      </c>
      <c r="D22" s="6"/>
    </row>
    <row r="23" spans="1:6">
      <c r="A23" s="12" t="s">
        <v>28</v>
      </c>
      <c r="B23" t="str">
        <f>LEFT(B19, FIND(B20, B19)-1)</f>
        <v>2008</v>
      </c>
      <c r="C23" t="str">
        <f>RIGHT(B19, LEN(B19)-LEN(B23)-1)</f>
        <v>12月31日 (水)</v>
      </c>
      <c r="D23" s="6" t="str">
        <f>IF(D20&lt;&gt;"", LEFT(C23, FIND(D20, C23)-1), C23)</f>
        <v>12月31</v>
      </c>
    </row>
    <row r="24" spans="1:6">
      <c r="A24" s="12" t="s">
        <v>29</v>
      </c>
      <c r="B24" t="str">
        <f>LEFT(C23, FIND(C20, C23)-1)</f>
        <v>12</v>
      </c>
      <c r="D24" s="6"/>
    </row>
    <row r="25" spans="1:6">
      <c r="A25" s="12" t="s">
        <v>30</v>
      </c>
      <c r="B25" t="str">
        <f>RIGHT(D23, LEN(D23)-LEN(B24)-1)</f>
        <v>31</v>
      </c>
      <c r="D25" s="6"/>
    </row>
    <row r="26" spans="1:6">
      <c r="A26" s="12" t="s">
        <v>31</v>
      </c>
      <c r="B26" t="str">
        <f>IF(FIND("Y", B21) = 1, B23, IF(FIND("Y", B21) = 2, B24, B25))</f>
        <v>2008</v>
      </c>
      <c r="D26" s="6"/>
      <c r="F26">
        <f>FIND("Y", B21)</f>
        <v>1</v>
      </c>
    </row>
    <row r="27" spans="1:6">
      <c r="A27" s="12" t="s">
        <v>32</v>
      </c>
      <c r="B27" t="str">
        <f>IF(FIND("M", B21) = 1, B23, IF(FIND("M", B21) = 2, B24, B25))</f>
        <v>12</v>
      </c>
      <c r="D27" s="6"/>
    </row>
    <row r="28" spans="1:6">
      <c r="A28" s="12" t="s">
        <v>33</v>
      </c>
      <c r="B28" t="str">
        <f>IF(FIND("D", B21) = 1, B23, IF(FIND("D", B21) = 2, B24, B25))</f>
        <v>31</v>
      </c>
      <c r="D28" s="6"/>
    </row>
    <row r="29" spans="1:6">
      <c r="A29" s="13" t="s">
        <v>22</v>
      </c>
      <c r="D29" s="6"/>
    </row>
    <row r="30" spans="1:6">
      <c r="A30" s="31" t="s">
        <v>86</v>
      </c>
      <c r="B30" t="str">
        <f>preferred_date_format</f>
        <v>yyyy-mm-dd</v>
      </c>
      <c r="D30" s="6"/>
    </row>
    <row r="31" spans="1:6" ht="15" thickBot="1">
      <c r="A31" s="14" t="s">
        <v>25</v>
      </c>
      <c r="B31" s="7" t="str">
        <f>TEXT(DATE(B26, B27, B28), B30)</f>
        <v>2008-12-31</v>
      </c>
      <c r="C31" s="8"/>
      <c r="D31" s="9"/>
    </row>
  </sheetData>
  <mergeCells count="4">
    <mergeCell ref="B19:D19"/>
    <mergeCell ref="A17:D17"/>
    <mergeCell ref="A1:D1"/>
    <mergeCell ref="A2:D2"/>
  </mergeCells>
  <phoneticPr fontId="1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B4" sqref="B4"/>
    </sheetView>
  </sheetViews>
  <sheetFormatPr defaultRowHeight="14.4"/>
  <cols>
    <col min="1" max="1" width="20.33203125" bestFit="1" customWidth="1"/>
    <col min="2" max="2" width="40.88671875" customWidth="1"/>
    <col min="4" max="4" width="14.33203125" bestFit="1" customWidth="1"/>
    <col min="5" max="5" width="15.33203125" bestFit="1" customWidth="1"/>
    <col min="6" max="7" width="13.44140625" bestFit="1" customWidth="1"/>
  </cols>
  <sheetData>
    <row r="1" spans="1:6" ht="18">
      <c r="A1" s="38" t="s">
        <v>53</v>
      </c>
      <c r="B1" s="38"/>
      <c r="C1" s="38"/>
      <c r="D1" s="38"/>
      <c r="E1" s="38"/>
      <c r="F1" s="38"/>
    </row>
    <row r="2" spans="1:6" s="3" customFormat="1" ht="15" customHeight="1">
      <c r="A2" s="39" t="s">
        <v>76</v>
      </c>
      <c r="B2" s="39"/>
      <c r="C2" s="39"/>
      <c r="D2" s="39"/>
      <c r="E2" s="39"/>
      <c r="F2" s="39"/>
    </row>
    <row r="4" spans="1:6">
      <c r="A4" t="s">
        <v>54</v>
      </c>
      <c r="B4" s="18" t="s">
        <v>65</v>
      </c>
      <c r="C4" t="s">
        <v>64</v>
      </c>
      <c r="D4" s="3" t="s">
        <v>61</v>
      </c>
      <c r="E4" s="3" t="s">
        <v>62</v>
      </c>
      <c r="F4" s="3" t="s">
        <v>63</v>
      </c>
    </row>
    <row r="5" spans="1:6">
      <c r="A5" t="s">
        <v>44</v>
      </c>
      <c r="B5" t="str">
        <f>TRIM(B4)</f>
        <v>John C. Doe</v>
      </c>
      <c r="C5" t="s">
        <v>64</v>
      </c>
      <c r="D5" t="s">
        <v>15</v>
      </c>
      <c r="E5" t="s">
        <v>66</v>
      </c>
      <c r="F5" s="17" t="str">
        <f>TRIM(MID(Text_Input, FIND(D5,Text_Input)+LEN(D5), IFERROR(FIND(IF(E5="",CHAR(10),E5),Text_Input,FIND(D5,Text_Input)+LEN(D5)),LEN(Text_Input)+1)-FIND(D5,Text_Input)-LEN(D5)))</f>
        <v>C.</v>
      </c>
    </row>
    <row r="6" spans="1:6">
      <c r="A6" t="s">
        <v>45</v>
      </c>
      <c r="B6">
        <f>LEN(B4)</f>
        <v>11</v>
      </c>
      <c r="C6" t="s">
        <v>64</v>
      </c>
      <c r="D6" t="s">
        <v>15</v>
      </c>
      <c r="F6" s="17" t="str">
        <f>TRIM(MID(Text_Input, FIND(D6,Text_Input)+LEN(D6), IFERROR(FIND(IF(E6="",CHAR(10),E6),Text_Input,FIND(D6,Text_Input)+LEN(D6)),LEN(Text_Input)+1)-FIND(D6,Text_Input)-LEN(D6)))</f>
        <v>C. Doe</v>
      </c>
    </row>
    <row r="7" spans="1:6">
      <c r="A7" t="s">
        <v>46</v>
      </c>
      <c r="B7" t="str">
        <f>UPPER(B4)</f>
        <v>JOHN C. DOE</v>
      </c>
      <c r="C7" t="s">
        <v>64</v>
      </c>
      <c r="E7" t="s">
        <v>66</v>
      </c>
      <c r="F7" s="17" t="str">
        <f>TRIM(MID(Text_Input, FIND(D7,Text_Input)+LEN(D7), IFERROR(FIND(IF(E7="",CHAR(10),E7),Text_Input,FIND(D7,Text_Input)+LEN(D7)),LEN(Text_Input)+1)-FIND(D7,Text_Input)-LEN(D7)))</f>
        <v>John C.</v>
      </c>
    </row>
    <row r="8" spans="1:6">
      <c r="A8" t="s">
        <v>47</v>
      </c>
      <c r="B8" t="str">
        <f>LOWER(B4)</f>
        <v>john c. doe</v>
      </c>
      <c r="C8" t="s">
        <v>64</v>
      </c>
      <c r="D8" t="s">
        <v>67</v>
      </c>
      <c r="F8" s="17" t="str">
        <f>TRIM(MID(Text_Input, FIND(D8,Text_Input)+LEN(D8), IFERROR(FIND(IF(E8="",CHAR(10),E8),Text_Input,FIND(D8,Text_Input)+LEN(D8)),LEN(Text_Input)+1)-FIND(D8,Text_Input)-LEN(D8)))</f>
        <v>Doe</v>
      </c>
    </row>
    <row r="9" spans="1:6">
      <c r="C9" t="s">
        <v>64</v>
      </c>
      <c r="F9" s="17" t="str">
        <f>TRIM(MID(Text_Input, FIND(D9,Text_Input)+LEN(D9), IFERROR(FIND(IF(E9="",CHAR(10),E9),Text_Input,FIND(D9,Text_Input)+LEN(D9)),LEN(Text_Input)+1)-FIND(D9,Text_Input)-LEN(D9)))</f>
        <v>John C. Doe</v>
      </c>
    </row>
    <row r="10" spans="1:6">
      <c r="A10" t="s">
        <v>48</v>
      </c>
      <c r="B10" t="s">
        <v>15</v>
      </c>
      <c r="C10" t="s">
        <v>64</v>
      </c>
    </row>
    <row r="11" spans="1:6">
      <c r="A11" t="s">
        <v>49</v>
      </c>
      <c r="B11" t="s">
        <v>16</v>
      </c>
      <c r="C11" t="s">
        <v>64</v>
      </c>
    </row>
    <row r="12" spans="1:6">
      <c r="A12" t="s">
        <v>50</v>
      </c>
      <c r="B12" t="str">
        <f>SUBSTITUTE(Text_Input, B10, B11)</f>
        <v>Mary C. Doe</v>
      </c>
      <c r="C12" t="s">
        <v>64</v>
      </c>
    </row>
    <row r="13" spans="1:6">
      <c r="A13" t="s">
        <v>3</v>
      </c>
      <c r="B13" t="b">
        <f>IF(IFERROR(FIND(B10,_xlfn.SINGLE( Text_Input)), FALSE), TRUE, FALSE)</f>
        <v>1</v>
      </c>
      <c r="C13" t="s">
        <v>64</v>
      </c>
    </row>
    <row r="14" spans="1:6">
      <c r="C14" t="s">
        <v>64</v>
      </c>
    </row>
    <row r="15" spans="1:6">
      <c r="A15" t="s">
        <v>51</v>
      </c>
      <c r="B15" t="str">
        <f>LEFT(Text_Input, LEN(Text_Input)-LEN(LastName)-1)</f>
        <v>John C.</v>
      </c>
      <c r="C15" t="s">
        <v>64</v>
      </c>
    </row>
    <row r="16" spans="1:6">
      <c r="A16" t="s">
        <v>52</v>
      </c>
      <c r="B16" t="str">
        <f>TRIM(RIGHT(SUBSTITUTE(B4," ",REPT(" ",LEN(B4))),LEN(B4)))</f>
        <v>Doe</v>
      </c>
      <c r="C16" t="s">
        <v>64</v>
      </c>
    </row>
    <row r="17" spans="3:3">
      <c r="C17" t="s">
        <v>64</v>
      </c>
    </row>
  </sheetData>
  <mergeCells count="2">
    <mergeCell ref="A1:F1"/>
    <mergeCell ref="A2:F2"/>
  </mergeCells>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activeCell="B4" sqref="B4"/>
    </sheetView>
  </sheetViews>
  <sheetFormatPr defaultRowHeight="14.4"/>
  <cols>
    <col min="1" max="1" width="24.6640625" customWidth="1"/>
    <col min="2" max="2" width="25.6640625" customWidth="1"/>
    <col min="4" max="4" width="20.88671875" bestFit="1" customWidth="1"/>
    <col min="5" max="5" width="15.88671875" customWidth="1"/>
  </cols>
  <sheetData>
    <row r="1" spans="1:5" ht="18">
      <c r="A1" s="38" t="s">
        <v>2</v>
      </c>
      <c r="B1" s="38"/>
      <c r="C1" s="27"/>
      <c r="D1" s="27"/>
    </row>
    <row r="2" spans="1:5" ht="15" customHeight="1">
      <c r="A2" s="39" t="s">
        <v>77</v>
      </c>
      <c r="B2" s="39"/>
      <c r="C2" s="26"/>
      <c r="D2" s="26"/>
    </row>
    <row r="3" spans="1:5">
      <c r="A3" s="26"/>
      <c r="B3" s="26"/>
      <c r="C3" s="26"/>
      <c r="D3" s="26"/>
    </row>
    <row r="4" spans="1:5">
      <c r="A4" t="s">
        <v>37</v>
      </c>
      <c r="B4" s="18">
        <v>3.1415929999999999</v>
      </c>
    </row>
    <row r="5" spans="1:5">
      <c r="A5" t="s">
        <v>68</v>
      </c>
      <c r="B5">
        <f>VALUE(TRIM(SUBSTITUTE(SUBSTITUTE(SUBSTITUTE(Number_Input, CHAR(13), ""), CHAR(10), ""), CHAR(160), "")))</f>
        <v>3.1415929999999999</v>
      </c>
    </row>
    <row r="6" spans="1:5">
      <c r="A6" t="s">
        <v>38</v>
      </c>
      <c r="B6">
        <f>INT(CleanNumber)</f>
        <v>3</v>
      </c>
    </row>
    <row r="7" spans="1:5">
      <c r="A7" t="s">
        <v>39</v>
      </c>
      <c r="B7">
        <f>INT(CleanNumber*100)/100</f>
        <v>3.14</v>
      </c>
    </row>
    <row r="8" spans="1:5" ht="15" thickBot="1"/>
    <row r="9" spans="1:5" ht="15" thickBot="1">
      <c r="A9" s="35" t="s">
        <v>17</v>
      </c>
      <c r="B9" s="37"/>
    </row>
    <row r="10" spans="1:5">
      <c r="A10" s="11" t="s">
        <v>19</v>
      </c>
      <c r="B10" s="6"/>
    </row>
    <row r="11" spans="1:5">
      <c r="A11" s="12" t="s">
        <v>20</v>
      </c>
      <c r="B11" s="6" t="s">
        <v>6</v>
      </c>
    </row>
    <row r="12" spans="1:5">
      <c r="A12" s="12" t="s">
        <v>34</v>
      </c>
      <c r="B12" s="6" t="s">
        <v>5</v>
      </c>
      <c r="E12" s="4"/>
    </row>
    <row r="13" spans="1:5">
      <c r="A13" s="12" t="s">
        <v>35</v>
      </c>
      <c r="B13" s="6" t="s">
        <v>7</v>
      </c>
    </row>
    <row r="14" spans="1:5">
      <c r="A14" s="13" t="s">
        <v>22</v>
      </c>
      <c r="B14" s="6"/>
    </row>
    <row r="15" spans="1:5" ht="15" thickBot="1">
      <c r="A15" s="14" t="s">
        <v>36</v>
      </c>
      <c r="B15" s="10">
        <f>IF(B12&lt;&gt;"",IF(B13&lt;&gt;"",_xlfn.NUMBERVALUE(B11, B12, B13),_xlfn.NUMBERVALUE(B11, B12)),IF(B13&lt;&gt;"",_xlfn.NUMBERVALUE(B11,, B13),_xlfn.NUMBERVALUE(B11)))</f>
        <v>123456.78</v>
      </c>
    </row>
  </sheetData>
  <mergeCells count="3">
    <mergeCell ref="A1:B1"/>
    <mergeCell ref="A2:B2"/>
    <mergeCell ref="A9:B9"/>
  </mergeCells>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B6" sqref="B6"/>
    </sheetView>
  </sheetViews>
  <sheetFormatPr defaultRowHeight="14.4"/>
  <cols>
    <col min="1" max="1" width="32.44140625" bestFit="1" customWidth="1"/>
    <col min="2" max="2" width="42" customWidth="1"/>
    <col min="3" max="4" width="15.109375" customWidth="1"/>
  </cols>
  <sheetData>
    <row r="1" spans="1:4" ht="18">
      <c r="A1" s="38" t="s">
        <v>78</v>
      </c>
      <c r="B1" s="38"/>
      <c r="C1" s="27"/>
      <c r="D1" s="27"/>
    </row>
    <row r="2" spans="1:4" ht="15" customHeight="1">
      <c r="A2" s="39" t="s">
        <v>79</v>
      </c>
      <c r="B2" s="39"/>
      <c r="C2" s="26"/>
      <c r="D2" s="26"/>
    </row>
    <row r="3" spans="1:4" ht="15" thickBot="1">
      <c r="A3" s="26"/>
      <c r="B3" s="26"/>
      <c r="C3" s="26"/>
      <c r="D3" s="26"/>
    </row>
    <row r="4" spans="1:4" ht="15.75" customHeight="1" thickBot="1">
      <c r="A4" s="35" t="s">
        <v>55</v>
      </c>
      <c r="B4" s="37"/>
    </row>
    <row r="5" spans="1:4" ht="15" thickBot="1">
      <c r="A5" s="11" t="s">
        <v>43</v>
      </c>
      <c r="B5" s="6"/>
    </row>
    <row r="6" spans="1:4">
      <c r="A6" s="15" t="s">
        <v>40</v>
      </c>
      <c r="B6" s="16" t="s">
        <v>83</v>
      </c>
    </row>
    <row r="7" spans="1:4">
      <c r="A7" s="11" t="s">
        <v>22</v>
      </c>
      <c r="B7" s="6"/>
    </row>
    <row r="8" spans="1:4">
      <c r="A8" s="12" t="s">
        <v>40</v>
      </c>
      <c r="B8" s="6" t="str">
        <f>TRIM(RIGHT(SUBSTITUTE(B6,"\",REPT(" ",LEN(B6))),LEN(B6)))</f>
        <v>Untitled Document.docx</v>
      </c>
    </row>
    <row r="9" spans="1:4">
      <c r="A9" s="12" t="s">
        <v>42</v>
      </c>
      <c r="B9" s="6" t="str">
        <f>TRIM(RIGHT(SUBSTITUTE(B8,".",REPT(" ",LEN(B8))),LEN(B8)))</f>
        <v>docx</v>
      </c>
    </row>
    <row r="10" spans="1:4">
      <c r="A10" s="12" t="s">
        <v>41</v>
      </c>
      <c r="B10" s="6" t="str">
        <f>LEFT(B8, LEN(B8)-LEN(B9)-1)</f>
        <v>Untitled Document</v>
      </c>
    </row>
    <row r="11" spans="1:4" ht="15" thickBot="1">
      <c r="A11" s="14" t="s">
        <v>56</v>
      </c>
      <c r="B11" s="9" t="str">
        <f>LEFT(B6, LEN(B6)-LEN(B8))</f>
        <v>C:\temp\</v>
      </c>
    </row>
    <row r="15" spans="1:4">
      <c r="A15" t="s">
        <v>57</v>
      </c>
      <c r="B15" t="str">
        <f>FileNameNoExtension &amp; "." &amp; FileExtension</f>
        <v>Untitled Document.docx</v>
      </c>
    </row>
  </sheetData>
  <mergeCells count="3">
    <mergeCell ref="A4:B4"/>
    <mergeCell ref="A1:B1"/>
    <mergeCell ref="A2:B2"/>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showGridLines="0" showRowColHeaders="0" workbookViewId="0">
      <selection activeCell="A2" sqref="A2"/>
    </sheetView>
  </sheetViews>
  <sheetFormatPr defaultColWidth="8.88671875" defaultRowHeight="14.4"/>
  <cols>
    <col min="1" max="1" width="165.5546875" customWidth="1"/>
    <col min="2" max="2" width="15.44140625" customWidth="1"/>
    <col min="3" max="3" width="15.33203125" bestFit="1" customWidth="1"/>
    <col min="4" max="4" width="13.44140625" bestFit="1" customWidth="1"/>
    <col min="5" max="5" width="10.6640625" bestFit="1" customWidth="1"/>
  </cols>
  <sheetData>
    <row r="1" spans="1:5" ht="5.25" customHeight="1">
      <c r="A1" s="22"/>
    </row>
    <row r="2" spans="1:5" ht="34.799999999999997">
      <c r="A2" s="25" t="s">
        <v>69</v>
      </c>
    </row>
    <row r="3" spans="1:5" ht="36">
      <c r="A3" s="24" t="s">
        <v>82</v>
      </c>
    </row>
    <row r="4" spans="1:5">
      <c r="A4" s="21"/>
      <c r="D4" s="19"/>
    </row>
    <row r="5" spans="1:5">
      <c r="A5" s="20" t="s">
        <v>71</v>
      </c>
      <c r="E5" s="2"/>
    </row>
    <row r="6" spans="1:5">
      <c r="A6" s="23" t="s">
        <v>80</v>
      </c>
    </row>
    <row r="7" spans="1:5">
      <c r="A7" s="23" t="s">
        <v>70</v>
      </c>
    </row>
    <row r="8" spans="1:5">
      <c r="A8" s="21"/>
    </row>
    <row r="9" spans="1:5">
      <c r="A9" s="21"/>
    </row>
    <row r="10" spans="1:5">
      <c r="A10" s="21"/>
    </row>
    <row r="11" spans="1:5">
      <c r="A11" s="21"/>
    </row>
    <row r="12" spans="1:5">
      <c r="A12" s="21"/>
    </row>
    <row r="13" spans="1:5">
      <c r="A13" s="21"/>
    </row>
    <row r="14" spans="1:5">
      <c r="A14" s="21"/>
    </row>
    <row r="15" spans="1:5">
      <c r="A15" s="21"/>
    </row>
    <row r="16" spans="1:5">
      <c r="A16" s="21"/>
    </row>
    <row r="17" spans="1:1">
      <c r="A17" s="21"/>
    </row>
    <row r="18" spans="1:1">
      <c r="A18" s="21"/>
    </row>
    <row r="19" spans="1:1">
      <c r="A19" s="21"/>
    </row>
    <row r="20" spans="1:1">
      <c r="A20" s="21"/>
    </row>
    <row r="21" spans="1:1">
      <c r="A21" s="21"/>
    </row>
    <row r="22" spans="1:1">
      <c r="A22" s="21"/>
    </row>
    <row r="23" spans="1:1">
      <c r="A23" s="20" t="s">
        <v>72</v>
      </c>
    </row>
    <row r="24" spans="1:1">
      <c r="A24" s="23" t="s">
        <v>73</v>
      </c>
    </row>
    <row r="25" spans="1:1">
      <c r="A25" s="23" t="s">
        <v>74</v>
      </c>
    </row>
    <row r="26" spans="1:1">
      <c r="A26" s="23" t="s">
        <v>81</v>
      </c>
    </row>
    <row r="27" spans="1:1">
      <c r="A27" s="23" t="s">
        <v>75</v>
      </c>
    </row>
  </sheetData>
  <phoneticPr fontId="17"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42</vt:i4>
      </vt:variant>
    </vt:vector>
  </HeadingPairs>
  <TitlesOfParts>
    <vt:vector size="48" baseType="lpstr">
      <vt:lpstr>Scratchpad</vt:lpstr>
      <vt:lpstr>Date</vt:lpstr>
      <vt:lpstr>Text</vt:lpstr>
      <vt:lpstr>Number</vt:lpstr>
      <vt:lpstr>File</vt:lpstr>
      <vt:lpstr>About the Project Notebook</vt:lpstr>
      <vt:lpstr>_A1</vt:lpstr>
      <vt:lpstr>_A2</vt:lpstr>
      <vt:lpstr>_A3</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mhkusr16 RPA PROJECT</cp:lastModifiedBy>
  <dcterms:created xsi:type="dcterms:W3CDTF">2019-08-19T13:07:58Z</dcterms:created>
  <dcterms:modified xsi:type="dcterms:W3CDTF">2025-05-15T03:06:58Z</dcterms:modified>
</cp:coreProperties>
</file>