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ex Wong\Documents\MIH Consolidated ac 2026\Exchange Rate\AR Rate\"/>
    </mc:Choice>
  </mc:AlternateContent>
  <xr:revisionPtr revIDLastSave="0" documentId="8_{C05D57CE-D0B0-4B58-B83C-F8343D8202BB}" xr6:coauthVersionLast="47" xr6:coauthVersionMax="47" xr10:uidLastSave="{00000000-0000-0000-0000-000000000000}"/>
  <bookViews>
    <workbookView xWindow="-120" yWindow="-120" windowWidth="29040" windowHeight="15720" xr2:uid="{9731B05C-EA5C-43BF-BB79-E350B3A1C801}"/>
  </bookViews>
  <sheets>
    <sheet name="Exchange rate table" sheetId="1" r:id="rId1"/>
    <sheet name="AR" sheetId="2" state="hidden" r:id="rId2"/>
    <sheet name="AP" sheetId="3" state="hidden" r:id="rId3"/>
    <sheet name="Pacific Exchange Rate Service" sheetId="4" r:id="rId4"/>
  </sheets>
  <definedNames>
    <definedName name="Excel_BuiltIn__FilterDatabase" localSheetId="3">'Pacific Exchange Rate Service'!$A$1:$V$2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4" l="1"/>
  <c r="O3" i="4"/>
  <c r="P3" i="4"/>
  <c r="Q3" i="4"/>
  <c r="R3" i="4"/>
  <c r="S3" i="4"/>
  <c r="T3" i="4"/>
  <c r="U3" i="4"/>
  <c r="V3" i="4"/>
  <c r="W3" i="4"/>
  <c r="A9" i="1"/>
  <c r="H11" i="1"/>
  <c r="H18" i="1"/>
  <c r="E18" i="1" s="1"/>
  <c r="K18" i="1" s="1"/>
  <c r="H19" i="1"/>
  <c r="E19" i="1" s="1"/>
  <c r="K19" i="1" s="1"/>
  <c r="H20" i="1"/>
  <c r="E20" i="1" s="1"/>
  <c r="K20" i="1" s="1"/>
  <c r="H21" i="1"/>
  <c r="E21" i="1" s="1"/>
  <c r="K21" i="1" s="1"/>
  <c r="H22" i="1"/>
  <c r="E22" i="1" s="1"/>
  <c r="K22" i="1" s="1"/>
  <c r="K23" i="1"/>
  <c r="K24" i="1"/>
  <c r="H16" i="1" l="1"/>
  <c r="E16" i="1" s="1"/>
  <c r="K16" i="1" s="1"/>
  <c r="H14" i="1"/>
  <c r="E14" i="1" s="1"/>
  <c r="K14" i="1" s="1"/>
  <c r="H17" i="1"/>
  <c r="E17" i="1" s="1"/>
  <c r="K17" i="1" s="1"/>
  <c r="H13" i="1"/>
  <c r="E13" i="1" s="1"/>
  <c r="K13" i="1" s="1"/>
  <c r="H15" i="1"/>
  <c r="E15" i="1" s="1"/>
  <c r="F24" i="1" l="1"/>
  <c r="K15" i="1"/>
</calcChain>
</file>

<file path=xl/sharedStrings.xml><?xml version="1.0" encoding="utf-8"?>
<sst xmlns="http://schemas.openxmlformats.org/spreadsheetml/2006/main" count="125" uniqueCount="99">
  <si>
    <t>DATE :</t>
  </si>
  <si>
    <t xml:space="preserve">FROM : </t>
  </si>
  <si>
    <t>ALEX</t>
  </si>
  <si>
    <t xml:space="preserve">TO : </t>
  </si>
  <si>
    <t>FINANCE DEPARTMENT</t>
  </si>
  <si>
    <t>(Just for reference)</t>
  </si>
  <si>
    <t>(FOR STC ONLY)</t>
  </si>
  <si>
    <t>Last Month</t>
  </si>
  <si>
    <t>CURRENCY</t>
  </si>
  <si>
    <t xml:space="preserve">UNIT </t>
  </si>
  <si>
    <t>HK DOLLAR</t>
  </si>
  <si>
    <t>CNY</t>
  </si>
  <si>
    <t>Market Rate</t>
  </si>
  <si>
    <t>Epicor AR-Rate</t>
  </si>
  <si>
    <t>Change +/-%</t>
  </si>
  <si>
    <t>Tolerance rate</t>
  </si>
  <si>
    <t>AUSTRALIAN DOLLAR</t>
  </si>
  <si>
    <t>AUD</t>
  </si>
  <si>
    <t>+/- $0.1</t>
  </si>
  <si>
    <t>CANADIAN DOLLAR</t>
  </si>
  <si>
    <t>CAD</t>
  </si>
  <si>
    <t>CHINESE YUAN</t>
  </si>
  <si>
    <t>+/- $0.01</t>
  </si>
  <si>
    <t>EURO</t>
  </si>
  <si>
    <t>EUR</t>
  </si>
  <si>
    <t>POUND STERLING</t>
  </si>
  <si>
    <t>GBP</t>
  </si>
  <si>
    <t xml:space="preserve">JAPANESE YEN </t>
  </si>
  <si>
    <t>JPY</t>
  </si>
  <si>
    <t>+/- $0.00</t>
  </si>
  <si>
    <t>NEW TAIWANESE DOLLAR</t>
  </si>
  <si>
    <t>NTD</t>
  </si>
  <si>
    <t>SINGAPORE DOLLAR</t>
  </si>
  <si>
    <t>SGD</t>
  </si>
  <si>
    <t>THAILAND BAHT</t>
  </si>
  <si>
    <t>THB</t>
  </si>
  <si>
    <t>SWISS FRANCS</t>
  </si>
  <si>
    <t>CHF</t>
  </si>
  <si>
    <t>U.S. DOLLAR</t>
  </si>
  <si>
    <t>USD</t>
  </si>
  <si>
    <t>HKD</t>
  </si>
  <si>
    <t>MHK :</t>
  </si>
  <si>
    <t>MMC :</t>
  </si>
  <si>
    <t>MTC :</t>
  </si>
  <si>
    <t>MXL :</t>
  </si>
  <si>
    <t>AR EXCHANGE RATE FOR 2019</t>
  </si>
  <si>
    <t>MTH</t>
  </si>
  <si>
    <t>DEC 18</t>
  </si>
  <si>
    <t>JAN 19</t>
  </si>
  <si>
    <t>FEB 19</t>
  </si>
  <si>
    <t>MAR 19</t>
  </si>
  <si>
    <t>APR 19</t>
  </si>
  <si>
    <t>MAY 19</t>
  </si>
  <si>
    <t>JUN 19</t>
  </si>
  <si>
    <t>JUL 19</t>
  </si>
  <si>
    <t>AUG 19</t>
  </si>
  <si>
    <t>SEP 19</t>
  </si>
  <si>
    <t>OCT 19</t>
  </si>
  <si>
    <t>NOV 19</t>
  </si>
  <si>
    <t>DEC 19</t>
  </si>
  <si>
    <t>JAN 20</t>
  </si>
  <si>
    <t>FEB 20</t>
  </si>
  <si>
    <t>MAR 20</t>
  </si>
  <si>
    <t>APR 20</t>
  </si>
  <si>
    <t>MAY 20</t>
  </si>
  <si>
    <t>JUN 20</t>
  </si>
  <si>
    <t>JUL 20</t>
  </si>
  <si>
    <t>AUG 20</t>
  </si>
  <si>
    <t>SEP 20</t>
  </si>
  <si>
    <t>OCT 20</t>
  </si>
  <si>
    <t>NOV 20</t>
  </si>
  <si>
    <t>DEC 20</t>
  </si>
  <si>
    <t>AP STANDARD EXCHANGE RATE</t>
  </si>
  <si>
    <t>PACIFIC Exchange Rate Service</t>
  </si>
  <si>
    <t>Convert to HKD and re-arrange the sequence</t>
  </si>
  <si>
    <t>Jul.Day</t>
  </si>
  <si>
    <t>YYYY/MM/DD</t>
  </si>
  <si>
    <t>Wdy</t>
  </si>
  <si>
    <t>USD/CAD</t>
  </si>
  <si>
    <t>USD/EUR</t>
  </si>
  <si>
    <t>USD/GBP</t>
  </si>
  <si>
    <t>USD/JPY</t>
  </si>
  <si>
    <t>USD/AUD</t>
  </si>
  <si>
    <t>USD/CNY</t>
  </si>
  <si>
    <t>USD/SGD</t>
  </si>
  <si>
    <t>USD/CHF</t>
  </si>
  <si>
    <t>USD/TWD</t>
  </si>
  <si>
    <t>USD/THB</t>
  </si>
  <si>
    <t>HKD/AUD</t>
  </si>
  <si>
    <t>HKD/CAD</t>
  </si>
  <si>
    <t>HKD/CNY</t>
  </si>
  <si>
    <t>HKD/EUR</t>
  </si>
  <si>
    <t>HKD/GBP</t>
  </si>
  <si>
    <t>HKD/JPY</t>
  </si>
  <si>
    <t>HKD/NTD</t>
  </si>
  <si>
    <t>HKD/SGD</t>
  </si>
  <si>
    <t>HKD/THB</t>
  </si>
  <si>
    <t>HKD/CHF</t>
  </si>
  <si>
    <t>Fri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</si>
</sst>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&quot;HK$&quot;* #,##0.00_);_(&quot;HK$&quot;* \(#,##0.00\);_(&quot;HK$&quot;* \-??_);_(@_)"/>
    <numFmt numFmtId="165" formatCode="dd\-mmm\-yyyy"/>
    <numFmt numFmtId="166" formatCode="[$-409]m/d/yyyy"/>
    <numFmt numFmtId="167" formatCode="mmm\-yyyy"/>
    <numFmt numFmtId="168" formatCode="#,##0.0_ "/>
    <numFmt numFmtId="169" formatCode="#,##0.0_);[Red]\(#,##0.0\)"/>
    <numFmt numFmtId="170" formatCode="0.0%"/>
    <numFmt numFmtId="171" formatCode="#,##0.00_ "/>
    <numFmt numFmtId="172" formatCode="#,##0_ "/>
    <numFmt numFmtId="173" formatCode="[$-409]#,##0.00_);[Red]\(#,##0.00\)"/>
    <numFmt numFmtId="174" formatCode="#,##0.0000_ "/>
    <numFmt numFmtId="175" formatCode="[$-409]#,##0_);[Red]\(#,##0\)"/>
    <numFmt numFmtId="176" formatCode="[$-409]d\-mmm"/>
    <numFmt numFmtId="177" formatCode="0.0000"/>
    <numFmt numFmtId="178" formatCode="0.000"/>
  </numFmts>
  <fonts count="34">
    <font>
      <sz val="11"/>
      <color indexed="8"/>
      <name val="Calibri"/>
      <family val="1"/>
      <charset val="136"/>
    </font>
    <font>
      <sz val="10"/>
      <color indexed="8"/>
      <name val="Times New Roman"/>
      <family val="1"/>
      <charset val="1"/>
    </font>
    <font>
      <sz val="10"/>
      <color indexed="9"/>
      <name val="Times New Roman"/>
      <family val="1"/>
      <charset val="1"/>
    </font>
    <font>
      <sz val="10"/>
      <color indexed="60"/>
      <name val="Times New Roman"/>
      <family val="1"/>
      <charset val="1"/>
    </font>
    <font>
      <b/>
      <sz val="10"/>
      <color indexed="8"/>
      <name val="Times New Roman"/>
      <family val="1"/>
      <charset val="1"/>
    </font>
    <font>
      <sz val="10"/>
      <color indexed="20"/>
      <name val="Times New Roman"/>
      <family val="1"/>
      <charset val="1"/>
    </font>
    <font>
      <sz val="10"/>
      <color indexed="17"/>
      <name val="Times New Roman"/>
      <family val="1"/>
      <charset val="1"/>
    </font>
    <font>
      <b/>
      <sz val="15"/>
      <color indexed="56"/>
      <name val="Times New Roman"/>
      <family val="1"/>
      <charset val="1"/>
    </font>
    <font>
      <b/>
      <sz val="18"/>
      <color indexed="56"/>
      <name val="Cambria"/>
      <family val="1"/>
      <charset val="136"/>
    </font>
    <font>
      <b/>
      <sz val="13"/>
      <color indexed="56"/>
      <name val="Times New Roman"/>
      <family val="1"/>
      <charset val="1"/>
    </font>
    <font>
      <b/>
      <sz val="11"/>
      <color indexed="56"/>
      <name val="Times New Roman"/>
      <family val="1"/>
      <charset val="1"/>
    </font>
    <font>
      <b/>
      <sz val="10"/>
      <color indexed="9"/>
      <name val="Times New Roman"/>
      <family val="1"/>
      <charset val="1"/>
    </font>
    <font>
      <b/>
      <sz val="10"/>
      <color indexed="52"/>
      <name val="Times New Roman"/>
      <family val="1"/>
      <charset val="1"/>
    </font>
    <font>
      <i/>
      <sz val="10"/>
      <color indexed="23"/>
      <name val="Times New Roman"/>
      <family val="1"/>
      <charset val="1"/>
    </font>
    <font>
      <sz val="10"/>
      <color indexed="10"/>
      <name val="Times New Roman"/>
      <family val="1"/>
      <charset val="1"/>
    </font>
    <font>
      <sz val="10"/>
      <color indexed="62"/>
      <name val="Times New Roman"/>
      <family val="1"/>
      <charset val="1"/>
    </font>
    <font>
      <b/>
      <sz val="10"/>
      <color indexed="63"/>
      <name val="Times New Roman"/>
      <family val="1"/>
      <charset val="1"/>
    </font>
    <font>
      <sz val="10"/>
      <color indexed="52"/>
      <name val="Times New Roman"/>
      <family val="1"/>
      <charset val="1"/>
    </font>
    <font>
      <sz val="14"/>
      <color indexed="8"/>
      <name val="Arial"/>
      <family val="2"/>
      <charset val="1"/>
    </font>
    <font>
      <b/>
      <sz val="14"/>
      <color indexed="8"/>
      <name val="Arial"/>
      <family val="2"/>
      <charset val="1"/>
    </font>
    <font>
      <b/>
      <sz val="12"/>
      <color indexed="8"/>
      <name val="Arial"/>
      <family val="2"/>
      <charset val="1"/>
    </font>
    <font>
      <b/>
      <sz val="16"/>
      <color indexed="8"/>
      <name val="Arial"/>
      <family val="2"/>
      <charset val="1"/>
    </font>
    <font>
      <u/>
      <sz val="14"/>
      <color indexed="8"/>
      <name val="Arial"/>
      <family val="2"/>
      <charset val="1"/>
    </font>
    <font>
      <u/>
      <sz val="12"/>
      <color indexed="8"/>
      <name val="Arial"/>
      <family val="2"/>
      <charset val="1"/>
    </font>
    <font>
      <sz val="12"/>
      <color indexed="8"/>
      <name val="Arial"/>
      <family val="2"/>
      <charset val="1"/>
    </font>
    <font>
      <sz val="11"/>
      <color indexed="8"/>
      <name val="Arial"/>
      <family val="2"/>
      <charset val="1"/>
    </font>
    <font>
      <b/>
      <sz val="15"/>
      <color indexed="8"/>
      <name val="Arial"/>
      <family val="2"/>
      <charset val="1"/>
    </font>
    <font>
      <b/>
      <sz val="16"/>
      <color indexed="8"/>
      <name val="Calibri"/>
      <family val="1"/>
      <charset val="136"/>
    </font>
    <font>
      <b/>
      <sz val="14"/>
      <color indexed="8"/>
      <name val="Calibri"/>
      <family val="1"/>
      <charset val="136"/>
    </font>
    <font>
      <sz val="14"/>
      <color indexed="8"/>
      <name val="Calibri"/>
      <family val="1"/>
      <charset val="136"/>
    </font>
    <font>
      <b/>
      <sz val="11"/>
      <color indexed="8"/>
      <name val="Calibri"/>
      <family val="1"/>
      <charset val="136"/>
    </font>
    <font>
      <sz val="10"/>
      <color indexed="8"/>
      <name val="Arial"/>
      <family val="2"/>
      <charset val="1"/>
    </font>
    <font>
      <sz val="10"/>
      <color indexed="12"/>
      <name val="Arial"/>
      <family val="2"/>
      <charset val="1"/>
    </font>
    <font>
      <sz val="11"/>
      <color indexed="8"/>
      <name val="Calibri"/>
      <family val="1"/>
      <charset val="136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55"/>
        <bgColor indexed="23"/>
      </patternFill>
    </fill>
    <fill>
      <patternFill patternType="solid">
        <fgColor indexed="22"/>
        <bgColor indexed="3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13"/>
        <bgColor indexed="34"/>
      </patternFill>
    </fill>
    <fill>
      <patternFill patternType="solid">
        <fgColor indexed="14"/>
        <bgColor indexed="33"/>
      </patternFill>
    </fill>
  </fills>
  <borders count="1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tted">
        <color indexed="8"/>
      </left>
      <right/>
      <top/>
      <bottom/>
      <diagonal/>
    </border>
  </borders>
  <cellStyleXfs count="1093">
    <xf numFmtId="0" fontId="0" fillId="0" borderId="0"/>
    <xf numFmtId="0" fontId="1" fillId="2" borderId="0"/>
    <xf numFmtId="0" fontId="1" fillId="2" borderId="0"/>
    <xf numFmtId="0" fontId="1" fillId="2" borderId="0"/>
    <xf numFmtId="0" fontId="1" fillId="2" borderId="0"/>
    <xf numFmtId="0" fontId="1" fillId="2" borderId="0"/>
    <xf numFmtId="0" fontId="1" fillId="2" borderId="0"/>
    <xf numFmtId="0" fontId="1" fillId="2" borderId="0"/>
    <xf numFmtId="0" fontId="1" fillId="2" borderId="0"/>
    <xf numFmtId="0" fontId="1" fillId="2" borderId="0"/>
    <xf numFmtId="0" fontId="1" fillId="2" borderId="0"/>
    <xf numFmtId="0" fontId="1" fillId="2" borderId="0"/>
    <xf numFmtId="0" fontId="1" fillId="2" borderId="0"/>
    <xf numFmtId="0" fontId="1" fillId="2" borderId="0"/>
    <xf numFmtId="0" fontId="1" fillId="2" borderId="0"/>
    <xf numFmtId="0" fontId="1" fillId="2" borderId="0"/>
    <xf numFmtId="0" fontId="1" fillId="2" borderId="0"/>
    <xf numFmtId="0" fontId="1" fillId="2" borderId="0"/>
    <xf numFmtId="0" fontId="1" fillId="2" borderId="0"/>
    <xf numFmtId="0" fontId="1" fillId="2" borderId="0"/>
    <xf numFmtId="0" fontId="1" fillId="2" borderId="0"/>
    <xf numFmtId="0" fontId="1" fillId="2" borderId="0"/>
    <xf numFmtId="0" fontId="1" fillId="2" borderId="0"/>
    <xf numFmtId="0" fontId="1" fillId="2" borderId="0"/>
    <xf numFmtId="0" fontId="1" fillId="2" borderId="0"/>
    <xf numFmtId="0" fontId="1" fillId="2" borderId="0"/>
    <xf numFmtId="0" fontId="1" fillId="2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3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4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6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7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9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5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8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12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9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0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2" fillId="15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16" borderId="0"/>
    <xf numFmtId="0" fontId="3" fillId="16" borderId="0"/>
    <xf numFmtId="0" fontId="3" fillId="16" borderId="0"/>
    <xf numFmtId="0" fontId="3" fillId="16" borderId="0"/>
    <xf numFmtId="0" fontId="3" fillId="16" borderId="0"/>
    <xf numFmtId="0" fontId="3" fillId="16" borderId="0"/>
    <xf numFmtId="0" fontId="3" fillId="16" borderId="0"/>
    <xf numFmtId="0" fontId="3" fillId="16" borderId="0"/>
    <xf numFmtId="0" fontId="3" fillId="16" borderId="0"/>
    <xf numFmtId="0" fontId="3" fillId="16" borderId="0"/>
    <xf numFmtId="0" fontId="3" fillId="16" borderId="0"/>
    <xf numFmtId="0" fontId="3" fillId="16" borderId="0"/>
    <xf numFmtId="0" fontId="3" fillId="16" borderId="0"/>
    <xf numFmtId="0" fontId="3" fillId="16" borderId="0"/>
    <xf numFmtId="0" fontId="3" fillId="16" borderId="0"/>
    <xf numFmtId="0" fontId="3" fillId="16" borderId="0"/>
    <xf numFmtId="0" fontId="3" fillId="16" borderId="0"/>
    <xf numFmtId="0" fontId="3" fillId="16" borderId="0"/>
    <xf numFmtId="0" fontId="3" fillId="16" borderId="0"/>
    <xf numFmtId="0" fontId="3" fillId="16" borderId="0"/>
    <xf numFmtId="0" fontId="3" fillId="16" borderId="0"/>
    <xf numFmtId="0" fontId="3" fillId="16" borderId="0"/>
    <xf numFmtId="0" fontId="3" fillId="16" borderId="0"/>
    <xf numFmtId="0" fontId="3" fillId="16" borderId="0"/>
    <xf numFmtId="0" fontId="3" fillId="16" borderId="0"/>
    <xf numFmtId="0" fontId="3" fillId="16" borderId="0"/>
    <xf numFmtId="0" fontId="33" fillId="17" borderId="1"/>
    <xf numFmtId="0" fontId="33" fillId="17" borderId="1"/>
    <xf numFmtId="0" fontId="33" fillId="17" borderId="1"/>
    <xf numFmtId="0" fontId="33" fillId="17" borderId="1"/>
    <xf numFmtId="0" fontId="33" fillId="17" borderId="1"/>
    <xf numFmtId="0" fontId="33" fillId="17" borderId="1"/>
    <xf numFmtId="0" fontId="33" fillId="17" borderId="1"/>
    <xf numFmtId="0" fontId="33" fillId="17" borderId="1"/>
    <xf numFmtId="0" fontId="33" fillId="17" borderId="1"/>
    <xf numFmtId="0" fontId="33" fillId="17" borderId="1"/>
    <xf numFmtId="0" fontId="33" fillId="17" borderId="1"/>
    <xf numFmtId="0" fontId="33" fillId="17" borderId="1"/>
    <xf numFmtId="0" fontId="33" fillId="17" borderId="1"/>
    <xf numFmtId="0" fontId="33" fillId="17" borderId="1"/>
    <xf numFmtId="0" fontId="33" fillId="17" borderId="1"/>
    <xf numFmtId="0" fontId="33" fillId="17" borderId="1"/>
    <xf numFmtId="0" fontId="33" fillId="17" borderId="1"/>
    <xf numFmtId="0" fontId="33" fillId="17" borderId="1"/>
    <xf numFmtId="0" fontId="33" fillId="17" borderId="1"/>
    <xf numFmtId="0" fontId="33" fillId="17" borderId="1"/>
    <xf numFmtId="0" fontId="33" fillId="17" borderId="1"/>
    <xf numFmtId="0" fontId="33" fillId="17" borderId="1"/>
    <xf numFmtId="0" fontId="33" fillId="17" borderId="1"/>
    <xf numFmtId="0" fontId="33" fillId="17" borderId="1"/>
    <xf numFmtId="0" fontId="33" fillId="17" borderId="1"/>
    <xf numFmtId="0" fontId="33" fillId="17" borderId="1"/>
    <xf numFmtId="0" fontId="4" fillId="0" borderId="2"/>
    <xf numFmtId="0" fontId="4" fillId="0" borderId="2"/>
    <xf numFmtId="0" fontId="4" fillId="0" borderId="2"/>
    <xf numFmtId="0" fontId="4" fillId="0" borderId="2"/>
    <xf numFmtId="0" fontId="4" fillId="0" borderId="2"/>
    <xf numFmtId="0" fontId="4" fillId="0" borderId="2"/>
    <xf numFmtId="0" fontId="4" fillId="0" borderId="2"/>
    <xf numFmtId="0" fontId="4" fillId="0" borderId="2"/>
    <xf numFmtId="0" fontId="4" fillId="0" borderId="2"/>
    <xf numFmtId="0" fontId="4" fillId="0" borderId="2"/>
    <xf numFmtId="0" fontId="4" fillId="0" borderId="2"/>
    <xf numFmtId="0" fontId="4" fillId="0" borderId="2"/>
    <xf numFmtId="0" fontId="4" fillId="0" borderId="2"/>
    <xf numFmtId="0" fontId="4" fillId="0" borderId="2"/>
    <xf numFmtId="0" fontId="4" fillId="0" borderId="2"/>
    <xf numFmtId="0" fontId="4" fillId="0" borderId="2"/>
    <xf numFmtId="0" fontId="4" fillId="0" borderId="2"/>
    <xf numFmtId="0" fontId="4" fillId="0" borderId="2"/>
    <xf numFmtId="0" fontId="4" fillId="0" borderId="2"/>
    <xf numFmtId="0" fontId="4" fillId="0" borderId="2"/>
    <xf numFmtId="0" fontId="4" fillId="0" borderId="2"/>
    <xf numFmtId="0" fontId="4" fillId="0" borderId="2"/>
    <xf numFmtId="0" fontId="4" fillId="0" borderId="2"/>
    <xf numFmtId="0" fontId="4" fillId="0" borderId="2"/>
    <xf numFmtId="0" fontId="4" fillId="0" borderId="2"/>
    <xf numFmtId="0" fontId="4" fillId="0" borderId="2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5" fillId="3" borderId="0"/>
    <xf numFmtId="0" fontId="6" fillId="4" borderId="0"/>
    <xf numFmtId="0" fontId="6" fillId="4" borderId="0"/>
    <xf numFmtId="0" fontId="6" fillId="4" borderId="0"/>
    <xf numFmtId="0" fontId="6" fillId="4" borderId="0"/>
    <xf numFmtId="0" fontId="6" fillId="4" borderId="0"/>
    <xf numFmtId="0" fontId="6" fillId="4" borderId="0"/>
    <xf numFmtId="0" fontId="6" fillId="4" borderId="0"/>
    <xf numFmtId="0" fontId="6" fillId="4" borderId="0"/>
    <xf numFmtId="0" fontId="6" fillId="4" borderId="0"/>
    <xf numFmtId="0" fontId="6" fillId="4" borderId="0"/>
    <xf numFmtId="0" fontId="6" fillId="4" borderId="0"/>
    <xf numFmtId="0" fontId="6" fillId="4" borderId="0"/>
    <xf numFmtId="0" fontId="6" fillId="4" borderId="0"/>
    <xf numFmtId="0" fontId="6" fillId="4" borderId="0"/>
    <xf numFmtId="0" fontId="6" fillId="4" borderId="0"/>
    <xf numFmtId="0" fontId="6" fillId="4" borderId="0"/>
    <xf numFmtId="0" fontId="6" fillId="4" borderId="0"/>
    <xf numFmtId="0" fontId="6" fillId="4" borderId="0"/>
    <xf numFmtId="0" fontId="6" fillId="4" borderId="0"/>
    <xf numFmtId="0" fontId="6" fillId="4" borderId="0"/>
    <xf numFmtId="0" fontId="6" fillId="4" borderId="0"/>
    <xf numFmtId="0" fontId="6" fillId="4" borderId="0"/>
    <xf numFmtId="0" fontId="6" fillId="4" borderId="0"/>
    <xf numFmtId="0" fontId="6" fillId="4" borderId="0"/>
    <xf numFmtId="0" fontId="6" fillId="4" borderId="0"/>
    <xf numFmtId="0" fontId="6" fillId="4" borderId="0"/>
    <xf numFmtId="0" fontId="7" fillId="0" borderId="3"/>
    <xf numFmtId="0" fontId="7" fillId="0" borderId="3"/>
    <xf numFmtId="0" fontId="7" fillId="0" borderId="3"/>
    <xf numFmtId="0" fontId="7" fillId="0" borderId="3"/>
    <xf numFmtId="0" fontId="7" fillId="0" borderId="3"/>
    <xf numFmtId="0" fontId="7" fillId="0" borderId="3"/>
    <xf numFmtId="0" fontId="7" fillId="0" borderId="3"/>
    <xf numFmtId="0" fontId="7" fillId="0" borderId="3"/>
    <xf numFmtId="0" fontId="7" fillId="0" borderId="3"/>
    <xf numFmtId="0" fontId="7" fillId="0" borderId="3"/>
    <xf numFmtId="0" fontId="7" fillId="0" borderId="3"/>
    <xf numFmtId="0" fontId="7" fillId="0" borderId="3"/>
    <xf numFmtId="0" fontId="7" fillId="0" borderId="3"/>
    <xf numFmtId="0" fontId="7" fillId="0" borderId="3"/>
    <xf numFmtId="0" fontId="7" fillId="0" borderId="3"/>
    <xf numFmtId="0" fontId="7" fillId="0" borderId="3"/>
    <xf numFmtId="0" fontId="7" fillId="0" borderId="3"/>
    <xf numFmtId="0" fontId="7" fillId="0" borderId="3"/>
    <xf numFmtId="0" fontId="7" fillId="0" borderId="3"/>
    <xf numFmtId="0" fontId="7" fillId="0" borderId="3"/>
    <xf numFmtId="0" fontId="7" fillId="0" borderId="3"/>
    <xf numFmtId="0" fontId="7" fillId="0" borderId="3"/>
    <xf numFmtId="0" fontId="7" fillId="0" borderId="3"/>
    <xf numFmtId="0" fontId="7" fillId="0" borderId="3"/>
    <xf numFmtId="0" fontId="7" fillId="0" borderId="3"/>
    <xf numFmtId="0" fontId="7" fillId="0" borderId="3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4"/>
    <xf numFmtId="0" fontId="9" fillId="0" borderId="4"/>
    <xf numFmtId="0" fontId="9" fillId="0" borderId="4"/>
    <xf numFmtId="0" fontId="9" fillId="0" borderId="4"/>
    <xf numFmtId="0" fontId="9" fillId="0" borderId="4"/>
    <xf numFmtId="0" fontId="9" fillId="0" borderId="4"/>
    <xf numFmtId="0" fontId="9" fillId="0" borderId="4"/>
    <xf numFmtId="0" fontId="9" fillId="0" borderId="4"/>
    <xf numFmtId="0" fontId="9" fillId="0" borderId="4"/>
    <xf numFmtId="0" fontId="9" fillId="0" borderId="4"/>
    <xf numFmtId="0" fontId="9" fillId="0" borderId="4"/>
    <xf numFmtId="0" fontId="9" fillId="0" borderId="4"/>
    <xf numFmtId="0" fontId="9" fillId="0" borderId="4"/>
    <xf numFmtId="0" fontId="9" fillId="0" borderId="4"/>
    <xf numFmtId="0" fontId="9" fillId="0" borderId="4"/>
    <xf numFmtId="0" fontId="9" fillId="0" borderId="4"/>
    <xf numFmtId="0" fontId="9" fillId="0" borderId="4"/>
    <xf numFmtId="0" fontId="9" fillId="0" borderId="4"/>
    <xf numFmtId="0" fontId="9" fillId="0" borderId="4"/>
    <xf numFmtId="0" fontId="9" fillId="0" borderId="4"/>
    <xf numFmtId="0" fontId="9" fillId="0" borderId="4"/>
    <xf numFmtId="0" fontId="9" fillId="0" borderId="4"/>
    <xf numFmtId="0" fontId="9" fillId="0" borderId="4"/>
    <xf numFmtId="0" fontId="9" fillId="0" borderId="4"/>
    <xf numFmtId="0" fontId="9" fillId="0" borderId="4"/>
    <xf numFmtId="0" fontId="9" fillId="0" borderId="4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5"/>
    <xf numFmtId="0" fontId="10" fillId="0" borderId="5"/>
    <xf numFmtId="0" fontId="10" fillId="0" borderId="5"/>
    <xf numFmtId="0" fontId="10" fillId="0" borderId="5"/>
    <xf numFmtId="0" fontId="10" fillId="0" borderId="5"/>
    <xf numFmtId="0" fontId="10" fillId="0" borderId="5"/>
    <xf numFmtId="0" fontId="10" fillId="0" borderId="5"/>
    <xf numFmtId="0" fontId="10" fillId="0" borderId="5"/>
    <xf numFmtId="0" fontId="10" fillId="0" borderId="5"/>
    <xf numFmtId="0" fontId="10" fillId="0" borderId="5"/>
    <xf numFmtId="0" fontId="10" fillId="0" borderId="5"/>
    <xf numFmtId="0" fontId="10" fillId="0" borderId="5"/>
    <xf numFmtId="0" fontId="10" fillId="0" borderId="5"/>
    <xf numFmtId="0" fontId="10" fillId="0" borderId="5"/>
    <xf numFmtId="0" fontId="10" fillId="0" borderId="5"/>
    <xf numFmtId="0" fontId="10" fillId="0" borderId="5"/>
    <xf numFmtId="0" fontId="10" fillId="0" borderId="5"/>
    <xf numFmtId="0" fontId="10" fillId="0" borderId="5"/>
    <xf numFmtId="0" fontId="10" fillId="0" borderId="5"/>
    <xf numFmtId="0" fontId="10" fillId="0" borderId="5"/>
    <xf numFmtId="0" fontId="10" fillId="0" borderId="5"/>
    <xf numFmtId="0" fontId="10" fillId="0" borderId="5"/>
    <xf numFmtId="0" fontId="10" fillId="0" borderId="5"/>
    <xf numFmtId="0" fontId="10" fillId="0" borderId="5"/>
    <xf numFmtId="0" fontId="10" fillId="0" borderId="5"/>
    <xf numFmtId="0" fontId="10" fillId="0" borderId="5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18" borderId="6"/>
    <xf numFmtId="0" fontId="11" fillId="18" borderId="6"/>
    <xf numFmtId="0" fontId="11" fillId="18" borderId="6"/>
    <xf numFmtId="0" fontId="11" fillId="18" borderId="6"/>
    <xf numFmtId="0" fontId="11" fillId="18" borderId="6"/>
    <xf numFmtId="0" fontId="11" fillId="18" borderId="6"/>
    <xf numFmtId="0" fontId="11" fillId="18" borderId="6"/>
    <xf numFmtId="0" fontId="11" fillId="18" borderId="6"/>
    <xf numFmtId="0" fontId="11" fillId="18" borderId="6"/>
    <xf numFmtId="0" fontId="11" fillId="18" borderId="6"/>
    <xf numFmtId="0" fontId="11" fillId="18" borderId="6"/>
    <xf numFmtId="0" fontId="11" fillId="18" borderId="6"/>
    <xf numFmtId="0" fontId="11" fillId="18" borderId="6"/>
    <xf numFmtId="0" fontId="11" fillId="18" borderId="6"/>
    <xf numFmtId="0" fontId="11" fillId="18" borderId="6"/>
    <xf numFmtId="0" fontId="11" fillId="18" borderId="6"/>
    <xf numFmtId="0" fontId="11" fillId="18" borderId="6"/>
    <xf numFmtId="0" fontId="11" fillId="18" borderId="6"/>
    <xf numFmtId="0" fontId="11" fillId="18" borderId="6"/>
    <xf numFmtId="0" fontId="11" fillId="18" borderId="6"/>
    <xf numFmtId="0" fontId="11" fillId="18" borderId="6"/>
    <xf numFmtId="0" fontId="11" fillId="18" borderId="6"/>
    <xf numFmtId="0" fontId="11" fillId="18" borderId="6"/>
    <xf numFmtId="0" fontId="11" fillId="18" borderId="6"/>
    <xf numFmtId="0" fontId="11" fillId="18" borderId="6"/>
    <xf numFmtId="0" fontId="11" fillId="18" borderId="6"/>
    <xf numFmtId="0" fontId="12" fillId="19" borderId="7"/>
    <xf numFmtId="0" fontId="12" fillId="19" borderId="7"/>
    <xf numFmtId="0" fontId="12" fillId="19" borderId="7"/>
    <xf numFmtId="0" fontId="12" fillId="19" borderId="7"/>
    <xf numFmtId="0" fontId="12" fillId="19" borderId="7"/>
    <xf numFmtId="0" fontId="12" fillId="19" borderId="7"/>
    <xf numFmtId="0" fontId="12" fillId="19" borderId="7"/>
    <xf numFmtId="0" fontId="12" fillId="19" borderId="7"/>
    <xf numFmtId="0" fontId="12" fillId="19" borderId="7"/>
    <xf numFmtId="0" fontId="12" fillId="19" borderId="7"/>
    <xf numFmtId="0" fontId="12" fillId="19" borderId="7"/>
    <xf numFmtId="0" fontId="12" fillId="19" borderId="7"/>
    <xf numFmtId="0" fontId="12" fillId="19" borderId="7"/>
    <xf numFmtId="0" fontId="12" fillId="19" borderId="7"/>
    <xf numFmtId="0" fontId="12" fillId="19" borderId="7"/>
    <xf numFmtId="0" fontId="12" fillId="19" borderId="7"/>
    <xf numFmtId="0" fontId="12" fillId="19" borderId="7"/>
    <xf numFmtId="0" fontId="12" fillId="19" borderId="7"/>
    <xf numFmtId="0" fontId="12" fillId="19" borderId="7"/>
    <xf numFmtId="0" fontId="12" fillId="19" borderId="7"/>
    <xf numFmtId="0" fontId="12" fillId="19" borderId="7"/>
    <xf numFmtId="0" fontId="12" fillId="19" borderId="7"/>
    <xf numFmtId="0" fontId="12" fillId="19" borderId="7"/>
    <xf numFmtId="0" fontId="12" fillId="19" borderId="7"/>
    <xf numFmtId="0" fontId="12" fillId="19" borderId="7"/>
    <xf numFmtId="0" fontId="12" fillId="19" borderId="7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0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1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22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3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14" borderId="0"/>
    <xf numFmtId="0" fontId="2" fillId="23" borderId="0"/>
    <xf numFmtId="0" fontId="2" fillId="23" borderId="0"/>
    <xf numFmtId="0" fontId="2" fillId="23" borderId="0"/>
    <xf numFmtId="0" fontId="2" fillId="23" borderId="0"/>
    <xf numFmtId="0" fontId="2" fillId="23" borderId="0"/>
    <xf numFmtId="0" fontId="2" fillId="23" borderId="0"/>
    <xf numFmtId="0" fontId="2" fillId="23" borderId="0"/>
    <xf numFmtId="0" fontId="2" fillId="23" borderId="0"/>
    <xf numFmtId="0" fontId="2" fillId="23" borderId="0"/>
    <xf numFmtId="0" fontId="2" fillId="23" borderId="0"/>
    <xf numFmtId="0" fontId="2" fillId="23" borderId="0"/>
    <xf numFmtId="0" fontId="2" fillId="23" borderId="0"/>
    <xf numFmtId="0" fontId="2" fillId="23" borderId="0"/>
    <xf numFmtId="0" fontId="2" fillId="23" borderId="0"/>
    <xf numFmtId="0" fontId="2" fillId="23" borderId="0"/>
    <xf numFmtId="0" fontId="2" fillId="23" borderId="0"/>
    <xf numFmtId="0" fontId="2" fillId="23" borderId="0"/>
    <xf numFmtId="0" fontId="2" fillId="23" borderId="0"/>
    <xf numFmtId="0" fontId="2" fillId="23" borderId="0"/>
    <xf numFmtId="0" fontId="2" fillId="23" borderId="0"/>
    <xf numFmtId="0" fontId="2" fillId="23" borderId="0"/>
    <xf numFmtId="0" fontId="2" fillId="23" borderId="0"/>
    <xf numFmtId="0" fontId="2" fillId="23" borderId="0"/>
    <xf numFmtId="0" fontId="2" fillId="23" borderId="0"/>
    <xf numFmtId="0" fontId="2" fillId="23" borderId="0"/>
    <xf numFmtId="0" fontId="2" fillId="23" borderId="0"/>
    <xf numFmtId="0" fontId="15" fillId="7" borderId="7"/>
    <xf numFmtId="0" fontId="15" fillId="7" borderId="7"/>
    <xf numFmtId="0" fontId="15" fillId="7" borderId="7"/>
    <xf numFmtId="0" fontId="15" fillId="7" borderId="7"/>
    <xf numFmtId="0" fontId="15" fillId="7" borderId="7"/>
    <xf numFmtId="0" fontId="15" fillId="7" borderId="7"/>
    <xf numFmtId="0" fontId="15" fillId="7" borderId="7"/>
    <xf numFmtId="0" fontId="15" fillId="7" borderId="7"/>
    <xf numFmtId="0" fontId="15" fillId="7" borderId="7"/>
    <xf numFmtId="0" fontId="15" fillId="7" borderId="7"/>
    <xf numFmtId="0" fontId="15" fillId="7" borderId="7"/>
    <xf numFmtId="0" fontId="15" fillId="7" borderId="7"/>
    <xf numFmtId="0" fontId="15" fillId="7" borderId="7"/>
    <xf numFmtId="0" fontId="15" fillId="7" borderId="7"/>
    <xf numFmtId="0" fontId="15" fillId="7" borderId="7"/>
    <xf numFmtId="0" fontId="15" fillId="7" borderId="7"/>
    <xf numFmtId="0" fontId="15" fillId="7" borderId="7"/>
    <xf numFmtId="0" fontId="15" fillId="7" borderId="7"/>
    <xf numFmtId="0" fontId="15" fillId="7" borderId="7"/>
    <xf numFmtId="0" fontId="15" fillId="7" borderId="7"/>
    <xf numFmtId="0" fontId="15" fillId="7" borderId="7"/>
    <xf numFmtId="0" fontId="15" fillId="7" borderId="7"/>
    <xf numFmtId="0" fontId="15" fillId="7" borderId="7"/>
    <xf numFmtId="0" fontId="15" fillId="7" borderId="7"/>
    <xf numFmtId="0" fontId="15" fillId="7" borderId="7"/>
    <xf numFmtId="0" fontId="15" fillId="7" borderId="7"/>
    <xf numFmtId="0" fontId="16" fillId="19" borderId="8"/>
    <xf numFmtId="0" fontId="16" fillId="19" borderId="8"/>
    <xf numFmtId="0" fontId="16" fillId="19" borderId="8"/>
    <xf numFmtId="0" fontId="16" fillId="19" borderId="8"/>
    <xf numFmtId="0" fontId="16" fillId="19" borderId="8"/>
    <xf numFmtId="0" fontId="16" fillId="19" borderId="8"/>
    <xf numFmtId="0" fontId="16" fillId="19" borderId="8"/>
    <xf numFmtId="0" fontId="16" fillId="19" borderId="8"/>
    <xf numFmtId="0" fontId="16" fillId="19" borderId="8"/>
    <xf numFmtId="0" fontId="16" fillId="19" borderId="8"/>
    <xf numFmtId="0" fontId="16" fillId="19" borderId="8"/>
    <xf numFmtId="0" fontId="16" fillId="19" borderId="8"/>
    <xf numFmtId="0" fontId="16" fillId="19" borderId="8"/>
    <xf numFmtId="0" fontId="16" fillId="19" borderId="8"/>
    <xf numFmtId="0" fontId="16" fillId="19" borderId="8"/>
    <xf numFmtId="0" fontId="16" fillId="19" borderId="8"/>
    <xf numFmtId="0" fontId="16" fillId="19" borderId="8"/>
    <xf numFmtId="0" fontId="16" fillId="19" borderId="8"/>
    <xf numFmtId="0" fontId="16" fillId="19" borderId="8"/>
    <xf numFmtId="0" fontId="16" fillId="19" borderId="8"/>
    <xf numFmtId="0" fontId="16" fillId="19" borderId="8"/>
    <xf numFmtId="0" fontId="16" fillId="19" borderId="8"/>
    <xf numFmtId="0" fontId="16" fillId="19" borderId="8"/>
    <xf numFmtId="0" fontId="16" fillId="19" borderId="8"/>
    <xf numFmtId="0" fontId="16" fillId="19" borderId="8"/>
    <xf numFmtId="0" fontId="16" fillId="19" borderId="8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  <xf numFmtId="0" fontId="17" fillId="0" borderId="9"/>
  </cellStyleXfs>
  <cellXfs count="70">
    <xf numFmtId="0" fontId="0" fillId="0" borderId="0" xfId="0"/>
    <xf numFmtId="164" fontId="18" fillId="0" borderId="0" xfId="0" applyNumberFormat="1" applyFont="1"/>
    <xf numFmtId="0" fontId="18" fillId="0" borderId="0" xfId="0" applyFont="1"/>
    <xf numFmtId="0" fontId="18" fillId="0" borderId="0" xfId="0" applyFont="1" applyAlignment="1">
      <alignment horizontal="center"/>
    </xf>
    <xf numFmtId="164" fontId="19" fillId="0" borderId="0" xfId="0" applyNumberFormat="1" applyFont="1"/>
    <xf numFmtId="165" fontId="19" fillId="24" borderId="10" xfId="0" applyNumberFormat="1" applyFont="1" applyFill="1" applyBorder="1" applyAlignment="1">
      <alignment horizontal="left"/>
    </xf>
    <xf numFmtId="0" fontId="20" fillId="0" borderId="0" xfId="0" applyFont="1"/>
    <xf numFmtId="0" fontId="20" fillId="0" borderId="0" xfId="0" applyFont="1" applyAlignment="1">
      <alignment horizontal="center"/>
    </xf>
    <xf numFmtId="164" fontId="19" fillId="0" borderId="0" xfId="0" applyNumberFormat="1" applyFont="1" applyAlignment="1">
      <alignment horizontal="right"/>
    </xf>
    <xf numFmtId="164" fontId="19" fillId="0" borderId="10" xfId="0" applyNumberFormat="1" applyFont="1" applyBorder="1"/>
    <xf numFmtId="164" fontId="21" fillId="24" borderId="0" xfId="0" applyNumberFormat="1" applyFont="1" applyFill="1"/>
    <xf numFmtId="0" fontId="20" fillId="24" borderId="0" xfId="0" applyFont="1" applyFill="1"/>
    <xf numFmtId="0" fontId="18" fillId="24" borderId="0" xfId="0" applyFont="1" applyFill="1"/>
    <xf numFmtId="0" fontId="19" fillId="0" borderId="11" xfId="0" applyFont="1" applyBorder="1" applyAlignment="1">
      <alignment horizontal="center"/>
    </xf>
    <xf numFmtId="0" fontId="21" fillId="25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166" fontId="18" fillId="24" borderId="0" xfId="0" applyNumberFormat="1" applyFont="1" applyFill="1" applyAlignment="1">
      <alignment horizontal="center"/>
    </xf>
    <xf numFmtId="167" fontId="18" fillId="24" borderId="0" xfId="0" applyNumberFormat="1" applyFont="1" applyFill="1" applyAlignment="1">
      <alignment horizontal="center"/>
    </xf>
    <xf numFmtId="0" fontId="21" fillId="0" borderId="13" xfId="0" applyFont="1" applyBorder="1" applyAlignment="1">
      <alignment horizontal="center"/>
    </xf>
    <xf numFmtId="0" fontId="21" fillId="0" borderId="0" xfId="0" applyFont="1" applyAlignment="1">
      <alignment horizontal="center"/>
    </xf>
    <xf numFmtId="166" fontId="22" fillId="24" borderId="0" xfId="0" applyNumberFormat="1" applyFont="1" applyFill="1" applyAlignment="1">
      <alignment horizontal="center"/>
    </xf>
    <xf numFmtId="0" fontId="22" fillId="24" borderId="0" xfId="0" applyFont="1" applyFill="1" applyAlignment="1">
      <alignment horizontal="center"/>
    </xf>
    <xf numFmtId="0" fontId="23" fillId="0" borderId="0" xfId="0" applyFont="1" applyAlignment="1">
      <alignment horizontal="right"/>
    </xf>
    <xf numFmtId="0" fontId="23" fillId="0" borderId="0" xfId="0" applyFont="1"/>
    <xf numFmtId="168" fontId="21" fillId="0" borderId="13" xfId="0" applyNumberFormat="1" applyFont="1" applyBorder="1"/>
    <xf numFmtId="168" fontId="21" fillId="0" borderId="0" xfId="0" applyNumberFormat="1" applyFont="1"/>
    <xf numFmtId="169" fontId="18" fillId="0" borderId="0" xfId="24" applyNumberFormat="1" applyFont="1" applyFill="1" applyAlignment="1">
      <alignment horizontal="right"/>
    </xf>
    <xf numFmtId="170" fontId="18" fillId="0" borderId="0" xfId="0" applyNumberFormat="1" applyFont="1"/>
    <xf numFmtId="0" fontId="24" fillId="0" borderId="0" xfId="0" applyFont="1"/>
    <xf numFmtId="171" fontId="21" fillId="0" borderId="13" xfId="0" applyNumberFormat="1" applyFont="1" applyBorder="1"/>
    <xf numFmtId="172" fontId="21" fillId="0" borderId="13" xfId="0" applyNumberFormat="1" applyFont="1" applyBorder="1"/>
    <xf numFmtId="171" fontId="21" fillId="0" borderId="0" xfId="0" applyNumberFormat="1" applyFont="1"/>
    <xf numFmtId="173" fontId="18" fillId="0" borderId="0" xfId="24" applyNumberFormat="1" applyFont="1" applyFill="1" applyAlignment="1">
      <alignment horizontal="right"/>
    </xf>
    <xf numFmtId="164" fontId="21" fillId="0" borderId="14" xfId="0" applyNumberFormat="1" applyFont="1" applyBorder="1" applyAlignment="1">
      <alignment horizontal="left"/>
    </xf>
    <xf numFmtId="164" fontId="25" fillId="0" borderId="15" xfId="0" applyNumberFormat="1" applyFont="1" applyBorder="1" applyAlignment="1">
      <alignment horizontal="left"/>
    </xf>
    <xf numFmtId="169" fontId="18" fillId="0" borderId="0" xfId="0" applyNumberFormat="1" applyFont="1" applyAlignment="1">
      <alignment horizontal="right"/>
    </xf>
    <xf numFmtId="174" fontId="21" fillId="0" borderId="13" xfId="0" applyNumberFormat="1" applyFont="1" applyBorder="1"/>
    <xf numFmtId="175" fontId="18" fillId="0" borderId="0" xfId="0" applyNumberFormat="1" applyFont="1" applyAlignment="1">
      <alignment horizontal="right"/>
    </xf>
    <xf numFmtId="164" fontId="26" fillId="0" borderId="0" xfId="0" applyNumberFormat="1" applyFont="1" applyAlignment="1">
      <alignment horizontal="right"/>
    </xf>
    <xf numFmtId="0" fontId="19" fillId="0" borderId="10" xfId="0" applyFont="1" applyBorder="1"/>
    <xf numFmtId="0" fontId="19" fillId="0" borderId="0" xfId="0" applyFont="1"/>
    <xf numFmtId="0" fontId="27" fillId="0" borderId="0" xfId="0" applyFont="1"/>
    <xf numFmtId="0" fontId="28" fillId="0" borderId="13" xfId="0" applyFont="1" applyBorder="1" applyAlignment="1">
      <alignment horizontal="center"/>
    </xf>
    <xf numFmtId="176" fontId="29" fillId="24" borderId="13" xfId="0" applyNumberFormat="1" applyFont="1" applyFill="1" applyBorder="1" applyAlignment="1">
      <alignment horizontal="right"/>
    </xf>
    <xf numFmtId="2" fontId="29" fillId="24" borderId="13" xfId="0" applyNumberFormat="1" applyFont="1" applyFill="1" applyBorder="1"/>
    <xf numFmtId="177" fontId="29" fillId="24" borderId="13" xfId="0" applyNumberFormat="1" applyFont="1" applyFill="1" applyBorder="1"/>
    <xf numFmtId="0" fontId="29" fillId="0" borderId="13" xfId="0" applyFont="1" applyBorder="1" applyAlignment="1">
      <alignment horizontal="right"/>
    </xf>
    <xf numFmtId="2" fontId="29" fillId="0" borderId="13" xfId="0" applyNumberFormat="1" applyFont="1" applyBorder="1"/>
    <xf numFmtId="177" fontId="29" fillId="0" borderId="13" xfId="0" applyNumberFormat="1" applyFont="1" applyBorder="1"/>
    <xf numFmtId="0" fontId="29" fillId="24" borderId="13" xfId="0" applyFont="1" applyFill="1" applyBorder="1" applyAlignment="1">
      <alignment horizontal="right"/>
    </xf>
    <xf numFmtId="0" fontId="28" fillId="0" borderId="0" xfId="0" applyFont="1"/>
    <xf numFmtId="0" fontId="28" fillId="0" borderId="13" xfId="0" applyFont="1" applyBorder="1"/>
    <xf numFmtId="178" fontId="28" fillId="0" borderId="13" xfId="0" applyNumberFormat="1" applyFont="1" applyBorder="1"/>
    <xf numFmtId="178" fontId="0" fillId="0" borderId="0" xfId="0" applyNumberFormat="1"/>
    <xf numFmtId="0" fontId="30" fillId="0" borderId="0" xfId="0" applyFont="1"/>
    <xf numFmtId="178" fontId="28" fillId="0" borderId="13" xfId="0" applyNumberFormat="1" applyFont="1" applyBorder="1" applyAlignment="1">
      <alignment horizontal="center"/>
    </xf>
    <xf numFmtId="0" fontId="25" fillId="0" borderId="0" xfId="0" applyFont="1"/>
    <xf numFmtId="0" fontId="31" fillId="0" borderId="0" xfId="0" applyFont="1" applyAlignment="1">
      <alignment vertical="center"/>
    </xf>
    <xf numFmtId="0" fontId="31" fillId="0" borderId="0" xfId="507" applyFont="1" applyFill="1" applyAlignment="1">
      <alignment vertical="center"/>
    </xf>
    <xf numFmtId="0" fontId="32" fillId="0" borderId="16" xfId="507" applyFont="1" applyFill="1" applyBorder="1" applyAlignment="1">
      <alignment vertical="center"/>
    </xf>
    <xf numFmtId="0" fontId="31" fillId="0" borderId="0" xfId="507" applyFont="1" applyFill="1" applyAlignment="1">
      <alignment horizontal="center" vertical="center"/>
    </xf>
    <xf numFmtId="0" fontId="32" fillId="0" borderId="16" xfId="507" applyFont="1" applyFill="1" applyBorder="1" applyAlignment="1">
      <alignment horizontal="center" vertical="center"/>
    </xf>
    <xf numFmtId="0" fontId="32" fillId="0" borderId="0" xfId="507" applyFont="1" applyFill="1" applyAlignment="1">
      <alignment horizontal="center" vertical="center"/>
    </xf>
    <xf numFmtId="0" fontId="31" fillId="0" borderId="0" xfId="515" applyFont="1" applyFill="1" applyAlignment="1">
      <alignment vertical="center"/>
    </xf>
    <xf numFmtId="166" fontId="31" fillId="0" borderId="0" xfId="515" applyNumberFormat="1" applyFont="1" applyFill="1" applyAlignment="1">
      <alignment vertical="center"/>
    </xf>
    <xf numFmtId="174" fontId="32" fillId="0" borderId="16" xfId="507" applyNumberFormat="1" applyFont="1" applyFill="1" applyBorder="1" applyAlignment="1">
      <alignment horizontal="center" vertical="center"/>
    </xf>
    <xf numFmtId="174" fontId="32" fillId="0" borderId="0" xfId="507" applyNumberFormat="1" applyFont="1" applyFill="1" applyAlignment="1">
      <alignment horizontal="center" vertical="center"/>
    </xf>
    <xf numFmtId="164" fontId="21" fillId="0" borderId="13" xfId="0" applyNumberFormat="1" applyFont="1" applyBorder="1" applyAlignment="1">
      <alignment horizontal="left"/>
    </xf>
    <xf numFmtId="0" fontId="19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/>
    </xf>
  </cellXfs>
  <cellStyles count="1093">
    <cellStyle name="20% - 輔色1 10" xfId="1" xr:uid="{C197EA74-D256-4486-9344-3523B2FF76C2}"/>
    <cellStyle name="20% - 輔色1 11" xfId="2" xr:uid="{0AD4895B-278D-4283-8009-7A2342ECB5DC}"/>
    <cellStyle name="20% - 輔色1 12" xfId="3" xr:uid="{7A08BC85-375D-452A-8E33-86E63E2D5B39}"/>
    <cellStyle name="20% - 輔色1 13" xfId="4" xr:uid="{EFE0F3CF-1D7A-4728-8CDE-A480E7E777A8}"/>
    <cellStyle name="20% - 輔色1 14" xfId="5" xr:uid="{821906CD-1A78-4C47-AA0F-17E624AEAEA2}"/>
    <cellStyle name="20% - 輔色1 15" xfId="6" xr:uid="{B6722542-1BA7-4801-B905-9D4F3145E600}"/>
    <cellStyle name="20% - 輔色1 16" xfId="7" xr:uid="{6EAFFBA4-C548-4055-84EF-773DA4A9C64E}"/>
    <cellStyle name="20% - 輔色1 17" xfId="8" xr:uid="{F4A88885-C372-4644-B37E-506052144235}"/>
    <cellStyle name="20% - 輔色1 18" xfId="9" xr:uid="{C5935D03-9455-49A1-952E-5220DBF80226}"/>
    <cellStyle name="20% - 輔色1 19" xfId="10" xr:uid="{6042EBCE-0060-4564-8C42-B5FF28EE733C}"/>
    <cellStyle name="20% - 輔色1 2" xfId="11" xr:uid="{C2D977C1-73DD-4011-AC3C-E5E881F59A61}"/>
    <cellStyle name="20% - 輔色1 20" xfId="12" xr:uid="{747FF5CA-BB23-4CF7-A174-52EE9609D703}"/>
    <cellStyle name="20% - 輔色1 21" xfId="13" xr:uid="{EEEDF3C7-AA79-4FA8-BED1-8BC6BC4FA5F3}"/>
    <cellStyle name="20% - 輔色1 22" xfId="14" xr:uid="{EB572F21-A4A7-4B91-B66D-E3A864E949A6}"/>
    <cellStyle name="20% - 輔色1 23" xfId="15" xr:uid="{B7F08029-0216-4E98-A0CC-FF8339AE0E25}"/>
    <cellStyle name="20% - 輔色1 24" xfId="16" xr:uid="{EAD195B0-BBA5-447A-AE63-3BDD5FD720AD}"/>
    <cellStyle name="20% - 輔色1 25" xfId="17" xr:uid="{9FA613F1-7107-488E-83D0-EB65E9B125D3}"/>
    <cellStyle name="20% - 輔色1 26" xfId="18" xr:uid="{F33C3017-8D1D-4E97-95E3-A997DE219985}"/>
    <cellStyle name="20% - 輔色1 27" xfId="19" xr:uid="{8A57A8D1-A34C-4DED-A977-14DCA16F25BC}"/>
    <cellStyle name="20% - 輔色1 3" xfId="20" xr:uid="{5CE8C4A9-A844-415F-98CD-4250CBD649C4}"/>
    <cellStyle name="20% - 輔色1 4" xfId="21" xr:uid="{E4A651B1-CEEB-4D01-9C82-308A64456F7A}"/>
    <cellStyle name="20% - 輔色1 5" xfId="22" xr:uid="{C9EB3154-9213-48AE-92B9-057514E738BE}"/>
    <cellStyle name="20% - 輔色1 6" xfId="23" xr:uid="{7D3404B9-3FE3-4385-90E2-CE296C312402}"/>
    <cellStyle name="20% - 輔色1 7" xfId="24" xr:uid="{6A55826B-966E-4C09-B351-D35CD1B93A1C}"/>
    <cellStyle name="20% - 輔色1 8" xfId="25" xr:uid="{422DFC47-CF05-4793-9879-A54CBF9B16B4}"/>
    <cellStyle name="20% - 輔色1 9" xfId="26" xr:uid="{2B45D15B-98A6-4C96-8366-8A4CB67D8E33}"/>
    <cellStyle name="20% - 輔色2 10" xfId="27" xr:uid="{FFE1C810-4A4D-4E19-997B-A802D9F64107}"/>
    <cellStyle name="20% - 輔色2 11" xfId="28" xr:uid="{517F0902-B2A8-45B5-ABF0-B1BE795B22BF}"/>
    <cellStyle name="20% - 輔色2 12" xfId="29" xr:uid="{12A7DD70-78DC-49E8-A5D8-DD5441EC0C21}"/>
    <cellStyle name="20% - 輔色2 13" xfId="30" xr:uid="{9EC3B461-2A82-4DE1-ACFA-1EF2968E34CD}"/>
    <cellStyle name="20% - 輔色2 14" xfId="31" xr:uid="{2D685DD6-2403-49A7-8A8D-404C5FB646EA}"/>
    <cellStyle name="20% - 輔色2 15" xfId="32" xr:uid="{0FF28E8D-951C-4985-9D10-A919E42AD3FB}"/>
    <cellStyle name="20% - 輔色2 16" xfId="33" xr:uid="{BC0E01DF-5832-401A-ABC0-7B6F4C86944B}"/>
    <cellStyle name="20% - 輔色2 17" xfId="34" xr:uid="{5D2189A5-669B-4177-B2A8-A1157013CB15}"/>
    <cellStyle name="20% - 輔色2 18" xfId="35" xr:uid="{789897CB-4C86-4100-8544-783AC08CE13A}"/>
    <cellStyle name="20% - 輔色2 19" xfId="36" xr:uid="{0E59C469-0BB7-4130-8F35-A1CC9DD199CA}"/>
    <cellStyle name="20% - 輔色2 2" xfId="37" xr:uid="{AEFA6E68-8B74-4F15-B60C-F8BB10A3AB6A}"/>
    <cellStyle name="20% - 輔色2 20" xfId="38" xr:uid="{62F0D991-4641-468F-BD60-A4CFA0186B9E}"/>
    <cellStyle name="20% - 輔色2 21" xfId="39" xr:uid="{68F45DE1-3AD9-4013-A417-C94D944AB738}"/>
    <cellStyle name="20% - 輔色2 22" xfId="40" xr:uid="{57E9C517-F803-4554-9F0C-50F6CE70C86D}"/>
    <cellStyle name="20% - 輔色2 23" xfId="41" xr:uid="{0141871B-82B0-4955-A67E-FCEF25F9D5BE}"/>
    <cellStyle name="20% - 輔色2 24" xfId="42" xr:uid="{CDDC3C4B-DFA7-4397-82CE-B2FCC7E66759}"/>
    <cellStyle name="20% - 輔色2 25" xfId="43" xr:uid="{90723EFA-A9C1-4E0B-B1A1-756561F835FD}"/>
    <cellStyle name="20% - 輔色2 26" xfId="44" xr:uid="{EEFA582C-3E16-498A-B04C-6BE0DCA13FCB}"/>
    <cellStyle name="20% - 輔色2 27" xfId="45" xr:uid="{8A446097-76C5-4D4E-AE3F-7D9AEA48F8EE}"/>
    <cellStyle name="20% - 輔色2 3" xfId="46" xr:uid="{88220741-A90A-48FD-9A6A-A2EEA11F2CDA}"/>
    <cellStyle name="20% - 輔色2 4" xfId="47" xr:uid="{1BC6E395-176A-490C-AE47-DAC0F81A366D}"/>
    <cellStyle name="20% - 輔色2 5" xfId="48" xr:uid="{AC41240E-A71E-4A81-A44B-4F9EB21F0332}"/>
    <cellStyle name="20% - 輔色2 6" xfId="49" xr:uid="{8C05ECF1-D9B4-48A9-908F-B191C53C2492}"/>
    <cellStyle name="20% - 輔色2 7" xfId="50" xr:uid="{6DDF0E24-7D50-472F-9127-D0ED7BA87FD3}"/>
    <cellStyle name="20% - 輔色2 8" xfId="51" xr:uid="{BE8C1CFB-44BC-4FC2-95E2-06BC6A1414D5}"/>
    <cellStyle name="20% - 輔色2 9" xfId="52" xr:uid="{C825CFBB-7BE0-4A0A-9F08-B3059DC7C3FE}"/>
    <cellStyle name="20% - 輔色3 10" xfId="53" xr:uid="{F511DE5F-4D4E-492A-8ED1-C486184BE0D2}"/>
    <cellStyle name="20% - 輔色3 11" xfId="54" xr:uid="{BEFA7DB2-DBAC-40F5-9C86-C79E97A910E5}"/>
    <cellStyle name="20% - 輔色3 12" xfId="55" xr:uid="{3927672B-EE2C-4C72-8FDD-6BC5731B0889}"/>
    <cellStyle name="20% - 輔色3 13" xfId="56" xr:uid="{0A4B8FC2-0FDC-488F-83A2-827B1D3CAAF8}"/>
    <cellStyle name="20% - 輔色3 14" xfId="57" xr:uid="{3BF501AC-420A-4E0B-B119-E72DC29A6590}"/>
    <cellStyle name="20% - 輔色3 15" xfId="58" xr:uid="{A802AD12-796E-400E-A479-4E90E3B41914}"/>
    <cellStyle name="20% - 輔色3 16" xfId="59" xr:uid="{D8549850-244A-4AC3-A17F-BF8EA96CD16E}"/>
    <cellStyle name="20% - 輔色3 17" xfId="60" xr:uid="{4429573C-82AE-45F3-B10F-2444131BE51A}"/>
    <cellStyle name="20% - 輔色3 18" xfId="61" xr:uid="{6E52F6B0-ACF0-4C2A-8D30-2B2EC95A5EF1}"/>
    <cellStyle name="20% - 輔色3 19" xfId="62" xr:uid="{2915CAAB-549A-4353-B24A-1061936352B2}"/>
    <cellStyle name="20% - 輔色3 2" xfId="63" xr:uid="{90BE49A7-1C87-47FA-BABF-D1EF46534E02}"/>
    <cellStyle name="20% - 輔色3 20" xfId="64" xr:uid="{D00D3CD6-FCAB-4C44-900D-61AECB599BC9}"/>
    <cellStyle name="20% - 輔色3 21" xfId="65" xr:uid="{99DCD144-29DF-4F72-A4FB-931216C2BED4}"/>
    <cellStyle name="20% - 輔色3 22" xfId="66" xr:uid="{BF682510-1756-4F6F-B768-AD88EB2902EE}"/>
    <cellStyle name="20% - 輔色3 23" xfId="67" xr:uid="{03269CC3-A835-4FB5-9D1E-C70558D60E49}"/>
    <cellStyle name="20% - 輔色3 24" xfId="68" xr:uid="{7618FDE3-27A2-486F-8EDD-483146CCB714}"/>
    <cellStyle name="20% - 輔色3 25" xfId="69" xr:uid="{CB4A3E7B-83A6-4DC6-A003-F75E8DC9F80E}"/>
    <cellStyle name="20% - 輔色3 26" xfId="70" xr:uid="{DE3585DE-0CD4-4BA2-8F64-0BFF877E50E3}"/>
    <cellStyle name="20% - 輔色3 27" xfId="71" xr:uid="{94FCFABC-E542-467D-8BA0-72F857F988BE}"/>
    <cellStyle name="20% - 輔色3 3" xfId="72" xr:uid="{5BFBEA95-074E-458F-932E-C3F016D370CB}"/>
    <cellStyle name="20% - 輔色3 4" xfId="73" xr:uid="{94DED7C7-15F8-4ADD-9706-BC3CB3CED095}"/>
    <cellStyle name="20% - 輔色3 5" xfId="74" xr:uid="{85F4CCB2-9FEE-4D81-94AC-03E4B5CCEA88}"/>
    <cellStyle name="20% - 輔色3 6" xfId="75" xr:uid="{687CEC87-EC35-48C2-9663-0BE580EB036D}"/>
    <cellStyle name="20% - 輔色3 7" xfId="76" xr:uid="{5B9544F7-A328-4D71-89CE-9B13BBB79B78}"/>
    <cellStyle name="20% - 輔色3 8" xfId="77" xr:uid="{2494675E-F177-4ACD-AB2F-7735BA879331}"/>
    <cellStyle name="20% - 輔色3 9" xfId="78" xr:uid="{660F3A05-2755-464E-8F22-B4A6DA6FD52E}"/>
    <cellStyle name="20% - 輔色4 10" xfId="79" xr:uid="{81A0EC1B-E8DB-431D-A4F2-BF8B5CA06ECE}"/>
    <cellStyle name="20% - 輔色4 11" xfId="80" xr:uid="{048F0402-94A9-47AE-8941-C0438753F022}"/>
    <cellStyle name="20% - 輔色4 12" xfId="81" xr:uid="{A38DA88A-C446-4EAA-A471-5FB3F39188B0}"/>
    <cellStyle name="20% - 輔色4 13" xfId="82" xr:uid="{953F5FDF-856B-4307-9240-F70052411869}"/>
    <cellStyle name="20% - 輔色4 14" xfId="83" xr:uid="{B856807E-152A-46AE-807C-C30AD465ECB7}"/>
    <cellStyle name="20% - 輔色4 15" xfId="84" xr:uid="{4E8B31B1-7E46-44EB-98A0-40871E4A964A}"/>
    <cellStyle name="20% - 輔色4 16" xfId="85" xr:uid="{57DACE1F-569A-4D0D-92F9-C00DDEE5412B}"/>
    <cellStyle name="20% - 輔色4 17" xfId="86" xr:uid="{70098F90-304E-42BF-9188-4B3EB926B077}"/>
    <cellStyle name="20% - 輔色4 18" xfId="87" xr:uid="{E59196B6-0416-4A1D-96B2-29ECEBF9102F}"/>
    <cellStyle name="20% - 輔色4 19" xfId="88" xr:uid="{7A462D3C-030E-45F2-BB2D-520961789CE0}"/>
    <cellStyle name="20% - 輔色4 2" xfId="89" xr:uid="{9CEF38A0-625D-496A-9AD2-A626CE4A0406}"/>
    <cellStyle name="20% - 輔色4 20" xfId="90" xr:uid="{3F7CCA64-69FD-469C-834C-5C56588D8B5C}"/>
    <cellStyle name="20% - 輔色4 21" xfId="91" xr:uid="{2F90B055-A9F3-4D53-962D-39CF34717404}"/>
    <cellStyle name="20% - 輔色4 22" xfId="92" xr:uid="{153D420A-F4B9-4E35-B353-9817E56700E5}"/>
    <cellStyle name="20% - 輔色4 23" xfId="93" xr:uid="{5A6DDA84-5E2B-472C-8C2D-C61D707C7763}"/>
    <cellStyle name="20% - 輔色4 24" xfId="94" xr:uid="{707FAA59-AAAE-4FF8-8107-F6C926A5FFE5}"/>
    <cellStyle name="20% - 輔色4 25" xfId="95" xr:uid="{827EF54F-5931-4258-BC70-454FD7304CFC}"/>
    <cellStyle name="20% - 輔色4 26" xfId="96" xr:uid="{38FD6028-EF14-4CAE-BAB0-9A3FFE03BBB1}"/>
    <cellStyle name="20% - 輔色4 27" xfId="97" xr:uid="{576E475E-2023-4B68-B37E-65B0D59ABA13}"/>
    <cellStyle name="20% - 輔色4 3" xfId="98" xr:uid="{9AD40ED5-3EAF-42F7-9804-3FD9B21B4BE5}"/>
    <cellStyle name="20% - 輔色4 4" xfId="99" xr:uid="{2C0CB983-A363-4B64-9244-3EE5406AA0A1}"/>
    <cellStyle name="20% - 輔色4 5" xfId="100" xr:uid="{8B7540C1-48FD-47A5-8CE7-8CACEDFA1262}"/>
    <cellStyle name="20% - 輔色4 6" xfId="101" xr:uid="{EDB026C5-B1C8-475E-8D60-00EDF3A61B77}"/>
    <cellStyle name="20% - 輔色4 7" xfId="102" xr:uid="{B7DCD4FA-A91D-4720-97A8-B599893CB23A}"/>
    <cellStyle name="20% - 輔色4 8" xfId="103" xr:uid="{BA334100-28A6-44E5-81EF-48D663D510A2}"/>
    <cellStyle name="20% - 輔色4 9" xfId="104" xr:uid="{53E88FA6-50F3-4F54-B13E-95E8CD7C3829}"/>
    <cellStyle name="20% - 輔色5 10" xfId="105" xr:uid="{51D940EB-0D94-4BB4-BAD8-535A69E8B2A8}"/>
    <cellStyle name="20% - 輔色5 11" xfId="106" xr:uid="{BEC7FF82-896F-4F4F-8135-9BF5D78C35E4}"/>
    <cellStyle name="20% - 輔色5 12" xfId="107" xr:uid="{422D2459-176A-4866-BDE4-2642489F7806}"/>
    <cellStyle name="20% - 輔色5 13" xfId="108" xr:uid="{DA49FCD7-68FF-427E-BCA8-B742581FA818}"/>
    <cellStyle name="20% - 輔色5 14" xfId="109" xr:uid="{7176D74B-60DC-4F81-A187-11F490B0224D}"/>
    <cellStyle name="20% - 輔色5 15" xfId="110" xr:uid="{401723EC-10B3-457C-AFBC-F0FEF6598AF3}"/>
    <cellStyle name="20% - 輔色5 16" xfId="111" xr:uid="{36E5E93B-5E78-4426-9343-063A048BC0B9}"/>
    <cellStyle name="20% - 輔色5 17" xfId="112" xr:uid="{1EB43746-4272-4228-B5CE-01D7BAE79251}"/>
    <cellStyle name="20% - 輔色5 18" xfId="113" xr:uid="{EBEB4667-5DA8-4C5A-85E8-6CDA8D10D92E}"/>
    <cellStyle name="20% - 輔色5 19" xfId="114" xr:uid="{DFB8474A-7A56-441C-A5D9-840D44E20E67}"/>
    <cellStyle name="20% - 輔色5 2" xfId="115" xr:uid="{F7236979-2973-4B75-BD3A-CB4B472AD782}"/>
    <cellStyle name="20% - 輔色5 20" xfId="116" xr:uid="{07C4B749-F041-43FC-BB60-030F5BCBF4F6}"/>
    <cellStyle name="20% - 輔色5 21" xfId="117" xr:uid="{291594C9-7C93-43CD-A512-34677A6E8940}"/>
    <cellStyle name="20% - 輔色5 22" xfId="118" xr:uid="{43406C32-A30D-4384-86FC-4703F489C781}"/>
    <cellStyle name="20% - 輔色5 23" xfId="119" xr:uid="{434D02C6-DFED-4098-BC7C-FB1D25301368}"/>
    <cellStyle name="20% - 輔色5 24" xfId="120" xr:uid="{1C5D1B90-C171-4B8E-829D-2F9D682B61E9}"/>
    <cellStyle name="20% - 輔色5 25" xfId="121" xr:uid="{F78DC8DE-A81A-4648-B0A5-81A44A6B3E9B}"/>
    <cellStyle name="20% - 輔色5 26" xfId="122" xr:uid="{67ED110F-8D71-4663-B75F-84A97483A68D}"/>
    <cellStyle name="20% - 輔色5 27" xfId="123" xr:uid="{59BCEB0A-8859-49A4-A7BD-402F9BB85E5D}"/>
    <cellStyle name="20% - 輔色5 3" xfId="124" xr:uid="{93F856D8-CBFF-4938-8572-505EF7211AF2}"/>
    <cellStyle name="20% - 輔色5 4" xfId="125" xr:uid="{A7CD574E-57E4-4083-8C50-B71119E483F8}"/>
    <cellStyle name="20% - 輔色5 5" xfId="126" xr:uid="{38B499A1-1B75-4948-850E-D43383EF01F8}"/>
    <cellStyle name="20% - 輔色5 6" xfId="127" xr:uid="{A1E96D2A-A357-4A0F-8550-D8A24F1EA7BC}"/>
    <cellStyle name="20% - 輔色5 7" xfId="128" xr:uid="{C910403F-A01D-48CA-B539-FF8EAAA57BA6}"/>
    <cellStyle name="20% - 輔色5 8" xfId="129" xr:uid="{92C72ABA-E274-437C-B27D-517AC698D714}"/>
    <cellStyle name="20% - 輔色5 9" xfId="130" xr:uid="{1B2FB632-F1D8-47DE-BECD-A616C2EF7BF8}"/>
    <cellStyle name="20% - 輔色6 10" xfId="131" xr:uid="{52308DF3-0F6B-4FC9-A1BC-F4E93051E330}"/>
    <cellStyle name="20% - 輔色6 11" xfId="132" xr:uid="{A71E4AA4-DFB6-4D89-9E69-6ED665D1C416}"/>
    <cellStyle name="20% - 輔色6 12" xfId="133" xr:uid="{0612AC2D-C119-40E2-820D-54F402E85EFC}"/>
    <cellStyle name="20% - 輔色6 13" xfId="134" xr:uid="{93260622-1D1F-4146-947E-0600AAEACF16}"/>
    <cellStyle name="20% - 輔色6 14" xfId="135" xr:uid="{BD2A6100-705F-43CF-9F26-CEDB285713F3}"/>
    <cellStyle name="20% - 輔色6 15" xfId="136" xr:uid="{FD2516F9-505A-4914-ADC7-9FFF76616CA3}"/>
    <cellStyle name="20% - 輔色6 16" xfId="137" xr:uid="{19F57EA1-BCCE-495F-88B9-76FD8D7CA027}"/>
    <cellStyle name="20% - 輔色6 17" xfId="138" xr:uid="{EB6D5E32-6673-4FEB-8E7B-6EEAC1A263C6}"/>
    <cellStyle name="20% - 輔色6 18" xfId="139" xr:uid="{1923D223-BD4C-4686-87F1-4695D4BA6235}"/>
    <cellStyle name="20% - 輔色6 19" xfId="140" xr:uid="{FA649DA5-DECF-4B34-A307-BB69A473F0D9}"/>
    <cellStyle name="20% - 輔色6 2" xfId="141" xr:uid="{A01CDBD7-A985-428F-809A-0C3F626B2044}"/>
    <cellStyle name="20% - 輔色6 20" xfId="142" xr:uid="{7A75EE12-973C-46B2-89D4-4CFD31702FD8}"/>
    <cellStyle name="20% - 輔色6 21" xfId="143" xr:uid="{ECA1CDC7-62F3-4D85-921E-63191882A1AF}"/>
    <cellStyle name="20% - 輔色6 22" xfId="144" xr:uid="{053E10FE-3D06-4EE6-83E1-8CC073F8041B}"/>
    <cellStyle name="20% - 輔色6 23" xfId="145" xr:uid="{B1006200-56FF-4923-9372-76BBB9B104EC}"/>
    <cellStyle name="20% - 輔色6 24" xfId="146" xr:uid="{43AEF8DE-34F9-4063-94A0-17CD4F575072}"/>
    <cellStyle name="20% - 輔色6 25" xfId="147" xr:uid="{8BB41127-4EC2-4726-9AC0-4022B4A4C720}"/>
    <cellStyle name="20% - 輔色6 26" xfId="148" xr:uid="{351691B5-AAFF-438D-9CC1-EF45E120B49D}"/>
    <cellStyle name="20% - 輔色6 27" xfId="149" xr:uid="{20E0C388-4EDA-4A07-BCBF-0A6970A5D953}"/>
    <cellStyle name="20% - 輔色6 3" xfId="150" xr:uid="{041120FA-EF7D-4702-8E2F-CFC946DCD4EB}"/>
    <cellStyle name="20% - 輔色6 4" xfId="151" xr:uid="{09FD5C18-B9BA-4706-9D18-34CEFB32E464}"/>
    <cellStyle name="20% - 輔色6 5" xfId="152" xr:uid="{28D49471-EB02-4921-A516-08CB0A417223}"/>
    <cellStyle name="20% - 輔色6 6" xfId="153" xr:uid="{F44B8931-ACEB-4456-90C7-858B08B45153}"/>
    <cellStyle name="20% - 輔色6 7" xfId="154" xr:uid="{CFB0873C-D78B-484B-9071-97FA16A781A6}"/>
    <cellStyle name="20% - 輔色6 8" xfId="155" xr:uid="{DB4259B4-B0FF-437F-889E-2CE83E1D7B56}"/>
    <cellStyle name="20% - 輔色6 9" xfId="156" xr:uid="{505A7C4B-9C35-4F06-B366-0538F2676425}"/>
    <cellStyle name="40% - 輔色1 10" xfId="157" xr:uid="{5B433DF3-5778-4EF9-8896-7DB6B2DB16D5}"/>
    <cellStyle name="40% - 輔色1 11" xfId="158" xr:uid="{A8127EE6-D3DE-4738-B03C-B1F879B28392}"/>
    <cellStyle name="40% - 輔色1 12" xfId="159" xr:uid="{AA4063F0-339B-492E-B654-ED2597A4D59F}"/>
    <cellStyle name="40% - 輔色1 13" xfId="160" xr:uid="{3EBD77AD-42C8-414A-8F73-32B60DB6CFB5}"/>
    <cellStyle name="40% - 輔色1 14" xfId="161" xr:uid="{9D244185-914F-43AA-8930-616C5949EEAB}"/>
    <cellStyle name="40% - 輔色1 15" xfId="162" xr:uid="{FF918A67-775D-4E99-83FB-15FF71036043}"/>
    <cellStyle name="40% - 輔色1 16" xfId="163" xr:uid="{A5BF363D-6B78-4990-BD1C-77D05484197A}"/>
    <cellStyle name="40% - 輔色1 17" xfId="164" xr:uid="{3BB89CF8-0406-4C2F-B7BB-1486AFF784F9}"/>
    <cellStyle name="40% - 輔色1 18" xfId="165" xr:uid="{36EA43B7-EE90-4B49-AB98-C92D37A81ED9}"/>
    <cellStyle name="40% - 輔色1 19" xfId="166" xr:uid="{2B7B9FC0-6ED1-4872-AAEF-56EB79939AB6}"/>
    <cellStyle name="40% - 輔色1 2" xfId="167" xr:uid="{B3E6AA89-3AA7-49E7-BC69-2D0AC6A96959}"/>
    <cellStyle name="40% - 輔色1 20" xfId="168" xr:uid="{FF775391-87DB-4A2F-B0AC-10795B98E6C0}"/>
    <cellStyle name="40% - 輔色1 21" xfId="169" xr:uid="{C35F4BEF-27D3-42FD-920A-ED1BBCCB8B6B}"/>
    <cellStyle name="40% - 輔色1 22" xfId="170" xr:uid="{EF781F7C-A608-43A7-B788-7BCFC4B3C9E2}"/>
    <cellStyle name="40% - 輔色1 23" xfId="171" xr:uid="{99C0B3B1-328A-4275-9C10-864CF21592BA}"/>
    <cellStyle name="40% - 輔色1 24" xfId="172" xr:uid="{15DB52B6-81B7-4851-9BDC-1FAF147B4CDB}"/>
    <cellStyle name="40% - 輔色1 25" xfId="173" xr:uid="{3AE979CF-D4FF-4206-9F6D-7B429E1DF1A2}"/>
    <cellStyle name="40% - 輔色1 26" xfId="174" xr:uid="{F29847BB-6C3E-448C-B225-7151AA15E0EF}"/>
    <cellStyle name="40% - 輔色1 27" xfId="175" xr:uid="{0E9E2D17-DB1A-45C0-9A5D-289A4439E56B}"/>
    <cellStyle name="40% - 輔色1 3" xfId="176" xr:uid="{08ACC65E-3065-45F1-8357-2B683D51C4D1}"/>
    <cellStyle name="40% - 輔色1 4" xfId="177" xr:uid="{0D391E6E-DA52-4F3E-872F-6988C3F3A1F0}"/>
    <cellStyle name="40% - 輔色1 5" xfId="178" xr:uid="{18C9DB58-B307-408E-965C-9129432ED7E6}"/>
    <cellStyle name="40% - 輔色1 6" xfId="179" xr:uid="{B1EF219E-C3F0-483B-BEB4-DE97CC1B0C14}"/>
    <cellStyle name="40% - 輔色1 7" xfId="180" xr:uid="{D15D89AB-BB25-4DA5-8FCD-5737296CF207}"/>
    <cellStyle name="40% - 輔色1 8" xfId="181" xr:uid="{AF28D74E-424E-4AFC-95BF-BF09DC141EF0}"/>
    <cellStyle name="40% - 輔色1 9" xfId="182" xr:uid="{9B9B99F2-87D4-44E2-B4F4-ECF900D50302}"/>
    <cellStyle name="40% - 輔色2 10" xfId="183" xr:uid="{1963D99F-79A2-4A34-8DFB-A8B31B90CAEF}"/>
    <cellStyle name="40% - 輔色2 11" xfId="184" xr:uid="{856B9D7C-E6F2-4183-B3F6-0E71BD176045}"/>
    <cellStyle name="40% - 輔色2 12" xfId="185" xr:uid="{EB831864-223B-4C3C-A50F-1DDB93C1EC76}"/>
    <cellStyle name="40% - 輔色2 13" xfId="186" xr:uid="{F5430958-21A9-4C5E-90C0-83798A3D5602}"/>
    <cellStyle name="40% - 輔色2 14" xfId="187" xr:uid="{B2127DFD-D82A-43C5-88D3-4183D9A183CF}"/>
    <cellStyle name="40% - 輔色2 15" xfId="188" xr:uid="{5C755EE3-54ED-437E-8BC2-277755907F7F}"/>
    <cellStyle name="40% - 輔色2 16" xfId="189" xr:uid="{01649151-B980-4744-A511-1FEDD02EC57B}"/>
    <cellStyle name="40% - 輔色2 17" xfId="190" xr:uid="{D647701B-8544-4C5D-BD1F-43BDE4EADD4D}"/>
    <cellStyle name="40% - 輔色2 18" xfId="191" xr:uid="{A38A9E95-1B7C-4EB0-A387-25B0BD5A82A8}"/>
    <cellStyle name="40% - 輔色2 19" xfId="192" xr:uid="{2B818C5C-54A8-4212-AF03-8B0A8FA82CB2}"/>
    <cellStyle name="40% - 輔色2 2" xfId="193" xr:uid="{18E09256-FCA8-4EFD-87CB-DA92586D6B3B}"/>
    <cellStyle name="40% - 輔色2 20" xfId="194" xr:uid="{74146C10-183C-45A2-B25F-FF3293487DD0}"/>
    <cellStyle name="40% - 輔色2 21" xfId="195" xr:uid="{71F0FD52-596F-43F1-A2B5-4E1050B94704}"/>
    <cellStyle name="40% - 輔色2 22" xfId="196" xr:uid="{73AC6525-349D-439A-84F0-78820E567D6D}"/>
    <cellStyle name="40% - 輔色2 23" xfId="197" xr:uid="{CD966F01-083A-4D45-81E6-F64E9E1882CD}"/>
    <cellStyle name="40% - 輔色2 24" xfId="198" xr:uid="{59BE6AEF-8D83-4A5D-8C35-9DF8BB1D90EF}"/>
    <cellStyle name="40% - 輔色2 25" xfId="199" xr:uid="{900B6A6B-27B2-48EA-ABD5-9683CB1B7A7C}"/>
    <cellStyle name="40% - 輔色2 26" xfId="200" xr:uid="{D99BF54F-CFF0-4322-B6CC-8E918A5F6F57}"/>
    <cellStyle name="40% - 輔色2 27" xfId="201" xr:uid="{2AA2C9CF-7304-4DFA-8947-79AE1A4CA726}"/>
    <cellStyle name="40% - 輔色2 3" xfId="202" xr:uid="{D37BEBDD-AC84-4149-AA64-5D17ED711CAF}"/>
    <cellStyle name="40% - 輔色2 4" xfId="203" xr:uid="{BACE52E6-A5B3-47E2-BCD6-B5D436F50A70}"/>
    <cellStyle name="40% - 輔色2 5" xfId="204" xr:uid="{9776F5F0-0D55-418E-A775-9341628AB259}"/>
    <cellStyle name="40% - 輔色2 6" xfId="205" xr:uid="{E7599F6F-51BF-4819-8243-DA32961C9CB9}"/>
    <cellStyle name="40% - 輔色2 7" xfId="206" xr:uid="{2034DB23-5E53-4F7C-A629-603BD433F338}"/>
    <cellStyle name="40% - 輔色2 8" xfId="207" xr:uid="{6AF9AAFD-84A6-428C-9B01-73BC1B642685}"/>
    <cellStyle name="40% - 輔色2 9" xfId="208" xr:uid="{1357B5CF-EC65-4845-8EA6-0278CD4B31C1}"/>
    <cellStyle name="40% - 輔色3 10" xfId="209" xr:uid="{FFCE327A-5DB6-4EB2-83EB-5DF90FB5D786}"/>
    <cellStyle name="40% - 輔色3 11" xfId="210" xr:uid="{E0B93850-F278-4FBF-B827-4C6AF0B1F823}"/>
    <cellStyle name="40% - 輔色3 12" xfId="211" xr:uid="{9D659BB3-281C-42EC-8623-3B38D345FBE4}"/>
    <cellStyle name="40% - 輔色3 13" xfId="212" xr:uid="{A9563BD5-0445-4FD2-AA08-02AF4DEF0527}"/>
    <cellStyle name="40% - 輔色3 14" xfId="213" xr:uid="{3A966326-39AB-45E3-9EB8-9A2C63CCDEFE}"/>
    <cellStyle name="40% - 輔色3 15" xfId="214" xr:uid="{2B78863F-B2B1-4B8C-AA90-A4AC4F166F71}"/>
    <cellStyle name="40% - 輔色3 16" xfId="215" xr:uid="{79390D3A-793C-4677-B0B7-AD5AC2ADBDB6}"/>
    <cellStyle name="40% - 輔色3 17" xfId="216" xr:uid="{8F11FFDB-732D-409B-A4CF-76CC3C1D68AC}"/>
    <cellStyle name="40% - 輔色3 18" xfId="217" xr:uid="{87670B7B-5FAB-4993-AEB3-43C02AD2DC12}"/>
    <cellStyle name="40% - 輔色3 19" xfId="218" xr:uid="{149FA187-044D-4B32-8EA5-807AA452AA73}"/>
    <cellStyle name="40% - 輔色3 2" xfId="219" xr:uid="{CA9F68A6-D3CB-422B-B906-5C6CD18F7441}"/>
    <cellStyle name="40% - 輔色3 20" xfId="220" xr:uid="{91AD5569-9290-44B7-B2AB-42BD8133813E}"/>
    <cellStyle name="40% - 輔色3 21" xfId="221" xr:uid="{AE12D946-2B0A-498D-B4B6-7F9EB55C1A78}"/>
    <cellStyle name="40% - 輔色3 22" xfId="222" xr:uid="{4508DFF6-B35A-43F8-A710-B81B75538EE9}"/>
    <cellStyle name="40% - 輔色3 23" xfId="223" xr:uid="{1C93C4E6-096A-4F5E-A2D8-579F12687F79}"/>
    <cellStyle name="40% - 輔色3 24" xfId="224" xr:uid="{F5F43E93-AD6C-431D-9560-DDC645D3BB0D}"/>
    <cellStyle name="40% - 輔色3 25" xfId="225" xr:uid="{0D247C8D-128A-43A7-97B7-202689BB043F}"/>
    <cellStyle name="40% - 輔色3 26" xfId="226" xr:uid="{F4310C3A-E83F-428E-86B2-ACCA924656C6}"/>
    <cellStyle name="40% - 輔色3 27" xfId="227" xr:uid="{ABE07CCF-7CF7-42A2-9D09-34FC06FCDB9D}"/>
    <cellStyle name="40% - 輔色3 3" xfId="228" xr:uid="{EB07F281-86CF-42D3-A241-095CD3291E32}"/>
    <cellStyle name="40% - 輔色3 4" xfId="229" xr:uid="{41FC2AAE-FF79-493D-A21E-BF5EA1CBDB75}"/>
    <cellStyle name="40% - 輔色3 5" xfId="230" xr:uid="{B117ECF1-CBDD-48F2-BDDC-0B8CF245DC9A}"/>
    <cellStyle name="40% - 輔色3 6" xfId="231" xr:uid="{A4C40967-113B-47DD-8A46-9B5D377854A9}"/>
    <cellStyle name="40% - 輔色3 7" xfId="232" xr:uid="{95F3F660-3B52-4A72-899E-97C6600926A8}"/>
    <cellStyle name="40% - 輔色3 8" xfId="233" xr:uid="{42591B98-1C29-4E2A-B029-DFA16D1E7623}"/>
    <cellStyle name="40% - 輔色3 9" xfId="234" xr:uid="{D05513D7-0D8C-42A3-B6B8-3E2BA3D65899}"/>
    <cellStyle name="40% - 輔色4 10" xfId="235" xr:uid="{EE894DA0-1BBB-422F-9DE2-F193B050D85B}"/>
    <cellStyle name="40% - 輔色4 11" xfId="236" xr:uid="{8DF95D31-8ECA-4F29-BC68-A8FBB38B096D}"/>
    <cellStyle name="40% - 輔色4 12" xfId="237" xr:uid="{D0D581C4-8DFB-4DDB-8324-028A0EFC7708}"/>
    <cellStyle name="40% - 輔色4 13" xfId="238" xr:uid="{88EEED04-974D-44AD-841C-10D49BC6B679}"/>
    <cellStyle name="40% - 輔色4 14" xfId="239" xr:uid="{15869776-A1E7-4F81-BFE2-6970BC28EBF4}"/>
    <cellStyle name="40% - 輔色4 15" xfId="240" xr:uid="{E9A5E49A-B242-46C0-BB93-9CFE725AA7BA}"/>
    <cellStyle name="40% - 輔色4 16" xfId="241" xr:uid="{9A05ED81-F97D-4A53-80A6-B5B20A4F3E07}"/>
    <cellStyle name="40% - 輔色4 17" xfId="242" xr:uid="{DB70E387-E1AA-4FEA-B748-477C99CF0D35}"/>
    <cellStyle name="40% - 輔色4 18" xfId="243" xr:uid="{EE4D6010-8714-46C8-A6EE-954A6BD28D10}"/>
    <cellStyle name="40% - 輔色4 19" xfId="244" xr:uid="{760DB012-F624-45BA-B1B7-BD4DE413B329}"/>
    <cellStyle name="40% - 輔色4 2" xfId="245" xr:uid="{4EA8ABA0-1FD1-40EC-A398-5A10879A7C20}"/>
    <cellStyle name="40% - 輔色4 20" xfId="246" xr:uid="{A8E61C45-D85A-42C7-A057-08D7E4DD80F1}"/>
    <cellStyle name="40% - 輔色4 21" xfId="247" xr:uid="{6C532DED-A2D2-4D72-A70C-B758F0BCE7A8}"/>
    <cellStyle name="40% - 輔色4 22" xfId="248" xr:uid="{ED6DEA1C-C6CD-4B08-8D0A-B068F52CEB66}"/>
    <cellStyle name="40% - 輔色4 23" xfId="249" xr:uid="{0525381D-CDE0-4454-8B6E-3E332EC182CF}"/>
    <cellStyle name="40% - 輔色4 24" xfId="250" xr:uid="{40937916-ED4A-45F6-8447-F62FC1E20843}"/>
    <cellStyle name="40% - 輔色4 25" xfId="251" xr:uid="{8338F3B4-B132-49AD-A9DA-D3ACB798A415}"/>
    <cellStyle name="40% - 輔色4 26" xfId="252" xr:uid="{64D97373-EC46-475C-BF47-FC1D0F15FCC0}"/>
    <cellStyle name="40% - 輔色4 27" xfId="253" xr:uid="{703B9122-65AC-4D57-9F51-D777BC0FA59B}"/>
    <cellStyle name="40% - 輔色4 3" xfId="254" xr:uid="{DC1F3F5B-30D3-465A-AB01-E4E0E481FA59}"/>
    <cellStyle name="40% - 輔色4 4" xfId="255" xr:uid="{1D5A8841-1F54-424F-BDFF-A01429662440}"/>
    <cellStyle name="40% - 輔色4 5" xfId="256" xr:uid="{0C46C0B0-1D7D-4371-9DA5-3B9119F12DC6}"/>
    <cellStyle name="40% - 輔色4 6" xfId="257" xr:uid="{8BE175B8-7C2F-4889-AD04-F295FEDF91DB}"/>
    <cellStyle name="40% - 輔色4 7" xfId="258" xr:uid="{127DA423-E895-4E8A-9A89-89266EE56C73}"/>
    <cellStyle name="40% - 輔色4 8" xfId="259" xr:uid="{594E90A4-060C-4AF7-91DB-62010148D699}"/>
    <cellStyle name="40% - 輔色4 9" xfId="260" xr:uid="{F8F75F8D-5F37-4E9D-B405-79F2F157C6A4}"/>
    <cellStyle name="40% - 輔色5 10" xfId="261" xr:uid="{16E6FBD6-3A14-43A1-9B36-2482CD002C5E}"/>
    <cellStyle name="40% - 輔色5 11" xfId="262" xr:uid="{4A53D172-C50D-4E49-996D-F906807CAF0D}"/>
    <cellStyle name="40% - 輔色5 12" xfId="263" xr:uid="{AD3A31CF-B54C-4625-87DF-ECC879E5D26B}"/>
    <cellStyle name="40% - 輔色5 13" xfId="264" xr:uid="{64927050-A4E7-4B7F-90E9-FD4397DA0C5F}"/>
    <cellStyle name="40% - 輔色5 14" xfId="265" xr:uid="{7273B866-19FC-4FF3-8B6A-75C833EDDAFA}"/>
    <cellStyle name="40% - 輔色5 15" xfId="266" xr:uid="{81791329-7285-4E3C-A377-E8BA41B45EA3}"/>
    <cellStyle name="40% - 輔色5 16" xfId="267" xr:uid="{C50FE278-C4A3-4EA1-9A73-1CF55925B1AF}"/>
    <cellStyle name="40% - 輔色5 17" xfId="268" xr:uid="{3BF55C34-393F-463A-8B3F-25DB04E94A51}"/>
    <cellStyle name="40% - 輔色5 18" xfId="269" xr:uid="{81C91680-8525-4B48-900F-F15975BDAC7E}"/>
    <cellStyle name="40% - 輔色5 19" xfId="270" xr:uid="{C8DFCCA6-8B52-4F9E-A874-2EE390FEAEEA}"/>
    <cellStyle name="40% - 輔色5 2" xfId="271" xr:uid="{2D75D544-28AC-4ECE-B756-CE9ABC8E465C}"/>
    <cellStyle name="40% - 輔色5 20" xfId="272" xr:uid="{30582345-CB02-40FB-98A8-4893364EC4A4}"/>
    <cellStyle name="40% - 輔色5 21" xfId="273" xr:uid="{94738C03-6BFB-47B6-A92B-593B0AC2B99B}"/>
    <cellStyle name="40% - 輔色5 22" xfId="274" xr:uid="{0F07D895-80B1-445F-B939-D0280E942B4F}"/>
    <cellStyle name="40% - 輔色5 23" xfId="275" xr:uid="{1B14B551-651D-4CAE-9947-D665D61A4692}"/>
    <cellStyle name="40% - 輔色5 24" xfId="276" xr:uid="{A65A2B2C-45DD-452E-8A0E-EB31CD7E8B49}"/>
    <cellStyle name="40% - 輔色5 25" xfId="277" xr:uid="{6CE56430-396D-490A-A5AD-454DBFC3F794}"/>
    <cellStyle name="40% - 輔色5 26" xfId="278" xr:uid="{340BACC3-0146-42EE-AC90-299A37A69234}"/>
    <cellStyle name="40% - 輔色5 27" xfId="279" xr:uid="{75AF6C14-70D5-4BB9-94D2-EE11E8AAF9EE}"/>
    <cellStyle name="40% - 輔色5 3" xfId="280" xr:uid="{7D16579E-0C5E-46B1-B273-0C7AF94D79F9}"/>
    <cellStyle name="40% - 輔色5 4" xfId="281" xr:uid="{869E225A-2525-4606-A04E-8AF5ADE8C41C}"/>
    <cellStyle name="40% - 輔色5 5" xfId="282" xr:uid="{5F568AFF-4431-42AE-BF13-70451370F92A}"/>
    <cellStyle name="40% - 輔色5 6" xfId="283" xr:uid="{D7D0BC1B-1AEC-4D42-86D2-2AC3661610E2}"/>
    <cellStyle name="40% - 輔色5 7" xfId="284" xr:uid="{17163D24-29E4-4B89-9957-5F0B7786F09C}"/>
    <cellStyle name="40% - 輔色5 8" xfId="285" xr:uid="{954265A2-C4CB-40FD-92B8-ACB27AC700C3}"/>
    <cellStyle name="40% - 輔色5 9" xfId="286" xr:uid="{7F4917B1-7BF2-4C39-8575-80354FE3841B}"/>
    <cellStyle name="40% - 輔色6 10" xfId="287" xr:uid="{7C5D7721-86B8-45E5-B2D6-ABBD71D51E95}"/>
    <cellStyle name="40% - 輔色6 11" xfId="288" xr:uid="{6504E1E9-972F-48B1-ADBA-81010E5BCED6}"/>
    <cellStyle name="40% - 輔色6 12" xfId="289" xr:uid="{EEE7F6DF-2DA1-4B4D-A2AB-29738634DC89}"/>
    <cellStyle name="40% - 輔色6 13" xfId="290" xr:uid="{0F3E5FBE-0C81-4BBB-9FB6-34DC92BBC61F}"/>
    <cellStyle name="40% - 輔色6 14" xfId="291" xr:uid="{E74E8DF0-F6B9-4D9F-AACB-5324C1C12DE0}"/>
    <cellStyle name="40% - 輔色6 15" xfId="292" xr:uid="{778E12D6-454B-4F26-9CC7-FE4DFF086630}"/>
    <cellStyle name="40% - 輔色6 16" xfId="293" xr:uid="{4B94CDF5-BACB-42DF-B5B2-221BD0922A78}"/>
    <cellStyle name="40% - 輔色6 17" xfId="294" xr:uid="{2577DAA9-CC1A-4554-8746-E839F2B8678E}"/>
    <cellStyle name="40% - 輔色6 18" xfId="295" xr:uid="{C1CB4F65-ACE8-4BD1-9802-6086544A2FE4}"/>
    <cellStyle name="40% - 輔色6 19" xfId="296" xr:uid="{096367E5-F82C-4AAA-A0E4-F80A568529E9}"/>
    <cellStyle name="40% - 輔色6 2" xfId="297" xr:uid="{8B21BD99-30BD-4D67-B546-4ED07A3965A8}"/>
    <cellStyle name="40% - 輔色6 20" xfId="298" xr:uid="{24D59C4B-2DDE-455F-AAA4-75DF3CEF47B7}"/>
    <cellStyle name="40% - 輔色6 21" xfId="299" xr:uid="{4A385C54-57F2-4143-AFA3-9A867AC00571}"/>
    <cellStyle name="40% - 輔色6 22" xfId="300" xr:uid="{3D3486D1-4EFF-449D-B0F7-381CACA753B5}"/>
    <cellStyle name="40% - 輔色6 23" xfId="301" xr:uid="{240BCFCA-0246-4CA9-8B7A-06F76ED8FEF2}"/>
    <cellStyle name="40% - 輔色6 24" xfId="302" xr:uid="{C7C346BE-71B9-4D11-A0CF-4CAC95E84469}"/>
    <cellStyle name="40% - 輔色6 25" xfId="303" xr:uid="{A6D14F73-EA00-4157-A1CE-73F4AEA6646A}"/>
    <cellStyle name="40% - 輔色6 26" xfId="304" xr:uid="{9ADB3B6A-9262-4D16-B7FF-025255071C14}"/>
    <cellStyle name="40% - 輔色6 27" xfId="305" xr:uid="{C5887DAD-F54B-4913-930F-24F48A181439}"/>
    <cellStyle name="40% - 輔色6 3" xfId="306" xr:uid="{285C6E80-BF81-4669-A5B1-96ADDC21BA4B}"/>
    <cellStyle name="40% - 輔色6 4" xfId="307" xr:uid="{4A3F0597-1A8B-4262-AFA9-A9C5CB3DC935}"/>
    <cellStyle name="40% - 輔色6 5" xfId="308" xr:uid="{B6482C2C-9342-46D1-8394-A4F43D0952F6}"/>
    <cellStyle name="40% - 輔色6 6" xfId="309" xr:uid="{08B0D4E7-ECBC-48BC-9CF4-C259E962E64A}"/>
    <cellStyle name="40% - 輔色6 7" xfId="310" xr:uid="{6EF4C028-19D6-4944-B048-E544343775D9}"/>
    <cellStyle name="40% - 輔色6 8" xfId="311" xr:uid="{DA2E90E6-E493-4A18-88AD-A8EBDB8C066F}"/>
    <cellStyle name="40% - 輔色6 9" xfId="312" xr:uid="{E9A6928E-3AD5-437B-865F-D66A633AB409}"/>
    <cellStyle name="60% - 輔色1 10" xfId="313" xr:uid="{0996121D-C6D3-4264-8853-13E85B562F72}"/>
    <cellStyle name="60% - 輔色1 11" xfId="314" xr:uid="{5CD0B479-AA0A-4B85-A7C2-41F853A3AAF5}"/>
    <cellStyle name="60% - 輔色1 12" xfId="315" xr:uid="{2D1298CA-5787-4900-A890-ED03DE69FEB5}"/>
    <cellStyle name="60% - 輔色1 13" xfId="316" xr:uid="{E921EC60-4979-4AAD-8CDA-FB4A336AA704}"/>
    <cellStyle name="60% - 輔色1 14" xfId="317" xr:uid="{F76DEE0F-6180-4E70-B156-69554D78C1FF}"/>
    <cellStyle name="60% - 輔色1 15" xfId="318" xr:uid="{707CF8B2-F7D7-45D4-B0DA-8792BB6D6E56}"/>
    <cellStyle name="60% - 輔色1 16" xfId="319" xr:uid="{3B8F9B95-09B2-467E-A1F0-924644EB3751}"/>
    <cellStyle name="60% - 輔色1 17" xfId="320" xr:uid="{B433ADFC-202D-4F3D-87BD-6B8FA46B94BD}"/>
    <cellStyle name="60% - 輔色1 18" xfId="321" xr:uid="{BC556994-BBD9-428C-BC18-FC12F82F8D85}"/>
    <cellStyle name="60% - 輔色1 19" xfId="322" xr:uid="{0942C78D-6589-47C8-9B81-E6293DC568D2}"/>
    <cellStyle name="60% - 輔色1 2" xfId="323" xr:uid="{13A1C866-CB71-4117-80E5-0A67153E26BF}"/>
    <cellStyle name="60% - 輔色1 20" xfId="324" xr:uid="{F8F6AE2B-8F51-472E-A0DC-D9E90B551341}"/>
    <cellStyle name="60% - 輔色1 21" xfId="325" xr:uid="{F21AC675-9A18-4FC1-94AE-BEFA6406CD08}"/>
    <cellStyle name="60% - 輔色1 22" xfId="326" xr:uid="{38A06EDD-39B2-4A0F-BB30-D9C24E480D8D}"/>
    <cellStyle name="60% - 輔色1 23" xfId="327" xr:uid="{8A896765-3FB1-49AB-B9CD-AAB952A883FD}"/>
    <cellStyle name="60% - 輔色1 24" xfId="328" xr:uid="{A57132CA-7E67-436E-AB7E-390FC8D2C589}"/>
    <cellStyle name="60% - 輔色1 25" xfId="329" xr:uid="{434FA830-5E77-461E-A140-F0D5617DA739}"/>
    <cellStyle name="60% - 輔色1 26" xfId="330" xr:uid="{82DF6E83-9824-41D1-B12A-FF42E1F84B7D}"/>
    <cellStyle name="60% - 輔色1 27" xfId="331" xr:uid="{1BB7D9F9-C979-42A8-A9D5-FB8DE11EF504}"/>
    <cellStyle name="60% - 輔色1 3" xfId="332" xr:uid="{354B200F-E6E3-4234-8720-C3033C05E280}"/>
    <cellStyle name="60% - 輔色1 4" xfId="333" xr:uid="{333344A4-5EC0-45F4-BDA0-A28CC43D6BEF}"/>
    <cellStyle name="60% - 輔色1 5" xfId="334" xr:uid="{34CC5249-CCF9-45CD-93B3-B2E15DCF6294}"/>
    <cellStyle name="60% - 輔色1 6" xfId="335" xr:uid="{8F18E579-341C-46A3-B88B-D415B1F8A393}"/>
    <cellStyle name="60% - 輔色1 7" xfId="336" xr:uid="{2CE5AB3E-46F9-4077-8620-3DDF71E0AE82}"/>
    <cellStyle name="60% - 輔色1 8" xfId="337" xr:uid="{3DC26168-441E-4B2D-B0C3-7DCC80ECDB9F}"/>
    <cellStyle name="60% - 輔色1 9" xfId="338" xr:uid="{A0D04907-0C34-41AD-A9D1-81C6C9A6A795}"/>
    <cellStyle name="60% - 輔色2 10" xfId="339" xr:uid="{218A97D0-4C6A-4FBE-BCC4-931826BACEF7}"/>
    <cellStyle name="60% - 輔色2 11" xfId="340" xr:uid="{73E83546-EB19-46BF-B184-13170E39FEA8}"/>
    <cellStyle name="60% - 輔色2 12" xfId="341" xr:uid="{D9D8C938-E21A-454F-83A5-DB690D02BC22}"/>
    <cellStyle name="60% - 輔色2 13" xfId="342" xr:uid="{10B48620-58C8-4142-8737-D34E7D9F13FC}"/>
    <cellStyle name="60% - 輔色2 14" xfId="343" xr:uid="{14B4B32B-603F-4BCE-8785-BFE3DC445CE6}"/>
    <cellStyle name="60% - 輔色2 15" xfId="344" xr:uid="{21038B5F-2183-4591-AEDF-EB98E958B2BA}"/>
    <cellStyle name="60% - 輔色2 16" xfId="345" xr:uid="{32F7394F-6AE4-4179-8965-8EC6C23A664A}"/>
    <cellStyle name="60% - 輔色2 17" xfId="346" xr:uid="{27ED29DD-7130-4695-A638-A0A6EFED92CF}"/>
    <cellStyle name="60% - 輔色2 18" xfId="347" xr:uid="{FF8FFF0A-532F-48B0-B2E8-E36F794C163C}"/>
    <cellStyle name="60% - 輔色2 19" xfId="348" xr:uid="{911A4424-4023-4EFA-94B4-2FE4CE982916}"/>
    <cellStyle name="60% - 輔色2 2" xfId="349" xr:uid="{AC551DCC-C554-47B4-A436-C5258211F6D2}"/>
    <cellStyle name="60% - 輔色2 20" xfId="350" xr:uid="{AE9C17BB-03E0-46D3-9BB3-1068202F17F5}"/>
    <cellStyle name="60% - 輔色2 21" xfId="351" xr:uid="{B470F6CB-B936-40DB-99DB-7E3D060F0713}"/>
    <cellStyle name="60% - 輔色2 22" xfId="352" xr:uid="{7F252681-3EED-4A02-988D-802871F29DF4}"/>
    <cellStyle name="60% - 輔色2 23" xfId="353" xr:uid="{6EA07261-0B77-4809-A269-C9187B5D6CD4}"/>
    <cellStyle name="60% - 輔色2 24" xfId="354" xr:uid="{42799029-2F04-46CE-8B48-E552973CD8C4}"/>
    <cellStyle name="60% - 輔色2 25" xfId="355" xr:uid="{2FBF10AC-5A24-447C-AE9D-84D853A08117}"/>
    <cellStyle name="60% - 輔色2 26" xfId="356" xr:uid="{EA145F22-9657-40F8-83F3-A17B0199C4CD}"/>
    <cellStyle name="60% - 輔色2 27" xfId="357" xr:uid="{90746372-8C7E-4CEB-89F1-1B0B88283686}"/>
    <cellStyle name="60% - 輔色2 3" xfId="358" xr:uid="{FF35C7E1-9AAD-4251-BD76-5CEE135FFD4D}"/>
    <cellStyle name="60% - 輔色2 4" xfId="359" xr:uid="{CA7C6C50-EF44-4791-9DE7-4BEEB80D8B84}"/>
    <cellStyle name="60% - 輔色2 5" xfId="360" xr:uid="{6B24C430-E3A0-4142-9DE2-45957ADF1E09}"/>
    <cellStyle name="60% - 輔色2 6" xfId="361" xr:uid="{BF6F0036-0C5B-4728-861B-6345B5A4C41A}"/>
    <cellStyle name="60% - 輔色2 7" xfId="362" xr:uid="{20DEEB17-E554-405A-968F-3AA374CF3B93}"/>
    <cellStyle name="60% - 輔色2 8" xfId="363" xr:uid="{B4606029-F5E2-4250-B4A5-D6CCCA16C5DD}"/>
    <cellStyle name="60% - 輔色2 9" xfId="364" xr:uid="{21CE5135-8804-4814-BF29-A4541DFFA600}"/>
    <cellStyle name="60% - 輔色3 10" xfId="365" xr:uid="{612DA67C-333F-4BDF-B5A4-6491301F9C2B}"/>
    <cellStyle name="60% - 輔色3 11" xfId="366" xr:uid="{DB2BF4E3-D0D0-47EC-BCEB-79A91CA58C92}"/>
    <cellStyle name="60% - 輔色3 12" xfId="367" xr:uid="{CCBD85DE-A4C1-4EB2-8710-6BE9B22D4C1F}"/>
    <cellStyle name="60% - 輔色3 13" xfId="368" xr:uid="{4E64ED48-74A6-4F77-861B-5408623BA888}"/>
    <cellStyle name="60% - 輔色3 14" xfId="369" xr:uid="{2C632E7D-C3C9-4BD6-9964-0425C0D9E11D}"/>
    <cellStyle name="60% - 輔色3 15" xfId="370" xr:uid="{A2C2F101-3885-497F-A640-176FDB1CAD95}"/>
    <cellStyle name="60% - 輔色3 16" xfId="371" xr:uid="{3591E78E-35C9-4B3D-82D3-D77CBC05E311}"/>
    <cellStyle name="60% - 輔色3 17" xfId="372" xr:uid="{F2610730-E46F-4548-89C0-6D341B810850}"/>
    <cellStyle name="60% - 輔色3 18" xfId="373" xr:uid="{0CAF2E20-041F-4BDC-89C3-5EAEB1A86D1F}"/>
    <cellStyle name="60% - 輔色3 19" xfId="374" xr:uid="{FC2F8537-B61B-4DE9-8DC7-72BFBE0BB38B}"/>
    <cellStyle name="60% - 輔色3 2" xfId="375" xr:uid="{A5DCB03C-F7E7-4A04-9290-F585B0FDB9C3}"/>
    <cellStyle name="60% - 輔色3 20" xfId="376" xr:uid="{F9CCAE79-16E4-4791-AC72-075230ACEC9C}"/>
    <cellStyle name="60% - 輔色3 21" xfId="377" xr:uid="{E4B20333-3E63-4DA9-B1D6-4044A3355886}"/>
    <cellStyle name="60% - 輔色3 22" xfId="378" xr:uid="{A9BAED98-1D2E-40A7-A699-BCA12662E51B}"/>
    <cellStyle name="60% - 輔色3 23" xfId="379" xr:uid="{20C0738B-6F71-418A-8439-B1EC793E50C7}"/>
    <cellStyle name="60% - 輔色3 24" xfId="380" xr:uid="{EB9918FA-8DBE-4B46-8679-055467679F1F}"/>
    <cellStyle name="60% - 輔色3 25" xfId="381" xr:uid="{4E597AB0-6C8E-4DE1-8533-99520447E99D}"/>
    <cellStyle name="60% - 輔色3 26" xfId="382" xr:uid="{5B79AA51-CE2C-444A-9EE6-23EEBD9C633E}"/>
    <cellStyle name="60% - 輔色3 27" xfId="383" xr:uid="{2B592C0A-E73A-41B8-994B-D743C01F6C4C}"/>
    <cellStyle name="60% - 輔色3 3" xfId="384" xr:uid="{8AF7D855-5F61-4C24-84F2-D906B03E9FDF}"/>
    <cellStyle name="60% - 輔色3 4" xfId="385" xr:uid="{83F1B34F-E637-480B-8389-ACCF531C418B}"/>
    <cellStyle name="60% - 輔色3 5" xfId="386" xr:uid="{370253BB-09BC-4A20-85DA-A844EA767310}"/>
    <cellStyle name="60% - 輔色3 6" xfId="387" xr:uid="{475F2927-0EDC-4527-A116-82EDCD4C7908}"/>
    <cellStyle name="60% - 輔色3 7" xfId="388" xr:uid="{C34BB656-46DD-4908-82F4-80179C1DC1D6}"/>
    <cellStyle name="60% - 輔色3 8" xfId="389" xr:uid="{4181F613-EEEC-4157-A19D-FDE4B8C89C70}"/>
    <cellStyle name="60% - 輔色3 9" xfId="390" xr:uid="{A047D815-DB91-43D3-96E3-A74562526BF5}"/>
    <cellStyle name="60% - 輔色4 10" xfId="391" xr:uid="{AFADA85C-1061-4935-B451-66BEA47479B3}"/>
    <cellStyle name="60% - 輔色4 11" xfId="392" xr:uid="{52F6087B-010B-4BFF-AF57-1EB10F4648A8}"/>
    <cellStyle name="60% - 輔色4 12" xfId="393" xr:uid="{B307D614-96B6-4937-BF4D-232F353455FE}"/>
    <cellStyle name="60% - 輔色4 13" xfId="394" xr:uid="{3B272098-051B-40B2-A00A-97D9BE76B10C}"/>
    <cellStyle name="60% - 輔色4 14" xfId="395" xr:uid="{2DA6BC42-D4D6-490F-9AA3-203CA1530743}"/>
    <cellStyle name="60% - 輔色4 15" xfId="396" xr:uid="{FCC17379-F091-4BC2-8D33-039E5EF68F37}"/>
    <cellStyle name="60% - 輔色4 16" xfId="397" xr:uid="{5B1CE5D6-5389-4E35-8448-9629A9FAC5F9}"/>
    <cellStyle name="60% - 輔色4 17" xfId="398" xr:uid="{47C39998-1010-49A8-AD32-916E256A3960}"/>
    <cellStyle name="60% - 輔色4 18" xfId="399" xr:uid="{72E48959-981F-42B2-A4BC-F8023F701F80}"/>
    <cellStyle name="60% - 輔色4 19" xfId="400" xr:uid="{F58D63FC-CFB3-4F5E-AC78-BACB38A4E7A5}"/>
    <cellStyle name="60% - 輔色4 2" xfId="401" xr:uid="{0078775B-463F-4648-9F7A-AF337EDA715F}"/>
    <cellStyle name="60% - 輔色4 20" xfId="402" xr:uid="{0C514AD9-02E8-485B-9CC3-74923091CC95}"/>
    <cellStyle name="60% - 輔色4 21" xfId="403" xr:uid="{B7297257-8848-4EC9-8D2E-11EFD3C68C1B}"/>
    <cellStyle name="60% - 輔色4 22" xfId="404" xr:uid="{8B94CF68-5AAA-4A99-9303-42C308797D07}"/>
    <cellStyle name="60% - 輔色4 23" xfId="405" xr:uid="{50CD8ECE-9E1C-4229-A65D-0588C5D844C1}"/>
    <cellStyle name="60% - 輔色4 24" xfId="406" xr:uid="{52548E29-8C92-4936-AF82-E4EB58F5F38C}"/>
    <cellStyle name="60% - 輔色4 25" xfId="407" xr:uid="{C47656B6-46BE-4207-BED7-2F8112142757}"/>
    <cellStyle name="60% - 輔色4 26" xfId="408" xr:uid="{7B37AE37-A28C-4A41-825E-978675E74515}"/>
    <cellStyle name="60% - 輔色4 27" xfId="409" xr:uid="{412C6AFF-D603-494B-896F-7CC4C765ED5E}"/>
    <cellStyle name="60% - 輔色4 3" xfId="410" xr:uid="{1D2527BA-0FC6-4FB9-B4C7-CC8C024477F4}"/>
    <cellStyle name="60% - 輔色4 4" xfId="411" xr:uid="{BADD808F-3C01-4AEC-924F-680ED4110C75}"/>
    <cellStyle name="60% - 輔色4 5" xfId="412" xr:uid="{0ACF5DA4-329D-4A43-A545-450827A2208A}"/>
    <cellStyle name="60% - 輔色4 6" xfId="413" xr:uid="{9F566086-6B4F-4C9A-88B6-E03C20DA9CD2}"/>
    <cellStyle name="60% - 輔色4 7" xfId="414" xr:uid="{B754D185-5A63-41AD-9518-D76C07165440}"/>
    <cellStyle name="60% - 輔色4 8" xfId="415" xr:uid="{98775811-C64B-448B-AAD4-EA324804B7F3}"/>
    <cellStyle name="60% - 輔色4 9" xfId="416" xr:uid="{5574AACD-51CA-4E51-B3FB-93F0369F2DA1}"/>
    <cellStyle name="60% - 輔色5 10" xfId="417" xr:uid="{33A06ACC-D759-4B33-9C48-BDBCF1FD9737}"/>
    <cellStyle name="60% - 輔色5 11" xfId="418" xr:uid="{5CA84B5D-5AC4-4704-832B-911FEFFD9413}"/>
    <cellStyle name="60% - 輔色5 12" xfId="419" xr:uid="{EA5C31A7-B56C-40AC-BA80-A5ABAE6B01E2}"/>
    <cellStyle name="60% - 輔色5 13" xfId="420" xr:uid="{C32814F3-D81E-4AA5-A575-2AA39DB9693B}"/>
    <cellStyle name="60% - 輔色5 14" xfId="421" xr:uid="{2C08D6C3-92E6-4FBD-88E9-E065BBD342C5}"/>
    <cellStyle name="60% - 輔色5 15" xfId="422" xr:uid="{8B8353D0-2FEC-4EFF-862D-1F0AADCC3E5B}"/>
    <cellStyle name="60% - 輔色5 16" xfId="423" xr:uid="{4FAD85D3-6037-4368-BF81-1B72943BC907}"/>
    <cellStyle name="60% - 輔色5 17" xfId="424" xr:uid="{EC1D21DD-7898-4563-BB2D-1ED11B5DD880}"/>
    <cellStyle name="60% - 輔色5 18" xfId="425" xr:uid="{F224D0AA-546C-4499-8027-15058B370BE2}"/>
    <cellStyle name="60% - 輔色5 19" xfId="426" xr:uid="{629099A6-7197-4300-8F9D-52FBCB707B51}"/>
    <cellStyle name="60% - 輔色5 2" xfId="427" xr:uid="{315DF233-1C1E-4FF2-81CC-5B4083A8551F}"/>
    <cellStyle name="60% - 輔色5 20" xfId="428" xr:uid="{0BCB5CA0-0919-4AF7-A8A5-023481981A16}"/>
    <cellStyle name="60% - 輔色5 21" xfId="429" xr:uid="{E8E5A0B7-9A5C-405C-B660-EAF2793AFD1B}"/>
    <cellStyle name="60% - 輔色5 22" xfId="430" xr:uid="{BA68E0C3-7887-4064-8D6A-65C92F09070E}"/>
    <cellStyle name="60% - 輔色5 23" xfId="431" xr:uid="{1B5F302A-9846-4500-AB59-668F5236A33A}"/>
    <cellStyle name="60% - 輔色5 24" xfId="432" xr:uid="{E85C7FB4-B68E-4D2F-B38B-C9A9B4068657}"/>
    <cellStyle name="60% - 輔色5 25" xfId="433" xr:uid="{A5B8E4C6-CD01-4507-A893-94144F69AF6C}"/>
    <cellStyle name="60% - 輔色5 26" xfId="434" xr:uid="{421F990B-19FA-4BF0-89F6-2EE37C3074CD}"/>
    <cellStyle name="60% - 輔色5 27" xfId="435" xr:uid="{BE0432B9-C1DF-4B5E-B78B-0461663DB03D}"/>
    <cellStyle name="60% - 輔色5 3" xfId="436" xr:uid="{F9FE8889-62D0-4EBB-8689-858FBBE94AC4}"/>
    <cellStyle name="60% - 輔色5 4" xfId="437" xr:uid="{D3977B27-74A3-44A1-B4D8-6170BF6434FE}"/>
    <cellStyle name="60% - 輔色5 5" xfId="438" xr:uid="{F5044D78-8B90-43C0-A450-D6F6A3D08DA9}"/>
    <cellStyle name="60% - 輔色5 6" xfId="439" xr:uid="{5530ACA9-F45B-46AE-A530-5C62A3CCBD80}"/>
    <cellStyle name="60% - 輔色5 7" xfId="440" xr:uid="{FCCECD29-C8B8-4E6A-9116-FF090B14CD33}"/>
    <cellStyle name="60% - 輔色5 8" xfId="441" xr:uid="{E1B88357-DB1D-4AE0-B710-3DAF2B32A011}"/>
    <cellStyle name="60% - 輔色5 9" xfId="442" xr:uid="{0C72BC7B-7441-4677-B475-185069A7FA7F}"/>
    <cellStyle name="60% - 輔色6 10" xfId="443" xr:uid="{3E3E10B9-A4DB-4089-869A-B902DF35FB49}"/>
    <cellStyle name="60% - 輔色6 11" xfId="444" xr:uid="{0F9C048C-D717-4C66-B466-8EFC8FCCBDB7}"/>
    <cellStyle name="60% - 輔色6 12" xfId="445" xr:uid="{81C74BF5-4634-4671-A2DA-9AB5E8DD587D}"/>
    <cellStyle name="60% - 輔色6 13" xfId="446" xr:uid="{D61B551F-9690-42E5-8E9D-94948C82DAC3}"/>
    <cellStyle name="60% - 輔色6 14" xfId="447" xr:uid="{5AD8FE62-9151-4F10-B12B-32BB2BBC15C9}"/>
    <cellStyle name="60% - 輔色6 15" xfId="448" xr:uid="{BDF36618-76C5-4A62-93F9-F0E5B06FF463}"/>
    <cellStyle name="60% - 輔色6 16" xfId="449" xr:uid="{BB257C5A-5705-427F-AF01-BC71D5BE8BEC}"/>
    <cellStyle name="60% - 輔色6 17" xfId="450" xr:uid="{7569BBC1-50D9-430E-A8E1-CBD7D549C7C6}"/>
    <cellStyle name="60% - 輔色6 18" xfId="451" xr:uid="{42B9F232-A906-46A1-B90A-05FC17462B35}"/>
    <cellStyle name="60% - 輔色6 19" xfId="452" xr:uid="{91A5C160-BE27-4048-B2BD-5AD73D26DCED}"/>
    <cellStyle name="60% - 輔色6 2" xfId="453" xr:uid="{ED15CA10-7B43-4824-9413-E9E6168711DC}"/>
    <cellStyle name="60% - 輔色6 20" xfId="454" xr:uid="{12216F2E-2025-45AF-82CF-DFE82CDE7023}"/>
    <cellStyle name="60% - 輔色6 21" xfId="455" xr:uid="{D3DB2C2B-9C1B-4495-8164-F8930543B2CC}"/>
    <cellStyle name="60% - 輔色6 22" xfId="456" xr:uid="{18228B6B-3112-4EF7-80F6-E04AAA9C4E6B}"/>
    <cellStyle name="60% - 輔色6 23" xfId="457" xr:uid="{B0566828-17EF-40FD-8A2A-EA2661769CC7}"/>
    <cellStyle name="60% - 輔色6 24" xfId="458" xr:uid="{AE8B5D05-FFDC-42DA-843F-EC32352A70CB}"/>
    <cellStyle name="60% - 輔色6 25" xfId="459" xr:uid="{E3D872F9-7FB1-4416-B01F-2776894D3974}"/>
    <cellStyle name="60% - 輔色6 26" xfId="460" xr:uid="{08778F67-9794-43FD-BE1E-453B129A696A}"/>
    <cellStyle name="60% - 輔色6 27" xfId="461" xr:uid="{C1D0700B-5CE6-4709-BE44-E13B4F779CC1}"/>
    <cellStyle name="60% - 輔色6 3" xfId="462" xr:uid="{14CA7068-B3E7-4E4B-95CE-98B01A474A61}"/>
    <cellStyle name="60% - 輔色6 4" xfId="463" xr:uid="{3CD1719F-E7D3-41EE-9B77-C3FA0F06963B}"/>
    <cellStyle name="60% - 輔色6 5" xfId="464" xr:uid="{33942216-40AA-4761-8C64-DE104BCB8BA1}"/>
    <cellStyle name="60% - 輔色6 6" xfId="465" xr:uid="{B3810E88-3852-47E8-B548-BDDE71DF4B6F}"/>
    <cellStyle name="60% - 輔色6 7" xfId="466" xr:uid="{A8C7BA5E-EFFD-4585-B0BB-A84DA8CB40D3}"/>
    <cellStyle name="60% - 輔色6 8" xfId="467" xr:uid="{540DA868-5C63-4616-863B-3B202CE55D1C}"/>
    <cellStyle name="60% - 輔色6 9" xfId="468" xr:uid="{C82A7625-7F9C-4C00-865D-47ADFABD0A80}"/>
    <cellStyle name="Normal" xfId="0" builtinId="0"/>
    <cellStyle name="一般 10" xfId="469" xr:uid="{CA5A3E21-7B4E-4AE1-9860-566FD0C79CA4}"/>
    <cellStyle name="一般 11" xfId="470" xr:uid="{028EC9EF-8485-4730-AB8C-EA640586FE20}"/>
    <cellStyle name="一般 12" xfId="471" xr:uid="{A7B8CFB2-AC34-418A-82E0-3BCEA40C82E7}"/>
    <cellStyle name="一般 13" xfId="472" xr:uid="{F5E06EA2-CB0F-4EF9-A921-40067821E090}"/>
    <cellStyle name="一般 14" xfId="473" xr:uid="{A6D373F9-F2D3-404D-9D3C-028F23EABF2A}"/>
    <cellStyle name="一般 15" xfId="474" xr:uid="{064D50B9-CDDA-4363-8FC3-AF835628E973}"/>
    <cellStyle name="一般 16" xfId="475" xr:uid="{4069253B-318D-416B-8B4E-B663E384ABD3}"/>
    <cellStyle name="一般 17" xfId="476" xr:uid="{4A657D24-E192-4C9A-B13B-085E493D9F85}"/>
    <cellStyle name="一般 18" xfId="477" xr:uid="{D3B298E7-ED22-4E4D-8535-AB870C20E8EF}"/>
    <cellStyle name="一般 19" xfId="478" xr:uid="{CABC5696-BFF5-4355-A437-A22D1D11C7E7}"/>
    <cellStyle name="一般 2" xfId="479" xr:uid="{C64EA4E2-5E75-40FD-AD4E-89E93723086D}"/>
    <cellStyle name="一般 20" xfId="480" xr:uid="{BFD6BD3F-B648-4D9D-989D-EC72901BAB73}"/>
    <cellStyle name="一般 21" xfId="481" xr:uid="{C5AC2FD4-0C07-4B4E-AA46-B2B14D7F614F}"/>
    <cellStyle name="一般 22" xfId="482" xr:uid="{6C797769-3D63-4B4B-BE32-D89B28D51C50}"/>
    <cellStyle name="一般 23" xfId="483" xr:uid="{E48FA8CA-5CE1-4A75-A69D-9728D8B3E070}"/>
    <cellStyle name="一般 24" xfId="484" xr:uid="{8DD3BFD7-088B-4550-A2C1-1FC9D84A6E6F}"/>
    <cellStyle name="一般 25" xfId="485" xr:uid="{20E5FE19-1D0E-4EFD-B41D-132968318A2C}"/>
    <cellStyle name="一般 26" xfId="486" xr:uid="{9DA62511-EA54-43EC-B54B-0A4A363E4331}"/>
    <cellStyle name="一般 27" xfId="487" xr:uid="{AF25B62B-D264-4989-9734-3F23171C66AA}"/>
    <cellStyle name="一般 3" xfId="488" xr:uid="{3833D289-4E61-4CF8-982B-7BC28D5F1AC1}"/>
    <cellStyle name="一般 4" xfId="489" xr:uid="{0A0E98FA-6F09-4508-95D0-B29E1AA8BF19}"/>
    <cellStyle name="一般 5" xfId="490" xr:uid="{6968827A-66AA-4B70-9CE1-244EF725BF9F}"/>
    <cellStyle name="一般 6" xfId="491" xr:uid="{3BBCF764-290F-470E-917B-3DF7347173B3}"/>
    <cellStyle name="一般 7" xfId="492" xr:uid="{3AE5CF01-8456-4C5B-B423-ADA1DAE09FF1}"/>
    <cellStyle name="一般 8" xfId="493" xr:uid="{554B38D3-414B-4AAC-8014-0D2E93536D8C}"/>
    <cellStyle name="一般 9" xfId="494" xr:uid="{E9D8006C-B4D4-45D5-BA44-93EF0E4135EF}"/>
    <cellStyle name="中等 10" xfId="495" xr:uid="{9F6A95D0-8E83-4823-B4E8-B2AB8A161258}"/>
    <cellStyle name="中等 11" xfId="496" xr:uid="{B32FDCCB-5238-468F-8F81-821470729851}"/>
    <cellStyle name="中等 12" xfId="497" xr:uid="{9EF95C96-A896-4F5D-A5C8-B9656A6A8244}"/>
    <cellStyle name="中等 13" xfId="498" xr:uid="{AB3AF2CF-FDAF-436C-A225-40FEDBE6473C}"/>
    <cellStyle name="中等 14" xfId="499" xr:uid="{275A8BAC-C640-40DC-8027-ABA11B17312A}"/>
    <cellStyle name="中等 15" xfId="500" xr:uid="{B96AA634-83B6-40B3-AB6C-CE47889BB9A0}"/>
    <cellStyle name="中等 16" xfId="501" xr:uid="{092D3D48-A0D6-4E5D-A244-0069CEB626A3}"/>
    <cellStyle name="中等 17" xfId="502" xr:uid="{31E27DF2-2797-4E29-9098-DBBE4F751BD1}"/>
    <cellStyle name="中等 18" xfId="503" xr:uid="{13A879F2-B7C2-4EF8-B2B0-58823EDC34E8}"/>
    <cellStyle name="中等 19" xfId="504" xr:uid="{17A2566D-8ACF-4ECF-BB3F-15D35F94586A}"/>
    <cellStyle name="中等 2" xfId="505" xr:uid="{6A2C4C03-1D96-407F-B8B7-3697BD29A4BF}"/>
    <cellStyle name="中等 20" xfId="506" xr:uid="{42B562DF-E74C-483C-A9E4-09ABFBC8C15F}"/>
    <cellStyle name="中等 21" xfId="507" xr:uid="{8779E73D-62AD-453F-876C-D89EB557B219}"/>
    <cellStyle name="中等 22" xfId="508" xr:uid="{D1F17C4A-2084-442C-B7D1-22F4134A48C7}"/>
    <cellStyle name="中等 23" xfId="509" xr:uid="{4747C7EC-A15B-4790-9354-03A9F57D21AB}"/>
    <cellStyle name="中等 24" xfId="510" xr:uid="{96473C2A-D8B1-4F7C-AB6B-FF78ABD3C6BA}"/>
    <cellStyle name="中等 25" xfId="511" xr:uid="{D6F0C8BF-3FF0-4DF1-8DFD-72DD61DD9C70}"/>
    <cellStyle name="中等 26" xfId="512" xr:uid="{4419FA44-FE1C-416F-B107-3EFAF44101C8}"/>
    <cellStyle name="中等 27" xfId="513" xr:uid="{C2AB9AB9-E758-4E85-847F-BEB5A5DC9C0C}"/>
    <cellStyle name="中等 3" xfId="514" xr:uid="{C0E9AF11-71FC-466E-AFB8-E0FB7EEF9111}"/>
    <cellStyle name="中等 4" xfId="515" xr:uid="{84B919C6-3E7C-4285-BB18-DF8112ED98DF}"/>
    <cellStyle name="中等 5" xfId="516" xr:uid="{9C2663AF-33FF-42E4-8150-6A084CF5660A}"/>
    <cellStyle name="中等 6" xfId="517" xr:uid="{B6486120-8157-4C4C-AFA0-D3D5FCBA4D43}"/>
    <cellStyle name="中等 7" xfId="518" xr:uid="{BFD01696-BBD6-4E25-91F2-EDC25FB79D6F}"/>
    <cellStyle name="中等 8" xfId="519" xr:uid="{E7B2E673-D2B6-4364-AA0C-984C93EC4440}"/>
    <cellStyle name="中等 9" xfId="520" xr:uid="{EE80D679-D7A6-4C64-88F6-4B9EBAA82C3F}"/>
    <cellStyle name="備註 10" xfId="521" xr:uid="{20068725-541B-4A1A-B877-C8B3C4569439}"/>
    <cellStyle name="備註 11" xfId="522" xr:uid="{D52A211C-56FF-417A-B33B-6499839B44A0}"/>
    <cellStyle name="備註 12" xfId="523" xr:uid="{9A6D7B24-2233-4B64-A23A-E0030B02CBDC}"/>
    <cellStyle name="備註 13" xfId="524" xr:uid="{E061F495-FC89-4D3F-AFF6-C4F338D4A8FD}"/>
    <cellStyle name="備註 14" xfId="525" xr:uid="{DE5F12D3-E440-416A-9842-582CD474A71D}"/>
    <cellStyle name="備註 15" xfId="526" xr:uid="{6E9AC250-6328-4F9D-88A6-265BBEFA8E24}"/>
    <cellStyle name="備註 16" xfId="527" xr:uid="{235EB678-1163-4A53-B0C0-CDA5716E66B1}"/>
    <cellStyle name="備註 17" xfId="528" xr:uid="{B7BB16E7-ED83-4519-B114-5E1AA73D79BC}"/>
    <cellStyle name="備註 18" xfId="529" xr:uid="{2ED9C0C8-2D7C-4CE4-BB97-CB3361699E9D}"/>
    <cellStyle name="備註 19" xfId="530" xr:uid="{2A04888D-3A88-4B4A-971E-A3C35DC5A5D7}"/>
    <cellStyle name="備註 2" xfId="531" xr:uid="{EAB8B0C7-FD43-4A12-9C10-2F4929A363A9}"/>
    <cellStyle name="備註 20" xfId="532" xr:uid="{6123CB4E-50B1-4EBA-88F9-0208BA4B04E3}"/>
    <cellStyle name="備註 21" xfId="533" xr:uid="{DF217B89-2608-411E-B4B9-4C5BEC491E74}"/>
    <cellStyle name="備註 22" xfId="534" xr:uid="{75362349-9FD7-4505-BFE6-EC5A9EC45E2D}"/>
    <cellStyle name="備註 23" xfId="535" xr:uid="{538800DB-70C4-459E-A5FD-F1D32678D86A}"/>
    <cellStyle name="備註 24" xfId="536" xr:uid="{1B7E0FA8-1702-4F5E-A9EE-5812EF54D92A}"/>
    <cellStyle name="備註 25" xfId="537" xr:uid="{89754DAE-E77D-487A-AFBA-4EF11FE0D7A7}"/>
    <cellStyle name="備註 26" xfId="538" xr:uid="{FDB5E0B8-1DDB-4F19-8AC5-23A3E98F64A3}"/>
    <cellStyle name="備註 27" xfId="539" xr:uid="{DBCA0A24-7362-471A-AC0C-7446D4A44363}"/>
    <cellStyle name="備註 3" xfId="540" xr:uid="{12C9A5F5-C04B-4BA4-981D-63DF35C34870}"/>
    <cellStyle name="備註 4" xfId="541" xr:uid="{05A0A85F-09C0-44FF-BAD8-83A991D3B550}"/>
    <cellStyle name="備註 5" xfId="542" xr:uid="{5A00A714-19F1-4446-A25C-3FC0B1A58CFA}"/>
    <cellStyle name="備註 6" xfId="543" xr:uid="{8A4B7CD5-3B7B-4CF9-9A6A-C1B87E28362C}"/>
    <cellStyle name="備註 7" xfId="544" xr:uid="{4D819A2C-B911-402D-A8E2-EE3F133230E3}"/>
    <cellStyle name="備註 8" xfId="545" xr:uid="{FBEFAF4E-D9C6-4A10-85AB-336A4F7A049B}"/>
    <cellStyle name="備註 9" xfId="546" xr:uid="{CEDF106A-DA4F-4D8E-AC93-F1F45505B824}"/>
    <cellStyle name="合計 10" xfId="547" xr:uid="{27A24146-4D47-4C32-A239-D7B636CEFDC0}"/>
    <cellStyle name="合計 11" xfId="548" xr:uid="{03CAB5A4-553A-4A92-9095-5D77A0B3F7F3}"/>
    <cellStyle name="合計 12" xfId="549" xr:uid="{5DCB5A1E-93AA-41FC-9C01-4C27CBD43F87}"/>
    <cellStyle name="合計 13" xfId="550" xr:uid="{F427DB04-2178-44CE-A5FC-2F7B55D07E82}"/>
    <cellStyle name="合計 14" xfId="551" xr:uid="{69EBA7CB-C79D-45A4-AAC0-9D39C639761F}"/>
    <cellStyle name="合計 15" xfId="552" xr:uid="{E49045E5-8D2A-44C5-BBBA-AA83F9FC684C}"/>
    <cellStyle name="合計 16" xfId="553" xr:uid="{915C4C10-2664-43B6-AE0A-BDB44F43CDF4}"/>
    <cellStyle name="合計 17" xfId="554" xr:uid="{F805154E-ECA5-41C7-82AF-11FDD4CE0998}"/>
    <cellStyle name="合計 18" xfId="555" xr:uid="{576BE3EC-3EF8-4559-9656-AB9E42B9517F}"/>
    <cellStyle name="合計 19" xfId="556" xr:uid="{60AEA8DD-5B66-46A8-87BE-7EC7234DFD48}"/>
    <cellStyle name="合計 2" xfId="557" xr:uid="{65F95B7C-DF10-4FF1-B602-717018A51AA3}"/>
    <cellStyle name="合計 20" xfId="558" xr:uid="{7118849D-CD7B-4392-85A7-1E4B7A3EF678}"/>
    <cellStyle name="合計 21" xfId="559" xr:uid="{AFBBA9B7-E85D-44A2-B423-5643DFC0C00F}"/>
    <cellStyle name="合計 22" xfId="560" xr:uid="{3DA556C6-9A8F-4025-A4BD-6C72BC567C5A}"/>
    <cellStyle name="合計 23" xfId="561" xr:uid="{84569766-1DBE-4C87-A660-37F03FF37692}"/>
    <cellStyle name="合計 24" xfId="562" xr:uid="{7DE0FEC5-0884-451A-B736-DFB0777BFDD1}"/>
    <cellStyle name="合計 25" xfId="563" xr:uid="{5B4A9AC7-AB51-46E9-9869-C48B0C691E9D}"/>
    <cellStyle name="合計 26" xfId="564" xr:uid="{A814D466-5F2B-4106-83C7-BCA0BB199475}"/>
    <cellStyle name="合計 27" xfId="565" xr:uid="{984E9D89-988D-4910-87BF-26651AAC1DFA}"/>
    <cellStyle name="合計 3" xfId="566" xr:uid="{3FF5F61B-7AE8-453F-AD3F-A90D45B72244}"/>
    <cellStyle name="合計 4" xfId="567" xr:uid="{81980FC2-A34E-4847-8C9A-126B6FAA003C}"/>
    <cellStyle name="合計 5" xfId="568" xr:uid="{D1891EB3-EAE4-40DE-95A9-4F0FBE247A2B}"/>
    <cellStyle name="合計 6" xfId="569" xr:uid="{EF2EAF06-D58A-4BEA-98C4-C30BB5B38E93}"/>
    <cellStyle name="合計 7" xfId="570" xr:uid="{4654B624-9E86-4932-B4BF-D322A3945782}"/>
    <cellStyle name="合計 8" xfId="571" xr:uid="{740DBC04-13F4-4EFA-978E-FBCAA3337B01}"/>
    <cellStyle name="合計 9" xfId="572" xr:uid="{36D30F75-DCE8-4DDF-B45B-D6A502CAC117}"/>
    <cellStyle name="壞 10" xfId="573" xr:uid="{434C9346-93E8-4B87-879C-763CF8B4F812}"/>
    <cellStyle name="壞 11" xfId="574" xr:uid="{5A0A3CB5-EE3D-457E-B212-571C1BCECA4E}"/>
    <cellStyle name="壞 12" xfId="575" xr:uid="{3275A9AB-429F-4927-846C-93B9F77E69B5}"/>
    <cellStyle name="壞 13" xfId="576" xr:uid="{5351BBDA-4B60-4E14-93FA-02228986F141}"/>
    <cellStyle name="壞 14" xfId="577" xr:uid="{B98F3389-854A-409F-9125-BE6A356828D9}"/>
    <cellStyle name="壞 15" xfId="578" xr:uid="{1B313171-5E88-409A-A0D7-AB9E3A2973E0}"/>
    <cellStyle name="壞 16" xfId="579" xr:uid="{489958E7-4CE9-4B1F-B9E3-2214F11C79C4}"/>
    <cellStyle name="壞 17" xfId="580" xr:uid="{56F7C5CE-D0ED-4F48-B588-6E0700A9EF49}"/>
    <cellStyle name="壞 18" xfId="581" xr:uid="{33E18E46-2BC0-445A-9234-5732D0F6A660}"/>
    <cellStyle name="壞 19" xfId="582" xr:uid="{D40DF940-84BA-4ECA-86BF-B4902EE31E6F}"/>
    <cellStyle name="壞 2" xfId="583" xr:uid="{0387A447-B3F4-4402-ADDC-FB408BDE210C}"/>
    <cellStyle name="壞 20" xfId="584" xr:uid="{F041BB48-AA82-40EC-B5FF-BD6F0A3FB375}"/>
    <cellStyle name="壞 21" xfId="585" xr:uid="{A6AA50ED-F6DF-4498-840F-663E385C69C3}"/>
    <cellStyle name="壞 22" xfId="586" xr:uid="{AC1438CE-A733-4471-84D7-6CF877D4FD80}"/>
    <cellStyle name="壞 23" xfId="587" xr:uid="{F00FE141-61AE-4C2B-885A-84C1C74C9E9D}"/>
    <cellStyle name="壞 24" xfId="588" xr:uid="{A055812B-5040-4DBF-9F01-6AD6ED68AE9F}"/>
    <cellStyle name="壞 25" xfId="589" xr:uid="{4F12C465-692E-4A2F-8A02-622FA502A7B4}"/>
    <cellStyle name="壞 26" xfId="590" xr:uid="{10F896B9-19F4-46AF-8F0E-A73F8701AC4D}"/>
    <cellStyle name="壞 27" xfId="591" xr:uid="{EA02444F-4643-478C-8AF3-351BBF756FB2}"/>
    <cellStyle name="壞 3" xfId="592" xr:uid="{D42563B1-8BE5-422E-BDF4-0DF02B584923}"/>
    <cellStyle name="壞 4" xfId="593" xr:uid="{2F863945-78E2-440F-BA5A-5E60F961C957}"/>
    <cellStyle name="壞 5" xfId="594" xr:uid="{94DE86FD-B1E4-4C9D-A5C0-15798E8C1535}"/>
    <cellStyle name="壞 6" xfId="595" xr:uid="{78833D18-90D2-497F-8F81-9D7A67DF47C7}"/>
    <cellStyle name="壞 7" xfId="596" xr:uid="{731103F3-DB49-42BF-BB4B-920AE341B7E5}"/>
    <cellStyle name="壞 8" xfId="597" xr:uid="{4A5E3AAD-9BF8-4344-992D-FBCBB928FD6D}"/>
    <cellStyle name="壞 9" xfId="598" xr:uid="{794459D5-64EE-448F-888B-FDD33933D9E3}"/>
    <cellStyle name="好 10" xfId="599" xr:uid="{0C0119D8-8042-4C2D-A603-09B054E38602}"/>
    <cellStyle name="好 11" xfId="600" xr:uid="{0B5AFC96-CCD5-4C36-A44A-08FEF4F07465}"/>
    <cellStyle name="好 12" xfId="601" xr:uid="{254EA20D-FC90-452D-916D-D5E37458CCE2}"/>
    <cellStyle name="好 13" xfId="602" xr:uid="{FF07C6D9-D408-4F50-8FF6-558573C0D238}"/>
    <cellStyle name="好 14" xfId="603" xr:uid="{8C181FC1-4ABB-474D-A885-BD9409104816}"/>
    <cellStyle name="好 15" xfId="604" xr:uid="{ADC5B757-73D2-465A-9A29-27BF7DDF341B}"/>
    <cellStyle name="好 16" xfId="605" xr:uid="{8C10134E-B791-45B3-B4C7-082D22A3C754}"/>
    <cellStyle name="好 17" xfId="606" xr:uid="{7CD75682-A954-4DD2-94D0-D356C53CF190}"/>
    <cellStyle name="好 18" xfId="607" xr:uid="{5C85EFF0-C215-4E97-B8B2-C9C94AA8A3E0}"/>
    <cellStyle name="好 19" xfId="608" xr:uid="{0074032E-6328-472E-9FA1-051F351DE78E}"/>
    <cellStyle name="好 2" xfId="609" xr:uid="{C34E770B-5FED-4E20-99BB-7055AEE2E86F}"/>
    <cellStyle name="好 20" xfId="610" xr:uid="{C1FC483F-DEBE-48E2-9762-ED34597C370F}"/>
    <cellStyle name="好 21" xfId="611" xr:uid="{761822D7-AC0A-4AA1-820B-337A1870C4F0}"/>
    <cellStyle name="好 22" xfId="612" xr:uid="{BC039D58-C986-46F9-8540-E479AA5070E0}"/>
    <cellStyle name="好 23" xfId="613" xr:uid="{D2AAB67F-029E-4EF2-86F4-9CBB227ED222}"/>
    <cellStyle name="好 24" xfId="614" xr:uid="{2522AE86-1841-40A7-B5F9-2B57D6D16F07}"/>
    <cellStyle name="好 25" xfId="615" xr:uid="{EABAD1C8-C9B0-44E0-8671-F4FB73E37EA6}"/>
    <cellStyle name="好 26" xfId="616" xr:uid="{6F19FD50-95D9-46F1-9CBD-1454DA95673E}"/>
    <cellStyle name="好 27" xfId="617" xr:uid="{6EECF8C9-61D6-4D1F-8CD5-91B88A27AE18}"/>
    <cellStyle name="好 3" xfId="618" xr:uid="{AB67C3CE-C665-4955-BBBB-B7FDC0C609FB}"/>
    <cellStyle name="好 4" xfId="619" xr:uid="{A7CF3A57-9C9D-4B91-99D0-2DD131ED55FD}"/>
    <cellStyle name="好 5" xfId="620" xr:uid="{F7A12AB3-C0C3-4229-B1CF-651CD08E151E}"/>
    <cellStyle name="好 6" xfId="621" xr:uid="{3CB40306-11E1-4FE9-A0A6-157EE77D1901}"/>
    <cellStyle name="好 7" xfId="622" xr:uid="{1B4FCB48-CA2D-48A5-AC05-7CD430F5BFED}"/>
    <cellStyle name="好 8" xfId="623" xr:uid="{90D754F9-4449-4627-8B7D-FF00BFDDF7D8}"/>
    <cellStyle name="好 9" xfId="624" xr:uid="{27C38A6D-CA22-4FFC-B186-B86C040D8910}"/>
    <cellStyle name="標題 1 10" xfId="625" xr:uid="{F874349D-2D9F-4F1A-A0D0-8E16516BDD7C}"/>
    <cellStyle name="標題 1 11" xfId="626" xr:uid="{B77FF258-96F7-406E-AF63-1FC2687686C6}"/>
    <cellStyle name="標題 1 12" xfId="627" xr:uid="{E50D0E21-E02B-4D66-9676-8FFE6E1B8156}"/>
    <cellStyle name="標題 1 13" xfId="628" xr:uid="{6DE72EFC-4833-42E0-82BA-13D9AF318AEF}"/>
    <cellStyle name="標題 1 14" xfId="629" xr:uid="{152FE178-A691-4509-A93F-281F156EAAB5}"/>
    <cellStyle name="標題 1 15" xfId="630" xr:uid="{5CF78844-5F9D-4AEE-BB39-9B96F4C16789}"/>
    <cellStyle name="標題 1 16" xfId="631" xr:uid="{8CF734B5-808A-48E6-9D7C-20E68FC395AE}"/>
    <cellStyle name="標題 1 17" xfId="632" xr:uid="{2E9D0CB2-4877-4432-BD75-FEF5FCB93165}"/>
    <cellStyle name="標題 1 18" xfId="633" xr:uid="{ACF62432-0DCD-4DCD-9FA1-7DEED3E5B49D}"/>
    <cellStyle name="標題 1 19" xfId="634" xr:uid="{8DCE88AE-AF5C-4A11-B852-A90FC0FAC24F}"/>
    <cellStyle name="標題 1 2" xfId="635" xr:uid="{0A2A6760-4F54-4C67-8B91-72D6CDB13901}"/>
    <cellStyle name="標題 1 20" xfId="636" xr:uid="{90E4D4FB-3670-4086-BA42-D5CD380C2E2B}"/>
    <cellStyle name="標題 1 21" xfId="637" xr:uid="{8AD18CCA-0567-4D3C-B6A0-810BF08CED7B}"/>
    <cellStyle name="標題 1 22" xfId="638" xr:uid="{B2D32051-1BD4-4656-94EE-46BA22780E05}"/>
    <cellStyle name="標題 1 23" xfId="639" xr:uid="{AD5CAB88-E806-498D-A95F-5536B32D9E88}"/>
    <cellStyle name="標題 1 24" xfId="640" xr:uid="{3EEAAC75-BBD9-49F1-831B-4B63F1BC92FC}"/>
    <cellStyle name="標題 1 25" xfId="641" xr:uid="{699D5C65-552E-4E9B-BC4A-B2CB44B94964}"/>
    <cellStyle name="標題 1 26" xfId="642" xr:uid="{ABD3C249-2F36-47D5-9FA5-DEFDD453699F}"/>
    <cellStyle name="標題 1 27" xfId="643" xr:uid="{018B230E-9332-42D9-BC22-6638FA2934BD}"/>
    <cellStyle name="標題 1 3" xfId="644" xr:uid="{01E76D09-2C1A-401C-8AD0-7784E39A8870}"/>
    <cellStyle name="標題 1 4" xfId="645" xr:uid="{66094113-356F-488B-8E4E-09152C15D8D1}"/>
    <cellStyle name="標題 1 5" xfId="646" xr:uid="{3A8C68B3-7B1D-4B39-B574-225EB02AC257}"/>
    <cellStyle name="標題 1 6" xfId="647" xr:uid="{E16DDCA0-B173-41C9-9CE9-4E2B7F7EE50E}"/>
    <cellStyle name="標題 1 7" xfId="648" xr:uid="{728D8EAD-F747-402A-9F2D-0648B1314C40}"/>
    <cellStyle name="標題 1 8" xfId="649" xr:uid="{4D961D44-DE4F-4121-B840-C661212A6378}"/>
    <cellStyle name="標題 1 9" xfId="650" xr:uid="{327B4189-36A6-4569-AFF1-C45E4411FD4A}"/>
    <cellStyle name="標題 10" xfId="651" xr:uid="{077046E8-62B1-46D7-A9DE-C61E08F3F138}"/>
    <cellStyle name="標題 11" xfId="652" xr:uid="{30BBC2DC-F9D9-40C5-87C8-FE17F1D4CD67}"/>
    <cellStyle name="標題 12" xfId="653" xr:uid="{99C55FCE-42E7-4208-B1FA-37D9AEACB4A7}"/>
    <cellStyle name="標題 13" xfId="654" xr:uid="{D6491F7E-FBA3-4C20-A638-EE836728F3D6}"/>
    <cellStyle name="標題 14" xfId="655" xr:uid="{352F4274-3D2B-496D-8724-449F31734E18}"/>
    <cellStyle name="標題 15" xfId="656" xr:uid="{EC1C9B54-4868-45ED-89A9-4A705548982B}"/>
    <cellStyle name="標題 16" xfId="657" xr:uid="{4EBFE87D-4A7B-4967-A30F-216AEDDCF79B}"/>
    <cellStyle name="標題 17" xfId="658" xr:uid="{8871B47F-A527-4024-89FF-B345F8BE3EEB}"/>
    <cellStyle name="標題 18" xfId="659" xr:uid="{56FF2620-8D08-4C01-871A-62114BB1798D}"/>
    <cellStyle name="標題 19" xfId="660" xr:uid="{87E2B2F8-7C65-4001-BE3E-B1694B285835}"/>
    <cellStyle name="標題 2 10" xfId="661" xr:uid="{8B1A6067-922C-451D-820C-30D6862E830A}"/>
    <cellStyle name="標題 2 11" xfId="662" xr:uid="{24C7DC91-7B68-4901-81E1-E574874210F6}"/>
    <cellStyle name="標題 2 12" xfId="663" xr:uid="{233273C1-E29B-4408-B910-71E7871BC00A}"/>
    <cellStyle name="標題 2 13" xfId="664" xr:uid="{17F31CC7-215A-414A-BF2A-215FE0F27137}"/>
    <cellStyle name="標題 2 14" xfId="665" xr:uid="{7FC7DA3A-318F-4F8B-B542-14A0F8A33467}"/>
    <cellStyle name="標題 2 15" xfId="666" xr:uid="{EBCA0321-0683-4E22-9D9C-3F38817E66EB}"/>
    <cellStyle name="標題 2 16" xfId="667" xr:uid="{923F0C06-FCE1-4B7A-A29C-0E4A513AF30E}"/>
    <cellStyle name="標題 2 17" xfId="668" xr:uid="{19396C54-96BE-49CD-9593-A325A0ACAF00}"/>
    <cellStyle name="標題 2 18" xfId="669" xr:uid="{CDB52220-5DE6-44D6-93E7-62C005D878D3}"/>
    <cellStyle name="標題 2 19" xfId="670" xr:uid="{E5CE77E2-1F22-4A55-A9D1-A67E2ADC44EA}"/>
    <cellStyle name="標題 2 2" xfId="671" xr:uid="{AB547B63-9093-4C74-A91C-09DC42E6B515}"/>
    <cellStyle name="標題 2 20" xfId="672" xr:uid="{16EF5AA7-B608-460B-861C-29B9F95D604D}"/>
    <cellStyle name="標題 2 21" xfId="673" xr:uid="{59CEAE3A-BAE5-498B-B374-F7E2EEDBC371}"/>
    <cellStyle name="標題 2 22" xfId="674" xr:uid="{43C58E26-302E-420C-944F-D1A291473756}"/>
    <cellStyle name="標題 2 23" xfId="675" xr:uid="{7FC5E43F-E811-4C13-9FB0-8BDFE5157B2A}"/>
    <cellStyle name="標題 2 24" xfId="676" xr:uid="{BA0DB7DE-0CAC-4EBE-AC9B-5587A94BFD59}"/>
    <cellStyle name="標題 2 25" xfId="677" xr:uid="{335A7511-6D47-497D-A310-9DF27F9042A0}"/>
    <cellStyle name="標題 2 26" xfId="678" xr:uid="{2E9318E8-1A48-469E-ADFE-A2A58AE6CD10}"/>
    <cellStyle name="標題 2 27" xfId="679" xr:uid="{6067588F-4AB4-42D1-8DF8-0962615D8532}"/>
    <cellStyle name="標題 2 3" xfId="680" xr:uid="{79A67116-D0A8-48E9-B360-C50D14F9FE8C}"/>
    <cellStyle name="標題 2 4" xfId="681" xr:uid="{44800C95-C10A-488D-B3B2-1EF9AF268C70}"/>
    <cellStyle name="標題 2 5" xfId="682" xr:uid="{49A7849C-01BC-4CF8-85B3-29389391C8E9}"/>
    <cellStyle name="標題 2 6" xfId="683" xr:uid="{42599E91-8310-4D49-9562-8B55FD4D1988}"/>
    <cellStyle name="標題 2 7" xfId="684" xr:uid="{76B49D2F-916A-41EE-ADC7-A4452B49572B}"/>
    <cellStyle name="標題 2 8" xfId="685" xr:uid="{192910D8-D58E-4CB0-8957-12399DBDDF43}"/>
    <cellStyle name="標題 2 9" xfId="686" xr:uid="{D05E6FB1-B294-4743-B503-172E37EB67FA}"/>
    <cellStyle name="標題 20" xfId="687" xr:uid="{D3AE3649-4FB1-4BF0-844A-8A9A70D9FA56}"/>
    <cellStyle name="標題 21" xfId="688" xr:uid="{EFCC8F84-899A-4256-8337-1D60A2805941}"/>
    <cellStyle name="標題 22" xfId="689" xr:uid="{27159DCA-ED87-4D58-80DE-9C1EE9D97FFB}"/>
    <cellStyle name="標題 23" xfId="690" xr:uid="{9D2D2B2A-5F30-4C26-8BDC-DF5E8BC2F93A}"/>
    <cellStyle name="標題 24" xfId="691" xr:uid="{3DBF02B8-0449-41E7-B68C-7B042F851F2A}"/>
    <cellStyle name="標題 25" xfId="692" xr:uid="{DC543F5F-B52B-4502-AFD8-B4D26443E8DA}"/>
    <cellStyle name="標題 26" xfId="693" xr:uid="{EF0D68AF-8533-4672-8789-CA95061488A0}"/>
    <cellStyle name="標題 27" xfId="694" xr:uid="{2A4886FA-A12E-4C0F-AC16-82AFE23A832A}"/>
    <cellStyle name="標題 28" xfId="695" xr:uid="{9187ADCB-C09C-4C34-BC81-A46854AE164A}"/>
    <cellStyle name="標題 29" xfId="696" xr:uid="{0844EAF1-7FD9-4DC9-A89D-0F158B3BED0A}"/>
    <cellStyle name="標題 3 10" xfId="697" xr:uid="{F399311A-173C-4CF0-AE65-B533E6FBFCBA}"/>
    <cellStyle name="標題 3 11" xfId="698" xr:uid="{7F01AAE2-9EA3-4952-9A06-D3AE77C0F986}"/>
    <cellStyle name="標題 3 12" xfId="699" xr:uid="{CC13E6EE-A900-4D93-8B09-0553C82DBD3D}"/>
    <cellStyle name="標題 3 13" xfId="700" xr:uid="{7F60FDF2-3AA1-4CD9-9F9D-590E52DBEC0C}"/>
    <cellStyle name="標題 3 14" xfId="701" xr:uid="{E79CA6B1-24A6-4C22-B4FC-8B69EF5A85CE}"/>
    <cellStyle name="標題 3 15" xfId="702" xr:uid="{2C83C6E4-F32C-4BCF-8F3E-153036847E01}"/>
    <cellStyle name="標題 3 16" xfId="703" xr:uid="{F2B0B761-6427-47D1-AA67-AB05481871D8}"/>
    <cellStyle name="標題 3 17" xfId="704" xr:uid="{E92FDF5D-FA9B-4437-92E3-87FE5C5D39FD}"/>
    <cellStyle name="標題 3 18" xfId="705" xr:uid="{AD2A8D45-BDBE-4C32-BBFD-4E2CE243D136}"/>
    <cellStyle name="標題 3 19" xfId="706" xr:uid="{031A83BD-88B5-4BF1-8F6E-2FAC80D93E92}"/>
    <cellStyle name="標題 3 2" xfId="707" xr:uid="{70AD5C63-9044-4A56-9F09-21D525249DEC}"/>
    <cellStyle name="標題 3 20" xfId="708" xr:uid="{6C536DCE-2551-4194-888D-252E685CD022}"/>
    <cellStyle name="標題 3 21" xfId="709" xr:uid="{7B62CDE1-0061-4F5A-B1DE-DF1643F978CA}"/>
    <cellStyle name="標題 3 22" xfId="710" xr:uid="{1223B309-DDFB-4735-B979-BC378C167E62}"/>
    <cellStyle name="標題 3 23" xfId="711" xr:uid="{E867EF28-456C-4CB3-B7FA-57A3059E8E83}"/>
    <cellStyle name="標題 3 24" xfId="712" xr:uid="{4E444516-AAAF-4BED-8015-A73ABBD13A5F}"/>
    <cellStyle name="標題 3 25" xfId="713" xr:uid="{C4B49F95-8A64-454F-BB02-DFF4E5BA63BA}"/>
    <cellStyle name="標題 3 26" xfId="714" xr:uid="{9E558BC5-FF58-4BBA-90AA-44960560A1CB}"/>
    <cellStyle name="標題 3 27" xfId="715" xr:uid="{1324861F-7DCE-4F4C-9D1D-6CB80AC2403A}"/>
    <cellStyle name="標題 3 3" xfId="716" xr:uid="{44C49F8A-D443-4003-A763-AF9304C04D07}"/>
    <cellStyle name="標題 3 4" xfId="717" xr:uid="{592E83F1-F5E7-4D39-851E-21D68D54E4BA}"/>
    <cellStyle name="標題 3 5" xfId="718" xr:uid="{ADFB8C61-7A96-4C91-B1D2-4919D5EEE70E}"/>
    <cellStyle name="標題 3 6" xfId="719" xr:uid="{2FBD01F5-34B0-43B2-BE4A-DDDE23222090}"/>
    <cellStyle name="標題 3 7" xfId="720" xr:uid="{AEB228D6-9D90-4748-9BF2-4F988E0D82B7}"/>
    <cellStyle name="標題 3 8" xfId="721" xr:uid="{0F7B5083-3E38-4796-926C-691AE888E00B}"/>
    <cellStyle name="標題 3 9" xfId="722" xr:uid="{26C66DCA-F51D-4CA7-9E4B-4B1BB202BCE3}"/>
    <cellStyle name="標題 30" xfId="723" xr:uid="{4C58849E-330D-49DA-9AF4-E6606A50EC97}"/>
    <cellStyle name="標題 4 10" xfId="724" xr:uid="{3E0C130F-C43C-4318-A0AD-8764D90B7D08}"/>
    <cellStyle name="標題 4 11" xfId="725" xr:uid="{8E0385E6-BC41-45F1-8CBD-720ED6C03C16}"/>
    <cellStyle name="標題 4 12" xfId="726" xr:uid="{19FD1953-77B8-4D9C-8B5E-97CBC6C11555}"/>
    <cellStyle name="標題 4 13" xfId="727" xr:uid="{DDD12565-9DE9-4216-88E7-D53ED9467D5D}"/>
    <cellStyle name="標題 4 14" xfId="728" xr:uid="{20CC561C-C3CC-420B-9904-2F6F40CFEA08}"/>
    <cellStyle name="標題 4 15" xfId="729" xr:uid="{363AF874-6EFF-458A-8E7E-F8181E3A1DB1}"/>
    <cellStyle name="標題 4 16" xfId="730" xr:uid="{D91A30E1-3981-4403-AE21-E4F8027F2813}"/>
    <cellStyle name="標題 4 17" xfId="731" xr:uid="{BC76DD3A-7119-4100-9FCC-0F57D6336371}"/>
    <cellStyle name="標題 4 18" xfId="732" xr:uid="{ACF28951-2FB6-4218-890E-5C7E514EA1DC}"/>
    <cellStyle name="標題 4 19" xfId="733" xr:uid="{D803C89B-6B6E-4860-AB12-6BBE31656B04}"/>
    <cellStyle name="標題 4 2" xfId="734" xr:uid="{70F47063-F3F8-44F4-902A-117384494DD5}"/>
    <cellStyle name="標題 4 20" xfId="735" xr:uid="{B5717715-5A9B-44E0-A42D-13D2648997D0}"/>
    <cellStyle name="標題 4 21" xfId="736" xr:uid="{8B667921-2814-475B-A861-F381019BA546}"/>
    <cellStyle name="標題 4 22" xfId="737" xr:uid="{3810A9DD-D436-40CA-81F9-6D6806BF1B06}"/>
    <cellStyle name="標題 4 23" xfId="738" xr:uid="{FA6BE9C8-3CEC-4F00-A8FA-6A0E436366F3}"/>
    <cellStyle name="標題 4 24" xfId="739" xr:uid="{0A7074A3-2F53-424B-8107-8ABFAF71DCA5}"/>
    <cellStyle name="標題 4 25" xfId="740" xr:uid="{486B0D03-FBE4-4C9C-B18E-750629A3EE3B}"/>
    <cellStyle name="標題 4 26" xfId="741" xr:uid="{E1C6FEF1-607D-4EA2-81B4-264AE00421F4}"/>
    <cellStyle name="標題 4 27" xfId="742" xr:uid="{091CB323-FEFA-47C2-BAB1-284E6AC368CA}"/>
    <cellStyle name="標題 4 3" xfId="743" xr:uid="{FE73DFE3-EC7D-4BBF-B89F-A5A4767C0BC5}"/>
    <cellStyle name="標題 4 4" xfId="744" xr:uid="{207E59AE-DFB9-4606-9C6D-337981CF27B4}"/>
    <cellStyle name="標題 4 5" xfId="745" xr:uid="{77287FD3-970C-44DA-8801-BE29BBF246DC}"/>
    <cellStyle name="標題 4 6" xfId="746" xr:uid="{6DCEF2AC-4109-41F7-BF90-ACFE956FE9DF}"/>
    <cellStyle name="標題 4 7" xfId="747" xr:uid="{5496B20D-436B-42D5-AE08-36DAEEA7B79E}"/>
    <cellStyle name="標題 4 8" xfId="748" xr:uid="{216EF670-E305-4F04-8C72-494906251DAE}"/>
    <cellStyle name="標題 4 9" xfId="749" xr:uid="{4A38DD51-E222-472A-9F85-5F6DFF1C7086}"/>
    <cellStyle name="標題 5" xfId="750" xr:uid="{764ADB09-38DC-45E1-A41C-4DD09B7BB2BF}"/>
    <cellStyle name="標題 6" xfId="751" xr:uid="{4D99B9EA-BFC6-4EA5-8B52-1748F4B7430B}"/>
    <cellStyle name="標題 7" xfId="752" xr:uid="{AB801B08-D7B6-4CA7-9820-F0122C11DC0F}"/>
    <cellStyle name="標題 8" xfId="753" xr:uid="{9FF762BC-B077-4405-AE41-CFCE42D6C01A}"/>
    <cellStyle name="標題 9" xfId="754" xr:uid="{62504894-3CD5-472F-BA69-7320C2B7EFAE}"/>
    <cellStyle name="檢查儲存格 10" xfId="755" xr:uid="{2C5E67CB-E42F-4357-B4B7-3DA25A8DCBE5}"/>
    <cellStyle name="檢查儲存格 11" xfId="756" xr:uid="{8B33C3E9-7ADF-43CB-9873-0999EB80C55B}"/>
    <cellStyle name="檢查儲存格 12" xfId="757" xr:uid="{4BD9C6E8-CBB8-4294-A666-9A69C0CCDACA}"/>
    <cellStyle name="檢查儲存格 13" xfId="758" xr:uid="{51877FCC-F8EF-402B-A578-181904609341}"/>
    <cellStyle name="檢查儲存格 14" xfId="759" xr:uid="{3449524F-E773-42ED-8293-EFFC1DC0D7F7}"/>
    <cellStyle name="檢查儲存格 15" xfId="760" xr:uid="{446B054A-28EF-4265-9FFE-B01AA1D4D43B}"/>
    <cellStyle name="檢查儲存格 16" xfId="761" xr:uid="{633D2A32-8BC1-47B6-B68F-60FCA27E99BA}"/>
    <cellStyle name="檢查儲存格 17" xfId="762" xr:uid="{ECCF174E-C480-4D00-B941-2B0EA81EF7E3}"/>
    <cellStyle name="檢查儲存格 18" xfId="763" xr:uid="{335FF533-6BF0-41BC-A2E1-030E8827837C}"/>
    <cellStyle name="檢查儲存格 19" xfId="764" xr:uid="{88B8D52B-8BF2-40A2-B91F-0E1BDEC3B795}"/>
    <cellStyle name="檢查儲存格 2" xfId="765" xr:uid="{F5A8E6AD-3EF0-484B-A88F-F5296BC9225D}"/>
    <cellStyle name="檢查儲存格 20" xfId="766" xr:uid="{6B140959-1F00-40B2-9F29-6E5B77080B77}"/>
    <cellStyle name="檢查儲存格 21" xfId="767" xr:uid="{50F4CC20-3C57-4837-9484-B64412BAC814}"/>
    <cellStyle name="檢查儲存格 22" xfId="768" xr:uid="{CA34D9A3-3FA7-4EE8-91F3-1CF422734842}"/>
    <cellStyle name="檢查儲存格 23" xfId="769" xr:uid="{630A4E83-309E-4726-82D0-F11DD8523136}"/>
    <cellStyle name="檢查儲存格 24" xfId="770" xr:uid="{BD21CAD9-B75F-4608-AAC4-89338430F8F5}"/>
    <cellStyle name="檢查儲存格 25" xfId="771" xr:uid="{54581ADF-E3D9-4CF0-8A81-C6D73CD4DEFD}"/>
    <cellStyle name="檢查儲存格 26" xfId="772" xr:uid="{DECFCEA0-8B9D-43CB-8E6A-0A7C38FC1AD0}"/>
    <cellStyle name="檢查儲存格 27" xfId="773" xr:uid="{6907D7CC-4AA5-46E5-8FB7-4B6712D27299}"/>
    <cellStyle name="檢查儲存格 3" xfId="774" xr:uid="{84BBD425-11E0-4A29-85BA-6CC3FE809626}"/>
    <cellStyle name="檢查儲存格 4" xfId="775" xr:uid="{7D3D5B21-D4D0-4BD5-9548-E3071014AD16}"/>
    <cellStyle name="檢查儲存格 5" xfId="776" xr:uid="{55C230E8-6117-46C3-94B1-7099BC70E9EB}"/>
    <cellStyle name="檢查儲存格 6" xfId="777" xr:uid="{AE0B1B5A-7898-4F17-B5C6-5203F3A68B6A}"/>
    <cellStyle name="檢查儲存格 7" xfId="778" xr:uid="{E8712B79-F118-438F-A68C-ED6E4CD004C1}"/>
    <cellStyle name="檢查儲存格 8" xfId="779" xr:uid="{B66B7303-A32C-40B5-A27C-4B379174FB2D}"/>
    <cellStyle name="檢查儲存格 9" xfId="780" xr:uid="{13F2D896-76DA-4615-A770-1E11F02234FD}"/>
    <cellStyle name="計算方式 10" xfId="781" xr:uid="{34E2CFF2-8720-4433-B357-8844ACFCCA64}"/>
    <cellStyle name="計算方式 11" xfId="782" xr:uid="{D0251FBB-62F0-4D20-844F-54D8293D14E1}"/>
    <cellStyle name="計算方式 12" xfId="783" xr:uid="{83C3525B-6813-4AAC-80FA-3F05B6A89378}"/>
    <cellStyle name="計算方式 13" xfId="784" xr:uid="{A95976C9-AA5C-4E68-B006-BB85F791485D}"/>
    <cellStyle name="計算方式 14" xfId="785" xr:uid="{EA44E371-5B25-4727-81B9-9C686475D633}"/>
    <cellStyle name="計算方式 15" xfId="786" xr:uid="{7FCACFA7-B715-4092-A72A-9065D95D18C2}"/>
    <cellStyle name="計算方式 16" xfId="787" xr:uid="{94B741E5-4157-4B73-A5D0-40E6A00EE399}"/>
    <cellStyle name="計算方式 17" xfId="788" xr:uid="{258D919C-B162-4B5A-A52B-9EE4CAC47065}"/>
    <cellStyle name="計算方式 18" xfId="789" xr:uid="{E53BEC46-C329-4835-B2C7-8674C4A02AF1}"/>
    <cellStyle name="計算方式 19" xfId="790" xr:uid="{BDFB1FE4-C0D4-4A3D-93F6-B0D5E5DFCD48}"/>
    <cellStyle name="計算方式 2" xfId="791" xr:uid="{BD7D9DC5-D290-43C6-A11E-06571C0110B7}"/>
    <cellStyle name="計算方式 20" xfId="792" xr:uid="{EC74EA91-353F-4124-859C-4BB960968A57}"/>
    <cellStyle name="計算方式 21" xfId="793" xr:uid="{2275D1C0-8C5A-4E36-AD3A-8DD5D910D322}"/>
    <cellStyle name="計算方式 22" xfId="794" xr:uid="{43644964-6577-4413-AD47-46AFF16D41B8}"/>
    <cellStyle name="計算方式 23" xfId="795" xr:uid="{1990D570-E513-49D9-8B5E-6F62D2AAB8E0}"/>
    <cellStyle name="計算方式 24" xfId="796" xr:uid="{B1289ABA-2004-43C9-A7DE-EFD17DE815BE}"/>
    <cellStyle name="計算方式 25" xfId="797" xr:uid="{C8B9A053-FF96-4957-A6FF-96AB31797AF8}"/>
    <cellStyle name="計算方式 26" xfId="798" xr:uid="{CFA6006C-C1ED-47D6-8019-3C446206E3F6}"/>
    <cellStyle name="計算方式 27" xfId="799" xr:uid="{F6E9FFD2-C22B-4DD0-B706-FA4BDEE4D9AF}"/>
    <cellStyle name="計算方式 3" xfId="800" xr:uid="{F0D09CB9-DEDF-4006-B768-C9E73CB04E53}"/>
    <cellStyle name="計算方式 4" xfId="801" xr:uid="{09DD6C31-26A5-4F16-A23E-E486A1AD870D}"/>
    <cellStyle name="計算方式 5" xfId="802" xr:uid="{69A0A9E7-C10E-4555-97E7-90DE4BE92019}"/>
    <cellStyle name="計算方式 6" xfId="803" xr:uid="{A80D8D47-1090-4C06-90A3-CEA0D838A50E}"/>
    <cellStyle name="計算方式 7" xfId="804" xr:uid="{4283B5EE-DFDA-4D40-99DA-B987D5895B19}"/>
    <cellStyle name="計算方式 8" xfId="805" xr:uid="{402C55B6-FF3B-4EF6-BE9B-14DDF7B8D8F2}"/>
    <cellStyle name="計算方式 9" xfId="806" xr:uid="{2B4E2CE7-E1EF-415D-8016-8DDDF7E893D6}"/>
    <cellStyle name="說明文字 10" xfId="807" xr:uid="{1DEC9AFF-B720-485A-B7AB-73DD6A67644F}"/>
    <cellStyle name="說明文字 11" xfId="808" xr:uid="{8069D273-8A01-4DA5-8421-1C122392A138}"/>
    <cellStyle name="說明文字 12" xfId="809" xr:uid="{ACFA2151-5E42-4428-8A9A-DC5FA58E0CFD}"/>
    <cellStyle name="說明文字 13" xfId="810" xr:uid="{EE1A4ABC-595C-4A3F-ADCC-B650BFA14557}"/>
    <cellStyle name="說明文字 14" xfId="811" xr:uid="{34564EB2-49A9-4E15-8230-0DDD4721B4D8}"/>
    <cellStyle name="說明文字 15" xfId="812" xr:uid="{4AB9371E-4EF2-4C85-AA31-F112CC27464F}"/>
    <cellStyle name="說明文字 16" xfId="813" xr:uid="{1C365CC3-C4A1-4A4B-BA7F-8F065588BD7A}"/>
    <cellStyle name="說明文字 17" xfId="814" xr:uid="{3B997D5F-6F84-4A61-B64A-1F5B441B9EF2}"/>
    <cellStyle name="說明文字 18" xfId="815" xr:uid="{20AB8FE3-1F44-4E1D-B3BE-8C855FEAED23}"/>
    <cellStyle name="說明文字 19" xfId="816" xr:uid="{2D6AD719-74DE-4A17-BEBB-3A49DEAA9498}"/>
    <cellStyle name="說明文字 2" xfId="817" xr:uid="{AAD1F31B-8862-4FB6-AB2F-00D7751316E2}"/>
    <cellStyle name="說明文字 20" xfId="818" xr:uid="{686C3820-5561-40E7-B3D9-5D817F05436A}"/>
    <cellStyle name="說明文字 21" xfId="819" xr:uid="{3A95476A-58EE-4A2B-802D-8CF6FE7E6B8A}"/>
    <cellStyle name="說明文字 22" xfId="820" xr:uid="{704615B8-D2E3-400E-B5A6-62C925CBE668}"/>
    <cellStyle name="說明文字 23" xfId="821" xr:uid="{9A480C8B-AE4F-4F73-AB13-A98FEC8DBFB8}"/>
    <cellStyle name="說明文字 24" xfId="822" xr:uid="{E5DC253C-1B45-4257-B2F6-8A558B7993F6}"/>
    <cellStyle name="說明文字 25" xfId="823" xr:uid="{8DE9194F-8997-49F0-B9CE-9D2331FB8894}"/>
    <cellStyle name="說明文字 26" xfId="824" xr:uid="{481292EF-8F85-40F6-9A6F-B265612C7441}"/>
    <cellStyle name="說明文字 27" xfId="825" xr:uid="{B216AB94-F7EC-4C82-85F5-49FC6A0BA3CE}"/>
    <cellStyle name="說明文字 3" xfId="826" xr:uid="{B4FCF892-29D6-4788-8B8B-492D1C32E6F6}"/>
    <cellStyle name="說明文字 4" xfId="827" xr:uid="{D5C66544-D3B1-40EC-90DB-9B8DB8295BFB}"/>
    <cellStyle name="說明文字 5" xfId="828" xr:uid="{C8B4B066-E7F0-4EA6-A63E-5AB722B23146}"/>
    <cellStyle name="說明文字 6" xfId="829" xr:uid="{57DAED2D-7736-4657-9124-33E5B6C2F902}"/>
    <cellStyle name="說明文字 7" xfId="830" xr:uid="{686D033D-4583-4C4C-AE04-6B3A0CA219A6}"/>
    <cellStyle name="說明文字 8" xfId="831" xr:uid="{CA4E0E19-B0D3-47E7-BBF4-A59FBF50D2DF}"/>
    <cellStyle name="說明文字 9" xfId="832" xr:uid="{EA3565EF-CEB3-445F-812D-883720DC083F}"/>
    <cellStyle name="警告文字 10" xfId="833" xr:uid="{0BDDB090-C516-4CFB-AB4C-EA9C28C64FFC}"/>
    <cellStyle name="警告文字 11" xfId="834" xr:uid="{2C53FA90-9672-4CA6-A3CB-0D4330877B94}"/>
    <cellStyle name="警告文字 12" xfId="835" xr:uid="{658FC4BA-812A-4580-A5EC-BC57486B0A56}"/>
    <cellStyle name="警告文字 13" xfId="836" xr:uid="{C6C6AA64-F529-4CE9-8F91-2AE011509626}"/>
    <cellStyle name="警告文字 14" xfId="837" xr:uid="{DD26D2B8-1956-4F36-82CE-97DA185A1948}"/>
    <cellStyle name="警告文字 15" xfId="838" xr:uid="{98BEB6DD-F8FD-477A-8CBE-8657A4890413}"/>
    <cellStyle name="警告文字 16" xfId="839" xr:uid="{3BF85A39-F55B-4595-8BA6-4D09838165A7}"/>
    <cellStyle name="警告文字 17" xfId="840" xr:uid="{C9864FA1-5036-4D78-8943-445A47978023}"/>
    <cellStyle name="警告文字 18" xfId="841" xr:uid="{BF1554DD-D46F-44C6-B89E-8F75713CF912}"/>
    <cellStyle name="警告文字 19" xfId="842" xr:uid="{7E49CADF-4A8C-4E9A-B7F8-0D0EC2A930D4}"/>
    <cellStyle name="警告文字 2" xfId="843" xr:uid="{C12910CB-68EF-4A84-B819-974C3DD65F88}"/>
    <cellStyle name="警告文字 20" xfId="844" xr:uid="{FD726AF1-3D14-4C28-975A-ED02F5DA5B0A}"/>
    <cellStyle name="警告文字 21" xfId="845" xr:uid="{AC202D85-74FB-44C0-B589-43EAD74E5807}"/>
    <cellStyle name="警告文字 22" xfId="846" xr:uid="{A5F5F77D-1600-48EF-AA94-E803AA0627D2}"/>
    <cellStyle name="警告文字 23" xfId="847" xr:uid="{460E03E3-CD20-4E70-91AF-659550CBC5FF}"/>
    <cellStyle name="警告文字 24" xfId="848" xr:uid="{05BBB2B0-263B-4693-A6DF-B8B2875AA374}"/>
    <cellStyle name="警告文字 25" xfId="849" xr:uid="{ACEABFA6-894B-4B4A-B0A1-F95743950079}"/>
    <cellStyle name="警告文字 26" xfId="850" xr:uid="{39504185-AA21-48BC-884E-27E07A9DF4E9}"/>
    <cellStyle name="警告文字 27" xfId="851" xr:uid="{C79AB99D-F08E-4D71-90C2-5914DA4FE69D}"/>
    <cellStyle name="警告文字 3" xfId="852" xr:uid="{0A8CB0E9-CA95-4BB8-8BB0-D1351A82BDC2}"/>
    <cellStyle name="警告文字 4" xfId="853" xr:uid="{6C36DCB7-146B-4142-9F6B-378589A6A6AB}"/>
    <cellStyle name="警告文字 5" xfId="854" xr:uid="{F5184067-0153-403D-85D2-3C2D5BBDED62}"/>
    <cellStyle name="警告文字 6" xfId="855" xr:uid="{D22AF7AD-8082-4DA3-ABB1-B3BBFD649596}"/>
    <cellStyle name="警告文字 7" xfId="856" xr:uid="{EFD76899-0208-474C-8944-05554079413A}"/>
    <cellStyle name="警告文字 8" xfId="857" xr:uid="{8A593DEB-9395-424B-901E-610BCD9B9A32}"/>
    <cellStyle name="警告文字 9" xfId="858" xr:uid="{F6088DA7-8F1C-4057-8484-E175C7F4E1DA}"/>
    <cellStyle name="輔色1 10" xfId="859" xr:uid="{81EDA685-8B01-446D-9D70-8582BDB408EE}"/>
    <cellStyle name="輔色1 11" xfId="860" xr:uid="{208B87B8-EE11-4515-8DB4-35DFFFD8986F}"/>
    <cellStyle name="輔色1 12" xfId="861" xr:uid="{D3810F8B-B8BF-458C-8DDA-69888A2859CE}"/>
    <cellStyle name="輔色1 13" xfId="862" xr:uid="{C186DB78-BD5F-4FCC-8F94-CFD7B69BDF08}"/>
    <cellStyle name="輔色1 14" xfId="863" xr:uid="{09246556-75E7-4C14-8652-E7771CFA2557}"/>
    <cellStyle name="輔色1 15" xfId="864" xr:uid="{4602978F-C30B-4DD6-B15F-13155B311767}"/>
    <cellStyle name="輔色1 16" xfId="865" xr:uid="{34DCB816-6BF2-4ACD-B723-5B3EEB13FFBD}"/>
    <cellStyle name="輔色1 17" xfId="866" xr:uid="{5DAE6352-5017-403D-A3D0-48B981337B20}"/>
    <cellStyle name="輔色1 18" xfId="867" xr:uid="{95568B7D-EAAA-48C3-8278-FC4CBC7E947E}"/>
    <cellStyle name="輔色1 19" xfId="868" xr:uid="{B0AB77EE-E10C-4604-8B89-46EBDDFEDCC7}"/>
    <cellStyle name="輔色1 2" xfId="869" xr:uid="{FE0C1A85-DACA-435F-86A2-6FDB2CF3CE18}"/>
    <cellStyle name="輔色1 20" xfId="870" xr:uid="{118606C7-ABA7-4E82-A4EA-0975F41E06A0}"/>
    <cellStyle name="輔色1 21" xfId="871" xr:uid="{DD6F9CDC-AAB1-430A-A96B-138014538A9A}"/>
    <cellStyle name="輔色1 22" xfId="872" xr:uid="{84FD39C2-B80D-4675-BE85-20BF422E18E9}"/>
    <cellStyle name="輔色1 23" xfId="873" xr:uid="{7AD9CD59-1106-4808-BB54-C6C15F2233A2}"/>
    <cellStyle name="輔色1 24" xfId="874" xr:uid="{EFF48E75-2FEC-4A61-B141-A51DD9C56875}"/>
    <cellStyle name="輔色1 25" xfId="875" xr:uid="{9CDFC2BF-ED77-4DF1-8BFB-ACFB045321C7}"/>
    <cellStyle name="輔色1 26" xfId="876" xr:uid="{432B1550-9DED-45AD-81A1-4F7BFA3E7447}"/>
    <cellStyle name="輔色1 27" xfId="877" xr:uid="{9F85608B-0BEF-4876-B52D-FFDDA2F6E957}"/>
    <cellStyle name="輔色1 3" xfId="878" xr:uid="{08283225-3A6C-4D69-9BD0-45C8AA75EBB2}"/>
    <cellStyle name="輔色1 4" xfId="879" xr:uid="{5767EA32-C79B-4932-BB22-E96689FA9245}"/>
    <cellStyle name="輔色1 5" xfId="880" xr:uid="{3D3CED6D-6CEA-46D5-8A8B-060BB8078133}"/>
    <cellStyle name="輔色1 6" xfId="881" xr:uid="{28D30B78-1702-4379-8069-626AFD8D431F}"/>
    <cellStyle name="輔色1 7" xfId="882" xr:uid="{50BC3DAC-41A6-4902-A2B3-DC5414757EAA}"/>
    <cellStyle name="輔色1 8" xfId="883" xr:uid="{4EF065B7-E530-436B-9648-4866E45F5CA6}"/>
    <cellStyle name="輔色1 9" xfId="884" xr:uid="{C61FBB9D-8FC9-4079-A143-45DCF9BD0AB3}"/>
    <cellStyle name="輔色2 10" xfId="885" xr:uid="{80012158-CAD3-4A0B-A2AE-D70E7BDDBEC5}"/>
    <cellStyle name="輔色2 11" xfId="886" xr:uid="{692C1044-F57F-449E-AF87-81A000FA458E}"/>
    <cellStyle name="輔色2 12" xfId="887" xr:uid="{A8D5AAA1-E141-4D68-9024-30CD6F368EFE}"/>
    <cellStyle name="輔色2 13" xfId="888" xr:uid="{897EC1CC-4535-481F-A1EF-711DF0DFC0E6}"/>
    <cellStyle name="輔色2 14" xfId="889" xr:uid="{02D3CC9E-E386-4A48-87D6-786A2048635A}"/>
    <cellStyle name="輔色2 15" xfId="890" xr:uid="{39CDC0A6-1A14-41FB-BF98-BBE6EBBD5169}"/>
    <cellStyle name="輔色2 16" xfId="891" xr:uid="{4A931E23-B1AC-4461-8552-EAF68A2184BF}"/>
    <cellStyle name="輔色2 17" xfId="892" xr:uid="{6A9E5A05-AB86-4A76-A635-D2D7C33F31FA}"/>
    <cellStyle name="輔色2 18" xfId="893" xr:uid="{87665EF6-FF83-4D01-9EC7-2E7A15FABCE7}"/>
    <cellStyle name="輔色2 19" xfId="894" xr:uid="{A07BDFEB-7CFA-4CA6-9940-F563C345886D}"/>
    <cellStyle name="輔色2 2" xfId="895" xr:uid="{3D4A6409-F2F9-4B41-9068-1091F8AD784A}"/>
    <cellStyle name="輔色2 20" xfId="896" xr:uid="{D292EABA-61E0-487F-A7A6-79E245ACD8D6}"/>
    <cellStyle name="輔色2 21" xfId="897" xr:uid="{71ED5461-08F7-45F0-9BF2-D1905E1FAE7D}"/>
    <cellStyle name="輔色2 22" xfId="898" xr:uid="{8ECACA99-1D88-45EB-B971-360CB2CE6392}"/>
    <cellStyle name="輔色2 23" xfId="899" xr:uid="{10B92A44-A18E-4CDE-BA93-4653051C82AD}"/>
    <cellStyle name="輔色2 24" xfId="900" xr:uid="{EEC08CEE-391A-4506-8174-020ED29AC791}"/>
    <cellStyle name="輔色2 25" xfId="901" xr:uid="{1A69E09B-1623-4CCC-A475-077193AF3A3B}"/>
    <cellStyle name="輔色2 26" xfId="902" xr:uid="{AD2A029E-E4DF-48BA-8B64-38E375322103}"/>
    <cellStyle name="輔色2 27" xfId="903" xr:uid="{33F6E17A-4462-43B2-AB25-A93BFAB2162D}"/>
    <cellStyle name="輔色2 3" xfId="904" xr:uid="{37538206-4A02-4371-8A38-8217793A9485}"/>
    <cellStyle name="輔色2 4" xfId="905" xr:uid="{5E066AB4-A7C9-4523-AAC0-CF7183070CF3}"/>
    <cellStyle name="輔色2 5" xfId="906" xr:uid="{297F2FDD-6893-4B5C-A282-3B6C0CC65BC0}"/>
    <cellStyle name="輔色2 6" xfId="907" xr:uid="{59F287AA-0DE7-4097-9A01-E013C2D1D3AE}"/>
    <cellStyle name="輔色2 7" xfId="908" xr:uid="{7C4EF572-31AE-4651-8969-A52699A184B1}"/>
    <cellStyle name="輔色2 8" xfId="909" xr:uid="{0896CA9C-5B4A-4E04-BFF9-9EF358B3EC76}"/>
    <cellStyle name="輔色2 9" xfId="910" xr:uid="{B6619D41-1273-4065-AD52-CAFA3B08CE26}"/>
    <cellStyle name="輔色3 10" xfId="911" xr:uid="{5FF84931-5CED-45AA-A18C-5DD633A0E6DA}"/>
    <cellStyle name="輔色3 11" xfId="912" xr:uid="{97ABBC34-4BF7-409C-9A42-B303F5B01AD8}"/>
    <cellStyle name="輔色3 12" xfId="913" xr:uid="{78D1D2A9-5F0C-4BD7-B29E-8B3A9545D1CA}"/>
    <cellStyle name="輔色3 13" xfId="914" xr:uid="{D519BFAB-5C27-4542-A018-63E8EE3917C3}"/>
    <cellStyle name="輔色3 14" xfId="915" xr:uid="{93D8B49A-DD1D-4DC3-8F3B-9B983FE55C40}"/>
    <cellStyle name="輔色3 15" xfId="916" xr:uid="{E0FB17A6-B777-40F7-83E7-8041EB2D8E7A}"/>
    <cellStyle name="輔色3 16" xfId="917" xr:uid="{681FABC9-6002-47A0-8281-1BE9859AD095}"/>
    <cellStyle name="輔色3 17" xfId="918" xr:uid="{846A9B71-18D4-4DEC-845E-1713A1EE7D09}"/>
    <cellStyle name="輔色3 18" xfId="919" xr:uid="{F52EB682-9CC8-4ADC-A43E-05F9EDCBF209}"/>
    <cellStyle name="輔色3 19" xfId="920" xr:uid="{423781BA-4699-41F2-B0A1-B03FFC5F308A}"/>
    <cellStyle name="輔色3 2" xfId="921" xr:uid="{CE3DEE33-3BD2-4794-9218-800E93AF8649}"/>
    <cellStyle name="輔色3 20" xfId="922" xr:uid="{7FB2EF65-3E37-4189-8747-96C075225375}"/>
    <cellStyle name="輔色3 21" xfId="923" xr:uid="{B45937F2-E792-44D9-B9E0-2C3B50E5B657}"/>
    <cellStyle name="輔色3 22" xfId="924" xr:uid="{FC2D46A5-2970-4BB0-8A52-8BA1D8435C8F}"/>
    <cellStyle name="輔色3 23" xfId="925" xr:uid="{F9BB409D-3918-4788-9FB2-3A8B1128A2CF}"/>
    <cellStyle name="輔色3 24" xfId="926" xr:uid="{EA9F40D2-18F0-4A33-A8B9-A9EE6F1009DF}"/>
    <cellStyle name="輔色3 25" xfId="927" xr:uid="{344D5ED1-B821-4D39-9EF3-424FEC40F01E}"/>
    <cellStyle name="輔色3 26" xfId="928" xr:uid="{AD0506BD-5E51-4BB2-96B0-D5419B7266B5}"/>
    <cellStyle name="輔色3 27" xfId="929" xr:uid="{466913AA-B45F-4C56-A5B7-E2474933D4E9}"/>
    <cellStyle name="輔色3 3" xfId="930" xr:uid="{2155670C-0057-439E-9970-985846019D73}"/>
    <cellStyle name="輔色3 4" xfId="931" xr:uid="{5BBD8E38-1B64-4078-95D1-B773CBC8DECF}"/>
    <cellStyle name="輔色3 5" xfId="932" xr:uid="{2CC504C2-3A3B-4E13-BFBB-C9855787B7BD}"/>
    <cellStyle name="輔色3 6" xfId="933" xr:uid="{97F2C877-7AD1-4B17-B205-F4000496ACD1}"/>
    <cellStyle name="輔色3 7" xfId="934" xr:uid="{96EBD765-92F8-4F0B-81B4-AED7B49308D2}"/>
    <cellStyle name="輔色3 8" xfId="935" xr:uid="{12D65135-8E03-4521-B468-84F819461F60}"/>
    <cellStyle name="輔色3 9" xfId="936" xr:uid="{78855780-2E89-4C48-A7F0-F7073AE75019}"/>
    <cellStyle name="輔色4 10" xfId="937" xr:uid="{11F157DA-6A5D-4590-9BFA-C8A9F9EC6955}"/>
    <cellStyle name="輔色4 11" xfId="938" xr:uid="{D8842A08-5B2E-4AF5-86DB-BF6E69975D2D}"/>
    <cellStyle name="輔色4 12" xfId="939" xr:uid="{AA5B1D30-2DBF-4D3B-AD46-8F806D52634C}"/>
    <cellStyle name="輔色4 13" xfId="940" xr:uid="{1B430905-1CE3-4B78-A269-5938D08D69AD}"/>
    <cellStyle name="輔色4 14" xfId="941" xr:uid="{DB6224AD-897D-4C4D-B55A-27338814D36A}"/>
    <cellStyle name="輔色4 15" xfId="942" xr:uid="{BA1A73C5-B649-4101-8033-DC4E77F832AD}"/>
    <cellStyle name="輔色4 16" xfId="943" xr:uid="{FC7AA8CB-949A-4A21-B9BB-A9B93517C07D}"/>
    <cellStyle name="輔色4 17" xfId="944" xr:uid="{2C0DB54F-AE87-4BCD-95FE-1A86268948E6}"/>
    <cellStyle name="輔色4 18" xfId="945" xr:uid="{BA5E4D80-6065-457B-B877-40640EE99067}"/>
    <cellStyle name="輔色4 19" xfId="946" xr:uid="{E0024A00-E37F-4B10-BE62-D0CBFFCE50D8}"/>
    <cellStyle name="輔色4 2" xfId="947" xr:uid="{91ACCB9D-4830-4DD8-906F-CC4E1BBD0D9B}"/>
    <cellStyle name="輔色4 20" xfId="948" xr:uid="{F09343AB-1BC2-4227-8153-8333BF653ED2}"/>
    <cellStyle name="輔色4 21" xfId="949" xr:uid="{1F7A8331-3C13-4F6A-ACB4-48EBAA54C9AD}"/>
    <cellStyle name="輔色4 22" xfId="950" xr:uid="{12363AF8-6F23-41E5-8516-0E5AEF58C9DB}"/>
    <cellStyle name="輔色4 23" xfId="951" xr:uid="{8A04806B-016E-4DFF-9C6D-790A1A8A1FD5}"/>
    <cellStyle name="輔色4 24" xfId="952" xr:uid="{55C321C5-6B9C-40A8-9993-191EF28CB575}"/>
    <cellStyle name="輔色4 25" xfId="953" xr:uid="{5D99F77F-AF91-4BEB-90F5-17106F5E7D00}"/>
    <cellStyle name="輔色4 26" xfId="954" xr:uid="{D03CAB24-CE0C-4BE4-B155-D428D32C521C}"/>
    <cellStyle name="輔色4 27" xfId="955" xr:uid="{CCD192A7-6A57-4B0B-9AE0-3E84E72250A5}"/>
    <cellStyle name="輔色4 3" xfId="956" xr:uid="{77FEE510-2A73-4E60-B800-C66671EFD340}"/>
    <cellStyle name="輔色4 4" xfId="957" xr:uid="{E9550D33-29D0-4AF8-B46F-FE6DC3D784E6}"/>
    <cellStyle name="輔色4 5" xfId="958" xr:uid="{D0E5E4B5-C03D-4E7C-8564-0255DD2B9F83}"/>
    <cellStyle name="輔色4 6" xfId="959" xr:uid="{11461767-F11F-4082-BBA9-4B3A04132063}"/>
    <cellStyle name="輔色4 7" xfId="960" xr:uid="{43FFB224-60C3-4BE6-89F6-0345A359FB68}"/>
    <cellStyle name="輔色4 8" xfId="961" xr:uid="{60C9FAEA-4D6A-4069-8E82-E3724C756DA0}"/>
    <cellStyle name="輔色4 9" xfId="962" xr:uid="{186A14C6-4E3D-4385-8F13-683D240F108A}"/>
    <cellStyle name="輔色5 10" xfId="963" xr:uid="{63D8C452-370C-4F28-932C-AE5235216DCF}"/>
    <cellStyle name="輔色5 11" xfId="964" xr:uid="{F48E40F4-4C75-4394-B5E1-3D6EA369F11A}"/>
    <cellStyle name="輔色5 12" xfId="965" xr:uid="{1B7FBD02-0B6E-436D-9167-5970C2070374}"/>
    <cellStyle name="輔色5 13" xfId="966" xr:uid="{3E975A3E-A953-4476-953F-28BB25859EA0}"/>
    <cellStyle name="輔色5 14" xfId="967" xr:uid="{7723B60C-D18B-4EC2-8248-3E811597468C}"/>
    <cellStyle name="輔色5 15" xfId="968" xr:uid="{AF267269-4917-485C-AA9B-C565EC78909D}"/>
    <cellStyle name="輔色5 16" xfId="969" xr:uid="{5991E812-3F8F-4F3D-928B-D8D134D92923}"/>
    <cellStyle name="輔色5 17" xfId="970" xr:uid="{F86A4CFB-4CA5-4567-8ED3-7DEA537B9C14}"/>
    <cellStyle name="輔色5 18" xfId="971" xr:uid="{3CAB6AD1-51F0-4A96-A2F0-2552FF5F4575}"/>
    <cellStyle name="輔色5 19" xfId="972" xr:uid="{CDAB06A5-3B16-4A73-94FA-B26CB8C52AE3}"/>
    <cellStyle name="輔色5 2" xfId="973" xr:uid="{6DBF914D-1718-46B9-A0B4-274D223980B5}"/>
    <cellStyle name="輔色5 20" xfId="974" xr:uid="{B7AD1F12-7907-4927-B8D2-7286FB6EFE08}"/>
    <cellStyle name="輔色5 21" xfId="975" xr:uid="{B5E004E0-DB91-4E89-BE49-7789B58F1442}"/>
    <cellStyle name="輔色5 22" xfId="976" xr:uid="{2B8AE43B-8F6B-42B0-86D7-D7D08CCD77AB}"/>
    <cellStyle name="輔色5 23" xfId="977" xr:uid="{873A3431-B736-4185-A596-5A44A8BC7025}"/>
    <cellStyle name="輔色5 24" xfId="978" xr:uid="{8A846750-D56D-4381-BD4B-C7EF63E92EBB}"/>
    <cellStyle name="輔色5 25" xfId="979" xr:uid="{84FFA0C5-D197-4C56-B3D9-ABD1B1708F3B}"/>
    <cellStyle name="輔色5 26" xfId="980" xr:uid="{D9AD19E0-CB2C-486C-9114-85FEBE95BE3B}"/>
    <cellStyle name="輔色5 27" xfId="981" xr:uid="{B1D51CD8-2188-4A1B-A5FC-26FE06F107D9}"/>
    <cellStyle name="輔色5 3" xfId="982" xr:uid="{077DCFB0-4AFE-45CB-87B5-00D9985FAB56}"/>
    <cellStyle name="輔色5 4" xfId="983" xr:uid="{A17AECA4-90FD-44EC-9CFD-76BE02DE5E01}"/>
    <cellStyle name="輔色5 5" xfId="984" xr:uid="{B587EDF9-8A5B-4F54-A85D-D171AE5C6F38}"/>
    <cellStyle name="輔色5 6" xfId="985" xr:uid="{445EEF89-A973-4AD9-8189-F8B411070CFE}"/>
    <cellStyle name="輔色5 7" xfId="986" xr:uid="{AD200653-2F05-435A-A7B1-E70697EC109B}"/>
    <cellStyle name="輔色5 8" xfId="987" xr:uid="{A9189DF3-B7AE-4212-B5BD-C38668924EE2}"/>
    <cellStyle name="輔色5 9" xfId="988" xr:uid="{56C71F24-701C-456C-BC97-ED73F9FBF07E}"/>
    <cellStyle name="輔色6 10" xfId="989" xr:uid="{1C08BB98-6CBC-4715-B5EF-687BB31D448E}"/>
    <cellStyle name="輔色6 11" xfId="990" xr:uid="{9EEF88E6-D754-4303-AB9D-571A6A50B682}"/>
    <cellStyle name="輔色6 12" xfId="991" xr:uid="{2E4A1475-2961-4A82-9D76-FF9C4FA6F158}"/>
    <cellStyle name="輔色6 13" xfId="992" xr:uid="{172287AD-9596-4FC2-AC8C-21CF6E16B8D0}"/>
    <cellStyle name="輔色6 14" xfId="993" xr:uid="{0B69D120-78A4-47F8-969C-02FA3ABA248C}"/>
    <cellStyle name="輔色6 15" xfId="994" xr:uid="{D6DF478F-DAD7-4162-9588-59CABF72370C}"/>
    <cellStyle name="輔色6 16" xfId="995" xr:uid="{19E37902-363F-4353-8DF8-9CDA1A0CE406}"/>
    <cellStyle name="輔色6 17" xfId="996" xr:uid="{8270A76D-A6DE-416D-9489-B412EAE63F64}"/>
    <cellStyle name="輔色6 18" xfId="997" xr:uid="{A43F009D-9488-4484-AEA5-509DD01B3814}"/>
    <cellStyle name="輔色6 19" xfId="998" xr:uid="{C46F4DD8-7604-44DF-8076-B862B3DD2C51}"/>
    <cellStyle name="輔色6 2" xfId="999" xr:uid="{2E468634-3038-45C7-B20F-DA24B2CE8853}"/>
    <cellStyle name="輔色6 20" xfId="1000" xr:uid="{4269AE0C-62CF-4F5C-81AC-CEBAD7DAE7B9}"/>
    <cellStyle name="輔色6 21" xfId="1001" xr:uid="{E5D91AD2-C1F6-422B-B941-EC5AE19DE37B}"/>
    <cellStyle name="輔色6 22" xfId="1002" xr:uid="{81000AF2-2720-401D-AB15-AA7EAA63CB96}"/>
    <cellStyle name="輔色6 23" xfId="1003" xr:uid="{9DBCA723-3810-4078-9B87-9D89A0993FBC}"/>
    <cellStyle name="輔色6 24" xfId="1004" xr:uid="{8E9411EE-85E2-4B37-85F4-20C95BF66DDC}"/>
    <cellStyle name="輔色6 25" xfId="1005" xr:uid="{E2BE6341-6EA9-4406-A1E9-228FB43314B9}"/>
    <cellStyle name="輔色6 26" xfId="1006" xr:uid="{2E21A89A-D1EE-4AB9-95BA-20F3E4E45514}"/>
    <cellStyle name="輔色6 27" xfId="1007" xr:uid="{F13E5335-A71B-49D0-A882-7BC9E3451D2B}"/>
    <cellStyle name="輔色6 3" xfId="1008" xr:uid="{B333C378-6D1F-44F9-BCD0-B324A2793E1E}"/>
    <cellStyle name="輔色6 4" xfId="1009" xr:uid="{92AFFD51-EA5B-4453-9D1A-3BC4F99C9823}"/>
    <cellStyle name="輔色6 5" xfId="1010" xr:uid="{105A187E-8FFC-48ED-82E9-80CD20F2B475}"/>
    <cellStyle name="輔色6 6" xfId="1011" xr:uid="{CECEF984-81FB-40CD-93D0-AA666E0E9972}"/>
    <cellStyle name="輔色6 7" xfId="1012" xr:uid="{3362F2D3-DBDC-4966-8C3B-4F800B3A7037}"/>
    <cellStyle name="輔色6 8" xfId="1013" xr:uid="{0B55E52E-8CE1-4701-86F8-30CADB3C37E6}"/>
    <cellStyle name="輔色6 9" xfId="1014" xr:uid="{97D233B2-F8A6-43C5-819A-7D524187CA9D}"/>
    <cellStyle name="輸入 10" xfId="1015" xr:uid="{C5263AD8-D33D-4509-92E5-A3119D1D5E9B}"/>
    <cellStyle name="輸入 11" xfId="1016" xr:uid="{D2624106-CD95-4C1C-B888-171BF2A88ED8}"/>
    <cellStyle name="輸入 12" xfId="1017" xr:uid="{0D7FE3C8-4C99-49E1-9755-F6249621A3CA}"/>
    <cellStyle name="輸入 13" xfId="1018" xr:uid="{2C01E1CE-B00A-4525-B78E-F7A4D7D7B9BA}"/>
    <cellStyle name="輸入 14" xfId="1019" xr:uid="{EBE0609B-F11B-42C9-98E5-A68E9C64D118}"/>
    <cellStyle name="輸入 15" xfId="1020" xr:uid="{6DF29194-24AA-4C23-BE2F-3CAC886BFA4D}"/>
    <cellStyle name="輸入 16" xfId="1021" xr:uid="{3BE74658-C0E2-4F5F-BF68-BFBF22367FDA}"/>
    <cellStyle name="輸入 17" xfId="1022" xr:uid="{CEFE4EC6-C2C0-4297-9775-884B804FE481}"/>
    <cellStyle name="輸入 18" xfId="1023" xr:uid="{78018172-EC5A-4821-83E1-8C4431FC5700}"/>
    <cellStyle name="輸入 19" xfId="1024" xr:uid="{0E9AF86D-440B-4D02-B37E-47C6701EE2E1}"/>
    <cellStyle name="輸入 2" xfId="1025" xr:uid="{AEA3B4DA-EEB2-4700-B21E-CCDDF3B67675}"/>
    <cellStyle name="輸入 20" xfId="1026" xr:uid="{EA6857E8-1ECD-4D81-8EBC-2B9C34C0B660}"/>
    <cellStyle name="輸入 21" xfId="1027" xr:uid="{DC932303-E7E5-4667-ADFC-EC1B8D04DCAA}"/>
    <cellStyle name="輸入 22" xfId="1028" xr:uid="{295CD651-2426-489A-99B1-173B29A852B9}"/>
    <cellStyle name="輸入 23" xfId="1029" xr:uid="{95E11196-1AD7-421C-8769-E22FC4B5B54E}"/>
    <cellStyle name="輸入 24" xfId="1030" xr:uid="{FB8384CC-ADD6-4530-AF0A-7A36040C3EC1}"/>
    <cellStyle name="輸入 25" xfId="1031" xr:uid="{0AE1D40B-38A3-4B11-84F1-5C23F52351AC}"/>
    <cellStyle name="輸入 26" xfId="1032" xr:uid="{DCDBA0D2-2BE7-478F-BBF8-C54323A7F453}"/>
    <cellStyle name="輸入 27" xfId="1033" xr:uid="{E26CB427-A033-4A99-82E5-8A3DFC3D542E}"/>
    <cellStyle name="輸入 3" xfId="1034" xr:uid="{8965C11B-FF3C-4D89-9A54-1E54382AF5F7}"/>
    <cellStyle name="輸入 4" xfId="1035" xr:uid="{1BB19296-1E73-4475-9B7F-8E4F5E2C9431}"/>
    <cellStyle name="輸入 5" xfId="1036" xr:uid="{D4D9CB9A-C8C7-4CF8-A221-632B092A9C5C}"/>
    <cellStyle name="輸入 6" xfId="1037" xr:uid="{AE0EEF23-8C8F-436C-9852-8C17E94C5833}"/>
    <cellStyle name="輸入 7" xfId="1038" xr:uid="{57FED477-89EE-4191-B64F-B7673784A29E}"/>
    <cellStyle name="輸入 8" xfId="1039" xr:uid="{5279B9F9-122F-4A29-B12F-1059DA1C6983}"/>
    <cellStyle name="輸入 9" xfId="1040" xr:uid="{8293A2E4-4FEA-4CD9-AC53-629739130B1B}"/>
    <cellStyle name="輸出 10" xfId="1041" xr:uid="{264138BD-2D66-4B11-91F0-CCF25D1DC26A}"/>
    <cellStyle name="輸出 11" xfId="1042" xr:uid="{A185D98F-3001-4F6B-96AA-B4D580A4B720}"/>
    <cellStyle name="輸出 12" xfId="1043" xr:uid="{3DDED6DF-247C-4BE1-8827-246AC6ED7592}"/>
    <cellStyle name="輸出 13" xfId="1044" xr:uid="{C36D2545-7550-452B-90FB-31E2C7D34731}"/>
    <cellStyle name="輸出 14" xfId="1045" xr:uid="{E51FE512-C030-4B40-AF68-40482B691546}"/>
    <cellStyle name="輸出 15" xfId="1046" xr:uid="{F5D1D0CD-C560-49BF-82DB-444B0CF9CC8F}"/>
    <cellStyle name="輸出 16" xfId="1047" xr:uid="{8BE8ADD4-A503-47F2-A2DA-8C00797FDA9D}"/>
    <cellStyle name="輸出 17" xfId="1048" xr:uid="{E068F466-9075-4E18-A9A6-9C45778E2DB7}"/>
    <cellStyle name="輸出 18" xfId="1049" xr:uid="{901C57AD-3A7E-4DA5-AA9D-DA7979B30C53}"/>
    <cellStyle name="輸出 19" xfId="1050" xr:uid="{AFAB0CFD-ECD7-433E-8556-405D15C1989A}"/>
    <cellStyle name="輸出 2" xfId="1051" xr:uid="{56ED2E1B-07D4-42A0-831D-E7B3279683BF}"/>
    <cellStyle name="輸出 20" xfId="1052" xr:uid="{1D46DA18-EB25-4AC0-8C2F-E46B59722BE2}"/>
    <cellStyle name="輸出 21" xfId="1053" xr:uid="{05247130-0889-4ED2-B451-B78074E34B29}"/>
    <cellStyle name="輸出 22" xfId="1054" xr:uid="{7D90212B-4CF3-48F7-99B9-1FAADE45FB88}"/>
    <cellStyle name="輸出 23" xfId="1055" xr:uid="{7D67EC1B-7DD6-479B-B742-4746719E59F2}"/>
    <cellStyle name="輸出 24" xfId="1056" xr:uid="{CF49FEF1-FDC3-4959-BB9B-1B1BFF47EC61}"/>
    <cellStyle name="輸出 25" xfId="1057" xr:uid="{97B4095F-B6F7-4B1C-90C7-AA5B148A1021}"/>
    <cellStyle name="輸出 26" xfId="1058" xr:uid="{5EAD5855-394D-47A9-AB2F-FB809B8F88EE}"/>
    <cellStyle name="輸出 27" xfId="1059" xr:uid="{E34B4501-7C80-4E42-8FFF-B6C327F4BF21}"/>
    <cellStyle name="輸出 3" xfId="1060" xr:uid="{03F6B244-B42D-4549-93E4-E40A5BC123F8}"/>
    <cellStyle name="輸出 4" xfId="1061" xr:uid="{37B53B5A-637B-4B6B-BC9D-4DE3E7CB2444}"/>
    <cellStyle name="輸出 5" xfId="1062" xr:uid="{02500577-2757-494F-A417-56D7F339D9D5}"/>
    <cellStyle name="輸出 6" xfId="1063" xr:uid="{353407D7-96CB-4C8E-9CF1-577ED2FE3CDA}"/>
    <cellStyle name="輸出 7" xfId="1064" xr:uid="{8FEF35AF-A610-46BC-BC7F-2BE4D1C367DD}"/>
    <cellStyle name="輸出 8" xfId="1065" xr:uid="{36AC6A68-F5EB-486D-90ED-EBB6D364305E}"/>
    <cellStyle name="輸出 9" xfId="1066" xr:uid="{E14B1F86-07D3-4480-95BF-D7D436FBFB7D}"/>
    <cellStyle name="連結的儲存格 10" xfId="1067" xr:uid="{55A6BF93-6F4D-4414-8E89-C4C4975B78E1}"/>
    <cellStyle name="連結的儲存格 11" xfId="1068" xr:uid="{9DD1C19B-F0B8-4EBB-B331-CF61E09126C7}"/>
    <cellStyle name="連結的儲存格 12" xfId="1069" xr:uid="{FB39630A-6E22-4663-A735-1921D11B3E8E}"/>
    <cellStyle name="連結的儲存格 13" xfId="1070" xr:uid="{5D6E9087-57C8-4EBA-B35D-E787CC6D4229}"/>
    <cellStyle name="連結的儲存格 14" xfId="1071" xr:uid="{A156F77F-188F-429A-B3C6-456C4FB8C2A2}"/>
    <cellStyle name="連結的儲存格 15" xfId="1072" xr:uid="{2206D9A4-2FFF-4DB0-A459-826204269174}"/>
    <cellStyle name="連結的儲存格 16" xfId="1073" xr:uid="{D9E4C484-FDA7-4901-96A1-B81E4141BCD3}"/>
    <cellStyle name="連結的儲存格 17" xfId="1074" xr:uid="{E1117FD8-175C-4878-9713-C3AC1D2589AF}"/>
    <cellStyle name="連結的儲存格 18" xfId="1075" xr:uid="{BADCF286-A5CC-4AD6-BF55-09ED8AE2F9A9}"/>
    <cellStyle name="連結的儲存格 19" xfId="1076" xr:uid="{8FEC2620-80CA-4FFC-AD32-7C77B81F8DAE}"/>
    <cellStyle name="連結的儲存格 2" xfId="1077" xr:uid="{EEFB0001-118B-4CAE-B381-A9C7D0ED0F31}"/>
    <cellStyle name="連結的儲存格 20" xfId="1078" xr:uid="{9F93CAED-E0B1-4E64-BAA5-11010272E95F}"/>
    <cellStyle name="連結的儲存格 21" xfId="1079" xr:uid="{32AF7AD5-490A-4202-8CC8-93AA31939C08}"/>
    <cellStyle name="連結的儲存格 22" xfId="1080" xr:uid="{1D19AA43-9CF6-49B4-B9FB-B249FDEAA70D}"/>
    <cellStyle name="連結的儲存格 23" xfId="1081" xr:uid="{58AD0EFD-61BE-426B-A0E9-D195719D74DB}"/>
    <cellStyle name="連結的儲存格 24" xfId="1082" xr:uid="{71B64817-C009-4F2B-85DC-A0325BBA008B}"/>
    <cellStyle name="連結的儲存格 25" xfId="1083" xr:uid="{4FF89D54-FAF7-4452-932D-6387ED9797E7}"/>
    <cellStyle name="連結的儲存格 26" xfId="1084" xr:uid="{61300D04-1074-44B4-A50F-51B2AB9FD414}"/>
    <cellStyle name="連結的儲存格 27" xfId="1085" xr:uid="{CD0A58C4-0FAD-4D9D-B96A-586D7EF05765}"/>
    <cellStyle name="連結的儲存格 3" xfId="1086" xr:uid="{7EBE0819-3596-4BCE-B5A7-0B6EB061959A}"/>
    <cellStyle name="連結的儲存格 4" xfId="1087" xr:uid="{52EC8749-82CA-4059-92EF-01DC3B4197A3}"/>
    <cellStyle name="連結的儲存格 5" xfId="1088" xr:uid="{7F644045-BAA2-4D40-8722-C9BF0691534E}"/>
    <cellStyle name="連結的儲存格 6" xfId="1089" xr:uid="{D62D9C59-E855-4276-A34A-90A85DCB7024}"/>
    <cellStyle name="連結的儲存格 7" xfId="1090" xr:uid="{FE3BB95B-452E-4888-ADA4-72985520A471}"/>
    <cellStyle name="連結的儲存格 8" xfId="1091" xr:uid="{CF517AC0-5D35-49F6-8E93-8220F7F321A1}"/>
    <cellStyle name="連結的儲存格 9" xfId="1092" xr:uid="{3F8E33F9-2D01-4096-B8AA-FBED4A0852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0B670-D87B-49CC-B857-9965EE72DF84}">
  <sheetPr>
    <pageSetUpPr fitToPage="1"/>
  </sheetPr>
  <dimension ref="A1:M33"/>
  <sheetViews>
    <sheetView tabSelected="1" zoomScale="80" zoomScaleNormal="80" workbookViewId="0"/>
  </sheetViews>
  <sheetFormatPr defaultRowHeight="18"/>
  <cols>
    <col min="1" max="1" width="11.7109375" style="1" customWidth="1"/>
    <col min="2" max="2" width="41.85546875" style="2" customWidth="1"/>
    <col min="3" max="3" width="16.42578125" style="2" customWidth="1"/>
    <col min="4" max="4" width="11.42578125" style="2" customWidth="1"/>
    <col min="5" max="5" width="23.5703125" style="2" customWidth="1"/>
    <col min="6" max="6" width="27.140625" style="2" customWidth="1"/>
    <col min="7" max="7" width="2.7109375" style="2" customWidth="1"/>
    <col min="8" max="8" width="20" style="3" customWidth="1"/>
    <col min="9" max="9" width="20.85546875" style="3" customWidth="1"/>
    <col min="10" max="10" width="2.85546875" style="2" customWidth="1"/>
    <col min="11" max="11" width="16.42578125" style="2" customWidth="1"/>
    <col min="12" max="12" width="2.28515625" style="2" customWidth="1"/>
    <col min="13" max="13" width="17.85546875" style="2" customWidth="1"/>
    <col min="14" max="16384" width="9.140625" style="2"/>
  </cols>
  <sheetData>
    <row r="1" spans="1:13" ht="18" customHeight="1">
      <c r="B1" s="1"/>
    </row>
    <row r="2" spans="1:13" s="6" customFormat="1" ht="19.5" customHeight="1">
      <c r="A2" s="4" t="s">
        <v>0</v>
      </c>
      <c r="B2" s="5">
        <v>46321</v>
      </c>
      <c r="H2" s="7"/>
      <c r="I2" s="7"/>
    </row>
    <row r="3" spans="1:13" s="6" customFormat="1" ht="12" customHeight="1">
      <c r="A3" s="8"/>
      <c r="B3" s="4"/>
      <c r="H3" s="7"/>
      <c r="I3" s="7"/>
    </row>
    <row r="4" spans="1:13" s="6" customFormat="1" ht="19.5" customHeight="1">
      <c r="A4" s="4" t="s">
        <v>1</v>
      </c>
      <c r="B4" s="9" t="s">
        <v>2</v>
      </c>
      <c r="H4" s="7"/>
      <c r="I4" s="7"/>
    </row>
    <row r="5" spans="1:13" s="6" customFormat="1" ht="12" customHeight="1">
      <c r="A5" s="8"/>
      <c r="B5" s="4"/>
      <c r="H5" s="7"/>
      <c r="I5" s="7"/>
    </row>
    <row r="6" spans="1:13" s="6" customFormat="1" ht="19.5" customHeight="1">
      <c r="A6" s="4" t="s">
        <v>3</v>
      </c>
      <c r="B6" s="9" t="s">
        <v>4</v>
      </c>
      <c r="H6" s="7"/>
      <c r="I6" s="7"/>
    </row>
    <row r="7" spans="1:13" ht="18" customHeight="1">
      <c r="B7" s="1"/>
    </row>
    <row r="8" spans="1:13" ht="18" customHeight="1">
      <c r="B8" s="1"/>
    </row>
    <row r="9" spans="1:13" s="6" customFormat="1" ht="21" customHeight="1">
      <c r="A9" s="10" t="str">
        <f>"EXCHANGE RATE FOR THE MONTH OF "&amp;UPPER(TEXT(EOMONTH(B2,1),"MMM"))&amp;" "&amp;TEXT(EOMONTH(B2,1),"YYYY")&amp;" (AR-Rate &amp; AP-Rate)"</f>
        <v>EXCHANGE RATE FOR THE MONTH OF NOV 2026 (AR-Rate &amp; AP-Rate)</v>
      </c>
      <c r="B9" s="11"/>
      <c r="C9" s="12"/>
      <c r="D9" s="11"/>
      <c r="E9" s="11"/>
      <c r="H9" s="7"/>
      <c r="I9" s="7"/>
    </row>
    <row r="10" spans="1:13" ht="28.5" customHeight="1">
      <c r="E10" s="6"/>
      <c r="F10" s="6"/>
      <c r="G10" s="13"/>
      <c r="H10" s="68" t="s">
        <v>5</v>
      </c>
      <c r="I10" s="68"/>
    </row>
    <row r="11" spans="1:13" ht="21" customHeight="1">
      <c r="E11" s="7"/>
      <c r="F11" s="14" t="s">
        <v>6</v>
      </c>
      <c r="G11" s="15"/>
      <c r="H11" s="16">
        <f>+'Pacific Exchange Rate Service'!$B$3</f>
        <v>46318</v>
      </c>
      <c r="I11" s="17" t="s">
        <v>7</v>
      </c>
    </row>
    <row r="12" spans="1:13" ht="26.25" customHeight="1">
      <c r="A12" s="69" t="s">
        <v>8</v>
      </c>
      <c r="B12" s="69"/>
      <c r="C12" s="18"/>
      <c r="D12" s="18" t="s">
        <v>9</v>
      </c>
      <c r="E12" s="18" t="s">
        <v>10</v>
      </c>
      <c r="F12" s="18" t="s">
        <v>11</v>
      </c>
      <c r="G12" s="19"/>
      <c r="H12" s="20" t="s">
        <v>12</v>
      </c>
      <c r="I12" s="21" t="s">
        <v>13</v>
      </c>
      <c r="K12" s="22" t="s">
        <v>14</v>
      </c>
      <c r="M12" s="23" t="s">
        <v>15</v>
      </c>
    </row>
    <row r="13" spans="1:13" ht="30" customHeight="1">
      <c r="A13" s="67" t="s">
        <v>16</v>
      </c>
      <c r="B13" s="67"/>
      <c r="C13" s="18" t="s">
        <v>17</v>
      </c>
      <c r="D13" s="18">
        <v>1</v>
      </c>
      <c r="E13" s="24">
        <f t="shared" ref="E13:E14" si="0">IF(ROUND(ABS(H13-I13),3)&gt;0.1,H13,I13)</f>
        <v>5.6</v>
      </c>
      <c r="F13" s="24"/>
      <c r="G13" s="25"/>
      <c r="H13" s="26">
        <f>ROUND(VLOOKUP($H$11,'Pacific Exchange Rate Service'!$B$2:$AA$56147,13,FALSE),1)</f>
        <v>5.5</v>
      </c>
      <c r="I13" s="24">
        <v>5.6</v>
      </c>
      <c r="K13" s="27">
        <f t="shared" ref="K13:K24" si="1">+E13/I13-1</f>
        <v>0</v>
      </c>
      <c r="M13" s="28" t="s">
        <v>18</v>
      </c>
    </row>
    <row r="14" spans="1:13" ht="30" customHeight="1">
      <c r="A14" s="67" t="s">
        <v>19</v>
      </c>
      <c r="B14" s="67"/>
      <c r="C14" s="18" t="s">
        <v>20</v>
      </c>
      <c r="D14" s="18">
        <v>1</v>
      </c>
      <c r="E14" s="24">
        <f t="shared" si="0"/>
        <v>5.6</v>
      </c>
      <c r="F14" s="24"/>
      <c r="G14" s="25"/>
      <c r="H14" s="26">
        <f>ROUND(VLOOKUP($H$11,'Pacific Exchange Rate Service'!$B$2:$AA$56147,14,FALSE),1)</f>
        <v>5.6</v>
      </c>
      <c r="I14" s="24">
        <v>5.6</v>
      </c>
      <c r="K14" s="27">
        <f t="shared" si="1"/>
        <v>0</v>
      </c>
      <c r="M14" s="28" t="s">
        <v>18</v>
      </c>
    </row>
    <row r="15" spans="1:13" ht="30" customHeight="1">
      <c r="A15" s="67" t="s">
        <v>21</v>
      </c>
      <c r="B15" s="67"/>
      <c r="C15" s="18" t="s">
        <v>11</v>
      </c>
      <c r="D15" s="18">
        <v>1</v>
      </c>
      <c r="E15" s="29">
        <f>IF(ROUND(ABS(H15-I15),3)&gt;0.01,H15,I15)</f>
        <v>1.1599999999999999</v>
      </c>
      <c r="F15" s="30">
        <v>1</v>
      </c>
      <c r="G15" s="31"/>
      <c r="H15" s="32">
        <f>ROUND(VLOOKUP($H$11,'Pacific Exchange Rate Service'!$B$2:$AA$56147,15,FALSE),2)</f>
        <v>1.17</v>
      </c>
      <c r="I15" s="29">
        <v>1.1599999999999999</v>
      </c>
      <c r="K15" s="27">
        <f t="shared" si="1"/>
        <v>0</v>
      </c>
      <c r="M15" s="28" t="s">
        <v>22</v>
      </c>
    </row>
    <row r="16" spans="1:13" ht="30" customHeight="1">
      <c r="A16" s="67" t="s">
        <v>23</v>
      </c>
      <c r="B16" s="67"/>
      <c r="C16" s="18" t="s">
        <v>24</v>
      </c>
      <c r="D16" s="18">
        <v>1</v>
      </c>
      <c r="E16" s="24">
        <f t="shared" ref="E16:E17" si="2">IF(ROUND(ABS(H16-I16),3)&gt;0.1,H16,I16)</f>
        <v>8.6999999999999993</v>
      </c>
      <c r="F16" s="24"/>
      <c r="G16" s="25"/>
      <c r="H16" s="26">
        <f>ROUND(VLOOKUP($H$11,'Pacific Exchange Rate Service'!$B$2:$AA$56147,16,FALSE),1)</f>
        <v>8.6999999999999993</v>
      </c>
      <c r="I16" s="24">
        <v>8.9</v>
      </c>
      <c r="K16" s="27">
        <f t="shared" si="1"/>
        <v>-2.2471910112359716E-2</v>
      </c>
      <c r="M16" s="28" t="s">
        <v>18</v>
      </c>
    </row>
    <row r="17" spans="1:13" ht="30" customHeight="1">
      <c r="A17" s="67" t="s">
        <v>25</v>
      </c>
      <c r="B17" s="67"/>
      <c r="C17" s="18" t="s">
        <v>26</v>
      </c>
      <c r="D17" s="18">
        <v>1</v>
      </c>
      <c r="E17" s="24">
        <f t="shared" si="2"/>
        <v>10.3</v>
      </c>
      <c r="F17" s="24"/>
      <c r="G17" s="25"/>
      <c r="H17" s="26">
        <f>ROUND(VLOOKUP($H$11,'Pacific Exchange Rate Service'!$B$2:$AA$56147,17,FALSE),1)</f>
        <v>10.4</v>
      </c>
      <c r="I17" s="24">
        <v>10.3</v>
      </c>
      <c r="K17" s="27">
        <f t="shared" si="1"/>
        <v>0</v>
      </c>
      <c r="M17" s="28" t="s">
        <v>18</v>
      </c>
    </row>
    <row r="18" spans="1:13" ht="30" customHeight="1">
      <c r="A18" s="67" t="s">
        <v>27</v>
      </c>
      <c r="B18" s="67"/>
      <c r="C18" s="18" t="s">
        <v>28</v>
      </c>
      <c r="D18" s="18">
        <v>1</v>
      </c>
      <c r="E18" s="29">
        <f>H18</f>
        <v>0.05</v>
      </c>
      <c r="F18" s="29"/>
      <c r="G18" s="31"/>
      <c r="H18" s="32">
        <f>ROUND(VLOOKUP($H$11,'Pacific Exchange Rate Service'!$B$2:$AA$56147,18,FALSE),2)</f>
        <v>0.05</v>
      </c>
      <c r="I18" s="29">
        <v>0.05</v>
      </c>
      <c r="K18" s="27">
        <f t="shared" si="1"/>
        <v>0</v>
      </c>
      <c r="M18" s="28" t="s">
        <v>29</v>
      </c>
    </row>
    <row r="19" spans="1:13" ht="30" customHeight="1">
      <c r="A19" s="67" t="s">
        <v>30</v>
      </c>
      <c r="B19" s="67"/>
      <c r="C19" s="18" t="s">
        <v>31</v>
      </c>
      <c r="D19" s="18">
        <v>1</v>
      </c>
      <c r="E19" s="29">
        <f>IF(ROUND(ABS(H19-I19),3)&gt;0.01,H19,I19)</f>
        <v>0.25</v>
      </c>
      <c r="F19" s="29"/>
      <c r="G19" s="31"/>
      <c r="H19" s="32">
        <f>ROUND(VLOOKUP($H$11,'Pacific Exchange Rate Service'!$B$2:$AA$56147,19,FALSE),2)</f>
        <v>0.24</v>
      </c>
      <c r="I19" s="29">
        <v>0.25</v>
      </c>
      <c r="K19" s="27">
        <f t="shared" si="1"/>
        <v>0</v>
      </c>
      <c r="M19" s="28" t="s">
        <v>22</v>
      </c>
    </row>
    <row r="20" spans="1:13" ht="30" customHeight="1">
      <c r="A20" s="67" t="s">
        <v>32</v>
      </c>
      <c r="B20" s="67"/>
      <c r="C20" s="18" t="s">
        <v>33</v>
      </c>
      <c r="D20" s="18">
        <v>1</v>
      </c>
      <c r="E20" s="24">
        <f>IF(ROUND(ABS(H20-I20),3)&gt;0.1,H20,I20)</f>
        <v>6.1</v>
      </c>
      <c r="F20" s="24"/>
      <c r="G20" s="25"/>
      <c r="H20" s="26">
        <f>ROUND(VLOOKUP($H$11,'Pacific Exchange Rate Service'!$B$2:$AA$56147,20,FALSE),1)</f>
        <v>6.1</v>
      </c>
      <c r="I20" s="24">
        <v>6.1</v>
      </c>
      <c r="K20" s="27">
        <f t="shared" si="1"/>
        <v>0</v>
      </c>
      <c r="M20" s="28" t="s">
        <v>18</v>
      </c>
    </row>
    <row r="21" spans="1:13" ht="30" customHeight="1">
      <c r="A21" s="67" t="s">
        <v>34</v>
      </c>
      <c r="B21" s="67"/>
      <c r="C21" s="18" t="s">
        <v>35</v>
      </c>
      <c r="D21" s="18">
        <v>1</v>
      </c>
      <c r="E21" s="29">
        <f>IF(ROUND(ABS(H21-I21),3)&gt;0.01,H21,I21)</f>
        <v>0.24</v>
      </c>
      <c r="F21" s="29"/>
      <c r="G21" s="31"/>
      <c r="H21" s="32">
        <f>ROUND(VLOOKUP($H$11,'Pacific Exchange Rate Service'!$B$2:$AA$56147,21,FALSE),2)</f>
        <v>0.23</v>
      </c>
      <c r="I21" s="29">
        <v>0.24</v>
      </c>
      <c r="K21" s="27">
        <f t="shared" si="1"/>
        <v>0</v>
      </c>
      <c r="M21" s="28" t="s">
        <v>22</v>
      </c>
    </row>
    <row r="22" spans="1:13" ht="30" customHeight="1">
      <c r="A22" s="33" t="s">
        <v>36</v>
      </c>
      <c r="B22" s="34"/>
      <c r="C22" s="18" t="s">
        <v>37</v>
      </c>
      <c r="D22" s="18">
        <v>1</v>
      </c>
      <c r="E22" s="24">
        <f>IF(ROUND(ABS(H22-I22),3)&gt;0.1,H22,I22)</f>
        <v>9.4</v>
      </c>
      <c r="F22" s="24"/>
      <c r="G22" s="25"/>
      <c r="H22" s="26">
        <f>ROUND(VLOOKUP($H$11,'Pacific Exchange Rate Service'!$B$2:$AA$56147,22,FALSE),1)</f>
        <v>9.5</v>
      </c>
      <c r="I22" s="24">
        <v>9.4</v>
      </c>
      <c r="K22" s="27">
        <f t="shared" si="1"/>
        <v>0</v>
      </c>
      <c r="M22" s="28" t="s">
        <v>18</v>
      </c>
    </row>
    <row r="23" spans="1:13" ht="30" customHeight="1">
      <c r="A23" s="67" t="s">
        <v>38</v>
      </c>
      <c r="B23" s="67"/>
      <c r="C23" s="18" t="s">
        <v>39</v>
      </c>
      <c r="D23" s="18">
        <v>1</v>
      </c>
      <c r="E23" s="24">
        <v>7.8</v>
      </c>
      <c r="F23" s="24"/>
      <c r="G23" s="25"/>
      <c r="H23" s="35">
        <v>7.8</v>
      </c>
      <c r="I23" s="24">
        <v>7.8</v>
      </c>
      <c r="K23" s="27">
        <f t="shared" si="1"/>
        <v>0</v>
      </c>
      <c r="M23" s="28" t="s">
        <v>18</v>
      </c>
    </row>
    <row r="24" spans="1:13" ht="30" customHeight="1">
      <c r="A24" s="67" t="s">
        <v>10</v>
      </c>
      <c r="B24" s="67"/>
      <c r="C24" s="18" t="s">
        <v>40</v>
      </c>
      <c r="D24" s="18">
        <v>1</v>
      </c>
      <c r="E24" s="30">
        <v>1</v>
      </c>
      <c r="F24" s="36">
        <f>ROUND(+E24/$E$15,4)</f>
        <v>0.86209999999999998</v>
      </c>
      <c r="G24" s="25"/>
      <c r="H24" s="37">
        <v>1</v>
      </c>
      <c r="I24" s="30">
        <v>1</v>
      </c>
      <c r="K24" s="27">
        <f t="shared" si="1"/>
        <v>0</v>
      </c>
      <c r="M24" s="28" t="s">
        <v>18</v>
      </c>
    </row>
    <row r="27" spans="1:13" s="40" customFormat="1" ht="19.5" customHeight="1">
      <c r="A27" s="38" t="s">
        <v>41</v>
      </c>
      <c r="B27" s="39"/>
      <c r="H27" s="15"/>
      <c r="I27" s="15"/>
    </row>
    <row r="28" spans="1:13" s="40" customFormat="1" ht="12" customHeight="1">
      <c r="A28" s="38"/>
      <c r="H28" s="15"/>
      <c r="I28" s="15"/>
    </row>
    <row r="29" spans="1:13" s="40" customFormat="1" ht="19.5" customHeight="1">
      <c r="A29" s="38" t="s">
        <v>42</v>
      </c>
      <c r="B29" s="39"/>
      <c r="H29" s="15"/>
      <c r="I29" s="15"/>
    </row>
    <row r="30" spans="1:13" s="40" customFormat="1" ht="12" customHeight="1">
      <c r="A30" s="38"/>
      <c r="H30" s="15"/>
      <c r="I30" s="15"/>
    </row>
    <row r="31" spans="1:13" s="40" customFormat="1" ht="19.5" customHeight="1">
      <c r="A31" s="38" t="s">
        <v>43</v>
      </c>
      <c r="B31" s="39"/>
      <c r="H31" s="15"/>
      <c r="I31" s="15"/>
    </row>
    <row r="32" spans="1:13" s="40" customFormat="1" ht="12" customHeight="1">
      <c r="A32" s="38"/>
      <c r="H32" s="15"/>
      <c r="I32" s="15"/>
    </row>
    <row r="33" spans="1:9" s="40" customFormat="1" ht="19.5" customHeight="1">
      <c r="A33" s="38" t="s">
        <v>44</v>
      </c>
      <c r="B33" s="39"/>
      <c r="H33" s="15"/>
      <c r="I33" s="15"/>
    </row>
  </sheetData>
  <sheetProtection selectLockedCells="1" selectUnlockedCells="1"/>
  <mergeCells count="13">
    <mergeCell ref="A16:B16"/>
    <mergeCell ref="H10:I10"/>
    <mergeCell ref="A12:B12"/>
    <mergeCell ref="A13:B13"/>
    <mergeCell ref="A14:B14"/>
    <mergeCell ref="A15:B15"/>
    <mergeCell ref="A24:B24"/>
    <mergeCell ref="A17:B17"/>
    <mergeCell ref="A18:B18"/>
    <mergeCell ref="A19:B19"/>
    <mergeCell ref="A20:B20"/>
    <mergeCell ref="A21:B21"/>
    <mergeCell ref="A23:B23"/>
  </mergeCells>
  <pageMargins left="0.55138888888888893" right="0.19652777777777777" top="0.74791666666666667" bottom="0.74791666666666667" header="0.51181102362204722" footer="0.51181102362204722"/>
  <pageSetup paperSize="9" scale="44" firstPageNumber="0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7B1CE-F292-4408-BCA6-5A12B0522C6C}">
  <dimension ref="A1:F28"/>
  <sheetViews>
    <sheetView zoomScaleNormal="100" workbookViewId="0"/>
  </sheetViews>
  <sheetFormatPr defaultColWidth="14.140625" defaultRowHeight="18.75" customHeight="1"/>
  <cols>
    <col min="2" max="2" width="11.42578125" customWidth="1"/>
    <col min="3" max="3" width="11.28515625" customWidth="1"/>
    <col min="4" max="4" width="11.42578125" customWidth="1"/>
    <col min="5" max="5" width="11.85546875" customWidth="1"/>
  </cols>
  <sheetData>
    <row r="1" spans="1:6" ht="18.75" customHeight="1">
      <c r="B1" s="41" t="s">
        <v>45</v>
      </c>
    </row>
    <row r="3" spans="1:6" ht="24" customHeight="1">
      <c r="A3" s="42" t="s">
        <v>46</v>
      </c>
      <c r="B3" s="42" t="s">
        <v>11</v>
      </c>
      <c r="C3" s="42" t="s">
        <v>17</v>
      </c>
      <c r="D3" s="42" t="s">
        <v>26</v>
      </c>
      <c r="E3" s="42" t="s">
        <v>23</v>
      </c>
      <c r="F3" s="42" t="s">
        <v>39</v>
      </c>
    </row>
    <row r="4" spans="1:6" ht="24" customHeight="1">
      <c r="A4" s="43" t="s">
        <v>47</v>
      </c>
      <c r="B4" s="44">
        <v>1.1499999999999999</v>
      </c>
      <c r="C4" s="44">
        <v>5.8</v>
      </c>
      <c r="D4" s="44">
        <v>10</v>
      </c>
      <c r="E4" s="44">
        <v>9.1</v>
      </c>
      <c r="F4" s="45">
        <v>7.8</v>
      </c>
    </row>
    <row r="5" spans="1:6" ht="24" customHeight="1">
      <c r="A5" s="46" t="s">
        <v>48</v>
      </c>
      <c r="B5" s="47">
        <v>1.1399999999999999</v>
      </c>
      <c r="C5" s="47">
        <v>5.6</v>
      </c>
      <c r="D5" s="47">
        <v>9.9</v>
      </c>
      <c r="E5" s="47">
        <v>8.9</v>
      </c>
      <c r="F5" s="48">
        <v>7.8</v>
      </c>
    </row>
    <row r="6" spans="1:6" ht="24" customHeight="1">
      <c r="A6" s="43" t="s">
        <v>49</v>
      </c>
      <c r="B6" s="44">
        <v>1.1599999999999999</v>
      </c>
      <c r="C6" s="44">
        <v>5.6</v>
      </c>
      <c r="D6" s="44">
        <v>10.3</v>
      </c>
      <c r="E6" s="44">
        <v>8.9</v>
      </c>
      <c r="F6" s="45">
        <v>7.8</v>
      </c>
    </row>
    <row r="7" spans="1:6" ht="24" customHeight="1">
      <c r="A7" s="46" t="s">
        <v>50</v>
      </c>
      <c r="B7" s="47">
        <v>1.17</v>
      </c>
      <c r="C7" s="47">
        <v>5.6</v>
      </c>
      <c r="D7" s="47">
        <v>10.4</v>
      </c>
      <c r="E7" s="47">
        <v>8.9</v>
      </c>
      <c r="F7" s="48">
        <v>7.8</v>
      </c>
    </row>
    <row r="8" spans="1:6" ht="24" customHeight="1">
      <c r="A8" s="49" t="s">
        <v>51</v>
      </c>
      <c r="B8" s="44">
        <v>1.1599999999999999</v>
      </c>
      <c r="C8" s="44">
        <v>5.6</v>
      </c>
      <c r="D8" s="44">
        <v>10.3</v>
      </c>
      <c r="E8" s="44">
        <v>8.8000000000000007</v>
      </c>
      <c r="F8" s="45">
        <v>7.8</v>
      </c>
    </row>
    <row r="9" spans="1:6" ht="24" customHeight="1">
      <c r="A9" s="46" t="s">
        <v>52</v>
      </c>
      <c r="B9" s="47">
        <v>1.1599999999999999</v>
      </c>
      <c r="C9" s="47">
        <v>5.5</v>
      </c>
      <c r="D9" s="47">
        <v>10.1</v>
      </c>
      <c r="E9" s="47">
        <v>8.8000000000000007</v>
      </c>
      <c r="F9" s="48">
        <v>7.8</v>
      </c>
    </row>
    <row r="10" spans="1:6" ht="24" customHeight="1">
      <c r="A10" s="49" t="s">
        <v>53</v>
      </c>
      <c r="B10" s="44">
        <v>1.1299999999999999</v>
      </c>
      <c r="C10" s="44">
        <v>5.5</v>
      </c>
      <c r="D10" s="44">
        <v>9.8000000000000007</v>
      </c>
      <c r="E10" s="44">
        <v>8.8000000000000007</v>
      </c>
      <c r="F10" s="45">
        <v>7.8</v>
      </c>
    </row>
    <row r="11" spans="1:6" ht="24" customHeight="1">
      <c r="A11" s="46" t="s">
        <v>54</v>
      </c>
      <c r="B11" s="47">
        <v>1.1299999999999999</v>
      </c>
      <c r="C11" s="47">
        <v>5.5</v>
      </c>
      <c r="D11" s="47">
        <v>9.8000000000000007</v>
      </c>
      <c r="E11" s="47">
        <v>8.8000000000000007</v>
      </c>
      <c r="F11" s="48">
        <v>7.8</v>
      </c>
    </row>
    <row r="12" spans="1:6" ht="24" customHeight="1">
      <c r="A12" s="49" t="s">
        <v>55</v>
      </c>
      <c r="B12" s="44">
        <v>1.1299999999999999</v>
      </c>
      <c r="C12" s="44">
        <v>5.5</v>
      </c>
      <c r="D12" s="44">
        <v>9.8000000000000007</v>
      </c>
      <c r="E12" s="44">
        <v>8.8000000000000007</v>
      </c>
      <c r="F12" s="45">
        <v>7.8</v>
      </c>
    </row>
    <row r="13" spans="1:6" ht="24" customHeight="1">
      <c r="A13" s="46" t="s">
        <v>56</v>
      </c>
      <c r="B13" s="47">
        <v>1.0900000000000001</v>
      </c>
      <c r="C13" s="47">
        <v>5.3</v>
      </c>
      <c r="D13" s="47">
        <v>9.5</v>
      </c>
      <c r="E13" s="47">
        <v>8.6</v>
      </c>
      <c r="F13" s="48">
        <v>7.8</v>
      </c>
    </row>
    <row r="14" spans="1:6" ht="24" customHeight="1">
      <c r="A14" s="49" t="s">
        <v>57</v>
      </c>
      <c r="B14" s="44">
        <v>1.0900000000000001</v>
      </c>
      <c r="C14" s="44">
        <v>5.3</v>
      </c>
      <c r="D14" s="44">
        <v>9.5</v>
      </c>
      <c r="E14" s="44">
        <v>8.6</v>
      </c>
      <c r="F14" s="45">
        <v>7.8</v>
      </c>
    </row>
    <row r="15" spans="1:6" ht="24" customHeight="1">
      <c r="A15" s="46" t="s">
        <v>58</v>
      </c>
      <c r="B15" s="47">
        <v>1.0900000000000001</v>
      </c>
      <c r="C15" s="47">
        <v>5.3</v>
      </c>
      <c r="D15" s="47">
        <v>10</v>
      </c>
      <c r="E15" s="47">
        <v>8.6</v>
      </c>
      <c r="F15" s="48">
        <v>7.8</v>
      </c>
    </row>
    <row r="16" spans="1:6" ht="24" customHeight="1">
      <c r="A16" s="49" t="s">
        <v>59</v>
      </c>
      <c r="B16" s="44">
        <v>1.1100000000000001</v>
      </c>
      <c r="C16" s="44">
        <v>5.3</v>
      </c>
      <c r="D16" s="44">
        <v>10</v>
      </c>
      <c r="E16" s="44">
        <v>8.6</v>
      </c>
      <c r="F16" s="45">
        <v>7.8</v>
      </c>
    </row>
    <row r="17" spans="1:6" ht="23.25" customHeight="1">
      <c r="A17" s="46" t="s">
        <v>60</v>
      </c>
      <c r="B17" s="47">
        <v>1.1100000000000001</v>
      </c>
      <c r="C17" s="47">
        <v>5.3</v>
      </c>
      <c r="D17" s="47">
        <v>10.199999999999999</v>
      </c>
      <c r="E17" s="47">
        <v>8.6</v>
      </c>
      <c r="F17" s="48">
        <v>7.8</v>
      </c>
    </row>
    <row r="18" spans="1:6" ht="23.25" customHeight="1">
      <c r="A18" s="43" t="s">
        <v>61</v>
      </c>
      <c r="B18" s="44">
        <v>1.1399999999999999</v>
      </c>
      <c r="C18" s="44">
        <v>5.3</v>
      </c>
      <c r="D18" s="44">
        <v>10.199999999999999</v>
      </c>
      <c r="E18" s="44">
        <v>8.6</v>
      </c>
      <c r="F18" s="45">
        <v>7.8</v>
      </c>
    </row>
    <row r="19" spans="1:6" ht="23.25" customHeight="1">
      <c r="A19" s="46" t="s">
        <v>62</v>
      </c>
      <c r="B19" s="47">
        <v>1.1100000000000001</v>
      </c>
      <c r="C19" s="47">
        <v>5.3</v>
      </c>
      <c r="D19" s="47">
        <v>10.199999999999999</v>
      </c>
      <c r="E19" s="47">
        <v>8.6</v>
      </c>
      <c r="F19" s="48">
        <v>7.8</v>
      </c>
    </row>
    <row r="20" spans="1:6" ht="23.25" customHeight="1">
      <c r="A20" s="49" t="s">
        <v>63</v>
      </c>
      <c r="B20" s="44"/>
      <c r="C20" s="44"/>
      <c r="D20" s="44"/>
      <c r="E20" s="44"/>
      <c r="F20" s="45">
        <v>7.8</v>
      </c>
    </row>
    <row r="21" spans="1:6" ht="23.25" customHeight="1">
      <c r="A21" s="46" t="s">
        <v>64</v>
      </c>
      <c r="B21" s="47"/>
      <c r="C21" s="47"/>
      <c r="D21" s="47"/>
      <c r="E21" s="47"/>
      <c r="F21" s="48">
        <v>7.8</v>
      </c>
    </row>
    <row r="22" spans="1:6" ht="23.25" customHeight="1">
      <c r="A22" s="49" t="s">
        <v>65</v>
      </c>
      <c r="B22" s="44"/>
      <c r="C22" s="44"/>
      <c r="D22" s="44"/>
      <c r="E22" s="44"/>
      <c r="F22" s="45">
        <v>7.8</v>
      </c>
    </row>
    <row r="23" spans="1:6" ht="23.25" customHeight="1">
      <c r="A23" s="46" t="s">
        <v>66</v>
      </c>
      <c r="B23" s="47"/>
      <c r="C23" s="47"/>
      <c r="D23" s="47"/>
      <c r="E23" s="47"/>
      <c r="F23" s="48">
        <v>7.8</v>
      </c>
    </row>
    <row r="24" spans="1:6" ht="23.25" customHeight="1">
      <c r="A24" s="49" t="s">
        <v>67</v>
      </c>
      <c r="B24" s="44"/>
      <c r="C24" s="44"/>
      <c r="D24" s="44"/>
      <c r="E24" s="44"/>
      <c r="F24" s="45">
        <v>7.8</v>
      </c>
    </row>
    <row r="25" spans="1:6" ht="23.25" customHeight="1">
      <c r="A25" s="46" t="s">
        <v>68</v>
      </c>
      <c r="B25" s="47"/>
      <c r="C25" s="47"/>
      <c r="D25" s="47"/>
      <c r="E25" s="47"/>
      <c r="F25" s="48">
        <v>7.8</v>
      </c>
    </row>
    <row r="26" spans="1:6" ht="23.25" customHeight="1">
      <c r="A26" s="49" t="s">
        <v>69</v>
      </c>
      <c r="B26" s="44"/>
      <c r="C26" s="44"/>
      <c r="D26" s="44"/>
      <c r="E26" s="44"/>
      <c r="F26" s="45">
        <v>7.8</v>
      </c>
    </row>
    <row r="27" spans="1:6" ht="23.25" customHeight="1">
      <c r="A27" s="46" t="s">
        <v>70</v>
      </c>
      <c r="B27" s="47"/>
      <c r="C27" s="47"/>
      <c r="D27" s="47"/>
      <c r="E27" s="47"/>
      <c r="F27" s="48">
        <v>7.8</v>
      </c>
    </row>
    <row r="28" spans="1:6" ht="23.25" customHeight="1">
      <c r="A28" s="49" t="s">
        <v>71</v>
      </c>
      <c r="B28" s="44"/>
      <c r="C28" s="44"/>
      <c r="D28" s="44"/>
      <c r="E28" s="44"/>
      <c r="F28" s="45">
        <v>7.8</v>
      </c>
    </row>
  </sheetData>
  <sheetProtection selectLockedCells="1" selectUnlockedCells="1"/>
  <pageMargins left="0.70000000000000007" right="0.70000000000000007" top="0.75" bottom="0.75" header="0.51181102362204722" footer="0.51181102362204722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658C5-1221-4C41-83B0-400487C66A35}">
  <dimension ref="A1:F13"/>
  <sheetViews>
    <sheetView zoomScaleNormal="100" workbookViewId="0"/>
  </sheetViews>
  <sheetFormatPr defaultRowHeight="15"/>
  <cols>
    <col min="1" max="1" width="11.140625" customWidth="1"/>
    <col min="2" max="6" width="16.140625" customWidth="1"/>
  </cols>
  <sheetData>
    <row r="1" spans="1:6" ht="18.75" customHeight="1">
      <c r="C1" s="50" t="s">
        <v>72</v>
      </c>
    </row>
    <row r="4" spans="1:6" ht="18.75" customHeight="1">
      <c r="A4" s="50"/>
      <c r="B4" s="42" t="s">
        <v>17</v>
      </c>
      <c r="C4" s="42" t="s">
        <v>20</v>
      </c>
      <c r="D4" s="42" t="s">
        <v>11</v>
      </c>
      <c r="E4" s="42" t="s">
        <v>23</v>
      </c>
      <c r="F4" s="42" t="s">
        <v>26</v>
      </c>
    </row>
    <row r="5" spans="1:6" ht="18.75" customHeight="1">
      <c r="A5" s="51">
        <v>2018</v>
      </c>
      <c r="B5" s="52">
        <v>6</v>
      </c>
      <c r="C5" s="52">
        <v>6.1</v>
      </c>
      <c r="D5" s="52">
        <v>1.2</v>
      </c>
      <c r="E5" s="52">
        <v>9.3000000000000007</v>
      </c>
      <c r="F5" s="52">
        <v>10.3</v>
      </c>
    </row>
    <row r="6" spans="1:6" ht="18.75" customHeight="1">
      <c r="A6" s="51">
        <v>2019</v>
      </c>
      <c r="B6" s="52">
        <v>5.6</v>
      </c>
      <c r="C6" s="52">
        <v>5.8</v>
      </c>
      <c r="D6" s="52">
        <v>1.1399999999999999</v>
      </c>
      <c r="E6" s="52">
        <v>8.9</v>
      </c>
      <c r="F6" s="52">
        <v>9.9</v>
      </c>
    </row>
    <row r="7" spans="1:6" ht="18.75" customHeight="1">
      <c r="A7" s="51">
        <v>2020</v>
      </c>
      <c r="B7" s="52">
        <v>5.34</v>
      </c>
      <c r="C7" s="52">
        <v>5.93</v>
      </c>
      <c r="D7" s="52">
        <v>1.1100000000000001</v>
      </c>
      <c r="E7" s="52">
        <v>8.6999999999999993</v>
      </c>
      <c r="F7" s="52">
        <v>10.25</v>
      </c>
    </row>
    <row r="8" spans="1:6" ht="15" customHeight="1">
      <c r="B8" s="53"/>
      <c r="C8" s="53"/>
      <c r="D8" s="53"/>
      <c r="E8" s="53"/>
      <c r="F8" s="53"/>
    </row>
    <row r="9" spans="1:6" ht="15" customHeight="1">
      <c r="B9" s="53"/>
      <c r="C9" s="53"/>
      <c r="D9" s="53"/>
      <c r="E9" s="53"/>
      <c r="F9" s="53"/>
    </row>
    <row r="10" spans="1:6" ht="18.75" customHeight="1">
      <c r="A10" s="54"/>
      <c r="B10" s="55" t="s">
        <v>28</v>
      </c>
      <c r="C10" s="55" t="s">
        <v>31</v>
      </c>
      <c r="D10" s="55" t="s">
        <v>33</v>
      </c>
      <c r="E10" s="55" t="s">
        <v>35</v>
      </c>
      <c r="F10" s="55" t="s">
        <v>39</v>
      </c>
    </row>
    <row r="11" spans="1:6" ht="18.75" customHeight="1">
      <c r="A11" s="51">
        <v>2018</v>
      </c>
      <c r="B11" s="52">
        <v>6.8000000000000005E-2</v>
      </c>
      <c r="C11" s="52">
        <v>0.26</v>
      </c>
      <c r="D11" s="52">
        <v>5.8</v>
      </c>
      <c r="E11" s="52">
        <v>0.24</v>
      </c>
      <c r="F11" s="52">
        <v>7.8</v>
      </c>
    </row>
    <row r="12" spans="1:6" ht="18.75" customHeight="1">
      <c r="A12" s="51">
        <v>2019</v>
      </c>
      <c r="B12" s="52">
        <v>6.9000000000000006E-2</v>
      </c>
      <c r="C12" s="52">
        <v>0.26</v>
      </c>
      <c r="D12" s="52">
        <v>5.7</v>
      </c>
      <c r="E12" s="52">
        <v>0.24</v>
      </c>
      <c r="F12" s="52">
        <v>7.8</v>
      </c>
    </row>
    <row r="13" spans="1:6" ht="18.75" customHeight="1">
      <c r="A13" s="51">
        <v>2020</v>
      </c>
      <c r="B13" s="52">
        <v>7.1999999999999995E-2</v>
      </c>
      <c r="C13" s="52">
        <v>0.26</v>
      </c>
      <c r="D13" s="52">
        <v>5.75</v>
      </c>
      <c r="E13" s="52">
        <v>0.26</v>
      </c>
      <c r="F13" s="52">
        <v>7.8</v>
      </c>
    </row>
  </sheetData>
  <sheetProtection selectLockedCells="1" selectUnlockedCells="1"/>
  <pageMargins left="0.2" right="0.2" top="0.75" bottom="0.75" header="0.51181102362204722" footer="0.51181102362204722"/>
  <pageSetup paperSize="9" firstPageNumber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6D8E5-EB1E-486D-9541-734A193751B1}">
  <dimension ref="A1:W241"/>
  <sheetViews>
    <sheetView zoomScaleNormal="100" workbookViewId="0">
      <selection activeCell="E3" sqref="E3"/>
    </sheetView>
  </sheetViews>
  <sheetFormatPr defaultRowHeight="14.25"/>
  <cols>
    <col min="1" max="1" width="8.85546875" style="56" customWidth="1"/>
    <col min="2" max="2" width="14.140625" style="56" customWidth="1"/>
    <col min="3" max="3" width="5.5703125" style="56" customWidth="1"/>
    <col min="4" max="5" width="10" style="56" customWidth="1"/>
    <col min="6" max="6" width="10.140625" style="56" customWidth="1"/>
    <col min="7" max="7" width="10.7109375" style="56" customWidth="1"/>
    <col min="8" max="9" width="10" style="56" customWidth="1"/>
    <col min="10" max="10" width="10.140625" style="56" customWidth="1"/>
    <col min="11" max="11" width="9.85546875" style="56" customWidth="1"/>
    <col min="12" max="14" width="10.7109375" style="56" customWidth="1"/>
    <col min="15" max="17" width="10" style="56" customWidth="1"/>
    <col min="18" max="18" width="10.140625" style="56" customWidth="1"/>
    <col min="19" max="19" width="9.5703125" style="56" customWidth="1"/>
    <col min="20" max="20" width="9.7109375" style="56" customWidth="1"/>
    <col min="21" max="21" width="10.140625" style="56" customWidth="1"/>
    <col min="22" max="22" width="9.7109375" style="56" customWidth="1"/>
    <col min="23" max="23" width="9.85546875" style="56" customWidth="1"/>
    <col min="24" max="16384" width="9.140625" style="56"/>
  </cols>
  <sheetData>
    <row r="1" spans="1:23" ht="14.25" customHeight="1">
      <c r="A1" s="57" t="s">
        <v>73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9" t="s">
        <v>74</v>
      </c>
    </row>
    <row r="2" spans="1:23" ht="14.25" customHeight="1">
      <c r="A2" s="57" t="s">
        <v>75</v>
      </c>
      <c r="B2" s="58" t="s">
        <v>76</v>
      </c>
      <c r="C2" s="58" t="s">
        <v>77</v>
      </c>
      <c r="D2" s="60" t="s">
        <v>78</v>
      </c>
      <c r="E2" s="60" t="s">
        <v>79</v>
      </c>
      <c r="F2" s="60" t="s">
        <v>80</v>
      </c>
      <c r="G2" s="60" t="s">
        <v>81</v>
      </c>
      <c r="H2" s="60" t="s">
        <v>82</v>
      </c>
      <c r="I2" s="60" t="s">
        <v>83</v>
      </c>
      <c r="J2" s="60" t="s">
        <v>84</v>
      </c>
      <c r="K2" s="60" t="s">
        <v>85</v>
      </c>
      <c r="L2" s="60" t="s">
        <v>86</v>
      </c>
      <c r="M2" s="60" t="s">
        <v>87</v>
      </c>
      <c r="N2" s="61" t="s">
        <v>88</v>
      </c>
      <c r="O2" s="62" t="s">
        <v>89</v>
      </c>
      <c r="P2" s="62" t="s">
        <v>90</v>
      </c>
      <c r="Q2" s="62" t="s">
        <v>91</v>
      </c>
      <c r="R2" s="62" t="s">
        <v>92</v>
      </c>
      <c r="S2" s="62" t="s">
        <v>93</v>
      </c>
      <c r="T2" s="62" t="s">
        <v>94</v>
      </c>
      <c r="U2" s="62" t="s">
        <v>95</v>
      </c>
      <c r="V2" s="62" t="s">
        <v>96</v>
      </c>
      <c r="W2" s="62" t="s">
        <v>97</v>
      </c>
    </row>
    <row r="3" spans="1:23" ht="14.25" customHeight="1">
      <c r="A3" s="63">
        <v>2461337</v>
      </c>
      <c r="B3" s="64">
        <v>46318</v>
      </c>
      <c r="C3" s="63" t="s">
        <v>98</v>
      </c>
      <c r="D3" s="63">
        <v>0.71460000000000001</v>
      </c>
      <c r="E3" s="63">
        <v>1.1195999999999999</v>
      </c>
      <c r="F3" s="63">
        <v>1.3372999999999999</v>
      </c>
      <c r="G3" s="63">
        <v>6.4000000000000003E-3</v>
      </c>
      <c r="H3" s="63">
        <v>0.70309999999999995</v>
      </c>
      <c r="I3" s="63">
        <v>0.14990000000000001</v>
      </c>
      <c r="J3" s="63">
        <v>0.78220000000000001</v>
      </c>
      <c r="K3" s="63">
        <v>1.2126999999999999</v>
      </c>
      <c r="L3" s="63">
        <v>3.0700000000000002E-2</v>
      </c>
      <c r="M3" s="63">
        <v>2.9600000000000001E-2</v>
      </c>
      <c r="N3" s="65">
        <f>IF(M3="","",ROUND(+H3*7.8,4))</f>
        <v>5.4842000000000004</v>
      </c>
      <c r="O3" s="66">
        <f>IF(M3="","",ROUND(+D3*7.8,4))</f>
        <v>5.5739000000000001</v>
      </c>
      <c r="P3" s="66">
        <f>IF(M3="","",ROUND(+I3*7.8,4))</f>
        <v>1.1692</v>
      </c>
      <c r="Q3" s="66">
        <f>IF(M3="","",ROUND(+E3*7.8,4))</f>
        <v>8.7329000000000008</v>
      </c>
      <c r="R3" s="66">
        <f>IF(M3="","",ROUND(+F3*7.8,4))</f>
        <v>10.430899999999999</v>
      </c>
      <c r="S3" s="66">
        <f>IF(M3="","",ROUND(+G3*7.8,4))</f>
        <v>4.99E-2</v>
      </c>
      <c r="T3" s="66">
        <f>IF(M3="","",ROUND(+L3*7.8,4))</f>
        <v>0.23949999999999999</v>
      </c>
      <c r="U3" s="66">
        <f>IF(M3="","",ROUND(+J3*7.8,4))</f>
        <v>6.1012000000000004</v>
      </c>
      <c r="V3" s="66">
        <f>IF(M3="","",ROUND(+M3*7.8,4))</f>
        <v>0.23089999999999999</v>
      </c>
      <c r="W3" s="66">
        <f>IF(M3="","",ROUND(+K3*7.8,4))</f>
        <v>9.4590999999999994</v>
      </c>
    </row>
    <row r="4" spans="1:23" ht="14.25" customHeight="1">
      <c r="A4" s="63"/>
      <c r="B4" s="64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</row>
    <row r="5" spans="1:23" ht="14.25" customHeight="1">
      <c r="A5" s="63"/>
      <c r="B5" s="64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</row>
    <row r="6" spans="1:23" ht="14.25" customHeight="1">
      <c r="A6" s="63"/>
      <c r="B6" s="64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</row>
    <row r="7" spans="1:23" ht="14.25" customHeight="1">
      <c r="A7" s="63"/>
      <c r="B7" s="64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</row>
    <row r="8" spans="1:23" ht="14.25" customHeight="1">
      <c r="A8" s="63"/>
      <c r="B8" s="64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</row>
    <row r="9" spans="1:23" ht="14.25" customHeight="1">
      <c r="A9" s="63"/>
      <c r="B9" s="64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</row>
    <row r="10" spans="1:23" ht="14.25" customHeight="1">
      <c r="A10" s="63"/>
      <c r="B10" s="64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</row>
    <row r="11" spans="1:23" ht="14.25" customHeight="1">
      <c r="A11" s="63"/>
      <c r="B11" s="64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</row>
    <row r="12" spans="1:23" ht="14.25" customHeight="1">
      <c r="A12" s="63"/>
      <c r="B12" s="64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</row>
    <row r="13" spans="1:23" ht="14.25" customHeight="1">
      <c r="A13" s="63"/>
      <c r="B13" s="64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</row>
    <row r="14" spans="1:23" ht="14.25" customHeight="1">
      <c r="A14" s="63"/>
      <c r="B14" s="64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</row>
    <row r="15" spans="1:23" ht="14.25" customHeight="1">
      <c r="A15" s="63"/>
      <c r="B15" s="64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</row>
    <row r="16" spans="1:23" ht="14.25" customHeight="1">
      <c r="A16" s="63"/>
      <c r="B16" s="64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</row>
    <row r="17" spans="1:13" ht="14.25" customHeight="1">
      <c r="A17" s="63"/>
      <c r="B17" s="64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</row>
    <row r="18" spans="1:13" ht="14.25" customHeight="1">
      <c r="A18" s="63"/>
      <c r="B18" s="64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</row>
    <row r="19" spans="1:13" ht="14.25" customHeight="1">
      <c r="A19" s="63"/>
      <c r="B19" s="64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</row>
    <row r="20" spans="1:13" ht="14.25" customHeight="1">
      <c r="A20" s="63"/>
      <c r="B20" s="64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</row>
    <row r="21" spans="1:13" ht="14.25" customHeight="1">
      <c r="A21" s="63"/>
      <c r="B21" s="64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</row>
    <row r="22" spans="1:13" ht="14.25" customHeight="1">
      <c r="A22" s="63"/>
      <c r="B22" s="64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</row>
    <row r="23" spans="1:13" ht="14.25" customHeight="1">
      <c r="A23" s="63"/>
      <c r="B23" s="64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</row>
    <row r="24" spans="1:13" ht="14.25" customHeight="1">
      <c r="A24" s="63"/>
      <c r="B24" s="64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</row>
    <row r="25" spans="1:13" ht="14.25" customHeight="1">
      <c r="A25" s="63"/>
      <c r="B25" s="64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</row>
    <row r="26" spans="1:13" ht="14.25" customHeight="1">
      <c r="A26" s="63"/>
      <c r="B26" s="64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</row>
    <row r="27" spans="1:13" ht="14.25" customHeight="1">
      <c r="A27" s="63"/>
      <c r="B27" s="64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</row>
    <row r="28" spans="1:13" ht="14.25" customHeight="1">
      <c r="A28" s="63"/>
      <c r="B28" s="64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</row>
    <row r="29" spans="1:13" ht="14.25" customHeight="1">
      <c r="A29" s="63"/>
      <c r="B29" s="64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</row>
    <row r="30" spans="1:13" ht="14.25" customHeight="1">
      <c r="A30" s="63"/>
      <c r="B30" s="64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</row>
    <row r="31" spans="1:13" ht="14.25" customHeight="1">
      <c r="A31" s="63"/>
      <c r="B31" s="64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</row>
    <row r="32" spans="1:13" ht="14.25" customHeight="1">
      <c r="A32" s="63"/>
      <c r="B32" s="64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</row>
    <row r="33" spans="1:13" ht="14.25" customHeight="1">
      <c r="A33" s="63"/>
      <c r="B33" s="64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</row>
    <row r="34" spans="1:13" ht="14.25" customHeight="1">
      <c r="A34" s="63"/>
      <c r="B34" s="64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</row>
    <row r="35" spans="1:13" ht="14.25" customHeight="1">
      <c r="A35" s="63"/>
      <c r="B35" s="64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</row>
    <row r="36" spans="1:13" ht="14.25" customHeight="1">
      <c r="A36" s="63"/>
      <c r="B36" s="64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</row>
    <row r="37" spans="1:13" ht="14.25" customHeight="1">
      <c r="A37" s="63"/>
      <c r="B37" s="64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</row>
    <row r="38" spans="1:13" ht="14.25" customHeight="1">
      <c r="A38" s="63"/>
      <c r="B38" s="64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</row>
    <row r="39" spans="1:13" ht="14.25" customHeight="1">
      <c r="A39" s="63"/>
      <c r="B39" s="64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</row>
    <row r="40" spans="1:13" ht="14.25" customHeight="1">
      <c r="A40" s="63"/>
      <c r="B40" s="64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</row>
    <row r="41" spans="1:13" ht="14.25" customHeight="1">
      <c r="A41" s="63"/>
      <c r="B41" s="64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</row>
    <row r="42" spans="1:13" ht="14.25" customHeight="1">
      <c r="A42" s="63"/>
      <c r="B42" s="64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</row>
    <row r="43" spans="1:13" ht="14.25" customHeight="1">
      <c r="A43" s="63"/>
      <c r="B43" s="64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</row>
    <row r="44" spans="1:13" ht="14.25" customHeight="1">
      <c r="A44" s="63"/>
      <c r="B44" s="64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spans="1:13" ht="14.25" customHeight="1">
      <c r="A45" s="63"/>
      <c r="B45" s="64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</row>
    <row r="46" spans="1:13" ht="14.25" customHeight="1">
      <c r="A46" s="63"/>
      <c r="B46" s="64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spans="1:13" ht="14.25" customHeight="1">
      <c r="A47" s="63"/>
      <c r="B47" s="64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</row>
    <row r="48" spans="1:13" ht="14.25" customHeight="1">
      <c r="A48" s="63"/>
      <c r="B48" s="64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</row>
    <row r="49" spans="1:13" ht="14.25" customHeight="1">
      <c r="A49" s="63"/>
      <c r="B49" s="64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</row>
    <row r="50" spans="1:13" ht="14.25" customHeight="1">
      <c r="A50" s="63"/>
      <c r="B50" s="64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</row>
    <row r="51" spans="1:13" ht="14.25" customHeight="1">
      <c r="A51" s="63"/>
      <c r="B51" s="64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</row>
    <row r="52" spans="1:13" ht="14.25" customHeight="1">
      <c r="A52" s="63"/>
      <c r="B52" s="64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</row>
    <row r="53" spans="1:13" ht="14.25" customHeight="1">
      <c r="A53" s="63"/>
      <c r="B53" s="64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</row>
    <row r="54" spans="1:13" ht="14.25" customHeight="1">
      <c r="A54" s="63"/>
      <c r="B54" s="64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</row>
    <row r="55" spans="1:13" ht="14.25" customHeight="1">
      <c r="A55" s="63"/>
      <c r="B55" s="64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</row>
    <row r="56" spans="1:13" ht="14.25" customHeight="1">
      <c r="A56" s="63"/>
      <c r="B56" s="64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</row>
    <row r="57" spans="1:13" ht="14.25" customHeight="1">
      <c r="A57" s="63"/>
      <c r="B57" s="64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</row>
    <row r="58" spans="1:13" ht="14.25" customHeight="1">
      <c r="A58" s="63"/>
      <c r="B58" s="64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</row>
    <row r="59" spans="1:13" ht="14.25" customHeight="1">
      <c r="A59" s="63"/>
      <c r="B59" s="64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</row>
    <row r="60" spans="1:13" ht="14.25" customHeight="1">
      <c r="A60" s="63"/>
      <c r="B60" s="64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</row>
    <row r="61" spans="1:13" ht="14.25" customHeight="1">
      <c r="A61" s="63"/>
      <c r="B61" s="64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</row>
    <row r="62" spans="1:13" ht="14.25" customHeight="1">
      <c r="A62" s="63"/>
      <c r="B62" s="64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</row>
    <row r="63" spans="1:13" ht="14.25" customHeight="1">
      <c r="A63" s="63"/>
      <c r="B63" s="64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</row>
    <row r="64" spans="1:13" ht="14.25" customHeight="1">
      <c r="A64" s="63"/>
      <c r="B64" s="64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</row>
    <row r="65" spans="1:13" ht="14.25" customHeight="1">
      <c r="A65" s="63"/>
      <c r="B65" s="64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</row>
    <row r="66" spans="1:13" ht="14.25" customHeight="1">
      <c r="A66" s="63"/>
      <c r="B66" s="64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</row>
    <row r="67" spans="1:13" ht="14.25" customHeight="1">
      <c r="A67" s="63"/>
      <c r="B67" s="64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</row>
    <row r="68" spans="1:13" ht="14.25" customHeight="1">
      <c r="A68" s="63"/>
      <c r="B68" s="64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</row>
    <row r="69" spans="1:13" ht="14.25" customHeight="1">
      <c r="A69" s="63"/>
      <c r="B69" s="64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</row>
    <row r="70" spans="1:13" ht="14.25" customHeight="1">
      <c r="A70" s="63"/>
      <c r="B70" s="64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</row>
    <row r="71" spans="1:13" ht="14.25" customHeight="1">
      <c r="A71" s="63"/>
      <c r="B71" s="64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</row>
    <row r="72" spans="1:13" ht="14.25" customHeight="1">
      <c r="A72" s="63"/>
      <c r="B72" s="64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</row>
    <row r="73" spans="1:13" ht="14.25" customHeight="1">
      <c r="A73" s="63"/>
      <c r="B73" s="64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</row>
    <row r="74" spans="1:13" ht="14.25" customHeight="1">
      <c r="A74" s="63"/>
      <c r="B74" s="64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</row>
    <row r="75" spans="1:13" ht="14.25" customHeight="1">
      <c r="A75" s="63"/>
      <c r="B75" s="64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</row>
    <row r="76" spans="1:13" ht="14.25" customHeight="1">
      <c r="A76" s="63"/>
      <c r="B76" s="64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</row>
    <row r="77" spans="1:13" ht="14.25" customHeight="1">
      <c r="A77" s="63"/>
      <c r="B77" s="64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</row>
    <row r="78" spans="1:13" ht="14.25" customHeight="1">
      <c r="A78" s="63"/>
      <c r="B78" s="64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</row>
    <row r="79" spans="1:13" ht="14.25" customHeight="1">
      <c r="A79" s="63"/>
      <c r="B79" s="64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</row>
    <row r="80" spans="1:13" ht="14.25" customHeight="1">
      <c r="A80" s="63"/>
      <c r="B80" s="64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</row>
    <row r="81" spans="1:13" ht="14.25" customHeight="1">
      <c r="A81" s="63"/>
      <c r="B81" s="64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</row>
    <row r="82" spans="1:13" ht="14.25" customHeight="1">
      <c r="A82" s="63"/>
      <c r="B82" s="64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</row>
    <row r="83" spans="1:13" ht="14.25" customHeight="1">
      <c r="A83" s="63"/>
      <c r="B83" s="64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</row>
    <row r="84" spans="1:13" ht="14.25" customHeight="1">
      <c r="A84" s="63"/>
      <c r="B84" s="64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</row>
    <row r="85" spans="1:13" ht="14.25" customHeight="1">
      <c r="A85" s="63"/>
      <c r="B85" s="64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</row>
    <row r="86" spans="1:13" ht="14.25" customHeight="1">
      <c r="A86" s="63"/>
      <c r="B86" s="64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</row>
    <row r="87" spans="1:13" ht="14.25" customHeight="1">
      <c r="A87" s="63"/>
      <c r="B87" s="64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</row>
    <row r="88" spans="1:13" ht="14.25" customHeight="1">
      <c r="A88" s="63"/>
      <c r="B88" s="64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</row>
    <row r="89" spans="1:13" ht="14.25" customHeight="1">
      <c r="A89" s="63"/>
      <c r="B89" s="64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</row>
    <row r="90" spans="1:13" ht="14.25" customHeight="1">
      <c r="A90" s="63"/>
      <c r="B90" s="64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</row>
    <row r="91" spans="1:13" ht="14.25" customHeight="1">
      <c r="A91" s="63"/>
      <c r="B91" s="64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</row>
    <row r="92" spans="1:13" ht="14.25" customHeight="1">
      <c r="A92" s="63"/>
      <c r="B92" s="64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</row>
    <row r="93" spans="1:13" ht="14.25" customHeight="1">
      <c r="A93" s="63"/>
      <c r="B93" s="64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</row>
    <row r="94" spans="1:13" ht="14.25" customHeight="1">
      <c r="A94" s="63"/>
      <c r="B94" s="64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</row>
    <row r="95" spans="1:13" ht="14.25" customHeight="1">
      <c r="A95" s="63"/>
      <c r="B95" s="64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</row>
    <row r="96" spans="1:13" ht="14.25" customHeight="1">
      <c r="A96" s="63"/>
      <c r="B96" s="64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</row>
    <row r="97" spans="1:13" ht="14.25" customHeight="1">
      <c r="A97" s="63"/>
      <c r="B97" s="64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</row>
    <row r="98" spans="1:13" ht="14.25" customHeight="1">
      <c r="A98" s="63"/>
      <c r="B98" s="64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</row>
    <row r="99" spans="1:13" ht="14.25" customHeight="1">
      <c r="A99" s="63"/>
      <c r="B99" s="64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</row>
    <row r="100" spans="1:13" ht="14.25" customHeight="1">
      <c r="A100" s="63"/>
      <c r="B100" s="64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</row>
    <row r="101" spans="1:13" ht="14.25" customHeight="1">
      <c r="A101" s="63"/>
      <c r="B101" s="64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</row>
    <row r="102" spans="1:13" ht="14.25" customHeight="1">
      <c r="A102" s="63"/>
      <c r="B102" s="64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</row>
    <row r="103" spans="1:13" ht="14.25" customHeight="1">
      <c r="A103" s="63"/>
      <c r="B103" s="64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</row>
    <row r="104" spans="1:13" ht="14.25" customHeight="1">
      <c r="A104" s="63"/>
      <c r="B104" s="64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</row>
    <row r="105" spans="1:13" ht="14.25" customHeight="1">
      <c r="A105" s="63"/>
      <c r="B105" s="64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</row>
    <row r="106" spans="1:13" ht="14.25" customHeight="1">
      <c r="A106" s="63"/>
      <c r="B106" s="64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</row>
    <row r="107" spans="1:13" ht="14.25" customHeight="1">
      <c r="A107" s="63"/>
      <c r="B107" s="64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</row>
    <row r="108" spans="1:13" ht="14.25" customHeight="1">
      <c r="A108" s="63"/>
      <c r="B108" s="64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</row>
    <row r="109" spans="1:13" ht="14.25" customHeight="1">
      <c r="A109" s="63"/>
      <c r="B109" s="64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</row>
    <row r="110" spans="1:13" ht="14.25" customHeight="1">
      <c r="A110" s="63"/>
      <c r="B110" s="64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</row>
    <row r="111" spans="1:13" ht="14.25" customHeight="1">
      <c r="A111" s="63"/>
      <c r="B111" s="64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</row>
    <row r="112" spans="1:13" ht="14.25" customHeight="1">
      <c r="A112" s="63"/>
      <c r="B112" s="64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</row>
    <row r="113" spans="1:13" ht="14.25" customHeight="1">
      <c r="A113" s="63"/>
      <c r="B113" s="64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</row>
    <row r="114" spans="1:13" ht="14.25" customHeight="1">
      <c r="A114" s="63"/>
      <c r="B114" s="64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</row>
    <row r="115" spans="1:13" ht="14.25" customHeight="1">
      <c r="A115" s="63"/>
      <c r="B115" s="64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</row>
    <row r="116" spans="1:13" ht="14.25" customHeight="1">
      <c r="A116" s="63"/>
      <c r="B116" s="64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</row>
    <row r="117" spans="1:13" ht="14.25" customHeight="1">
      <c r="A117" s="63"/>
      <c r="B117" s="64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</row>
    <row r="118" spans="1:13" ht="14.25" customHeight="1">
      <c r="A118" s="63"/>
      <c r="B118" s="64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</row>
    <row r="119" spans="1:13" ht="14.25" customHeight="1">
      <c r="A119" s="63"/>
      <c r="B119" s="64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</row>
    <row r="120" spans="1:13" ht="14.25" customHeight="1">
      <c r="A120" s="63"/>
      <c r="B120" s="64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</row>
    <row r="121" spans="1:13" ht="14.25" customHeight="1">
      <c r="A121" s="63"/>
      <c r="B121" s="64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</row>
    <row r="122" spans="1:13" ht="14.25" customHeight="1">
      <c r="A122" s="63"/>
      <c r="B122" s="64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</row>
    <row r="123" spans="1:13" ht="14.25" customHeight="1">
      <c r="A123" s="63"/>
      <c r="B123" s="64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</row>
    <row r="124" spans="1:13" ht="14.25" customHeight="1">
      <c r="A124" s="63"/>
      <c r="B124" s="64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</row>
    <row r="125" spans="1:13" ht="14.25" customHeight="1">
      <c r="A125" s="63"/>
      <c r="B125" s="64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</row>
    <row r="126" spans="1:13" ht="14.25" customHeight="1">
      <c r="A126" s="63"/>
      <c r="B126" s="64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</row>
    <row r="127" spans="1:13" ht="14.25" customHeight="1">
      <c r="A127" s="63"/>
      <c r="B127" s="64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</row>
    <row r="128" spans="1:13" ht="14.25" customHeight="1">
      <c r="A128" s="63"/>
      <c r="B128" s="64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</row>
    <row r="129" spans="1:13" ht="14.25" customHeight="1">
      <c r="A129" s="63"/>
      <c r="B129" s="64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</row>
    <row r="130" spans="1:13" ht="14.25" customHeight="1">
      <c r="A130" s="63"/>
      <c r="B130" s="64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</row>
    <row r="131" spans="1:13" ht="14.25" customHeight="1">
      <c r="A131" s="63"/>
      <c r="B131" s="64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</row>
    <row r="132" spans="1:13" ht="14.25" customHeight="1">
      <c r="A132" s="63"/>
      <c r="B132" s="64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</row>
    <row r="133" spans="1:13" ht="14.25" customHeight="1">
      <c r="A133" s="63"/>
      <c r="B133" s="64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</row>
    <row r="134" spans="1:13" ht="14.25" customHeight="1">
      <c r="A134" s="63"/>
      <c r="B134" s="64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</row>
    <row r="135" spans="1:13" ht="14.25" customHeight="1">
      <c r="A135" s="63"/>
      <c r="B135" s="64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</row>
    <row r="136" spans="1:13" ht="14.25" customHeight="1">
      <c r="A136" s="63"/>
      <c r="B136" s="64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</row>
    <row r="137" spans="1:13" ht="14.25" customHeight="1">
      <c r="A137" s="63"/>
      <c r="B137" s="64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</row>
    <row r="138" spans="1:13" ht="14.25" customHeight="1">
      <c r="A138" s="63"/>
      <c r="B138" s="64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</row>
    <row r="139" spans="1:13" ht="14.25" customHeight="1">
      <c r="A139" s="63"/>
      <c r="B139" s="64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</row>
    <row r="140" spans="1:13" ht="14.25" customHeight="1">
      <c r="A140" s="63"/>
      <c r="B140" s="64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</row>
    <row r="141" spans="1:13" ht="14.25" customHeight="1">
      <c r="A141" s="63"/>
      <c r="B141" s="64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</row>
    <row r="142" spans="1:13" ht="14.25" customHeight="1">
      <c r="A142" s="63"/>
      <c r="B142" s="64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</row>
    <row r="143" spans="1:13" ht="14.25" customHeight="1">
      <c r="A143" s="63"/>
      <c r="B143" s="64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</row>
    <row r="144" spans="1:13" ht="14.25" customHeight="1">
      <c r="A144" s="63"/>
      <c r="B144" s="64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</row>
    <row r="145" spans="1:13" ht="14.25" customHeight="1">
      <c r="A145" s="63"/>
      <c r="B145" s="64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</row>
    <row r="146" spans="1:13" ht="14.25" customHeight="1">
      <c r="A146" s="63"/>
      <c r="B146" s="64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</row>
    <row r="147" spans="1:13" ht="14.25" customHeight="1">
      <c r="A147" s="63"/>
      <c r="B147" s="64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</row>
    <row r="148" spans="1:13" ht="14.25" customHeight="1">
      <c r="A148" s="63"/>
      <c r="B148" s="64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</row>
    <row r="149" spans="1:13" ht="14.25" customHeight="1">
      <c r="A149" s="63"/>
      <c r="B149" s="64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</row>
    <row r="150" spans="1:13" ht="14.25" customHeight="1">
      <c r="A150" s="63"/>
      <c r="B150" s="64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</row>
    <row r="151" spans="1:13" ht="14.25" customHeight="1">
      <c r="A151" s="63"/>
      <c r="B151" s="64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</row>
    <row r="152" spans="1:13" ht="14.25" customHeight="1">
      <c r="A152" s="63"/>
      <c r="B152" s="64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</row>
    <row r="153" spans="1:13" ht="14.25" customHeight="1">
      <c r="A153" s="63"/>
      <c r="B153" s="64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</row>
    <row r="154" spans="1:13" ht="14.25" customHeight="1">
      <c r="A154" s="63"/>
      <c r="B154" s="64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</row>
    <row r="155" spans="1:13" ht="14.25" customHeight="1">
      <c r="A155" s="63"/>
      <c r="B155" s="64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</row>
    <row r="156" spans="1:13" ht="14.25" customHeight="1">
      <c r="A156" s="63"/>
      <c r="B156" s="64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</row>
    <row r="157" spans="1:13" ht="14.25" customHeight="1">
      <c r="A157" s="63"/>
      <c r="B157" s="64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</row>
    <row r="158" spans="1:13" ht="14.25" customHeight="1">
      <c r="A158" s="63"/>
      <c r="B158" s="64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</row>
    <row r="159" spans="1:13" ht="14.25" customHeight="1">
      <c r="A159" s="63"/>
      <c r="B159" s="64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</row>
    <row r="160" spans="1:13" ht="14.25" customHeight="1">
      <c r="A160" s="63"/>
      <c r="B160" s="64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</row>
    <row r="161" spans="1:13" ht="14.25" customHeight="1">
      <c r="A161" s="63"/>
      <c r="B161" s="64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</row>
    <row r="162" spans="1:13" ht="14.25" customHeight="1">
      <c r="A162" s="63"/>
      <c r="B162" s="64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</row>
    <row r="163" spans="1:13" ht="14.25" customHeight="1">
      <c r="A163" s="63"/>
      <c r="B163" s="64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</row>
    <row r="164" spans="1:13" ht="14.25" customHeight="1">
      <c r="A164" s="63"/>
      <c r="B164" s="64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</row>
    <row r="165" spans="1:13" ht="14.25" customHeight="1">
      <c r="A165" s="63"/>
      <c r="B165" s="64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</row>
    <row r="166" spans="1:13" ht="14.25" customHeight="1">
      <c r="A166" s="63"/>
      <c r="B166" s="64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</row>
    <row r="167" spans="1:13" ht="14.25" customHeight="1">
      <c r="A167" s="63"/>
      <c r="B167" s="64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</row>
    <row r="168" spans="1:13" ht="14.25" customHeight="1">
      <c r="A168" s="63"/>
      <c r="B168" s="64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</row>
    <row r="169" spans="1:13" ht="14.25" customHeight="1">
      <c r="A169" s="63"/>
      <c r="B169" s="64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</row>
    <row r="170" spans="1:13" ht="14.25" customHeight="1">
      <c r="A170" s="63"/>
      <c r="B170" s="64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</row>
    <row r="171" spans="1:13" ht="14.25" customHeight="1">
      <c r="A171" s="63"/>
      <c r="B171" s="64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</row>
    <row r="172" spans="1:13" ht="14.25" customHeight="1">
      <c r="A172" s="63"/>
      <c r="B172" s="64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</row>
    <row r="173" spans="1:13" ht="14.25" customHeight="1">
      <c r="A173" s="63"/>
      <c r="B173" s="64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</row>
    <row r="174" spans="1:13" ht="14.25" customHeight="1">
      <c r="A174" s="63"/>
      <c r="B174" s="64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</row>
    <row r="175" spans="1:13" ht="14.25" customHeight="1">
      <c r="A175" s="63"/>
      <c r="B175" s="64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</row>
    <row r="176" spans="1:13" ht="14.25" customHeight="1">
      <c r="A176" s="63"/>
      <c r="B176" s="64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</row>
    <row r="177" spans="1:13" ht="14.25" customHeight="1">
      <c r="A177" s="63"/>
      <c r="B177" s="64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</row>
    <row r="178" spans="1:13" ht="14.25" customHeight="1">
      <c r="A178" s="63"/>
      <c r="B178" s="64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</row>
    <row r="179" spans="1:13" ht="14.25" customHeight="1">
      <c r="A179" s="63"/>
      <c r="B179" s="64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</row>
    <row r="180" spans="1:13" ht="14.25" customHeight="1">
      <c r="A180" s="63"/>
      <c r="B180" s="64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</row>
    <row r="181" spans="1:13" ht="14.25" customHeight="1">
      <c r="A181" s="63"/>
      <c r="B181" s="64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</row>
    <row r="182" spans="1:13" ht="14.25" customHeight="1">
      <c r="A182" s="63"/>
      <c r="B182" s="64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</row>
    <row r="183" spans="1:13" ht="14.25" customHeight="1">
      <c r="A183" s="63"/>
      <c r="B183" s="64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</row>
    <row r="184" spans="1:13" ht="14.25" customHeight="1">
      <c r="A184" s="63"/>
      <c r="B184" s="64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</row>
    <row r="185" spans="1:13" ht="14.25" customHeight="1">
      <c r="A185" s="63"/>
      <c r="B185" s="64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</row>
    <row r="186" spans="1:13" ht="14.25" customHeight="1">
      <c r="A186" s="63"/>
      <c r="B186" s="64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</row>
    <row r="187" spans="1:13" ht="14.25" customHeight="1">
      <c r="A187" s="63"/>
      <c r="B187" s="64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</row>
    <row r="188" spans="1:13" ht="14.25" customHeight="1">
      <c r="A188" s="63"/>
      <c r="B188" s="64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</row>
    <row r="189" spans="1:13" ht="14.25" customHeight="1">
      <c r="A189" s="63"/>
      <c r="B189" s="64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</row>
    <row r="190" spans="1:13" ht="14.25" customHeight="1">
      <c r="A190" s="63"/>
      <c r="B190" s="64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</row>
    <row r="191" spans="1:13" ht="14.25" customHeight="1">
      <c r="A191" s="63"/>
      <c r="B191" s="64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</row>
    <row r="192" spans="1:13" ht="14.25" customHeight="1">
      <c r="A192" s="63"/>
      <c r="B192" s="64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</row>
    <row r="193" spans="1:13" ht="14.25" customHeight="1">
      <c r="A193" s="63"/>
      <c r="B193" s="64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</row>
    <row r="194" spans="1:13" ht="14.25" customHeight="1">
      <c r="A194" s="63"/>
      <c r="B194" s="64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</row>
    <row r="195" spans="1:13" ht="14.25" customHeight="1">
      <c r="A195" s="63"/>
      <c r="B195" s="64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</row>
    <row r="196" spans="1:13" ht="14.25" customHeight="1">
      <c r="A196" s="63"/>
      <c r="B196" s="64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</row>
    <row r="197" spans="1:13" ht="14.25" customHeight="1">
      <c r="A197" s="63"/>
      <c r="B197" s="64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</row>
    <row r="198" spans="1:13" ht="14.25" customHeight="1">
      <c r="A198" s="63"/>
      <c r="B198" s="64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</row>
    <row r="199" spans="1:13" ht="14.25" customHeight="1">
      <c r="A199" s="63"/>
      <c r="B199" s="64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</row>
    <row r="200" spans="1:13" ht="14.25" customHeight="1">
      <c r="A200" s="63"/>
      <c r="B200" s="64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</row>
    <row r="201" spans="1:13" ht="14.25" customHeight="1">
      <c r="A201" s="63"/>
      <c r="B201" s="64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</row>
    <row r="202" spans="1:13" ht="14.25" customHeight="1">
      <c r="A202" s="63"/>
      <c r="B202" s="64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</row>
    <row r="203" spans="1:13" ht="14.25" customHeight="1">
      <c r="A203" s="63"/>
      <c r="B203" s="64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</row>
    <row r="204" spans="1:13" ht="14.25" customHeight="1">
      <c r="A204" s="63"/>
      <c r="B204" s="64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</row>
    <row r="205" spans="1:13" ht="14.25" customHeight="1">
      <c r="A205" s="63"/>
      <c r="B205" s="64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</row>
    <row r="206" spans="1:13" ht="14.25" customHeight="1">
      <c r="A206" s="63"/>
      <c r="B206" s="64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</row>
    <row r="207" spans="1:13" ht="14.25" customHeight="1">
      <c r="A207" s="63"/>
      <c r="B207" s="64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</row>
    <row r="208" spans="1:13" ht="14.25" customHeight="1">
      <c r="A208" s="63"/>
      <c r="B208" s="64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</row>
    <row r="209" spans="1:13" ht="14.25" customHeight="1">
      <c r="A209" s="63"/>
      <c r="B209" s="64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</row>
    <row r="210" spans="1:13" ht="14.25" customHeight="1">
      <c r="A210" s="63"/>
      <c r="B210" s="64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</row>
    <row r="211" spans="1:13" ht="14.25" customHeight="1">
      <c r="A211" s="63"/>
      <c r="B211" s="64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</row>
    <row r="212" spans="1:13" ht="14.25" customHeight="1">
      <c r="A212" s="63"/>
      <c r="B212" s="64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</row>
    <row r="213" spans="1:13" ht="14.25" customHeight="1">
      <c r="A213" s="63"/>
      <c r="B213" s="64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</row>
    <row r="214" spans="1:13" ht="14.25" customHeight="1">
      <c r="A214" s="63"/>
      <c r="B214" s="64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</row>
    <row r="215" spans="1:13" ht="14.25" customHeight="1">
      <c r="A215" s="63"/>
      <c r="B215" s="64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</row>
    <row r="216" spans="1:13" ht="14.25" customHeight="1">
      <c r="A216" s="63"/>
      <c r="B216" s="64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</row>
    <row r="217" spans="1:13" ht="14.25" customHeight="1">
      <c r="A217" s="63"/>
      <c r="B217" s="64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</row>
    <row r="218" spans="1:13" ht="14.25" customHeight="1">
      <c r="A218" s="63"/>
      <c r="B218" s="64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</row>
    <row r="219" spans="1:13" ht="14.25" customHeight="1">
      <c r="A219" s="63"/>
      <c r="B219" s="64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</row>
    <row r="220" spans="1:13" ht="14.25" customHeight="1">
      <c r="A220" s="63"/>
      <c r="B220" s="64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</row>
    <row r="221" spans="1:13" ht="14.25" customHeight="1">
      <c r="A221" s="63"/>
      <c r="B221" s="64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</row>
    <row r="222" spans="1:13" ht="14.25" customHeight="1">
      <c r="A222" s="63"/>
      <c r="B222" s="64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</row>
    <row r="223" spans="1:13" ht="14.25" customHeight="1">
      <c r="A223" s="63"/>
      <c r="B223" s="64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</row>
    <row r="224" spans="1:13" ht="14.25" customHeight="1">
      <c r="A224" s="63"/>
      <c r="B224" s="64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</row>
    <row r="225" spans="1:13" ht="14.25" customHeight="1">
      <c r="A225" s="63"/>
      <c r="B225" s="64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</row>
    <row r="226" spans="1:13" ht="14.25" customHeight="1">
      <c r="A226" s="63"/>
      <c r="B226" s="64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</row>
    <row r="227" spans="1:13" ht="14.25" customHeight="1">
      <c r="A227" s="63"/>
      <c r="B227" s="64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</row>
    <row r="228" spans="1:13" ht="14.25" customHeight="1">
      <c r="A228" s="63"/>
      <c r="B228" s="64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</row>
    <row r="229" spans="1:13" ht="14.25" customHeight="1">
      <c r="A229" s="63"/>
      <c r="B229" s="64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</row>
    <row r="230" spans="1:13" ht="14.25" customHeight="1">
      <c r="A230" s="63"/>
      <c r="B230" s="64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</row>
    <row r="231" spans="1:13" ht="14.25" customHeight="1">
      <c r="A231" s="63"/>
      <c r="B231" s="64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</row>
    <row r="232" spans="1:13" ht="14.25" customHeight="1">
      <c r="A232" s="63"/>
      <c r="B232" s="64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</row>
    <row r="233" spans="1:13" ht="14.25" customHeight="1">
      <c r="A233" s="63"/>
      <c r="B233" s="64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</row>
    <row r="234" spans="1:13" ht="14.25" customHeight="1">
      <c r="A234" s="63"/>
      <c r="B234" s="64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</row>
    <row r="235" spans="1:13" ht="14.25" customHeight="1">
      <c r="A235" s="63"/>
      <c r="B235" s="64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</row>
    <row r="236" spans="1:13" ht="14.25" customHeight="1">
      <c r="A236" s="63"/>
      <c r="B236" s="64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</row>
    <row r="237" spans="1:13" ht="14.25" customHeight="1">
      <c r="A237" s="63"/>
      <c r="B237" s="64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</row>
    <row r="238" spans="1:13" ht="14.25" customHeight="1">
      <c r="A238" s="63"/>
      <c r="B238" s="64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</row>
    <row r="239" spans="1:13" ht="14.25" customHeight="1">
      <c r="A239" s="63"/>
      <c r="B239" s="64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</row>
    <row r="240" spans="1:13" ht="14.25" customHeight="1">
      <c r="A240" s="63"/>
      <c r="B240" s="64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</row>
    <row r="241" spans="1:13" ht="14.25" customHeight="1">
      <c r="A241" s="63"/>
      <c r="B241" s="64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</row>
  </sheetData>
  <sheetProtection selectLockedCells="1" selectUnlockedCells="1"/>
  <pageMargins left="0.70000000000000007" right="0.70000000000000007" top="0.75" bottom="0.75" header="0.51181102362204722" footer="0.51181102362204722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Exchange rate table</vt:lpstr>
      <vt:lpstr>AR</vt:lpstr>
      <vt:lpstr>AP</vt:lpstr>
      <vt:lpstr>Pacific Exchange Rate Service</vt:lpstr>
      <vt:lpstr>'Pacific Exchange Rate Service'!Excel_BuiltIn__FilterDatabase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Chan</dc:creator>
  <cp:lastModifiedBy>mhkusr41 Alex Wong</cp:lastModifiedBy>
  <cp:revision>0</cp:revision>
  <cp:lastPrinted>2026-10-26T02:19:24Z</cp:lastPrinted>
  <dcterms:created xsi:type="dcterms:W3CDTF">2017-01-09T23:49:35Z</dcterms:created>
  <dcterms:modified xsi:type="dcterms:W3CDTF">2026-10-26T02:28:50Z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